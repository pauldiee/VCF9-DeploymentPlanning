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codeName="ThisWorkbook" defaultThemeVersion="166925"/>
  <mc:AlternateContent xmlns:mc="http://schemas.openxmlformats.org/markup-compatibility/2006">
    <mc:Choice Requires="x15">
      <x15ac:absPath xmlns:x15ac="http://schemas.microsoft.com/office/spreadsheetml/2010/11/ac" url="/Users/cahillc/Library/CloudStorage/Box-Box/Planning and Preparation Workbook/9.1.x/9.1.1/"/>
    </mc:Choice>
  </mc:AlternateContent>
  <xr:revisionPtr revIDLastSave="0" documentId="13_ncr:1_{F5975E90-F258-E546-9530-4C704125E2A5}" xr6:coauthVersionLast="47" xr6:coauthVersionMax="47" xr10:uidLastSave="{00000000-0000-0000-0000-000000000000}"/>
  <workbookProtection workbookAlgorithmName="SHA-512" workbookHashValue="9TnlB6LN7iL8NeZ3wLMKQHPCDBq9ZgFijWxIbG5jcU3GiR97RkBTbEyrZacbHY6FgyM2nJZ0lAS5amiNaoteAg==" workbookSaltValue="bJKfIM5dQjRjibjyXM8BYQ==" workbookSpinCount="100000" lockStructure="1"/>
  <bookViews>
    <workbookView xWindow="0" yWindow="600" windowWidth="38400" windowHeight="20060" activeTab="1" xr2:uid="{98612615-D5B3-EF47-AF34-679F20CCC578}"/>
  </bookViews>
  <sheets>
    <sheet name="Prerequisite Checklist" sheetId="35" r:id="rId1"/>
    <sheet name="VCF &amp; VVF Planning" sheetId="106" r:id="rId2"/>
    <sheet name="Management Domain Sizing" sheetId="54" r:id="rId3"/>
    <sheet name="Static Reference Tables" sheetId="56" state="hidden" r:id="rId4"/>
    <sheet name="Deploy Management Domain" sheetId="62" r:id="rId5"/>
    <sheet name="Configure Management Domain" sheetId="108" r:id="rId6"/>
    <sheet name="Deploy Fleet Management Day-N" sheetId="118" r:id="rId7"/>
    <sheet name="Deploy Workload Domain" sheetId="65" r:id="rId8"/>
    <sheet name="Configure Workload Domain" sheetId="109" r:id="rId9"/>
    <sheet name="Deploy Cluster" sheetId="115" r:id="rId10"/>
    <sheet name="Change Control" sheetId="126" state="hidden" r:id="rId11"/>
    <sheet name="Arkham" sheetId="123" state="hidden" r:id="rId12"/>
    <sheet name="Value Reference Tables - MR" sheetId="87" state="hidden" r:id="rId13"/>
    <sheet name="Value Reference Tables" sheetId="63" state="hidden" r:id="rId14"/>
    <sheet name="Dumping Ground" sheetId="120" state="hidden" r:id="rId15"/>
    <sheet name="Additional Racks" sheetId="117" r:id="rId16"/>
    <sheet name="Site Protection &amp; DR" sheetId="75" state="hidden" r:id="rId17"/>
    <sheet name="Cyber Recovery" sheetId="127" r:id="rId18"/>
    <sheet name="On-Premises Ransomware Recovery" sheetId="119" state="hidden" r:id="rId19"/>
    <sheet name="Management Domain As Built" sheetId="113" r:id="rId20"/>
    <sheet name="Workload Domain As Built" sheetId="116" r:id="rId21"/>
    <sheet name="Version History" sheetId="122" r:id="rId22"/>
  </sheets>
  <definedNames>
    <definedName name="Additional_Instance">'Static Reference Tables'!$H$11:$H$13</definedName>
    <definedName name="administrator_vsphere_local_password">'Value Reference Tables'!$L$13</definedName>
    <definedName name="asn_instance">'Value Reference Tables - MR'!$AH$18</definedName>
    <definedName name="asn_mgmt_az1">'Value Reference Tables - MR'!$AH$19</definedName>
    <definedName name="asn_mgmt_az2">'Value Reference Tables - MR'!$AH$20</definedName>
    <definedName name="asn_start">'Value Reference Tables - MR'!$AH$17</definedName>
    <definedName name="asn_wld_az1">'Value Reference Tables - MR'!$AH$21</definedName>
    <definedName name="asn_wld_az2">'Value Reference Tables - MR'!$AH$22</definedName>
    <definedName name="aws_regions">'Static Reference Tables'!$B$576:$B$603</definedName>
    <definedName name="ca_administrator_password">'Value Reference Tables'!$L$30</definedName>
    <definedName name="ca_administrator_username">'Value Reference Tables'!$L$8</definedName>
    <definedName name="ca_algorithm">'Value Reference Tables'!$O$39</definedName>
    <definedName name="ca_country">'Value Reference Tables'!$O$38</definedName>
    <definedName name="ca_email_address">'Value Reference Tables'!$O$41</definedName>
    <definedName name="ca_key_size">'Value Reference Tables'!$O$40</definedName>
    <definedName name="ca_locality">'Value Reference Tables'!$O$42</definedName>
    <definedName name="ca_organization">'Value Reference Tables'!$O$43</definedName>
    <definedName name="ca_organization_unit">'Value Reference Tables'!$O$44</definedName>
    <definedName name="ca_state">'Value Reference Tables'!$O$45</definedName>
    <definedName name="ca_template_name">'Value Reference Tables'!$O$37</definedName>
    <definedName name="calculated_mgmt_host_count">'Management Domain Sizing'!$R$8</definedName>
    <definedName name="certificate_authority_fqdn">'Value Reference Tables'!$L$57</definedName>
    <definedName name="certificate_authority_model">'Value Reference Tables'!$O$9</definedName>
    <definedName name="certificate_authority_name">'Value Reference Tables'!$L$58</definedName>
    <definedName name="change_control_new">'Change Control'!$B$2:$B$100</definedName>
    <definedName name="change_control_old">'Change Control'!$C$2:$C$100</definedName>
    <definedName name="child_dns_zone">'Value Reference Tables'!$L$66</definedName>
    <definedName name="cluster_az1_host_fqdns">'Value Reference Tables'!$I$75:$I$90</definedName>
    <definedName name="cluster_az1_host_mgmt_ips">'Value Reference Tables'!$I$57:$I$72</definedName>
    <definedName name="cluster_az1_host_overlay_cidr">'Value Reference Tables'!$I$162</definedName>
    <definedName name="cluster_az1_host_overlay_gateway_ip">'Value Reference Tables'!$I$165</definedName>
    <definedName name="cluster_az1_host_overlay_network_pool_description">'Value Reference Tables'!$I$161</definedName>
    <definedName name="cluster_az1_host_overlay_network_pool_name">'Value Reference Tables'!$I$160</definedName>
    <definedName name="cluster_az1_host_overlay_network_profile_name">'Value Reference Tables'!$I$110</definedName>
    <definedName name="cluster_az1_host_overlay_new_pool_chosen">'Deploy Cluster'!$D$247</definedName>
    <definedName name="cluster_az1_host_overlay_pool_end_ip">'Value Reference Tables'!$I$164</definedName>
    <definedName name="cluster_az1_host_overlay_pool_start_ip">'Value Reference Tables'!$I$163</definedName>
    <definedName name="cluster_az1_host_overlay_transport_zone">'Value Reference Tables'!$I$156</definedName>
    <definedName name="cluster_az1_host_overlay_uplink_profile_name">'Value Reference Tables'!$I$170</definedName>
    <definedName name="cluster_az1_host_overlay_vlan">'Value Reference Tables'!$I$157</definedName>
    <definedName name="cluster_az1_host1_fqdn">'Value Reference Tables'!$I$75</definedName>
    <definedName name="cluster_az1_host1_mgmt_ip">'Value Reference Tables'!$I$57</definedName>
    <definedName name="cluster_az1_host10_fqdn">'Value Reference Tables'!$I$84</definedName>
    <definedName name="cluster_az1_host10_mgmt_ip">'Value Reference Tables'!$I$66</definedName>
    <definedName name="cluster_az1_host11_fqdn">'Value Reference Tables'!$I$85</definedName>
    <definedName name="cluster_az1_host11_mgmt_ip">'Value Reference Tables'!$I$67</definedName>
    <definedName name="cluster_az1_host12_fqdn">'Value Reference Tables'!$I$86</definedName>
    <definedName name="cluster_az1_host12_mgmt_ip">'Value Reference Tables'!$I$68</definedName>
    <definedName name="cluster_az1_host13_fqdn">'Value Reference Tables'!$I$87</definedName>
    <definedName name="cluster_az1_host13_mgmt_ip">'Value Reference Tables'!$I$69</definedName>
    <definedName name="cluster_az1_host14_fqdn">'Value Reference Tables'!$I$88</definedName>
    <definedName name="cluster_az1_host14_mgmt_ip">'Value Reference Tables'!$I$70</definedName>
    <definedName name="cluster_az1_host15_fqdn">'Value Reference Tables'!$I$89</definedName>
    <definedName name="cluster_az1_host15_mgmt_ip">'Value Reference Tables'!$I$71</definedName>
    <definedName name="cluster_az1_host16_fqdn">'Value Reference Tables'!$I$90</definedName>
    <definedName name="cluster_az1_host16_mgmt_ip">'Value Reference Tables'!$I$72</definedName>
    <definedName name="cluster_az1_host2_fqdn">'Value Reference Tables'!$I$76</definedName>
    <definedName name="cluster_az1_host2_mgmt_ip">'Value Reference Tables'!$I$58</definedName>
    <definedName name="cluster_az1_host3_fqdn">'Value Reference Tables'!$I$77</definedName>
    <definedName name="cluster_az1_host3_mgmt_ip">'Value Reference Tables'!$I$59</definedName>
    <definedName name="cluster_az1_host4_fqdn">'Value Reference Tables'!$I$78</definedName>
    <definedName name="cluster_az1_host4_mgmt_ip">'Value Reference Tables'!$I$60</definedName>
    <definedName name="cluster_az1_host5_fqdn">'Value Reference Tables'!$I$79</definedName>
    <definedName name="cluster_az1_host5_mgmt_ip">'Value Reference Tables'!$I$61</definedName>
    <definedName name="cluster_az1_host6_fqdn">'Value Reference Tables'!$I$80</definedName>
    <definedName name="cluster_az1_host6_mgmt_ip">'Value Reference Tables'!$I$62</definedName>
    <definedName name="cluster_az1_host7_fqdn">'Value Reference Tables'!$I$81</definedName>
    <definedName name="cluster_az1_host7_mgmt_ip">'Value Reference Tables'!$I$63</definedName>
    <definedName name="cluster_az1_host8_fqdn">'Value Reference Tables'!$I$82</definedName>
    <definedName name="cluster_az1_host8_mgmt_ip">'Value Reference Tables'!$I$64</definedName>
    <definedName name="cluster_az1_host9_fqdn">'Value Reference Tables'!$I$83</definedName>
    <definedName name="cluster_az1_host9_mgmt_ip">'Value Reference Tables'!$I$65</definedName>
    <definedName name="cluster_az1_mgmt_cidr">'Value Reference Tables'!$I$14</definedName>
    <definedName name="cluster_az1_mgmt_gateway_ip">'Value Reference Tables'!$I$13</definedName>
    <definedName name="cluster_az1_mgmt_lbt_chosen">'Deploy Cluster'!$D$215</definedName>
    <definedName name="cluster_az1_mgmt_mtu">'Value Reference Tables'!$I$15</definedName>
    <definedName name="cluster_az1_mgmt_pg">'Value Reference Tables'!$I$128</definedName>
    <definedName name="cluster_az1_mgmt_uplink1_chosen">'Deploy Cluster'!$D$216</definedName>
    <definedName name="cluster_az1_mgmt_uplink2_chosen">'Deploy Cluster'!$D$217</definedName>
    <definedName name="cluster_az1_mgmt_vlan">'Value Reference Tables'!$I$12</definedName>
    <definedName name="cluster_az1_mgmt_vm_lbt_chosen">'Deploy Cluster'!$D$220</definedName>
    <definedName name="cluster_az1_mgmt_vm_pg">'Value Reference Tables'!$I$133</definedName>
    <definedName name="cluster_az1_mgmt_vm_uplink1_chosen">'Deploy Cluster'!$D$221</definedName>
    <definedName name="cluster_az1_mgmt_vm_uplink2_chosen">'Deploy Cluster'!$D$222</definedName>
    <definedName name="cluster_az1_nsx_lbt_chosen">'Deploy Cluster'!$D$261</definedName>
    <definedName name="cluster_az1_nsx_uplink_count">'Value Reference Tables'!$I$167</definedName>
    <definedName name="cluster_az1_nsx_uplink1">'Value Reference Tables'!$I$168</definedName>
    <definedName name="cluster_az1_nsx_uplink1_active">'Value Reference Tables'!$I$172</definedName>
    <definedName name="cluster_az1_nsx_uplink2">'Value Reference Tables'!$I$169</definedName>
    <definedName name="cluster_az1_nsx_uplink2_active">'Value Reference Tables'!$I$173</definedName>
    <definedName name="cluster_az1_pool_name">'Value Reference Tables'!$I$73</definedName>
    <definedName name="cluster_az1_principal_storage_cidr">'Value Reference Tables'!$I$31</definedName>
    <definedName name="cluster_az1_principal_storage_gateway_cidr">'Value Reference Tables'!$I$33</definedName>
    <definedName name="cluster_az1_principal_storage_gateway_ip">'Value Reference Tables'!$I$32</definedName>
    <definedName name="cluster_az1_principal_storage_ip_assignment_chosen">'Deploy Cluster'!$D$64</definedName>
    <definedName name="cluster_az1_principal_storage_ip_scheme_chosen">'Deploy Cluster'!$D$61</definedName>
    <definedName name="cluster_az1_principal_storage_lbt_chosen">'Deploy Cluster'!$D$230</definedName>
    <definedName name="cluster_az1_principal_storage_mask">'Value Reference Tables'!$I$30</definedName>
    <definedName name="cluster_az1_principal_storage_mtu">'Value Reference Tables'!$I$28</definedName>
    <definedName name="cluster_az1_principal_storage_network">'Value Reference Tables'!$I$29</definedName>
    <definedName name="cluster_az1_principal_storage_pg">'Value Reference Tables'!$I$143</definedName>
    <definedName name="cluster_az1_principal_storage_pool_end_ip">'Value Reference Tables'!$I$35</definedName>
    <definedName name="cluster_az1_principal_storage_pool_start_ip">'Value Reference Tables'!$I$34</definedName>
    <definedName name="cluster_az1_principal_storage_uplink1_chosen">'Deploy Cluster'!$D$231</definedName>
    <definedName name="cluster_az1_principal_storage_uplink2_chosen">'Deploy Cluster'!$D$232</definedName>
    <definedName name="cluster_az1_principal_storage_vlan">'Value Reference Tables'!$I$27</definedName>
    <definedName name="cluster_az1_reuse_vcf_networkpool_chosen">'Deploy Cluster'!$B$13</definedName>
    <definedName name="cluster_az1_reuse_vcf_networkpool_result">'Deploy Cluster'!$D$13</definedName>
    <definedName name="cluster_az1_secondary_storage_cidr">'Value Reference Tables'!$I$41</definedName>
    <definedName name="cluster_az1_secondary_storage_gateway_cidr">'Value Reference Tables'!$I$43</definedName>
    <definedName name="cluster_az1_secondary_storage_gateway_ip">'Value Reference Tables'!$I$42</definedName>
    <definedName name="cluster_az1_secondary_storage_ip_assignment_chosen">'Deploy Cluster'!$D$75</definedName>
    <definedName name="cluster_az1_secondary_storage_ip_scheme_chosen">'Deploy Cluster'!$D$72</definedName>
    <definedName name="cluster_az1_secondary_storage_mask">'Value Reference Tables'!$I$40</definedName>
    <definedName name="cluster_az1_secondary_storage_mtu">'Value Reference Tables'!$I$38</definedName>
    <definedName name="cluster_az1_secondary_storage_network">'Value Reference Tables'!$I$39</definedName>
    <definedName name="cluster_az1_secondary_storage_pool_end_ip">'Value Reference Tables'!$I$45</definedName>
    <definedName name="cluster_az1_secondary_storage_pool_start_ip">'Value Reference Tables'!$I$44</definedName>
    <definedName name="cluster_az1_secondary_storage_vlan">'Value Reference Tables'!$I$37</definedName>
    <definedName name="cluster_az1_storage_cluster_cidr">'Value Reference Tables'!$I$51</definedName>
    <definedName name="cluster_az1_storage_cluster_gateway_cidr">'Value Reference Tables'!$I$53</definedName>
    <definedName name="cluster_az1_storage_cluster_gateway_ip">'Value Reference Tables'!$I$52</definedName>
    <definedName name="cluster_az1_storage_cluster_ip_assignment_chosen">'Deploy Cluster'!$D$86</definedName>
    <definedName name="cluster_az1_storage_cluster_ip_scheme_chosen">'Deploy Cluster'!$D$83</definedName>
    <definedName name="cluster_az1_storage_cluster_mask">'Value Reference Tables'!$I$50</definedName>
    <definedName name="cluster_az1_storage_cluster_mtu">'Value Reference Tables'!$I$48</definedName>
    <definedName name="cluster_az1_storage_cluster_network">'Value Reference Tables'!$I$49</definedName>
    <definedName name="cluster_az1_storage_cluster_pool_end_ip">'Value Reference Tables'!$I$55</definedName>
    <definedName name="cluster_az1_storage_cluster_pool_start_ip">'Value Reference Tables'!$I$54</definedName>
    <definedName name="cluster_az1_storage_cluster_vlan">'Value Reference Tables'!$I$47</definedName>
    <definedName name="cluster_az1_vmotion_cidr">'Value Reference Tables'!$I$21</definedName>
    <definedName name="cluster_az1_vmotion_gateway_cidr">'Value Reference Tables'!$I$23</definedName>
    <definedName name="cluster_az1_vmotion_gateway_ip">'Value Reference Tables'!$I$22</definedName>
    <definedName name="cluster_az1_vmotion_ip_assignment_chosen">'Deploy Cluster'!$D$53</definedName>
    <definedName name="cluster_az1_vmotion_ip_scheme_chosen">'Deploy Cluster'!$D$50</definedName>
    <definedName name="cluster_az1_vmotion_lbt_chosen">'Deploy Cluster'!$D$225</definedName>
    <definedName name="cluster_az1_vmotion_mask">'Value Reference Tables'!$I$20</definedName>
    <definedName name="cluster_az1_vmotion_mtu">'Value Reference Tables'!$I$18</definedName>
    <definedName name="cluster_az1_vmotion_network">'Value Reference Tables'!$I$19</definedName>
    <definedName name="cluster_az1_vmotion_pg">'Value Reference Tables'!$I$138</definedName>
    <definedName name="cluster_az1_vmotion_pool_end_ip">'Value Reference Tables'!$I$25</definedName>
    <definedName name="cluster_az1_vmotion_pool_start_ip">'Value Reference Tables'!$I$24</definedName>
    <definedName name="cluster_az1_vmotion_uplink1_chosen">'Deploy Cluster'!$D$226</definedName>
    <definedName name="cluster_az1_vmotion_uplink2_chosen">'Deploy Cluster'!$D$227</definedName>
    <definedName name="cluster_az1_vmotion_vlan">'Value Reference Tables'!$I$17</definedName>
    <definedName name="cluster_az1_vsan_storage_client_lbt_chosen">'Deploy Cluster'!$D$235</definedName>
    <definedName name="cluster_az1_vsan_storage_client_pg">'Value Reference Tables'!$I$148</definedName>
    <definedName name="cluster_az1_vsan_storage_client_uplink1">'Deploy Cluster'!$D$236</definedName>
    <definedName name="cluster_az1_vsan_storage_client_uplink2">'Deploy Cluster'!$D$237</definedName>
    <definedName name="cluster_az2_host_fqdns">'Value Reference Tables'!$I$292:$I$307</definedName>
    <definedName name="cluster_az2_host_mgmt_ips">'Value Reference Tables'!$I$204:$I$219</definedName>
    <definedName name="cluster_az2_host_overlay_cidr">'Value Reference Tables'!$I$285</definedName>
    <definedName name="cluster_az2_host_overlay_gateway_ip">'Value Reference Tables'!$I$286</definedName>
    <definedName name="cluster_az2_host_overlay_gateway_mtu">'Value Reference Tables'!$I$287</definedName>
    <definedName name="cluster_az2_host_overlay_network_pool_name">'Value Reference Tables'!$I$282</definedName>
    <definedName name="cluster_az2_host_overlay_network_profile_name">'Value Reference Tables'!$I$281</definedName>
    <definedName name="cluster_az2_host_overlay_new_pool_chosen">'Deploy Cluster'!$D$420</definedName>
    <definedName name="cluster_az2_host_overlay_pool_end_ip">'Value Reference Tables'!$I$289</definedName>
    <definedName name="cluster_az2_host_overlay_pool_start_ip">'Value Reference Tables'!$I$288</definedName>
    <definedName name="cluster_az2_host_overlay_uplink_profile_name">'Value Reference Tables'!$I$283</definedName>
    <definedName name="cluster_az2_host_overlay_vlan">'Value Reference Tables'!$I$284</definedName>
    <definedName name="cluster_az2_host1_fqdn">'Value Reference Tables'!$I$292</definedName>
    <definedName name="cluster_az2_host1_mgmt_ip">'Value Reference Tables'!$I$204</definedName>
    <definedName name="cluster_az2_host10_fqdn">'Value Reference Tables'!$I$301</definedName>
    <definedName name="cluster_az2_host10_mgmt_ip">'Value Reference Tables'!$I$213</definedName>
    <definedName name="cluster_az2_host11_fqdn">'Value Reference Tables'!$I$302</definedName>
    <definedName name="cluster_az2_host11_mgmt_ip">'Value Reference Tables'!$I$214</definedName>
    <definedName name="cluster_az2_host12_fqdn">'Value Reference Tables'!$I$303</definedName>
    <definedName name="cluster_az2_host12_mgmt_ip">'Value Reference Tables'!$I$215</definedName>
    <definedName name="cluster_az2_host13_fqdn">'Value Reference Tables'!$I$304</definedName>
    <definedName name="cluster_az2_host13_mgmt_ip">'Value Reference Tables'!$I$216</definedName>
    <definedName name="cluster_az2_host14_fqdn">'Value Reference Tables'!$I$305</definedName>
    <definedName name="cluster_az2_host14_mgmt_ip">'Value Reference Tables'!$I$217</definedName>
    <definedName name="cluster_az2_host15_fqdn">'Value Reference Tables'!$I$306</definedName>
    <definedName name="cluster_az2_host15_mgmt_ip">'Value Reference Tables'!$I$218</definedName>
    <definedName name="cluster_az2_host16_fqdn">'Value Reference Tables'!$I$307</definedName>
    <definedName name="cluster_az2_host16_mgmt_ip">'Value Reference Tables'!$I$219</definedName>
    <definedName name="cluster_az2_host2_fqdn">'Value Reference Tables'!$I$293</definedName>
    <definedName name="cluster_az2_host2_mgmt_ip">'Value Reference Tables'!$I$205</definedName>
    <definedName name="cluster_az2_host3_fqdn">'Value Reference Tables'!$I$294</definedName>
    <definedName name="cluster_az2_host3_mgmt_ip">'Value Reference Tables'!$I$206</definedName>
    <definedName name="cluster_az2_host4_fqdn">'Value Reference Tables'!$I$295</definedName>
    <definedName name="cluster_az2_host4_mgmt_ip">'Value Reference Tables'!$I$207</definedName>
    <definedName name="cluster_az2_host5_fqdn">'Value Reference Tables'!$I$296</definedName>
    <definedName name="cluster_az2_host5_mgmt_ip">'Value Reference Tables'!$I$208</definedName>
    <definedName name="cluster_az2_host6_fqdn">'Value Reference Tables'!$I$297</definedName>
    <definedName name="cluster_az2_host6_mgmt_ip">'Value Reference Tables'!$I$209</definedName>
    <definedName name="cluster_az2_host7_fqdn">'Value Reference Tables'!$I$298</definedName>
    <definedName name="cluster_az2_host7_mgmt_ip">'Value Reference Tables'!$I$210</definedName>
    <definedName name="cluster_az2_host8_fqdn">'Value Reference Tables'!$I$299</definedName>
    <definedName name="cluster_az2_host8_mgmt_ip">'Value Reference Tables'!$I$211</definedName>
    <definedName name="cluster_az2_host9_fqdn">'Value Reference Tables'!$I$300</definedName>
    <definedName name="cluster_az2_host9_mgmt_ip">'Value Reference Tables'!$I$212</definedName>
    <definedName name="cluster_az2_mgmt_cidr">'Value Reference Tables'!$I$202</definedName>
    <definedName name="cluster_az2_mgmt_gateway_ip">'Value Reference Tables'!$I$201</definedName>
    <definedName name="cluster_az2_mgmt_mtu">'Value Reference Tables'!$I$203</definedName>
    <definedName name="cluster_az2_mgmt_vlan">'Value Reference Tables'!$I$200</definedName>
    <definedName name="cluster_az2_pool_name">'Value Reference Tables'!$I$220</definedName>
    <definedName name="cluster_az2_principal_storage_cidr">'Value Reference Tables'!$I$235</definedName>
    <definedName name="cluster_az2_principal_storage_gateway_ip">'Value Reference Tables'!$I$236</definedName>
    <definedName name="cluster_az2_principal_storage_mask">'Value Reference Tables'!$I$234</definedName>
    <definedName name="cluster_az2_principal_storage_mtu">'Value Reference Tables'!$I$232</definedName>
    <definedName name="cluster_az2_principal_storage_network">'Value Reference Tables'!$I$233</definedName>
    <definedName name="cluster_az2_principal_storage_pool_end_ip">'Value Reference Tables'!$I$238</definedName>
    <definedName name="cluster_az2_principal_storage_pool_start_ip">'Value Reference Tables'!$I$237</definedName>
    <definedName name="cluster_az2_principal_storage_vlan">'Value Reference Tables'!$I$231</definedName>
    <definedName name="cluster_az2_reuse_vcf_networkpool_chosen">'Deploy Cluster'!$D$294</definedName>
    <definedName name="cluster_az2_secondary_storage_gateway_ip">'Value Reference Tables'!$I$244</definedName>
    <definedName name="cluster_az2_secondary_storage_mask">'Value Reference Tables'!$I$243</definedName>
    <definedName name="cluster_az2_secondary_storage_mtu">'Value Reference Tables'!$I$241</definedName>
    <definedName name="cluster_az2_secondary_storage_network">'Value Reference Tables'!$I$242</definedName>
    <definedName name="cluster_az2_secondary_storage_pool_end_ip">'Value Reference Tables'!$I$246</definedName>
    <definedName name="cluster_az2_secondary_storage_pool_start_ip">'Value Reference Tables'!$I$245</definedName>
    <definedName name="cluster_az2_secondary_storage_vlan">'Value Reference Tables'!$I$240</definedName>
    <definedName name="cluster_az2_storage_cluster_cidr">'Value Reference Tables'!$I$252</definedName>
    <definedName name="cluster_az2_storage_cluster_gateway_ip">'Value Reference Tables'!$I$253</definedName>
    <definedName name="cluster_az2_storage_cluster_mask">'Value Reference Tables'!$I$251</definedName>
    <definedName name="cluster_az2_storage_cluster_mtu">'Value Reference Tables'!$I$249</definedName>
    <definedName name="cluster_az2_storage_cluster_network">'Value Reference Tables'!$I$250</definedName>
    <definedName name="cluster_az2_storage_cluster_pool_end_ip">'Value Reference Tables'!$I$255</definedName>
    <definedName name="cluster_az2_storage_cluster_pool_start_ip">'Value Reference Tables'!$I$254</definedName>
    <definedName name="cluster_az2_storage_cluster_vlan">'Value Reference Tables'!$I$248</definedName>
    <definedName name="cluster_az2_tor1_peer_asn">'Value Reference Tables'!$I$308</definedName>
    <definedName name="cluster_az2_tor1_peer_ip">'Value Reference Tables'!$I$309</definedName>
    <definedName name="cluster_az2_tor2_peer_asn">'Value Reference Tables'!$I$310</definedName>
    <definedName name="cluster_az2_tor2_peer_ip">'Value Reference Tables'!$I$311</definedName>
    <definedName name="cluster_az2_vmotion_cidr">'Value Reference Tables'!$I$226</definedName>
    <definedName name="cluster_az2_vmotion_gateway_ip">'Value Reference Tables'!$I$227</definedName>
    <definedName name="cluster_az2_vmotion_mask">'Value Reference Tables'!$I$225</definedName>
    <definedName name="cluster_az2_vmotion_mtu">'Value Reference Tables'!$I$223</definedName>
    <definedName name="cluster_az2_vmotion_network">'Value Reference Tables'!$I$224</definedName>
    <definedName name="cluster_az2_vmotion_pool_end_ip">'Value Reference Tables'!$I$229</definedName>
    <definedName name="cluster_az2_vmotion_pool_start_ip">'Value Reference Tables'!$I$228</definedName>
    <definedName name="cluster_az2_vmotion_vlan">'Value Reference Tables'!$I$222</definedName>
    <definedName name="cluster_chosen">'Deploy Cluster'!$B$8</definedName>
    <definedName name="cluster_cl01_vds_copy_profile_chosen">'Deploy Cluster'!$D$176</definedName>
    <definedName name="cluster_cluster_sddc_id">'Value Reference Tables'!$I$313</definedName>
    <definedName name="cluster_compute_hosts_per_rack_chosen">'Deploy Cluster'!$B$9</definedName>
    <definedName name="cluster_compute_hosts_per_rack_result">'Deploy Cluster'!$D$9</definedName>
    <definedName name="cluster_datacenter">'Value Reference Tables'!$I$279</definedName>
    <definedName name="cluster_domain_name">'Value Reference Tables'!$I$9</definedName>
    <definedName name="cluster_esx_root_password">'Value Reference Tables'!$I$93</definedName>
    <definedName name="cluster_esx_root_username">'Value Reference Tables'!$I$92</definedName>
    <definedName name="cluster_host_overlay_addressing_chosen">'Deploy Cluster'!$D$246</definedName>
    <definedName name="cluster_host_overlay_transportzone">'Value Reference Tables'!$I$312</definedName>
    <definedName name="cluster_image_name">'Value Reference Tables'!$I$95</definedName>
    <definedName name="cluster_multi_rack_count_chosen">'Deploy Cluster'!$B$10</definedName>
    <definedName name="cluster_multi_rack_count_result">'Deploy Cluster'!$D$10</definedName>
    <definedName name="cluster_name">'Value Reference Tables'!$I$94</definedName>
    <definedName name="cluster_nfs_datastore_name">'Value Reference Tables'!$I$103</definedName>
    <definedName name="cluster_nfs_server_address">'Value Reference Tables'!$I$105</definedName>
    <definedName name="cluster_nfs_share_path">'Value Reference Tables'!$I$104</definedName>
    <definedName name="cluster_nsx_default_operation_mode_chosen">'Deploy Cluster'!$D$239</definedName>
    <definedName name="cluster_nsx_operation_mode_chosen">'Deploy Cluster'!$D$240</definedName>
    <definedName name="cluster_nsx_overlay_transport_zone_chosen">'Deploy Cluster'!$D$241</definedName>
    <definedName name="cluster_nsx_vlan_transport_zone_chosen">'Deploy Cluster'!$D$242</definedName>
    <definedName name="cluster_nsx_vlan_transport_zone_name">'Value Reference Tables'!$I$166</definedName>
    <definedName name="cluster_nsxt_vip_fqdn">'Value Reference Tables'!$I$291</definedName>
    <definedName name="cluster_principal_storage_chosen">'Deploy Cluster'!$B$11</definedName>
    <definedName name="cluster_principal_storage_result">'Deploy Cluster'!$D$11</definedName>
    <definedName name="cluster_result">'Deploy Cluster'!$D$8</definedName>
    <definedName name="cluster_secondary_storage_chosen">'Deploy Cluster'!$B$12</definedName>
    <definedName name="cluster_secondary_storage_result">'Deploy Cluster'!$D$12</definedName>
    <definedName name="cluster_storage_cluster_name">'Value Reference Tables'!$I$96</definedName>
    <definedName name="cluster_stretched_cluster_chosen">'Deploy Cluster'!$B$14</definedName>
    <definedName name="cluster_stretched_cluster_result">'Deploy Cluster'!$D$14</definedName>
    <definedName name="cluster_vc_fqdn">'Value Reference Tables'!$I$278</definedName>
    <definedName name="cluster_vds_profile_chosen">'Deploy Cluster'!$D$175</definedName>
    <definedName name="cluster_vds01_lacp_mode_chosen">'Deploy Cluster'!$D$185</definedName>
    <definedName name="cluster_vds01_lacp_timeout_chosen">'Deploy Cluster'!$D$187</definedName>
    <definedName name="cluster_vds01_lag_lbt_chosen">'Deploy Cluster'!$D$186</definedName>
    <definedName name="cluster_vds01_lag_name">'Value Reference Tables'!$I$114</definedName>
    <definedName name="cluster_vds01_link_type_chosen">'Deploy Cluster'!$D$183</definedName>
    <definedName name="cluster_vds01_mtu">'Value Reference Tables'!$I$109</definedName>
    <definedName name="cluster_vds01_name">'Value Reference Tables'!$I$108</definedName>
    <definedName name="cluster_vds01_pnics">'Value Reference Tables'!$I$112</definedName>
    <definedName name="cluster_vds01_traffic_type">'Value Reference Tables'!$I$113</definedName>
    <definedName name="cluster_vds01_uplink_count">'Value Reference Tables'!$I$111</definedName>
    <definedName name="cluster_vds02_lacp_mode_chosen">'Deploy Cluster'!$D$196</definedName>
    <definedName name="cluster_vds02_lacp_timeout_chosen">'Deploy Cluster'!$D$198</definedName>
    <definedName name="cluster_vds02_lag_lbt_chosen">'Deploy Cluster'!$D$197</definedName>
    <definedName name="cluster_vds02_lag_name">'Value Reference Tables'!$I$120</definedName>
    <definedName name="cluster_vds02_link_type_chosen">'Deploy Cluster'!$D$194</definedName>
    <definedName name="cluster_vds02_mtu">'Value Reference Tables'!$I$116</definedName>
    <definedName name="cluster_vds02_name">'Value Reference Tables'!$I$115</definedName>
    <definedName name="cluster_vds02_pnics">'Value Reference Tables'!$I$118</definedName>
    <definedName name="cluster_vds02_traffic_type">'Value Reference Tables'!$I$119</definedName>
    <definedName name="cluster_vds02_uplink_count">'Value Reference Tables'!$I$117</definedName>
    <definedName name="cluster_vds03_lacp_mode_chosen">'Deploy Cluster'!$D$207</definedName>
    <definedName name="cluster_vds03_lacp_timeout_chosen">'Deploy Cluster'!$D$209</definedName>
    <definedName name="cluster_vds03_lag_lbt_chosen">'Deploy Cluster'!$D$208</definedName>
    <definedName name="cluster_vds03_lag_name">'Value Reference Tables'!$I$126</definedName>
    <definedName name="cluster_vds03_link_type_chosen">'Deploy Cluster'!$D$205</definedName>
    <definedName name="cluster_vds03_mtu">'Value Reference Tables'!$I$122</definedName>
    <definedName name="cluster_vds03_name">'Value Reference Tables'!$I$121</definedName>
    <definedName name="cluster_vds03_pnics">'Value Reference Tables'!$I$124</definedName>
    <definedName name="cluster_vds03_traffic_type">'Value Reference Tables'!$I$125</definedName>
    <definedName name="cluster_vds03_uplink_count">'Value Reference Tables'!$I$123</definedName>
    <definedName name="cluster_vmfs_datastore_name">'Value Reference Tables'!$I$102</definedName>
    <definedName name="cluster_vsan_client_network">'Deploy Cluster'!$D$144</definedName>
    <definedName name="cluster_vsan_compute_fault_domain_mapping_chosen">'Deploy Cluster'!$D$418</definedName>
    <definedName name="cluster_vsan_compute_network_topology_chosen">'Deploy Cluster'!$D$417</definedName>
    <definedName name="cluster_vsan_datastore">'Value Reference Tables'!$I$97</definedName>
    <definedName name="cluster_vsan_dedupe_compression_chosen">'Deploy Cluster'!$D$146</definedName>
    <definedName name="cluster_vsan_dit_chosen">'Deploy Cluster'!$D$138</definedName>
    <definedName name="cluster_vsan_dit_rekey_custom_interval">'Value Reference Tables'!$I$101</definedName>
    <definedName name="cluster_vsan_dit_rekey_default_interval">'Value Reference Tables'!$I$100</definedName>
    <definedName name="cluster_vsan_dit_rekey_result">Arkham!$X$81</definedName>
    <definedName name="cluster_vsan_dit_rekey_type_chosen">'Deploy Cluster'!$D$139</definedName>
    <definedName name="cluster_vsan_esa_hcl_check_chosen">'Deploy Cluster'!$D$115</definedName>
    <definedName name="cluster_vsan_ftt_chosen">'Deploy Cluster'!$D$145</definedName>
    <definedName name="cluster_vsan_type">'Deploy Cluster'!$D$113</definedName>
    <definedName name="cluster_witness_cluster">'Value Reference Tables'!$I$265</definedName>
    <definedName name="cluster_witness_dns1_ip">'Value Reference Tables'!$I$274</definedName>
    <definedName name="cluster_witness_dns2_ip">'Value Reference Tables'!$I$275</definedName>
    <definedName name="cluster_witness_fqdn">'Value Reference Tables'!$I$280</definedName>
    <definedName name="cluster_witness_hostname">'Value Reference Tables'!$I$264</definedName>
    <definedName name="cluster_witness_ip">'Value Reference Tables'!$I$272</definedName>
    <definedName name="cluster_witness_mgmt_pg">'Value Reference Tables'!$I$268</definedName>
    <definedName name="cluster_witness_ntp1_server">'Value Reference Tables'!$I$276</definedName>
    <definedName name="cluster_witness_ntp2_server">'Value Reference Tables'!$I$277</definedName>
    <definedName name="cluster_witness_vm_folder">'Value Reference Tables'!$I$266</definedName>
    <definedName name="cluster_witness_vsan_datastore">'Value Reference Tables'!$I$267</definedName>
    <definedName name="cluster_witness_zone_vc_fqdn">'Value Reference Tables'!$I$263</definedName>
    <definedName name="cluster_witnessaz_mask">'Value Reference Tables'!$I$273</definedName>
    <definedName name="cluster_witnessaz_mgmt_cidr">'Value Reference Tables'!$I$261</definedName>
    <definedName name="cluster_witnessaz_mgmt_gateway_ip">'Value Reference Tables'!$I$260</definedName>
    <definedName name="cluster_witnessaz_mgmt_mask">'Value Reference Tables'!$I$271</definedName>
    <definedName name="cluster_witnessaz_mgmt_mtu">'Value Reference Tables'!$I$262</definedName>
    <definedName name="cluster_witnessaz_mgmt_vlan">'Value Reference Tables'!$I$259</definedName>
    <definedName name="cluster_wld_domain_chosen">'Value Reference Tables'!$I$8</definedName>
    <definedName name="cr_clean_room">'Value Reference Tables'!$F$280</definedName>
    <definedName name="cr_console_cloud">'Value Reference Tables'!$F$279</definedName>
    <definedName name="cr_mgmt_protect_vc_domain">'Value Reference Tables'!$F$277</definedName>
    <definedName name="cr_mgmt_protect_vc_fqdn">'Value Reference Tables'!$F$276</definedName>
    <definedName name="cr_wld_pnr_fqdn">'Value Reference Tables'!$F$274</definedName>
    <definedName name="cr_wld_pnr_ip">'Value Reference Tables'!$F$275</definedName>
    <definedName name="cr_wld_protect_vc_replication_user">'Value Reference Tables'!$F$281</definedName>
    <definedName name="cr_wld_vrms_pg">'Value Reference Tables'!$F$278</definedName>
    <definedName name="deployment_type_vcf">'Static Reference Tables'!$E$15:$E$18</definedName>
    <definedName name="deployment_type_vvf">'Static Reference Tables'!$E$22:$E$24</definedName>
    <definedName name="domain_controller_hostname">'Value Reference Tables'!$L$56</definedName>
    <definedName name="esxi_root_password">'Value Reference Tables'!$L$12</definedName>
    <definedName name="first_domain_mgmt_only_viable">'Value Reference Tables'!$AA$54</definedName>
    <definedName name="first_domain_mgmt_vi_viable">'Value Reference Tables'!$AA$55</definedName>
    <definedName name="First_Instance">'Static Reference Tables'!$G$11:$G$14</definedName>
    <definedName name="flt_auto_node_pool_end_ip">'Value Reference Tables'!$C$31</definedName>
    <definedName name="flt_auto_node_pool_start_ip">'Value Reference Tables'!$C$30</definedName>
    <definedName name="flt_auto_sr_fqdn">'Value Reference Tables'!$R$25</definedName>
    <definedName name="flt_custom_management_cidr">Arkham!$B$3</definedName>
    <definedName name="flt_custom_management_gateway_ip">Arkham!$B$5</definedName>
    <definedName name="flt_custom_management_mask">Arkham!$B$6</definedName>
    <definedName name="flt_custom_management_mtu">Arkham!$B$7</definedName>
    <definedName name="flt_custom_management_network">Arkham!$B$4</definedName>
    <definedName name="flt_custom_management_vlan">Arkham!$B$8</definedName>
    <definedName name="flt_custom_network_chosen">'Deploy Fleet Management Day-N'!$B$7</definedName>
    <definedName name="flt_custom_network_result">'Deploy Fleet Management Day-N'!$D$7</definedName>
    <definedName name="flt_custom_network_vcf_ops_automation_chosen">'Deploy Fleet Management Day-N'!$B$8</definedName>
    <definedName name="flt_custom_network_vcf_ops_automation_result">'Deploy Fleet Management Day-N'!$D$8</definedName>
    <definedName name="flt_def_administrator_vsphere_local_password">'Value Reference Tables'!$F$241</definedName>
    <definedName name="flt_def_administrator_vsphere_local_username">'Value Reference Tables'!$F$240</definedName>
    <definedName name="flt_def_auto_admin_password">'Value Reference Tables'!$F$267</definedName>
    <definedName name="flt_def_auto_cluster_cidr">'Value Reference Tables'!$F$271</definedName>
    <definedName name="flt_def_auto_node_pool_end_ip">'Value Reference Tables'!$F$245</definedName>
    <definedName name="flt_def_auto_node_pool_start_ip">'Value Reference Tables'!$F$244</definedName>
    <definedName name="flt_def_auto_node_prefix">'Value Reference Tables'!$F$270</definedName>
    <definedName name="flt_def_auto_size_chosen">'Deploy Fleet Management Day-N'!$D$71</definedName>
    <definedName name="flt_def_auto_size_result">Arkham!$X$76</definedName>
    <definedName name="flt_def_auto_sr_fqdn">'Value Reference Tables'!$F$253</definedName>
    <definedName name="flt_def_auto_sr_ip">'Value Reference Tables'!$F$261</definedName>
    <definedName name="flt_def_ceip_status_chosen">'Deploy Fleet Management Day-N'!$D$22</definedName>
    <definedName name="flt_def_sddc_mgr_fqdn">'Value Reference Tables'!$F$239</definedName>
    <definedName name="flt_def_vcf_custom_network_chosen">'Deploy Fleet Management Day-N'!$D$61</definedName>
    <definedName name="flt_def_vcf_custom_passwords_chosen">'Deploy Fleet Management Day-N'!$D$23</definedName>
    <definedName name="flt_def_vcf_custom_size_chosen">'Deploy Fleet Management Day-N'!$D$62</definedName>
    <definedName name="flt_def_vcf_operations_admin_password">'Value Reference Tables'!$F$262</definedName>
    <definedName name="flt_def_vcf_operations_az1_vcf_mgmt_gateway_cidr">'Value Reference Tables'!$F$243</definedName>
    <definedName name="flt_def_vcf_operations_az1_vcf_mgmt_pg">'Value Reference Tables'!$F$242</definedName>
    <definedName name="flt_def_vcf_operations_custom_size_chosen">'Deploy Fleet Management Day-N'!$D$64</definedName>
    <definedName name="flt_def_vcf_operations_data_root_password">'Value Reference Tables'!$F$265</definedName>
    <definedName name="flt_def_vcf_operations_ha_mode_chosen">'Deploy Fleet Management Day-N'!$D$20</definedName>
    <definedName name="flt_def_vcf_operations_lc_fqdn">'Value Reference Tables'!$F$251</definedName>
    <definedName name="flt_def_vcf_operations_lc_ip">'Value Reference Tables'!$F$259</definedName>
    <definedName name="flt_def_vcf_operations_nodea_fqdn">'Value Reference Tables'!$F$246</definedName>
    <definedName name="flt_def_vcf_operations_nodea_ip">'Value Reference Tables'!$F$254</definedName>
    <definedName name="flt_def_vcf_operations_nodeb_fqdn">'Value Reference Tables'!$F$247</definedName>
    <definedName name="flt_def_vcf_operations_nodeb_ip">'Value Reference Tables'!$F$255</definedName>
    <definedName name="flt_def_vcf_operations_nodec_fqdn">'Value Reference Tables'!$F$248</definedName>
    <definedName name="flt_def_vcf_operations_nodec_ip">'Value Reference Tables'!$F$256</definedName>
    <definedName name="flt_def_vcf_operations_proxy_az1_vcf_mgmt_gateway_cidr">'Value Reference Tables'!$F$268</definedName>
    <definedName name="flt_def_vcf_operations_proxy_az1_vcf_mgmt_pg">'Value Reference Tables'!$F$269</definedName>
    <definedName name="flt_def_vcf_operations_proxy_custom_size_chosen">'Deploy Fleet Management Day-N'!$D$66</definedName>
    <definedName name="flt_def_vcf_operations_proxy_fqdn">'Value Reference Tables'!$F$250</definedName>
    <definedName name="flt_def_vcf_operations_proxy_ip">'Value Reference Tables'!$F$258</definedName>
    <definedName name="flt_def_vcf_operations_proxy_root_password">'Value Reference Tables'!$F$266</definedName>
    <definedName name="flt_def_vcf_operations_proxy_size_result">Arkham!$X$75</definedName>
    <definedName name="flt_def_vcf_operations_replica_root_password">'Value Reference Tables'!$F$264</definedName>
    <definedName name="flt_def_vcf_operations_root_password">'Value Reference Tables'!$F$263</definedName>
    <definedName name="flt_def_vcf_operations_size_chosen">'Deploy Fleet Management Day-N'!$D$21</definedName>
    <definedName name="flt_def_vcf_operations_size_result">Arkham!$X$74</definedName>
    <definedName name="flt_def_vcf_operations_virtual_fqdn">'Value Reference Tables'!$F$249</definedName>
    <definedName name="flt_def_vcf_operations_virtual_ip">'Value Reference Tables'!$F$257</definedName>
    <definedName name="flt_def_vcf_skip_vcfa_chosen">'Deploy Fleet Management Day-N'!$D$24</definedName>
    <definedName name="flt_def_vra_virtual_fqdn">'Value Reference Tables'!$F$252</definedName>
    <definedName name="flt_def_vra_virtual_ip">'Value Reference Tables'!$F$260</definedName>
    <definedName name="flt_fc_fqdn">'Value Reference Tables'!$C$79</definedName>
    <definedName name="flt_fc_ip">'Value Reference Tables'!$C$34</definedName>
    <definedName name="flt_ic_fqdn">'Value Reference Tables'!$C$78</definedName>
    <definedName name="flt_ic_ip">'Value Reference Tables'!$C$35</definedName>
    <definedName name="flt_lc_fqdn">'Value Reference Tables'!$C$76</definedName>
    <definedName name="flt_logs_admin_password">'Value Reference Tables'!$L$100</definedName>
    <definedName name="flt_logs_admin_username">'Value Reference Tables'!$L$101</definedName>
    <definedName name="flt_logs_cert_ip_addresses">'Value Reference Tables'!$L$99</definedName>
    <definedName name="flt_logs_chosen">'Deploy Fleet Management Day-N'!$B$10</definedName>
    <definedName name="flt_logs_install_type_chosen">'Deploy Fleet Management Day-N'!$D$137</definedName>
    <definedName name="flt_logs_install_version">'Deploy Fleet Management Day-N'!$D$138</definedName>
    <definedName name="flt_logs_node_size_chosen">'Deploy Fleet Management Day-N'!$D$143</definedName>
    <definedName name="flt_logs_number_replicas_chosen">'Deploy Fleet Management Day-N'!$D$144</definedName>
    <definedName name="flt_logs_result">'Deploy Fleet Management Day-N'!$D$10</definedName>
    <definedName name="flt_logs_vip_fqdn">'Value Reference Tables'!$L$98</definedName>
    <definedName name="flt_logs_vip_ip">'Value Reference Tables'!$L$103</definedName>
    <definedName name="flt_net_admin_password">'Value Reference Tables'!$L$113</definedName>
    <definedName name="flt_net_chosen">'Deploy Fleet Management Day-N'!$B$11</definedName>
    <definedName name="flt_net_dual_stack_chosen">'Deploy Fleet Management Day-N'!$D$156</definedName>
    <definedName name="flt_net_ha_mode_chosen">'Deploy Fleet Management Day-N'!$D$154</definedName>
    <definedName name="flt_net_install_type_chosen">'Deploy Fleet Management Day-N'!$D$152</definedName>
    <definedName name="flt_net_install_version">'Deploy Fleet Management Day-N'!$D$153</definedName>
    <definedName name="flt_net_nodea_fqdn">'Value Reference Tables'!$L$107</definedName>
    <definedName name="flt_net_nodea_gateway_cidr">'Value Reference Tables'!$L$116</definedName>
    <definedName name="flt_net_nodea_hostname">'Value Reference Tables'!$L$111</definedName>
    <definedName name="flt_net_nodea_ip">'Value Reference Tables'!$L$109</definedName>
    <definedName name="flt_net_nodea_pg">'Value Reference Tables'!$L$114</definedName>
    <definedName name="flt_net_prxy_fqdn">'Value Reference Tables'!$L$108</definedName>
    <definedName name="flt_net_prxy_gateway_cidr">'Value Reference Tables'!$L$117</definedName>
    <definedName name="flt_net_prxy_hostname">'Value Reference Tables'!$L$112</definedName>
    <definedName name="flt_net_prxy_ip">'Value Reference Tables'!$L$110</definedName>
    <definedName name="flt_net_prxy_pg">'Value Reference Tables'!$L$115</definedName>
    <definedName name="flt_net_result">'Deploy Fleet Management Day-N'!$D$11</definedName>
    <definedName name="flt_sr_fqdn">'Value Reference Tables'!$C$77</definedName>
    <definedName name="flt_sr_ip">'Value Reference Tables'!$C$37</definedName>
    <definedName name="flt_vcfms_k8s_cluster_cidr_chosen">'Deploy Management Domain'!$L$182</definedName>
    <definedName name="flt_vcfms_node_pool_end_ip">'Value Reference Tables'!$C$33</definedName>
    <definedName name="flt_vcfms_node_pool_start_ip">'Value Reference Tables'!$C$32</definedName>
    <definedName name="flt_vidb_base_dn">'Value Reference Tables'!$C$163</definedName>
    <definedName name="flt_vidb_bind_password">'Value Reference Tables'!$C$165</definedName>
    <definedName name="flt_vidb_bind_username">'Value Reference Tables'!$C$164</definedName>
    <definedName name="flt_vidb_chosen">'Deploy Fleet Management Day-N'!$B$9</definedName>
    <definedName name="flt_vidb_directory_name">'Value Reference Tables'!$C$153</definedName>
    <definedName name="flt_vidb_directory_search_chosen">'Deploy Fleet Management Day-N'!$D$114</definedName>
    <definedName name="flt_vidb_distinguished_name">'Value Reference Tables'!$C$169</definedName>
    <definedName name="flt_vidb_employeeID">'Value Reference Tables'!$C$170</definedName>
    <definedName name="flt_vidb_encrypted_cert">'Value Reference Tables'!$C$157</definedName>
    <definedName name="flt_vidb_encrypted_connection_chosen">'Deploy Fleet Management Day-N'!$D$108</definedName>
    <definedName name="flt_vidb_first_name">'Value Reference Tables'!$C$167</definedName>
    <definedName name="flt_vidb_global_catalog_chosen">'Deploy Fleet Management Day-N'!$D$107</definedName>
    <definedName name="flt_vidb_group_base_dn">'Value Reference Tables'!$C$173</definedName>
    <definedName name="flt_vidb_hostname">'Value Reference Tables'!$C$54</definedName>
    <definedName name="flt_vidb_identity_provider_chosen">'Deploy Fleet Management Day-N'!$D$104</definedName>
    <definedName name="flt_vidb_last_name">'Value Reference Tables'!$C$168</definedName>
    <definedName name="flt_vidb_mail">'Value Reference Tables'!$C$171</definedName>
    <definedName name="flt_vidb_primary_domain_controller">'Value Reference Tables'!$C$158</definedName>
    <definedName name="flt_vidb_primary_domain_controller_port">'Value Reference Tables'!$C$159</definedName>
    <definedName name="flt_vidb_result">'Deploy Fleet Management Day-N'!$D$9</definedName>
    <definedName name="flt_vidb_secondary_domain_controller">'Value Reference Tables'!$C$160</definedName>
    <definedName name="flt_vidb_secondary_domain_controller_port">'Value Reference Tables'!$C$161</definedName>
    <definedName name="flt_vidb_server_location_chosen">'Deploy Fleet Management Day-N'!$D$106</definedName>
    <definedName name="flt_vidb_user_base_dn">'Value Reference Tables'!$C$174</definedName>
    <definedName name="flt_vidb_user_name">'Value Reference Tables'!$C$166</definedName>
    <definedName name="flt_vidb_user_principal_name">'Value Reference Tables'!$C$172</definedName>
    <definedName name="flt_vidb_vip_fqdn">'Value Reference Tables'!$C$75</definedName>
    <definedName name="flt_vidb_vip_ip">'Value Reference Tables'!$C$29</definedName>
    <definedName name="input_administrator_vsphere_local_password">'Deploy Management Domain'!$L$201</definedName>
    <definedName name="input_ca_administrator_password">'Configure Management Domain'!$D$36</definedName>
    <definedName name="input_ca_administrator_username">'Configure Management Domain'!$D$35</definedName>
    <definedName name="input_ca_algorithm">'Configure Management Domain'!$D$59</definedName>
    <definedName name="input_ca_country">'Configure Management Domain'!$D$62</definedName>
    <definedName name="input_ca_email_address">'Configure Management Domain'!$D$65</definedName>
    <definedName name="input_ca_key_size">'Configure Management Domain'!$D$66</definedName>
    <definedName name="input_ca_locality">'Configure Management Domain'!$D$64</definedName>
    <definedName name="input_ca_organization">'Configure Management Domain'!$D$61</definedName>
    <definedName name="input_ca_organization_unit">'Configure Management Domain'!$D$60</definedName>
    <definedName name="input_ca_state">'Configure Management Domain'!$D$63</definedName>
    <definedName name="input_ca_template_name">'Configure Management Domain'!$D$46</definedName>
    <definedName name="input_certificate_authority_fqdn">'Configure Management Domain'!$D$34</definedName>
    <definedName name="input_certificate_authority_name">'Configure Management Domain'!$D$68</definedName>
    <definedName name="input_child_dns_zone">Arkham!$C$11</definedName>
    <definedName name="input_cluster_az1_host_overlay_cidr">'Deploy Cluster'!$D$250</definedName>
    <definedName name="input_cluster_az1_host_overlay_gateway_ip">'Deploy Cluster'!$D$253</definedName>
    <definedName name="input_cluster_az1_host_overlay_network_pool_description">'Deploy Cluster'!$D$249</definedName>
    <definedName name="input_cluster_az1_host_overlay_network_pool_name">'Deploy Cluster'!$D$248</definedName>
    <definedName name="input_cluster_az1_host_overlay_network_profile_name">'Deploy Cluster'!$D$256</definedName>
    <definedName name="input_cluster_az1_host_overlay_pool_end_ip">'Deploy Cluster'!$D$252</definedName>
    <definedName name="input_cluster_az1_host_overlay_pool_start_ip">'Deploy Cluster'!$D$251</definedName>
    <definedName name="input_cluster_az1_host_overlay_uplink_profile_name">'Deploy Cluster'!$D$260</definedName>
    <definedName name="input_cluster_az1_host_overlay_vlan">'Deploy Cluster'!$D$245</definedName>
    <definedName name="input_cluster_az1_host1_fqdn">'Deploy Cluster'!$D$96</definedName>
    <definedName name="input_cluster_az1_host1_mgmt_ip">'Deploy Cluster'!$D$29</definedName>
    <definedName name="input_cluster_az1_host10_fqdn">'Deploy Cluster'!$D$105</definedName>
    <definedName name="input_cluster_az1_host10_mgmt_ip">'Deploy Cluster'!$D$38</definedName>
    <definedName name="input_cluster_az1_host11_fqdn">'Deploy Cluster'!$D$106</definedName>
    <definedName name="input_cluster_az1_host11_mgmt_ip">'Deploy Cluster'!$D$39</definedName>
    <definedName name="input_cluster_az1_host12_fqdn">'Deploy Cluster'!$D$107</definedName>
    <definedName name="input_cluster_az1_host12_mgmt_ip">'Deploy Cluster'!$D$40</definedName>
    <definedName name="input_cluster_az1_host13_fqdn">'Deploy Cluster'!$D$108</definedName>
    <definedName name="input_cluster_az1_host13_mgmt_ip">'Deploy Cluster'!$D$41</definedName>
    <definedName name="input_cluster_az1_host14_fqdn">'Deploy Cluster'!$D$109</definedName>
    <definedName name="input_cluster_az1_host14_mgmt_ip">'Deploy Cluster'!$D$42</definedName>
    <definedName name="input_cluster_az1_host15_fqdn">'Deploy Cluster'!$D$110</definedName>
    <definedName name="input_cluster_az1_host15_mgmt_ip">'Deploy Cluster'!$D$43</definedName>
    <definedName name="input_cluster_az1_host16_fqdn">'Deploy Cluster'!$D$111</definedName>
    <definedName name="input_cluster_az1_host16_mgmt_ip">'Deploy Cluster'!$D$44</definedName>
    <definedName name="input_cluster_az1_host2_fqdn">'Deploy Cluster'!$D$97</definedName>
    <definedName name="input_cluster_az1_host2_mgmt_ip">'Deploy Cluster'!$D$30</definedName>
    <definedName name="input_cluster_az1_host3_fqdn">'Deploy Cluster'!$D$98</definedName>
    <definedName name="input_cluster_az1_host3_mgmt_ip">'Deploy Cluster'!$D$31</definedName>
    <definedName name="input_cluster_az1_host4_fqdn">'Deploy Cluster'!$D$99</definedName>
    <definedName name="input_cluster_az1_host4_mgmt_ip">'Deploy Cluster'!$D$32</definedName>
    <definedName name="input_cluster_az1_host5_fqdn">'Deploy Cluster'!$D$100</definedName>
    <definedName name="input_cluster_az1_host5_mgmt_ip">'Deploy Cluster'!$D$33</definedName>
    <definedName name="input_cluster_az1_host6_fqdn">'Deploy Cluster'!$D$101</definedName>
    <definedName name="input_cluster_az1_host6_mgmt_ip">'Deploy Cluster'!$D$34</definedName>
    <definedName name="input_cluster_az1_host7_fqdn">'Deploy Cluster'!$D$102</definedName>
    <definedName name="input_cluster_az1_host7_mgmt_ip">'Deploy Cluster'!$D$35</definedName>
    <definedName name="input_cluster_az1_host8_fqdn">'Deploy Cluster'!$D$103</definedName>
    <definedName name="input_cluster_az1_host8_mgmt_ip">'Deploy Cluster'!$D$36</definedName>
    <definedName name="input_cluster_az1_host9_fqdn">'Deploy Cluster'!$D$104</definedName>
    <definedName name="input_cluster_az1_host9_mgmt_ip">'Deploy Cluster'!$D$37</definedName>
    <definedName name="input_cluster_az1_mgmt_cidr">'Deploy Cluster'!$D$26</definedName>
    <definedName name="input_cluster_az1_mgmt_gateway_ip">'Deploy Cluster'!$D$25</definedName>
    <definedName name="input_cluster_az1_mgmt_mtu">'Deploy Cluster'!$D$27</definedName>
    <definedName name="input_cluster_az1_mgmt_pg">'Deploy Cluster'!$D$214</definedName>
    <definedName name="input_cluster_az1_mgmt_vlan">'Deploy Cluster'!$D$24</definedName>
    <definedName name="input_cluster_az1_mgmt_vm_pg">'Deploy Cluster'!$D$219</definedName>
    <definedName name="input_cluster_az1_nsx_uplink_count">'Deploy Cluster'!$D$257</definedName>
    <definedName name="input_cluster_az1_nsx_uplink1">'Deploy Cluster'!$D$258</definedName>
    <definedName name="input_cluster_az1_nsx_uplink1_active">'Deploy Cluster'!$D$262</definedName>
    <definedName name="input_cluster_az1_nsx_uplink2">'Deploy Cluster'!$D$259</definedName>
    <definedName name="input_cluster_az1_nsx_uplink2_active">'Deploy Cluster'!$D$263</definedName>
    <definedName name="input_cluster_az1_pool_name">'Deploy Cluster'!$D$48</definedName>
    <definedName name="input_cluster_az1_principal_storage_gateway_cidr">'Deploy Cluster'!$D$65</definedName>
    <definedName name="input_cluster_az1_principal_storage_mtu">'Deploy Cluster'!$D$63</definedName>
    <definedName name="input_cluster_az1_principal_storage_pg">'Deploy Cluster'!$D$229</definedName>
    <definedName name="input_cluster_az1_principal_storage_pool_end_ip">'Deploy Cluster'!$D$68</definedName>
    <definedName name="input_cluster_az1_principal_storage_pool_start_ip">'Deploy Cluster'!$D$67</definedName>
    <definedName name="input_cluster_az1_principal_storage_vlan">'Deploy Cluster'!$D$62</definedName>
    <definedName name="input_cluster_az1_secondary_storage_gateway_cidr">'Deploy Cluster'!$D$76</definedName>
    <definedName name="input_cluster_az1_secondary_storage_mtu">'Deploy Cluster'!$D$74</definedName>
    <definedName name="input_cluster_az1_secondary_storage_pool_end_ip">'Deploy Cluster'!$D$79</definedName>
    <definedName name="input_cluster_az1_secondary_storage_pool_start_ip">'Deploy Cluster'!$D$78</definedName>
    <definedName name="input_cluster_az1_secondary_storage_vlan">'Deploy Cluster'!$D$73</definedName>
    <definedName name="input_cluster_az1_storage_cluster_gateway_cidr">'Deploy Cluster'!$D$87</definedName>
    <definedName name="input_cluster_az1_storage_cluster_mtu">'Deploy Cluster'!$D$85</definedName>
    <definedName name="input_cluster_az1_storage_cluster_pool_end_ip">'Deploy Cluster'!$D$90</definedName>
    <definedName name="input_cluster_az1_storage_cluster_pool_start_ip">'Deploy Cluster'!$D$89</definedName>
    <definedName name="input_cluster_az1_storage_cluster_vlan">'Deploy Cluster'!$D$84</definedName>
    <definedName name="input_cluster_az1_vmotion_gateway_cidr">'Deploy Cluster'!$D$54</definedName>
    <definedName name="input_cluster_az1_vmotion_mtu">'Deploy Cluster'!$D$52</definedName>
    <definedName name="input_cluster_az1_vmotion_pg">'Deploy Cluster'!$D$224</definedName>
    <definedName name="input_cluster_az1_vmotion_pool_end_ip">'Deploy Cluster'!$D$57</definedName>
    <definedName name="input_cluster_az1_vmotion_pool_start_ip">'Deploy Cluster'!$D$56</definedName>
    <definedName name="input_cluster_az1_vmotion_vlan">'Deploy Cluster'!$D$51</definedName>
    <definedName name="input_cluster_az1_vsan_storage_client_pg">'Deploy Cluster'!$D$234</definedName>
    <definedName name="input_cluster_az2_host_overlay_cidr">'Deploy Cluster'!$D$424</definedName>
    <definedName name="input_cluster_az2_host_overlay_gateway_ip">'Deploy Cluster'!$D$425</definedName>
    <definedName name="input_cluster_az2_host_overlay_gateway_mtu">'Deploy Cluster'!$D$426</definedName>
    <definedName name="input_cluster_az2_host_overlay_network_pool_name">'Deploy Cluster'!$D$421</definedName>
    <definedName name="input_cluster_az2_host_overlay_network_profile_name">'Deploy Cluster'!$D$419</definedName>
    <definedName name="input_cluster_az2_host_overlay_pool_end_ip">'Deploy Cluster'!$D$428</definedName>
    <definedName name="input_cluster_az2_host_overlay_pool_start_ip">'Deploy Cluster'!$D$427</definedName>
    <definedName name="input_cluster_az2_host_overlay_uplink_profile_name">'Deploy Cluster'!$D$422</definedName>
    <definedName name="input_cluster_az2_host_overlay_vlan">'Deploy Cluster'!$D$423</definedName>
    <definedName name="input_cluster_az2_host1_fqdn">'Deploy Cluster'!$D$331</definedName>
    <definedName name="input_cluster_az2_host1_mgmt_ip">'Deploy Cluster'!$D$275</definedName>
    <definedName name="input_cluster_az2_host10_fqdn">'Deploy Cluster'!$D$340</definedName>
    <definedName name="input_cluster_az2_host10_mgmt_ip">'Deploy Cluster'!$D$284</definedName>
    <definedName name="input_cluster_az2_host11_fqdn">'Deploy Cluster'!$D$341</definedName>
    <definedName name="input_cluster_az2_host11_mgmt_ip">'Deploy Cluster'!$D$285</definedName>
    <definedName name="input_cluster_az2_host12_fqdn">'Deploy Cluster'!$D$342</definedName>
    <definedName name="input_cluster_az2_host12_mgmt_ip">'Deploy Cluster'!$D$286</definedName>
    <definedName name="input_cluster_az2_host13_fqdn">'Deploy Cluster'!$D$343</definedName>
    <definedName name="input_cluster_az2_host13_mgmt_ip">'Deploy Cluster'!$D$287</definedName>
    <definedName name="input_cluster_az2_host14_fqdn">'Deploy Cluster'!$D$344</definedName>
    <definedName name="input_cluster_az2_host14_mgmt_ip">'Deploy Cluster'!$D$288</definedName>
    <definedName name="input_cluster_az2_host15_fqdn">'Deploy Cluster'!$D$345</definedName>
    <definedName name="input_cluster_az2_host15_mgmt_ip">'Deploy Cluster'!$D$289</definedName>
    <definedName name="input_cluster_az2_host16_fqdn">'Deploy Cluster'!$D$346</definedName>
    <definedName name="input_cluster_az2_host16_mgmt_ip">'Deploy Cluster'!$D$290</definedName>
    <definedName name="input_cluster_az2_host2_fqdn">'Deploy Cluster'!$D$332</definedName>
    <definedName name="input_cluster_az2_host2_mgmt_ip">'Deploy Cluster'!$D$276</definedName>
    <definedName name="input_cluster_az2_host3_fqdn">'Deploy Cluster'!$D$333</definedName>
    <definedName name="input_cluster_az2_host3_mgmt_ip">'Deploy Cluster'!$D$277</definedName>
    <definedName name="input_cluster_az2_host4_fqdn">'Deploy Cluster'!$D$334</definedName>
    <definedName name="input_cluster_az2_host4_mgmt_ip">'Deploy Cluster'!$D$278</definedName>
    <definedName name="input_cluster_az2_host5_fqdn">'Deploy Cluster'!$D$335</definedName>
    <definedName name="input_cluster_az2_host5_mgmt_ip">'Deploy Cluster'!$D$279</definedName>
    <definedName name="input_cluster_az2_host6_fqdn">'Deploy Cluster'!$D$336</definedName>
    <definedName name="input_cluster_az2_host6_mgmt_ip">'Deploy Cluster'!$D$280</definedName>
    <definedName name="input_cluster_az2_host7_fqdn">'Deploy Cluster'!$D$337</definedName>
    <definedName name="input_cluster_az2_host7_mgmt_ip">'Deploy Cluster'!$D$281</definedName>
    <definedName name="input_cluster_az2_host8_fqdn">'Deploy Cluster'!$D$338</definedName>
    <definedName name="input_cluster_az2_host8_mgmt_ip">'Deploy Cluster'!$D$282</definedName>
    <definedName name="input_cluster_az2_host9_fqdn">'Deploy Cluster'!$D$339</definedName>
    <definedName name="input_cluster_az2_host9_mgmt_ip">'Deploy Cluster'!$D$283</definedName>
    <definedName name="input_cluster_az2_mgmt_cidr">'Deploy Cluster'!$D$272</definedName>
    <definedName name="input_cluster_az2_mgmt_gateway_ip">'Deploy Cluster'!$D$271</definedName>
    <definedName name="input_cluster_az2_mgmt_mtu">'Deploy Cluster'!$D$273</definedName>
    <definedName name="input_cluster_az2_mgmt_vlan">'Deploy Cluster'!$D$270</definedName>
    <definedName name="input_cluster_az2_pool_name">'Deploy Cluster'!$D$295</definedName>
    <definedName name="input_cluster_az2_principal_storage_gateway_ip">'Deploy Cluster'!$D$309</definedName>
    <definedName name="input_cluster_az2_principal_storage_mask">'Deploy Cluster'!$D$308</definedName>
    <definedName name="input_cluster_az2_principal_storage_mtu">'Deploy Cluster'!$D$306</definedName>
    <definedName name="input_cluster_az2_principal_storage_network">'Deploy Cluster'!$D$307</definedName>
    <definedName name="input_cluster_az2_principal_storage_pool_end_ip">'Deploy Cluster'!$D$310</definedName>
    <definedName name="input_cluster_az2_principal_storage_pool_start_ip">'Deploy Cluster'!$D$311</definedName>
    <definedName name="input_cluster_az2_principal_storage_vlan">'Deploy Cluster'!$D$305</definedName>
    <definedName name="input_cluster_az2_secondary_storage_gateway_ip">'Deploy Cluster'!$D$317</definedName>
    <definedName name="input_cluster_az2_secondary_storage_mask">'Deploy Cluster'!$D$316</definedName>
    <definedName name="input_cluster_az2_secondary_storage_mtu">'Deploy Cluster'!$D$314</definedName>
    <definedName name="input_cluster_az2_secondary_storage_network">'Deploy Cluster'!$D$315</definedName>
    <definedName name="input_cluster_az2_secondary_storage_pool_end_ip">'Deploy Cluster'!$D$319</definedName>
    <definedName name="input_cluster_az2_secondary_storage_pool_start_ip">'Deploy Cluster'!$D$318</definedName>
    <definedName name="input_cluster_az2_secondary_storage_vlan">'Deploy Cluster'!$D$313</definedName>
    <definedName name="input_cluster_az2_storage_cluster_gateway_ip">'Deploy Cluster'!$D$325</definedName>
    <definedName name="input_cluster_az2_storage_cluster_mask">'Deploy Cluster'!$D$324</definedName>
    <definedName name="input_cluster_az2_storage_cluster_mtu">'Deploy Cluster'!$D$322</definedName>
    <definedName name="input_cluster_az2_storage_cluster_network">'Deploy Cluster'!$D$323</definedName>
    <definedName name="input_cluster_az2_storage_cluster_pool_end_ip">'Deploy Cluster'!$D$327</definedName>
    <definedName name="input_cluster_az2_storage_cluster_pool_start_ip">'Deploy Cluster'!$D$326</definedName>
    <definedName name="input_cluster_az2_storage_cluster_vlan">'Deploy Cluster'!$D$321</definedName>
    <definedName name="input_cluster_az2_tor1_peer_asn">'Deploy Cluster'!$D$446</definedName>
    <definedName name="input_cluster_az2_tor1_peer_ip">'Deploy Cluster'!$D$445</definedName>
    <definedName name="input_cluster_az2_tor2_peer_asn">'Deploy Cluster'!$D$453</definedName>
    <definedName name="input_cluster_az2_tor2_peer_ip">'Deploy Cluster'!$D$450</definedName>
    <definedName name="input_cluster_az2_vmotion_gateway_ip">'Deploy Cluster'!$D$301</definedName>
    <definedName name="input_cluster_az2_vmotion_mask">'Deploy Cluster'!$D$300</definedName>
    <definedName name="input_cluster_az2_vmotion_mtu">'Deploy Cluster'!$D$298</definedName>
    <definedName name="input_cluster_az2_vmotion_network">'Deploy Cluster'!$D$299</definedName>
    <definedName name="input_cluster_az2_vmotion_pool_end_ip">'Deploy Cluster'!$D$303</definedName>
    <definedName name="input_cluster_az2_vmotion_pool_start_ip">'Deploy Cluster'!$D$302</definedName>
    <definedName name="input_cluster_az2_vmotion_vlan">'Deploy Cluster'!$D$297</definedName>
    <definedName name="input_cluster_cluster_sddc_id">'Deploy Cluster'!$D$432</definedName>
    <definedName name="input_cluster_datacenter">'Deploy Cluster'!$D$384</definedName>
    <definedName name="input_cluster_domain_name">'Deploy Cluster'!$D$19</definedName>
    <definedName name="input_cluster_esx_root_password">'Deploy Cluster'!$D$118</definedName>
    <definedName name="input_cluster_esx_root_username">'Deploy Cluster'!$D$117</definedName>
    <definedName name="input_cluster_host_overlay_transportzone">'Deploy Cluster'!$D$244</definedName>
    <definedName name="input_cluster_image_name">'Deploy Cluster'!$D$130</definedName>
    <definedName name="input_cluster_name">'Deploy Cluster'!$D$125</definedName>
    <definedName name="input_cluster_nfs_datastore_name">'Deploy Cluster'!$D$148</definedName>
    <definedName name="input_cluster_nfs_server_address">'Deploy Cluster'!$D$150</definedName>
    <definedName name="input_cluster_nfs_share_path">'Deploy Cluster'!$D$149</definedName>
    <definedName name="input_cluster_nsx_vlan_transport_zone_name">'Deploy Cluster'!$D$254</definedName>
    <definedName name="input_cluster_nsxt_vip_fqdn">'Deploy Cluster'!$D$437</definedName>
    <definedName name="input_cluster_storage_cluster_name">'Deploy Cluster'!$D$142</definedName>
    <definedName name="input_cluster_vc_fqdn">'Deploy Cluster'!$D$383</definedName>
    <definedName name="input_cluster_vds01_lag_name">'Deploy Cluster'!$D$184</definedName>
    <definedName name="input_cluster_vds01_mtu">'Deploy Cluster'!$D$182</definedName>
    <definedName name="input_cluster_vds01_name">'Deploy Cluster'!$D$181</definedName>
    <definedName name="input_cluster_vds01_pnics">'Deploy Cluster'!$D$189</definedName>
    <definedName name="input_cluster_vds01_uplink_count">'Deploy Cluster'!$D$188</definedName>
    <definedName name="input_cluster_vds02_lag_name">'Deploy Cluster'!$D$195</definedName>
    <definedName name="input_cluster_vds02_mtu">'Deploy Cluster'!$D$193</definedName>
    <definedName name="input_cluster_vds02_name">'Deploy Cluster'!$D$192</definedName>
    <definedName name="input_cluster_vds02_pnics">'Deploy Cluster'!$D$200</definedName>
    <definedName name="input_cluster_vds02_uplink_count">'Deploy Cluster'!$D$199</definedName>
    <definedName name="input_cluster_vds03_lag_name">'Deploy Cluster'!$D$206</definedName>
    <definedName name="input_cluster_vds03_mtu">'Deploy Cluster'!$D$204</definedName>
    <definedName name="input_cluster_vds03_name">'Deploy Cluster'!$D$203</definedName>
    <definedName name="input_cluster_vds03_pnics">'Deploy Cluster'!$D$211</definedName>
    <definedName name="input_cluster_vds03_uplink_count">'Deploy Cluster'!$D$210</definedName>
    <definedName name="input_cluster_vmfs_datastore_name">'Deploy Cluster'!$D$147</definedName>
    <definedName name="input_cluster_vsan_datastore">'Deploy Cluster'!$D$143</definedName>
    <definedName name="input_cluster_vsan_dit_rekey_custom_interval">'Deploy Cluster'!$D$141</definedName>
    <definedName name="input_cluster_vsan_dit_rekey_default_interval">'Deploy Cluster'!$D$140</definedName>
    <definedName name="input_cluster_witness_cluster">'Deploy Cluster'!$D$366</definedName>
    <definedName name="input_cluster_witness_dns1_ip">'Deploy Cluster'!$D$377</definedName>
    <definedName name="input_cluster_witness_dns2_ip">'Deploy Cluster'!$D$378</definedName>
    <definedName name="input_cluster_witness_fqdn">'Deploy Cluster'!$D$385</definedName>
    <definedName name="input_cluster_witness_hostname">'Deploy Cluster'!$D$365</definedName>
    <definedName name="input_cluster_witness_ip">'Deploy Cluster'!$D$372</definedName>
    <definedName name="input_cluster_witness_mgmt_pg">'Deploy Cluster'!$D$369</definedName>
    <definedName name="input_cluster_witness_ntp1_server">'Deploy Cluster'!$D$379</definedName>
    <definedName name="input_cluster_witness_ntp2_server">'Deploy Cluster'!$D$380</definedName>
    <definedName name="input_cluster_witness_vm_folder">'Deploy Cluster'!$D$367</definedName>
    <definedName name="input_cluster_witness_vsan_datastore">'Deploy Cluster'!$D$368</definedName>
    <definedName name="input_cluster_witness_zone_vc_fqdn">'Deploy Cluster'!$D$364</definedName>
    <definedName name="input_cluster_witnessaz_mask">'Deploy Cluster'!$D$373</definedName>
    <definedName name="input_cluster_witnessaz_mgmt_cidr">'Deploy Cluster'!$D$358</definedName>
    <definedName name="input_cluster_witnessaz_mgmt_gateway_ip">'Deploy Cluster'!$D$357</definedName>
    <definedName name="input_cluster_witnessaz_mgmt_mtu">'Deploy Cluster'!$D$359</definedName>
    <definedName name="input_cluster_witnessaz_mgmt_vlan">'Deploy Cluster'!$D$356</definedName>
    <definedName name="input_cr_clean_room">'Cyber Recovery'!$D$126</definedName>
    <definedName name="input_cr_console_cloud">'Cyber Recovery'!$D$110</definedName>
    <definedName name="input_cr_mgmt_protect_vc_domain">'Cyber Recovery'!$D$34</definedName>
    <definedName name="input_cr_mgmt_protect_vc_fqdn">'Cyber Recovery'!$D$33</definedName>
    <definedName name="input_cr_wld_pnr_fqdn">'Cyber Recovery'!$D$17</definedName>
    <definedName name="input_cr_wld_pnr_ip">'Cyber Recovery'!$D$27</definedName>
    <definedName name="input_cr_wld_protect_vc_replication_user">'Cyber Recovery'!$D$43</definedName>
    <definedName name="input_cr_wld_vrms_pg">'Cyber Recovery'!$D$62</definedName>
    <definedName name="input_domain_controller_hostname">Arkham!$C$15</definedName>
    <definedName name="input_esxi_root_password">'Deploy Management Domain'!$L$86</definedName>
    <definedName name="input_flt_auto_node_pool_end_ip">'Deploy Management Domain'!$L$128</definedName>
    <definedName name="input_flt_auto_node_pool_start_ip">'Deploy Management Domain'!$L$127</definedName>
    <definedName name="input_flt_auto_sr_fqdn">'Deploy Management Domain'!$L$188</definedName>
    <definedName name="input_flt_def_administrator_vsphere_local_password">'Deploy Fleet Management Day-N'!$D$18</definedName>
    <definedName name="input_flt_def_administrator_vsphere_local_username">'Deploy Fleet Management Day-N'!$D$17</definedName>
    <definedName name="input_flt_def_auto_admin_password">'Deploy Fleet Management Day-N'!$D$49</definedName>
    <definedName name="input_flt_def_auto_cluster_cidr">'Deploy Fleet Management Day-N'!$D$50</definedName>
    <definedName name="input_flt_def_auto_node_pool_end_ip">'Deploy Fleet Management Day-N'!$D$30</definedName>
    <definedName name="input_flt_def_auto_node_pool_start_ip">'Deploy Fleet Management Day-N'!$D$29</definedName>
    <definedName name="input_flt_def_auto_node_prefix">'Deploy Fleet Management Day-N'!$D$70</definedName>
    <definedName name="input_flt_def_auto_sr_fqdn">'Deploy Fleet Management Day-N'!$D$48</definedName>
    <definedName name="input_flt_def_auto_sr_ip">'Deploy Fleet Management Day-N'!$D$59</definedName>
    <definedName name="input_flt_def_sddc_mgr_fqdn">'Deploy Fleet Management Day-N'!$D$16</definedName>
    <definedName name="input_flt_def_vcf_operations_admin_password">'Deploy Fleet Management Day-N'!$D$35</definedName>
    <definedName name="input_flt_def_vcf_operations_az1_vcf_mgmt_gateway_cidr">'Deploy Fleet Management Day-N'!$D$27</definedName>
    <definedName name="input_flt_def_vcf_operations_az1_vcf_mgmt_pg">'Deploy Fleet Management Day-N'!$D$26</definedName>
    <definedName name="input_flt_def_vcf_operations_data_root_password">'Deploy Fleet Management Day-N'!$D$38</definedName>
    <definedName name="input_flt_def_vcf_operations_lc_fqdn">'Deploy Fleet Management Day-N'!$D$45</definedName>
    <definedName name="input_flt_def_vcf_operations_lc_ip">'Deploy Fleet Management Day-N'!$D$57</definedName>
    <definedName name="input_flt_def_vcf_operations_nodea_fqdn">'Deploy Fleet Management Day-N'!$D$32</definedName>
    <definedName name="input_flt_def_vcf_operations_nodea_ip">'Deploy Fleet Management Day-N'!$D$52</definedName>
    <definedName name="input_flt_def_vcf_operations_nodeb_fqdn">'Deploy Fleet Management Day-N'!$D$33</definedName>
    <definedName name="input_flt_def_vcf_operations_nodeb_ip">'Deploy Fleet Management Day-N'!$D$53</definedName>
    <definedName name="input_flt_def_vcf_operations_nodec_fqdn">'Deploy Fleet Management Day-N'!$D$34</definedName>
    <definedName name="input_flt_def_vcf_operations_nodec_ip">'Deploy Fleet Management Day-N'!$D$54</definedName>
    <definedName name="input_flt_def_vcf_operations_proxy_az1_vcf_mgmt_gateway_cidr">'Deploy Fleet Management Day-N'!$D$68</definedName>
    <definedName name="input_flt_def_vcf_operations_proxy_az1_vcf_mgmt_pg">'Deploy Fleet Management Day-N'!$D$67</definedName>
    <definedName name="input_flt_def_vcf_operations_proxy_fqdn">'Deploy Fleet Management Day-N'!$D$42</definedName>
    <definedName name="input_flt_def_vcf_operations_proxy_ip">'Deploy Fleet Management Day-N'!$D$56</definedName>
    <definedName name="input_flt_def_vcf_operations_proxy_root_password">'Deploy Fleet Management Day-N'!$D$43</definedName>
    <definedName name="input_flt_def_vcf_operations_replica_root_password">'Deploy Fleet Management Day-N'!$D$37</definedName>
    <definedName name="input_flt_def_vcf_operations_root_password">'Deploy Fleet Management Day-N'!$D$36</definedName>
    <definedName name="input_flt_def_vcf_operations_virtual_fqdn">'Deploy Fleet Management Day-N'!$D$40</definedName>
    <definedName name="input_flt_def_vcf_operations_virtual_ip">'Deploy Fleet Management Day-N'!$D$55</definedName>
    <definedName name="input_flt_def_vra_virtual_fqdn">'Deploy Fleet Management Day-N'!$D$47</definedName>
    <definedName name="input_flt_def_vra_virtual_ip">'Deploy Fleet Management Day-N'!$D$58</definedName>
    <definedName name="input_flt_fc_fqdn">'Deploy Management Domain'!$L$177</definedName>
    <definedName name="input_flt_fc_ip">'Deploy Management Domain'!$L$364</definedName>
    <definedName name="input_flt_ic_fqdn">'Deploy Management Domain'!$L$178</definedName>
    <definedName name="input_flt_ic_ip">'Deploy Management Domain'!$L$365</definedName>
    <definedName name="input_flt_lc_fqdn">'Deploy Management Domain'!$L$175</definedName>
    <definedName name="input_flt_lc_ip">'Deploy Management Domain'!$L$368</definedName>
    <definedName name="input_flt_logs_admin_password">'Deploy Fleet Management Day-N'!$D$141</definedName>
    <definedName name="input_flt_logs_admin_username">'Deploy Fleet Management Day-N'!$D$140</definedName>
    <definedName name="input_flt_logs_vip_fqdn">'Deploy Fleet Management Day-N'!$D$142</definedName>
    <definedName name="input_flt_logs_vip_ip">'Deploy Fleet Management Day-N'!$D$147</definedName>
    <definedName name="input_flt_net_admin_password">'Deploy Fleet Management Day-N'!$D$155</definedName>
    <definedName name="input_flt_net_nodea_fqdn">'Deploy Fleet Management Day-N'!$D$166</definedName>
    <definedName name="input_flt_net_nodea_gateway_cidr">'Deploy Fleet Management Day-N'!$D$159</definedName>
    <definedName name="input_flt_net_nodea_ip">'Deploy Fleet Management Day-N'!$D$158</definedName>
    <definedName name="input_flt_net_nodea_pg">'Deploy Fleet Management Day-N'!$D$157</definedName>
    <definedName name="input_flt_net_prxy_fqdn">'Deploy Fleet Management Day-N'!$D$169</definedName>
    <definedName name="input_flt_net_prxy_gateway_cidr">'Deploy Fleet Management Day-N'!$D$163</definedName>
    <definedName name="input_flt_net_prxy_ip">'Deploy Fleet Management Day-N'!$D$162</definedName>
    <definedName name="input_flt_net_prxy_pg">'Deploy Fleet Management Day-N'!$D$161</definedName>
    <definedName name="input_flt_sr_fqdn">'Deploy Management Domain'!$L$180</definedName>
    <definedName name="input_flt_sr_ip">'Deploy Management Domain'!$L$367</definedName>
    <definedName name="input_flt_vcfms_node_pool_end_ip">'Deploy Management Domain'!$L$123</definedName>
    <definedName name="input_flt_vcfms_node_pool_start_ip">'Deploy Management Domain'!$L$122</definedName>
    <definedName name="input_flt_vidb_base_dn">'Deploy Fleet Management Day-N'!$D$115</definedName>
    <definedName name="input_flt_vidb_bind_password">'Deploy Fleet Management Day-N'!$D$117</definedName>
    <definedName name="input_flt_vidb_bind_username">'Deploy Fleet Management Day-N'!$D$116</definedName>
    <definedName name="input_flt_vidb_directory_name">'Deploy Fleet Management Day-N'!$D$105</definedName>
    <definedName name="input_flt_vidb_distinguished_name">'Deploy Fleet Management Day-N'!$D$123</definedName>
    <definedName name="input_flt_vidb_employeeID">'Deploy Fleet Management Day-N'!$D$124</definedName>
    <definedName name="input_flt_vidb_encrypted_cert">'Deploy Fleet Management Day-N'!$D$109</definedName>
    <definedName name="input_flt_vidb_first_name">'Deploy Fleet Management Day-N'!$D$121</definedName>
    <definedName name="input_flt_vidb_group_base_dn">'Deploy Fleet Management Day-N'!$D$128</definedName>
    <definedName name="input_flt_vidb_last_name">'Deploy Fleet Management Day-N'!$D$122</definedName>
    <definedName name="input_flt_vidb_mail">'Deploy Fleet Management Day-N'!$D$125</definedName>
    <definedName name="input_flt_vidb_primary_domain_controller">'Deploy Fleet Management Day-N'!$D$110</definedName>
    <definedName name="input_flt_vidb_primary_domain_controller_port">'Deploy Fleet Management Day-N'!$D$111</definedName>
    <definedName name="input_flt_vidb_secondary_domain_controller">'Deploy Fleet Management Day-N'!$D$112</definedName>
    <definedName name="input_flt_vidb_secondary_domain_controller_port">'Deploy Fleet Management Day-N'!$D$113</definedName>
    <definedName name="input_flt_vidb_user_base_dn">'Deploy Fleet Management Day-N'!$D$130</definedName>
    <definedName name="input_flt_vidb_user_name">'Deploy Fleet Management Day-N'!$D$120</definedName>
    <definedName name="input_flt_vidb_user_principal_name">'Deploy Fleet Management Day-N'!$D$126</definedName>
    <definedName name="input_flt_vidb_vip_fqdn">'Deploy Management Domain'!$L$179</definedName>
    <definedName name="input_flt_vidb_vip_ip">'Deploy Management Domain'!$L$366</definedName>
    <definedName name="input_mgmt_avilb_cluster_name">'Configure Management Domain'!$D$291</definedName>
    <definedName name="input_mgmt_avilb_cluster_version">'Configure Management Domain'!$D$279</definedName>
    <definedName name="input_mgmt_avilb_fqdn">'Configure Management Domain'!$D$290</definedName>
    <definedName name="input_mgmt_avilb_ip">'Configure Management Domain'!$D$289</definedName>
    <definedName name="input_mgmt_avilb_mgra_ip">'Configure Management Domain'!$D$286</definedName>
    <definedName name="input_mgmt_avilb_mgrb_ip">'Configure Management Domain'!$D$287</definedName>
    <definedName name="input_mgmt_avilb_mgrc_ip">'Configure Management Domain'!$D$288</definedName>
    <definedName name="input_mgmt_avilb_root_password">'Configure Management Domain'!$D$283</definedName>
    <definedName name="input_mgmt_avilb_vcfops_password">'Configure Management Domain'!$D$284</definedName>
    <definedName name="input_mgmt_az1_dtgw_gateway_cidr">'Configure Management Domain'!$D$192</definedName>
    <definedName name="input_mgmt_az1_dtgw_vlan">'Configure Management Domain'!$D$191</definedName>
    <definedName name="input_mgmt_az1_edge_overlay_cidr">'Configure Management Domain'!$D$124</definedName>
    <definedName name="input_mgmt_az1_edge_overlay_gateway_ip">'Configure Management Domain'!$D$125</definedName>
    <definedName name="input_mgmt_az1_edge_overlay_mask">'Configure Management Domain'!$D$126</definedName>
    <definedName name="input_mgmt_az1_edge_overlay_mtu">'Configure Management Domain'!$D$238</definedName>
    <definedName name="input_mgmt_az1_edge_overlay_network_pool_name">'Configure Management Domain'!$D$119</definedName>
    <definedName name="input_mgmt_az1_edge_overlay_pool_end_ip">'Configure Management Domain'!$D$121</definedName>
    <definedName name="input_mgmt_az1_edge_overlay_pool_start_ip">'Configure Management Domain'!$D$120</definedName>
    <definedName name="input_mgmt_az1_edge_overlay_vlan">'Configure Management Domain'!$D$116</definedName>
    <definedName name="input_mgmt_az1_en1_edge_overlay_interface_ip_1_ip">'Configure Management Domain'!$D$122</definedName>
    <definedName name="input_mgmt_az1_en1_edge_overlay_interface_ip_2_ip">'Configure Management Domain'!$D$123</definedName>
    <definedName name="input_mgmt_az1_en1_eth0_uplink0">'Configure Management Domain'!$D$112</definedName>
    <definedName name="input_mgmt_az1_en1_eth0_uplink1">'Configure Management Domain'!$D$113</definedName>
    <definedName name="input_mgmt_az1_en1_eth1_uplink0">'Configure Management Domain'!$D$114</definedName>
    <definedName name="input_mgmt_az1_en1_eth1_uplink1">'Configure Management Domain'!$D$115</definedName>
    <definedName name="input_mgmt_az1_en1_fqdn">'Configure Management Domain'!$D$99</definedName>
    <definedName name="input_mgmt_az1_en1_mgmt_cidr">'Configure Management Domain'!$D$107</definedName>
    <definedName name="input_mgmt_az1_en1_uplink01_interface_cidr">'Configure Management Domain'!$D$162</definedName>
    <definedName name="input_mgmt_az1_en1_uplink02_interface_cidr">'Configure Management Domain'!$D$169</definedName>
    <definedName name="input_mgmt_az1_en2_edge_overlay_interface_ip_1_ip">'Configure Management Domain'!$D$147</definedName>
    <definedName name="input_mgmt_az1_en2_edge_overlay_interface_ip_2_ip">'Configure Management Domain'!$D$148</definedName>
    <definedName name="input_mgmt_az1_en2_eth0_uplink0">'Configure Management Domain'!$D$140</definedName>
    <definedName name="input_mgmt_az1_en2_eth0_uplink1">'Configure Management Domain'!$D$141</definedName>
    <definedName name="input_mgmt_az1_en2_eth1_uplink0">'Configure Management Domain'!$D$142</definedName>
    <definedName name="input_mgmt_az1_en2_eth1_uplink1">'Configure Management Domain'!$D$143</definedName>
    <definedName name="input_mgmt_az1_en2_fqdn">'Configure Management Domain'!$D$128</definedName>
    <definedName name="input_mgmt_az1_en2_mgmt_cidr">'Configure Management Domain'!$D$135</definedName>
    <definedName name="input_mgmt_az1_en2_uplink01_interface_cidr">'Configure Management Domain'!$D$177</definedName>
    <definedName name="input_mgmt_az1_en2_uplink02_interface_cidr">'Configure Management Domain'!$D$184</definedName>
    <definedName name="input_mgmt_az1_host_overlay_gateway_cidr">'Deploy Management Domain'!$L$153</definedName>
    <definedName name="input_mgmt_az1_host_overlay_mtu">'Deploy Management Domain'!$L$359</definedName>
    <definedName name="input_mgmt_az1_host_overlay_network_pool_description">Arkham!$Y$7</definedName>
    <definedName name="input_mgmt_az1_host_overlay_network_pool_name">Arkham!$Y$6</definedName>
    <definedName name="input_mgmt_az1_host_overlay_pool_end_ip">'Deploy Management Domain'!$L$156</definedName>
    <definedName name="input_mgmt_az1_host_overlay_pool_start_ip">'Deploy Management Domain'!$L$155</definedName>
    <definedName name="input_mgmt_az1_host_overlay_vlan">'Deploy Management Domain'!$L$152</definedName>
    <definedName name="input_mgmt_az1_host1_fqdn">'Deploy Management Domain'!$L$87</definedName>
    <definedName name="input_mgmt_az1_host1_mgmt_ip">'Deploy Management Domain'!$L$393</definedName>
    <definedName name="input_mgmt_az1_host1_vrms_ip">'Site Protection &amp; DR'!$D$176</definedName>
    <definedName name="input_mgmt_az1_host10_fqdn">'Deploy Management Domain'!$L$96</definedName>
    <definedName name="input_mgmt_az1_host10_mgmt_ip">'Deploy Management Domain'!$L$402</definedName>
    <definedName name="input_mgmt_az1_host10_vrms_ip">'Site Protection &amp; DR'!$D$185</definedName>
    <definedName name="input_mgmt_az1_host11_fqdn">'Deploy Management Domain'!$L$97</definedName>
    <definedName name="input_mgmt_az1_host11_mgmt_ip">'Deploy Management Domain'!$L$403</definedName>
    <definedName name="input_mgmt_az1_host11_vrms_ip">'Site Protection &amp; DR'!$D$186</definedName>
    <definedName name="input_mgmt_az1_host12_fqdn">'Deploy Management Domain'!$L$98</definedName>
    <definedName name="input_mgmt_az1_host12_mgmt_ip">'Deploy Management Domain'!$L$404</definedName>
    <definedName name="input_mgmt_az1_host12_vrms_ip">'Site Protection &amp; DR'!$D$187</definedName>
    <definedName name="input_mgmt_az1_host13_fqdn">'Deploy Management Domain'!$L$99</definedName>
    <definedName name="input_mgmt_az1_host13_mgmt_ip">'Deploy Management Domain'!$L$405</definedName>
    <definedName name="input_mgmt_az1_host13_vrms_ip">'Site Protection &amp; DR'!$D$188</definedName>
    <definedName name="input_mgmt_az1_host14_fqdn">'Deploy Management Domain'!$L$100</definedName>
    <definedName name="input_mgmt_az1_host14_mgmt_ip">'Deploy Management Domain'!$L$406</definedName>
    <definedName name="input_mgmt_az1_host14_vrms_ip">'Site Protection &amp; DR'!$D$189</definedName>
    <definedName name="input_mgmt_az1_host15_fqdn">'Deploy Management Domain'!$L$101</definedName>
    <definedName name="input_mgmt_az1_host15_mgmt_ip">'Deploy Management Domain'!$L$407</definedName>
    <definedName name="input_mgmt_az1_host15_vrms_ip">'Site Protection &amp; DR'!$D$190</definedName>
    <definedName name="input_mgmt_az1_host16_fqdn">'Deploy Management Domain'!$L$102</definedName>
    <definedName name="input_mgmt_az1_host16_mgmt_ip">'Deploy Management Domain'!$L$408</definedName>
    <definedName name="input_mgmt_az1_host16_vrms_ip">'Site Protection &amp; DR'!$D$191</definedName>
    <definedName name="input_mgmt_az1_host2_fqdn">'Deploy Management Domain'!$L$88</definedName>
    <definedName name="input_mgmt_az1_host2_mgmt_ip">'Deploy Management Domain'!$L$394</definedName>
    <definedName name="input_mgmt_az1_host2_vrms_ip">'Site Protection &amp; DR'!$D$177</definedName>
    <definedName name="input_mgmt_az1_host3_fqdn">'Deploy Management Domain'!$L$89</definedName>
    <definedName name="input_mgmt_az1_host3_mgmt_ip">'Deploy Management Domain'!$L$395</definedName>
    <definedName name="input_mgmt_az1_host3_vrms_ip">'Site Protection &amp; DR'!$D$178</definedName>
    <definedName name="input_mgmt_az1_host4_fqdn">'Deploy Management Domain'!$L$90</definedName>
    <definedName name="input_mgmt_az1_host4_mgmt_ip">'Deploy Management Domain'!$L$396</definedName>
    <definedName name="input_mgmt_az1_host4_vrms_ip">'Site Protection &amp; DR'!$D$179</definedName>
    <definedName name="input_mgmt_az1_host5_fqdn">'Deploy Management Domain'!$L$91</definedName>
    <definedName name="input_mgmt_az1_host5_mgmt_ip">'Deploy Management Domain'!$L$397</definedName>
    <definedName name="input_mgmt_az1_host5_vrms_ip">'Site Protection &amp; DR'!$D$180</definedName>
    <definedName name="input_mgmt_az1_host6_fqdn">'Deploy Management Domain'!$L$92</definedName>
    <definedName name="input_mgmt_az1_host6_mgmt_ip">'Deploy Management Domain'!$L$398</definedName>
    <definedName name="input_mgmt_az1_host6_vrms_ip">'Site Protection &amp; DR'!$D$181</definedName>
    <definedName name="input_mgmt_az1_host7_fqdn">'Deploy Management Domain'!$L$93</definedName>
    <definedName name="input_mgmt_az1_host7_mgmt_ip">'Deploy Management Domain'!$L$399</definedName>
    <definedName name="input_mgmt_az1_host7_vrms_ip">'Site Protection &amp; DR'!$D$182</definedName>
    <definedName name="input_mgmt_az1_host8_fqdn">'Deploy Management Domain'!$L$94</definedName>
    <definedName name="input_mgmt_az1_host8_mgmt_ip">'Deploy Management Domain'!$L$400</definedName>
    <definedName name="input_mgmt_az1_host8_vrms_ip">'Site Protection &amp; DR'!$D$183</definedName>
    <definedName name="input_mgmt_az1_host9_fqdn">'Deploy Management Domain'!$L$95</definedName>
    <definedName name="input_mgmt_az1_host9_mgmt_ip">'Deploy Management Domain'!$L$401</definedName>
    <definedName name="input_mgmt_az1_host9_vrms_ip">'Site Protection &amp; DR'!$D$184</definedName>
    <definedName name="input_mgmt_az1_mgmt_gateway_cidr">'Deploy Management Domain'!$L$109</definedName>
    <definedName name="input_mgmt_az1_mgmt_mtu">'Deploy Management Domain'!$L$108</definedName>
    <definedName name="input_mgmt_az1_mgmt_vlan">'Deploy Management Domain'!$L$107</definedName>
    <definedName name="input_mgmt_az1_mgmt_vm_gateway_cidr">'Deploy Management Domain'!$L$114</definedName>
    <definedName name="input_mgmt_az1_mgmt_vm_mtu">'Deploy Management Domain'!$L$113</definedName>
    <definedName name="input_mgmt_az1_mgmt_vm_vlan">'Deploy Management Domain'!$L$112</definedName>
    <definedName name="input_mgmt_az1_rtep_ip_pool_name">'Configure Management Domain'!$D$564</definedName>
    <definedName name="input_mgmt_az1_rtep_overlay_cidr">'Configure Management Domain'!$D$567</definedName>
    <definedName name="input_mgmt_az1_rtep_overlay_gateway_ip">'Configure Management Domain'!$D$568</definedName>
    <definedName name="input_mgmt_az1_rtep_overlay_vlan">'Configure Management Domain'!$D$591</definedName>
    <definedName name="input_mgmt_az1_secondary_storage_gateway_cidr">'Deploy Management Domain'!$L$148</definedName>
    <definedName name="input_mgmt_az1_secondary_storage_mtu">'Deploy Management Domain'!$L$147</definedName>
    <definedName name="input_mgmt_az1_secondary_storage_pool_end_ip">'Deploy Management Domain'!$L$150</definedName>
    <definedName name="input_mgmt_az1_secondary_storage_pool_start_ip">'Deploy Management Domain'!$L$149</definedName>
    <definedName name="input_mgmt_az1_secondary_storage_vlan">'Deploy Management Domain'!$L$146</definedName>
    <definedName name="input_mgmt_az1_tor1_peer_asn">'Configure Management Domain'!$D$166</definedName>
    <definedName name="input_mgmt_az1_tor1_peer_bgp_password">'Configure Management Domain'!$D$167</definedName>
    <definedName name="input_mgmt_az1_tor1_peer_ip">'Configure Management Domain'!$D$163</definedName>
    <definedName name="input_mgmt_az1_tor2_peer_asn">'Configure Management Domain'!$D$173</definedName>
    <definedName name="input_mgmt_az1_tor2_peer_bgp_password">'Configure Management Domain'!$D$174</definedName>
    <definedName name="input_mgmt_az1_tor2_peer_ip">'Configure Management Domain'!$D$170</definedName>
    <definedName name="input_mgmt_az1_uplink01_cidr">'Configure Management Domain'!$D$232</definedName>
    <definedName name="input_mgmt_az1_uplink01_gateway_ip">'Configure Management Domain'!$D$231</definedName>
    <definedName name="input_mgmt_az1_uplink01_mtu">'Configure Management Domain'!$D$164</definedName>
    <definedName name="input_mgmt_az1_uplink01_vlan">'Configure Management Domain'!$D$161</definedName>
    <definedName name="input_mgmt_az1_uplink02_cidr">'Configure Management Domain'!$D$236</definedName>
    <definedName name="input_mgmt_az1_uplink02_gateway_ip">'Configure Management Domain'!$D$235</definedName>
    <definedName name="input_mgmt_az1_uplink02_mtu">'Configure Management Domain'!$D$171</definedName>
    <definedName name="input_mgmt_az1_uplink02_vlan">'Configure Management Domain'!$D$168</definedName>
    <definedName name="input_mgmt_az1_vcf_mgmt_gateway_cidr">'Deploy Management Domain'!$L$119</definedName>
    <definedName name="input_mgmt_az1_vcf_mgmt_gateway_ipv6_cidr">'Deploy Management Domain'!$L$120</definedName>
    <definedName name="input_mgmt_az1_vcf_mgmt_mtu">'Deploy Management Domain'!$L$118</definedName>
    <definedName name="input_mgmt_az1_vcf_mgmt_vlan">'Deploy Management Domain'!$L$117</definedName>
    <definedName name="input_mgmt_az1_vmotion_gateway_cidr">'Deploy Management Domain'!$L$132</definedName>
    <definedName name="input_mgmt_az1_vmotion_mtu">'Deploy Management Domain'!$L$131</definedName>
    <definedName name="input_mgmt_az1_vmotion_pool_end_ip">'Deploy Management Domain'!$L$134</definedName>
    <definedName name="input_mgmt_az1_vmotion_pool_start_ip">'Deploy Management Domain'!$L$133</definedName>
    <definedName name="input_mgmt_az1_vmotion_vlan">'Deploy Management Domain'!$L$130</definedName>
    <definedName name="input_mgmt_az1_vrms_mask">'Site Protection &amp; DR'!$D$172</definedName>
    <definedName name="input_mgmt_az1_vrms_mtu">'Site Protection &amp; DR'!$D$174</definedName>
    <definedName name="input_mgmt_az1_vrms_vlan">'Site Protection &amp; DR'!$D$163</definedName>
    <definedName name="input_mgmt_az1_vsan_gateway_cidr">'Deploy Management Domain'!$L$140</definedName>
    <definedName name="input_mgmt_az1_vsan_mtu">'Deploy Management Domain'!$L$139</definedName>
    <definedName name="input_mgmt_az1_vsan_pool_end_ip">'Deploy Management Domain'!$L$142</definedName>
    <definedName name="input_mgmt_az1_vsan_pool_start_ip">'Deploy Management Domain'!$L$141</definedName>
    <definedName name="input_mgmt_az1_vsan_vlan">'Deploy Management Domain'!$L$138</definedName>
    <definedName name="input_mgmt_az2_host_overlay_cidr">'Configure Management Domain'!$D$440</definedName>
    <definedName name="input_mgmt_az2_host_overlay_gateway_ip">'Configure Management Domain'!$D$439</definedName>
    <definedName name="input_mgmt_az2_host_overlay_mtu">'Configure Management Domain'!$D$441</definedName>
    <definedName name="input_mgmt_az2_host_overlay_network_pool_name">'Configure Management Domain'!$D$436</definedName>
    <definedName name="input_mgmt_az2_host_overlay_network_profile_name">'Configure Management Domain'!$D$434</definedName>
    <definedName name="input_mgmt_az2_host_overlay_pool_end_ip">'Configure Management Domain'!$D$443</definedName>
    <definedName name="input_mgmt_az2_host_overlay_pool_start_ip">'Configure Management Domain'!$D$442</definedName>
    <definedName name="input_mgmt_az2_host_overlay_uplink_profile_name">'Configure Management Domain'!$D$437</definedName>
    <definedName name="input_mgmt_az2_host_overlay_vlan">'Configure Management Domain'!$D$438</definedName>
    <definedName name="input_mgmt_az2_host1_fqdn">'Configure Management Domain'!$D$352</definedName>
    <definedName name="input_mgmt_az2_host1_mgmt_ip">'Configure Management Domain'!$D$303</definedName>
    <definedName name="input_mgmt_az2_host1_sddc_id">'Configure Management Domain'!$D$418</definedName>
    <definedName name="input_mgmt_az2_host1_vrms_ip">'Site Protection &amp; DR'!$D$193</definedName>
    <definedName name="input_mgmt_az2_host10_fqdn">'Configure Management Domain'!$D$361</definedName>
    <definedName name="input_mgmt_az2_host10_mgmt_ip">'Configure Management Domain'!$D$312</definedName>
    <definedName name="input_mgmt_az2_host10_vrms_ip">'Site Protection &amp; DR'!$D$202</definedName>
    <definedName name="input_mgmt_az2_host11_fqdn">'Configure Management Domain'!$D$362</definedName>
    <definedName name="input_mgmt_az2_host11_mgmt_ip">'Configure Management Domain'!$D$313</definedName>
    <definedName name="input_mgmt_az2_host11_vrms_ip">'Site Protection &amp; DR'!$D$203</definedName>
    <definedName name="input_mgmt_az2_host12_fqdn">'Configure Management Domain'!$D$363</definedName>
    <definedName name="input_mgmt_az2_host12_mgmt_ip">'Configure Management Domain'!$D$314</definedName>
    <definedName name="input_mgmt_az2_host12_vrms_ip">'Site Protection &amp; DR'!$D$204</definedName>
    <definedName name="input_mgmt_az2_host13_fqdn">'Configure Management Domain'!$D$364</definedName>
    <definedName name="input_mgmt_az2_host13_mgmt_ip">'Configure Management Domain'!$D$315</definedName>
    <definedName name="input_mgmt_az2_host13_vrms_ip">'Site Protection &amp; DR'!$D$205</definedName>
    <definedName name="input_mgmt_az2_host14_fqdn">'Configure Management Domain'!$D$365</definedName>
    <definedName name="input_mgmt_az2_host14_mgmt_ip">'Configure Management Domain'!$D$316</definedName>
    <definedName name="input_mgmt_az2_host14_vrms_ip">'Site Protection &amp; DR'!$D$206</definedName>
    <definedName name="input_mgmt_az2_host15_fqdn">'Configure Management Domain'!$D$366</definedName>
    <definedName name="input_mgmt_az2_host15_mgmt_ip">'Configure Management Domain'!$D$317</definedName>
    <definedName name="input_mgmt_az2_host15_vrms_ip">'Site Protection &amp; DR'!$D$207</definedName>
    <definedName name="input_mgmt_az2_host16_fqdn">'Configure Management Domain'!$D$367</definedName>
    <definedName name="input_mgmt_az2_host16_mgmt_ip">'Configure Management Domain'!$D$318</definedName>
    <definedName name="input_mgmt_az2_host16_vrms_ip">'Site Protection &amp; DR'!$D$208</definedName>
    <definedName name="input_mgmt_az2_host2_fqdn">'Configure Management Domain'!$D$353</definedName>
    <definedName name="input_mgmt_az2_host2_mgmt_ip">'Configure Management Domain'!$D$304</definedName>
    <definedName name="input_mgmt_az2_host2_sddc_id">'Configure Management Domain'!$D$419</definedName>
    <definedName name="input_mgmt_az2_host2_vrms_ip">'Site Protection &amp; DR'!$D$194</definedName>
    <definedName name="input_mgmt_az2_host3_fqdn">'Configure Management Domain'!$D$354</definedName>
    <definedName name="input_mgmt_az2_host3_mgmt_ip">'Configure Management Domain'!$D$305</definedName>
    <definedName name="input_mgmt_az2_host3_sddc_id">'Configure Management Domain'!$D$420</definedName>
    <definedName name="input_mgmt_az2_host3_vrms_ip">'Site Protection &amp; DR'!$D$195</definedName>
    <definedName name="input_mgmt_az2_host4_fqdn">'Configure Management Domain'!$D$355</definedName>
    <definedName name="input_mgmt_az2_host4_mgmt_ip">'Configure Management Domain'!$D$306</definedName>
    <definedName name="input_mgmt_az2_host4_sddc_id">'Configure Management Domain'!$D$421</definedName>
    <definedName name="input_mgmt_az2_host4_vrms_ip">'Site Protection &amp; DR'!$D$196</definedName>
    <definedName name="input_mgmt_az2_host5_fqdn">'Configure Management Domain'!$D$356</definedName>
    <definedName name="input_mgmt_az2_host5_mgmt_ip">'Configure Management Domain'!$D$307</definedName>
    <definedName name="input_mgmt_az2_host5_vrms_ip">'Site Protection &amp; DR'!$D$197</definedName>
    <definedName name="input_mgmt_az2_host6_fqdn">'Configure Management Domain'!$D$357</definedName>
    <definedName name="input_mgmt_az2_host6_mgmt_ip">'Configure Management Domain'!$D$308</definedName>
    <definedName name="input_mgmt_az2_host6_vrms_ip">'Site Protection &amp; DR'!$D$198</definedName>
    <definedName name="input_mgmt_az2_host7_fqdn">'Configure Management Domain'!$D$358</definedName>
    <definedName name="input_mgmt_az2_host7_mgmt_ip">'Configure Management Domain'!$D$309</definedName>
    <definedName name="input_mgmt_az2_host7_vrms_ip">'Site Protection &amp; DR'!$D$199</definedName>
    <definedName name="input_mgmt_az2_host8_fqdn">'Configure Management Domain'!$D$359</definedName>
    <definedName name="input_mgmt_az2_host8_mgmt_ip">'Configure Management Domain'!$D$310</definedName>
    <definedName name="input_mgmt_az2_host8_vrms_ip">'Site Protection &amp; DR'!$D$200</definedName>
    <definedName name="input_mgmt_az2_host9_fqdn">'Configure Management Domain'!$D$360</definedName>
    <definedName name="input_mgmt_az2_host9_mgmt_ip">'Configure Management Domain'!$D$311</definedName>
    <definedName name="input_mgmt_az2_host9_vrms_ip">'Site Protection &amp; DR'!$D$201</definedName>
    <definedName name="input_mgmt_az2_mgmt_cidr">'Configure Management Domain'!$D$300</definedName>
    <definedName name="input_mgmt_az2_mgmt_gateway_ip">'Configure Management Domain'!$D$299</definedName>
    <definedName name="input_mgmt_az2_mgmt_mtu">'Configure Management Domain'!$D$301</definedName>
    <definedName name="input_mgmt_az2_mgmt_vlan">'Configure Management Domain'!$D$298</definedName>
    <definedName name="input_mgmt_az2_pool_name">'Configure Management Domain'!$D$323</definedName>
    <definedName name="input_mgmt_az2_secondary_storage_gateway_ip">'Configure Management Domain'!$D$345</definedName>
    <definedName name="input_mgmt_az2_secondary_storage_mask">'Configure Management Domain'!$D$344</definedName>
    <definedName name="input_mgmt_az2_secondary_storage_mtu">'Configure Management Domain'!$D$342</definedName>
    <definedName name="input_mgmt_az2_secondary_storage_network">'Configure Management Domain'!$D$343</definedName>
    <definedName name="input_mgmt_az2_secondary_storage_pool_end_ip">'Configure Management Domain'!$D$347</definedName>
    <definedName name="input_mgmt_az2_secondary_storage_pool_start_ip">'Configure Management Domain'!$D$346</definedName>
    <definedName name="input_mgmt_az2_secondary_storage_vlan">'Configure Management Domain'!$D$341</definedName>
    <definedName name="input_mgmt_az2_tor1_peer_asn">'Configure Management Domain'!$D$458</definedName>
    <definedName name="input_mgmt_az2_tor1_peer_bgp_password">'Configure Management Domain'!$D$461</definedName>
    <definedName name="input_mgmt_az2_tor1_peer_ip">'Configure Management Domain'!$D$457</definedName>
    <definedName name="input_mgmt_az2_tor2_peer_asn">'Configure Management Domain'!$D$465</definedName>
    <definedName name="input_mgmt_az2_tor2_peer_bgp_password">'Configure Management Domain'!$D$466</definedName>
    <definedName name="input_mgmt_az2_tor2_peer_ip">'Configure Management Domain'!$D$462</definedName>
    <definedName name="input_mgmt_az2_vmotion_gateway_ip">'Configure Management Domain'!$D$329</definedName>
    <definedName name="input_mgmt_az2_vmotion_mask">'Configure Management Domain'!$D$328</definedName>
    <definedName name="input_mgmt_az2_vmotion_mtu">'Configure Management Domain'!$D$326</definedName>
    <definedName name="input_mgmt_az2_vmotion_network">'Configure Management Domain'!$D$327</definedName>
    <definedName name="input_mgmt_az2_vmotion_pool_end_ip">'Configure Management Domain'!$D$331</definedName>
    <definedName name="input_mgmt_az2_vmotion_pool_start_ip">'Configure Management Domain'!$D$330</definedName>
    <definedName name="input_mgmt_az2_vmotion_vlan">'Configure Management Domain'!$D$325</definedName>
    <definedName name="input_mgmt_az2_vsan_gateway_ip">'Configure Management Domain'!$D$337</definedName>
    <definedName name="input_mgmt_az2_vsan_mask">'Configure Management Domain'!$D$336</definedName>
    <definedName name="input_mgmt_az2_vsan_mtu">'Configure Management Domain'!$D$334</definedName>
    <definedName name="input_mgmt_az2_vsan_network">'Configure Management Domain'!$D$335</definedName>
    <definedName name="input_mgmt_az2_vsan_pool_end_ip">'Configure Management Domain'!$D$339</definedName>
    <definedName name="input_mgmt_az2_vsan_pool_start_ip">'Configure Management Domain'!$D$338</definedName>
    <definedName name="input_mgmt_az2_vsan_vlan">'Configure Management Domain'!$D$333</definedName>
    <definedName name="input_mgmt_cl01_az1_mgmt_pg">'Deploy Management Domain'!$L$256</definedName>
    <definedName name="input_mgmt_cl01_az1_mgmt_vm_pg">'Deploy Management Domain'!$L$261</definedName>
    <definedName name="input_mgmt_cl01_az1_nfs_pg">'Deploy Management Domain'!$L$281</definedName>
    <definedName name="input_mgmt_cl01_az1_uplink01_pg">'Configure Management Domain'!$D$230</definedName>
    <definedName name="input_mgmt_cl01_az1_uplink02_pg">'Configure Management Domain'!$D$234</definedName>
    <definedName name="input_mgmt_cl01_az1_vcf_mgmt_pg">'Deploy Management Domain'!$L$266</definedName>
    <definedName name="input_mgmt_cl01_az1_vmotion_pg">'Deploy Management Domain'!$L$271</definedName>
    <definedName name="input_mgmt_cl01_az1_vsan_pg">'Deploy Management Domain'!$L$276</definedName>
    <definedName name="input_mgmt_cl01_cluster">'Deploy Management Domain'!$L$198</definedName>
    <definedName name="input_mgmt_cl01_cluster_sddc_id">'Configure Management Domain'!$D$447</definedName>
    <definedName name="input_mgmt_cl01_nfs_server_ip">'Deploy Management Domain'!$L$212</definedName>
    <definedName name="input_mgmt_cl01_nfs_share">'Deploy Management Domain'!$L$211</definedName>
    <definedName name="input_mgmt_cl01_vds01_lag_name">'Deploy Management Domain'!$L$226</definedName>
    <definedName name="input_mgmt_cl01_vds01_mtu">'Deploy Management Domain'!$L$224</definedName>
    <definedName name="input_mgmt_cl01_vds01_name">'Deploy Management Domain'!$L$223</definedName>
    <definedName name="input_mgmt_cl01_vds01_uplink_count">'Deploy Management Domain'!$L$230</definedName>
    <definedName name="input_mgmt_cl01_vds01_uplink1">'Deploy Management Domain'!$L$231</definedName>
    <definedName name="input_mgmt_cl01_vds01_uplink2">'Deploy Management Domain'!$L$232</definedName>
    <definedName name="input_mgmt_cl01_vds02_lag_name">'Deploy Management Domain'!$L$237</definedName>
    <definedName name="input_mgmt_cl01_vds02_mtu">'Deploy Management Domain'!$L$235</definedName>
    <definedName name="input_mgmt_cl01_vds02_name">'Deploy Management Domain'!$L$234</definedName>
    <definedName name="input_mgmt_cl01_vds02_uplink_count">'Deploy Management Domain'!$L$241</definedName>
    <definedName name="input_mgmt_cl01_vds02_uplink1">'Deploy Management Domain'!$L$242</definedName>
    <definedName name="input_mgmt_cl01_vds02_uplink2">'Deploy Management Domain'!$L$243</definedName>
    <definedName name="input_mgmt_cl01_vds03_lag_name">'Deploy Management Domain'!$L$248</definedName>
    <definedName name="input_mgmt_cl01_vds03_mtu">'Deploy Management Domain'!$L$246</definedName>
    <definedName name="input_mgmt_cl01_vds03_name">'Deploy Management Domain'!$L$245</definedName>
    <definedName name="input_mgmt_cl01_vds03_uplink_count">'Deploy Management Domain'!$L$252</definedName>
    <definedName name="input_mgmt_cl01_vds03_uplink1">'Deploy Management Domain'!$L$253</definedName>
    <definedName name="input_mgmt_cl01_vds03_uplink2">'Deploy Management Domain'!$L$254</definedName>
    <definedName name="input_mgmt_cl01_vsan_datastore">'Deploy Management Domain'!$L$207</definedName>
    <definedName name="input_mgmt_cross_instance_linked_t0_name">'Configure Management Domain'!$D$596</definedName>
    <definedName name="input_mgmt_datacenter">'Deploy Management Domain'!$L$197</definedName>
    <definedName name="input_mgmt_depot_activation_code">'Deploy Management Domain'!$L$13</definedName>
    <definedName name="input_mgmt_ec_mtu">'Configure Management Domain'!$D$96</definedName>
    <definedName name="input_mgmt_ec_name">'Configure Management Domain'!$D$95</definedName>
    <definedName name="input_mgmt_ec_rp_name">'Configure Management Domain'!$D$101</definedName>
    <definedName name="input_mgmt_ec01_en01_host_group_affinity_rule_name">'Configure Management Domain'!$D$103</definedName>
    <definedName name="input_mgmt_ec01_en02_host_group_affinity_rule_name">'Configure Management Domain'!$D$132</definedName>
    <definedName name="input_mgmt_en_asn">'Configure Management Domain'!$D$159</definedName>
    <definedName name="input_mgmt_existing_active_nsx_gm">'Configure Management Domain'!$D$604</definedName>
    <definedName name="input_mgmt_existing_cross_instance_t0_name">'Configure Management Domain'!$D$605</definedName>
    <definedName name="input_mgmt_host_overlay_transportzone">Arkham!$Y$5</definedName>
    <definedName name="input_mgmt_internet_proxy_address">'Deploy Management Domain'!$L$16</definedName>
    <definedName name="input_mgmt_internet_proxy_email">'Deploy Management Domain'!$L$19</definedName>
    <definedName name="input_mgmt_internet_proxy_password">'Deploy Management Domain'!$L$20</definedName>
    <definedName name="input_mgmt_internet_proxy_port">'Deploy Management Domain'!$L$17</definedName>
    <definedName name="input_mgmt_nsxt_en_admin_password">'Configure Management Domain'!$D$154</definedName>
    <definedName name="input_mgmt_nsxt_en_root_password">'Configure Management Domain'!$D$153</definedName>
    <definedName name="input_mgmt_nsxt_federation_global_manager_name">'Configure Management Domain'!$D$571</definedName>
    <definedName name="input_mgmt_nsxt_federation_location_name">'Configure Management Domain'!$D$585</definedName>
    <definedName name="input_mgmt_nsxt_global_mgr_anti_affinity_rule_name">'Configure Management Domain'!$D$542</definedName>
    <definedName name="input_mgmt_nsxt_global_mgr_certificate_id">'Configure Management Domain'!$D$554</definedName>
    <definedName name="input_mgmt_nsxt_global_mgr_cluster_id">'Configure Management Domain'!$D$526</definedName>
    <definedName name="input_mgmt_nsxt_global_mgr_vmca_signed_thumbprint">'Configure Management Domain'!$D$527</definedName>
    <definedName name="input_mgmt_nsxt_global_mgra_fqdn">'Configure Management Domain'!$D$482</definedName>
    <definedName name="input_mgmt_nsxt_global_mgra_hostname">'Configure Management Domain'!$D$473</definedName>
    <definedName name="input_mgmt_nsxt_global_mgra_ip">'Configure Management Domain'!$D$483</definedName>
    <definedName name="input_mgmt_nsxt_global_mgrb_fqdn">'Configure Management Domain'!$D$499</definedName>
    <definedName name="input_mgmt_nsxt_global_mgrb_hostname">'Configure Management Domain'!$D$490</definedName>
    <definedName name="input_mgmt_nsxt_global_mgrb_ip">'Configure Management Domain'!$D$500</definedName>
    <definedName name="input_mgmt_nsxt_global_mgrc_fqdn">'Configure Management Domain'!$D$516</definedName>
    <definedName name="input_mgmt_nsxt_global_mgrc_hostname">'Configure Management Domain'!$D$507</definedName>
    <definedName name="input_mgmt_nsxt_global_mgrc_ip">'Configure Management Domain'!$D$517</definedName>
    <definedName name="input_mgmt_nsxt_gm_fingerprint">'Configure Management Domain'!$D$574</definedName>
    <definedName name="input_mgmt_nsxt_gm_vip_fqdn">'Configure Management Domain'!$D$523</definedName>
    <definedName name="input_mgmt_nsxt_gm_vip_ip">'Configure Management Domain'!$D$548</definedName>
    <definedName name="input_mgmt_nsxt_lm_fingerprint">'Configure Management Domain'!$D$583</definedName>
    <definedName name="input_mgmt_nsxt_mgra_fqdn">'Deploy Management Domain'!$L$296</definedName>
    <definedName name="input_mgmt_nsxt_mgra_ip">'Deploy Management Domain'!$L$389</definedName>
    <definedName name="input_mgmt_nsxt_mgrb_fqdn">'Deploy Management Domain'!$L$297</definedName>
    <definedName name="input_mgmt_nsxt_mgrb_ip">'Deploy Management Domain'!$L$390</definedName>
    <definedName name="input_mgmt_nsxt_mgrc_fqdn">'Deploy Management Domain'!$L$298</definedName>
    <definedName name="input_mgmt_nsxt_mgrc_ip">'Deploy Management Domain'!$L$391</definedName>
    <definedName name="input_mgmt_nsxt_vip_fqdn">'Deploy Management Domain'!$L$295</definedName>
    <definedName name="input_mgmt_nsxt_vip_ip">'Deploy Management Domain'!$L$388</definedName>
    <definedName name="input_mgmt_nsxt_xreg_t1_name">'Configure Management Domain'!$D$595</definedName>
    <definedName name="input_mgmt_offline_depot_fqdn">'Deploy Management Domain'!$L$10</definedName>
    <definedName name="input_mgmt_offline_depot_port">'Deploy Management Domain'!$L$11</definedName>
    <definedName name="input_mgmt_recovery_lb_creation_method">'Dumping Ground'!$D$53</definedName>
    <definedName name="input_mgmt_rtep_overlay_pool_end_ip">'Configure Management Domain'!$D$566</definedName>
    <definedName name="input_mgmt_rtep_overlay_pool_start_ip">'Configure Management Domain'!$D$565</definedName>
    <definedName name="input_mgmt_rwr_recovery_site_az1_mgmt_cidr">'On-Premises Ransomware Recovery'!$D$101</definedName>
    <definedName name="input_mgmt_rwr_vc_fqdn">'On-Premises Ransomware Recovery'!$D$9</definedName>
    <definedName name="input_mgmt_sddc_domain">'Deploy Management Domain'!$L$70</definedName>
    <definedName name="input_mgmt_srm_admin_email">'Dumping Ground'!$D$41</definedName>
    <definedName name="input_mgmt_srm_admin_password">'Dumping Ground'!$D$38</definedName>
    <definedName name="input_mgmt_srm_database_password">'Dumping Ground'!$D$39</definedName>
    <definedName name="input_mgmt_srm_days">'Site Protection &amp; DR'!$D$255</definedName>
    <definedName name="input_mgmt_srm_instances_per_day">'Site Protection &amp; DR'!$D$254</definedName>
    <definedName name="input_mgmt_srm_ip">'Dumping Ground'!$G$6</definedName>
    <definedName name="input_mgmt_srm_logs_pg">'Site Protection &amp; DR'!$D$282</definedName>
    <definedName name="input_mgmt_srm_logs_rp">'Site Protection &amp; DR'!$D$283</definedName>
    <definedName name="input_mgmt_srm_net_pg">'Site Protection &amp; DR'!$D$307</definedName>
    <definedName name="input_mgmt_srm_net_rp">'Site Protection &amp; DR'!$D$308</definedName>
    <definedName name="input_mgmt_srm_p12_password">'Dumping Ground'!$D$42</definedName>
    <definedName name="input_mgmt_srm_recovery_cluster">'Site Protection &amp; DR'!$D$324</definedName>
    <definedName name="input_mgmt_srm_recovery_datastore">'Site Protection &amp; DR'!$D$252</definedName>
    <definedName name="input_mgmt_srm_recovery_gateway">'Site Protection &amp; DR'!$D$382</definedName>
    <definedName name="input_mgmt_srm_recovery_mask">'Site Protection &amp; DR'!$D$383</definedName>
    <definedName name="input_mgmt_srm_recovery_nsx_ec_name">'Dumping Ground'!$D$60</definedName>
    <definedName name="input_mgmt_srm_recovery_nsx_location">'Dumping Ground'!$D$59</definedName>
    <definedName name="input_mgmt_srm_recovery_pg">'Site Protection &amp; DR'!$D$376</definedName>
    <definedName name="input_mgmt_srm_recovery_sddc_manager_domain">'Dumping Ground'!$D$58</definedName>
    <definedName name="input_mgmt_srm_recovery_sddc_manager_fqdn">'Dumping Ground'!$D$17</definedName>
    <definedName name="input_mgmt_srm_recovery_sddc_manager_password">'Dumping Ground'!$D$19</definedName>
    <definedName name="input_mgmt_srm_recovery_sddc_manager_username">'Dumping Ground'!$D$18</definedName>
    <definedName name="input_mgmt_srm_recovery_t1_si_ip">'Dumping Ground'!$G$7</definedName>
    <definedName name="input_mgmt_srm_recovery_vcenter_fqdn">'Site Protection &amp; DR'!$D$217</definedName>
    <definedName name="input_mgmt_srm_recovery_vcenter_password">'Site Protection &amp; DR'!$D$219</definedName>
    <definedName name="input_mgmt_srm_recovery_vcenter_username">'Site Protection &amp; DR'!$D$218</definedName>
    <definedName name="input_mgmt_srm_root_password">'Dumping Ground'!$D$37</definedName>
    <definedName name="input_mgmt_srm_rpo">'Site Protection &amp; DR'!$D$253</definedName>
    <definedName name="input_mgmt_srm_site_name">'Dumping Ground'!$D$40</definedName>
    <definedName name="input_mgmt_srm_sso_domain_membership">'Dumping Ground'!$D$64</definedName>
    <definedName name="input_mgmt_srm_vm_folder">'Dumping Ground'!$D$36</definedName>
    <definedName name="input_mgmt_srm_vm_size">'Management Domain Sizing'!$F$88</definedName>
    <definedName name="input_mgmt_srm_vra_pg">'Dumping Ground'!$D$50</definedName>
    <definedName name="input_mgmt_srm_vra_rp">'Dumping Ground'!$D$51</definedName>
    <definedName name="input_mgmt_srm_vrops_pg">'Site Protection &amp; DR'!$D$256</definedName>
    <definedName name="input_mgmt_srm_vrops_rp">'Site Protection &amp; DR'!$D$257</definedName>
    <definedName name="input_mgmt_srm_vrslcm_wsa_pg">'Dumping Ground'!$D$46</definedName>
    <definedName name="input_mgmt_srm_vrslcm_wsa_rp">'Dumping Ground'!$D$47</definedName>
    <definedName name="input_mgmt_sso_domain">'Deploy Management Domain'!$L$199</definedName>
    <definedName name="input_mgmt_sso_domain_username">'Deploy Management Domain'!$L$200</definedName>
    <definedName name="input_mgmt_supvr_api_server_fqdn">'Configure Management Domain'!$D$273</definedName>
    <definedName name="input_mgmt_supvr_cp_storage_policy">'Configure Management Domain'!$D$250</definedName>
    <definedName name="input_mgmt_supvr_ed_storage_policy">'Configure Management Domain'!$D$251</definedName>
    <definedName name="input_mgmt_supvr_ic_storage_policy">'Configure Management Domain'!$D$252</definedName>
    <definedName name="input_mgmt_supvr_ip_address_range">'Configure Management Domain'!$D$256</definedName>
    <definedName name="input_mgmt_supvr_mgmt_dns_server">'Configure Management Domain'!$D$259</definedName>
    <definedName name="input_mgmt_supvr_mgmt_dns_zones">'Configure Management Domain'!$D$260</definedName>
    <definedName name="input_mgmt_supvr_mgmt_ntp_server">'Configure Management Domain'!$D$261</definedName>
    <definedName name="input_mgmt_supvr_name">'Configure Management Domain'!$D$245</definedName>
    <definedName name="input_mgmt_supvr_nsx_project">'Configure Management Domain'!$D$263</definedName>
    <definedName name="input_mgmt_supvr_vpc_connectivity_profile">'Configure Management Domain'!$D$264</definedName>
    <definedName name="input_mgmt_supvr_vpc_ext_ip_blocks_name">'Configure Management Domain'!$D$265</definedName>
    <definedName name="input_mgmt_supvr_vpc_priv_cidr">'Configure Management Domain'!$D$267</definedName>
    <definedName name="input_mgmt_supvr_vpc_priv_ip_blocks_name">'Configure Management Domain'!$D$266</definedName>
    <definedName name="input_mgmt_supvr_vpc_service_cidr">'Configure Management Domain'!$D$268</definedName>
    <definedName name="input_mgmt_supvr_wld_dns_server">'Configure Management Domain'!$D$269</definedName>
    <definedName name="input_mgmt_supvr_wld_ntp_server">'Configure Management Domain'!$D$270</definedName>
    <definedName name="input_mgmt_supvr_zone_name">'Configure Management Domain'!$D$248</definedName>
    <definedName name="input_mgmt_tier0_name">'Configure Management Domain'!$D$156</definedName>
    <definedName name="input_mgmt_vc_fqdn">'Deploy Management Domain'!$L$196</definedName>
    <definedName name="input_mgmt_vc_ip">'Deploy Management Domain'!$L$386</definedName>
    <definedName name="input_mgmt_vna_rp_name">'Configure Management Domain'!$D$210</definedName>
    <definedName name="input_mgmt_vnaa_cidr">'Configure Management Domain'!$D$214</definedName>
    <definedName name="input_mgmt_vnaa_fqdn">'Configure Management Domain'!$D$208</definedName>
    <definedName name="input_mgmt_vnab_cidr">'Configure Management Domain'!$D$224</definedName>
    <definedName name="input_mgmt_vnab_fqdn">'Configure Management Domain'!$D$218</definedName>
    <definedName name="input_mgmt_vpc_ext_ip_blocks_cidr">'Configure Management Domain'!$D$196</definedName>
    <definedName name="input_mgmt_vpc_ext_ip_blocks_excluded_ips">'Configure Management Domain'!$D$197</definedName>
    <definedName name="input_mgmt_vpc_ext_ip_blocks_name">'Configure Management Domain'!$D$194</definedName>
    <definedName name="input_mgmt_vpc_ext_ip_blocks_reserved">'Configure Management Domain'!$D$198</definedName>
    <definedName name="input_mgmt_vpc_ext_ip_blocks_visability">'Configure Management Domain'!$D$195</definedName>
    <definedName name="input_mgmt_vpc_priv_ip_blocks_excluded_ips">'Configure Management Domain'!$D$202</definedName>
    <definedName name="input_mgmt_vpc_priv_ip_blocks_name">'Configure Management Domain'!$D$199</definedName>
    <definedName name="input_mgmt_vpc_priv_ip_blocks_reserved">'Configure Management Domain'!$D$203</definedName>
    <definedName name="input_mgmt_vpc_priv_ip_blocks_visability">'Configure Management Domain'!$D$200</definedName>
    <definedName name="input_mgmt_vpc_transit_gateway_ip_blocks_cidr">'Configure Management Domain'!$D$201</definedName>
    <definedName name="input_mgmt_vpc_vna_cluster_name">'Configure Management Domain'!$D$205</definedName>
    <definedName name="input_mgmt_vrms_admin_email">'Site Protection &amp; DR'!$D$153</definedName>
    <definedName name="input_mgmt_vrms_admin_password">'Dumping Ground'!$D$30</definedName>
    <definedName name="input_mgmt_vrms_hostname">'Dumping Ground'!$E$4</definedName>
    <definedName name="input_mgmt_vrms_mgmt_ip">'Site Protection &amp; DR'!$D$113</definedName>
    <definedName name="input_mgmt_vrms_p12_password">'Dumping Ground'!$D$34</definedName>
    <definedName name="input_mgmt_vrms_pg">'Site Protection &amp; DR'!$D$162</definedName>
    <definedName name="input_mgmt_vrms_recovery_replication_cidr">'Dumping Ground'!$D$63</definedName>
    <definedName name="input_mgmt_vrms_root_password">'Dumping Ground'!$D$29</definedName>
    <definedName name="input_mgmt_vrms_site_name">'Site Protection &amp; DR'!$D$152</definedName>
    <definedName name="input_mgmt_vrms_vm_folder">'Dumping Ground'!$D$28</definedName>
    <definedName name="input_mgmt_vrms_vrms_ip">'Dumping Ground'!$G$5</definedName>
    <definedName name="input_mgmt_vsan_dit_rekey_custom_interval">'Deploy Management Domain'!$L$210</definedName>
    <definedName name="input_mgmt_vsan_dit_rekey_default_interval">'Deploy Management Domain'!$L$209</definedName>
    <definedName name="input_mgmt_witness_cluster">'Configure Management Domain'!$D$386</definedName>
    <definedName name="input_mgmt_witness_dns1_ip">'Configure Management Domain'!$D$397</definedName>
    <definedName name="input_mgmt_witness_dns2_ip">'Configure Management Domain'!$D$398</definedName>
    <definedName name="input_mgmt_witness_fqdn">'Configure Management Domain'!$D$444</definedName>
    <definedName name="input_mgmt_witness_hostname">'Configure Management Domain'!$D$385</definedName>
    <definedName name="input_mgmt_witness_ip">'Configure Management Domain'!$D$392</definedName>
    <definedName name="input_mgmt_witness_mgmt_pg">'Configure Management Domain'!$D$389</definedName>
    <definedName name="input_mgmt_witness_ntp1_server">'Configure Management Domain'!$D$399</definedName>
    <definedName name="input_mgmt_witness_ntp2_server">'Configure Management Domain'!$D$400</definedName>
    <definedName name="input_mgmt_witness_root_password">'Configure Management Domain'!$D$391</definedName>
    <definedName name="input_mgmt_witness_vm_folder">'Configure Management Domain'!$D$387</definedName>
    <definedName name="input_mgmt_witness_vsan_datastore">'Configure Management Domain'!$D$388</definedName>
    <definedName name="input_mgmt_witness_zone_vc_fqdn">'Configure Management Domain'!$D$383</definedName>
    <definedName name="input_mgmt_witness_zone_vc_ip">'Configure Management Domain'!$D$384</definedName>
    <definedName name="input_mgmt_witnessaz_mgmt_cidr">'Configure Management Domain'!$D$380</definedName>
    <definedName name="input_mgmt_witnessaz_mgmt_gateway_ip">'Configure Management Domain'!$D$379</definedName>
    <definedName name="input_mgmt_witnessaz_mgmt_mtu">'Configure Management Domain'!$D$381</definedName>
    <definedName name="input_mgmt_witnessaz_mgmt_vlan">'Configure Management Domain'!$D$378</definedName>
    <definedName name="input_nsxt_gm_admin_password">'Configure Management Domain'!$D$480</definedName>
    <definedName name="input_nsxt_gm_audit_password">'Configure Management Domain'!$D$481</definedName>
    <definedName name="input_nsxt_gm_root_password">'Configure Management Domain'!$D$479</definedName>
    <definedName name="input_nsxt_lm_admin_password">'Deploy Management Domain'!$L$299</definedName>
    <definedName name="input_nsxt_lm_audit_password">'Deploy Management Domain'!$L$301</definedName>
    <definedName name="input_nsxt_lm_root_password">'Deploy Management Domain'!$L$300</definedName>
    <definedName name="input_parent_dns_zone">'Deploy Management Domain'!$L$79</definedName>
    <definedName name="input_region_dns1_ip">'Deploy Management Domain'!$L$73</definedName>
    <definedName name="input_region_dns2_ip">'Deploy Management Domain'!$L$74</definedName>
    <definedName name="input_region_ntp1_server">'Deploy Management Domain'!$L$76</definedName>
    <definedName name="input_region_ntp2_server">'Deploy Management Domain'!$L$77</definedName>
    <definedName name="input_rwr_child_dns_zone">'On-Premises Ransomware Recovery'!$D$20</definedName>
    <definedName name="input_rwr_datacenter">'On-Premises Ransomware Recovery'!$D$143</definedName>
    <definedName name="input_rwr_sso_domain_name">'On-Premises Ransomware Recovery'!$D$43</definedName>
    <definedName name="input_rwr_vlr_replication_password">'On-Premises Ransomware Recovery'!$D$45</definedName>
    <definedName name="input_rwr_vrms_pg">'On-Premises Ransomware Recovery'!$D$71</definedName>
    <definedName name="input_sddc_mgr_admin_local_password">'Deploy Management Domain'!$L$315</definedName>
    <definedName name="input_sddc_mgr_fqdn">'Deploy Management Domain'!$L$312</definedName>
    <definedName name="input_sddc_mgr_ip">'Deploy Management Domain'!$L$385</definedName>
    <definedName name="input_sddc_mgr_root_password">'Deploy Management Domain'!$L$313</definedName>
    <definedName name="input_sddc_mgr_vcf_password">'Deploy Management Domain'!$L$314</definedName>
    <definedName name="input_sftp_server">'Configure Management Domain'!$D$22</definedName>
    <definedName name="input_sftp_server_backup_dir">'Configure Management Domain'!$D$27</definedName>
    <definedName name="input_sftp_server_passphrase">'Configure Management Domain'!$D$29</definedName>
    <definedName name="input_sftp_server_port">'Configure Management Domain'!$D$23</definedName>
    <definedName name="input_sftp_server_protocol">'Configure Management Domain'!$D$24</definedName>
    <definedName name="input_sftp_server_sshfingerprint">'Configure Management Domain'!$D$28</definedName>
    <definedName name="input_smtp_server">Arkham!$C$16</definedName>
    <definedName name="input_smtp_server_port">Arkham!$C$17</definedName>
    <definedName name="input_svc_my_vmware_password">'Deploy Management Domain'!$L$12</definedName>
    <definedName name="input_svc_vcf_bck_password">'Configure Management Domain'!$D$26</definedName>
    <definedName name="input_svc_vcf_bck_user">'Configure Management Domain'!$D$25</definedName>
    <definedName name="input_svc_vcf_ca_vcf_password">'Configure Management Domain'!$D$56</definedName>
    <definedName name="input_svc_vcf_ca_vcf_user">'Configure Management Domain'!$D$51</definedName>
    <definedName name="input_vcenter_root_password">'Deploy Management Domain'!$L$202</definedName>
    <definedName name="input_vcf_automation_additional_vips">Arkham!$Y$56</definedName>
    <definedName name="input_vcf_automation_admin_password">'Deploy Fleet Management Day-N'!$D$87</definedName>
    <definedName name="input_vcf_automation_admin_password_alias">Arkham!$Y$41</definedName>
    <definedName name="input_vcf_automation_admin_password_description">Arkham!$Y$42</definedName>
    <definedName name="input_vcf_automation_admin_username">Arkham!$Y$43</definedName>
    <definedName name="input_vcf_automation_cert_alias">Arkham!$Y$15</definedName>
    <definedName name="input_vcf_automation_cert_common_name">Arkham!$Y$17</definedName>
    <definedName name="input_vcf_automation_cert_country_code">Arkham!$Y$20</definedName>
    <definedName name="input_vcf_automation_cert_file">Arkham!$Y$16</definedName>
    <definedName name="input_vcf_automation_cert_locality">Arkham!$Y$21</definedName>
    <definedName name="input_vcf_automation_cert_organisation">Arkham!$Y$18</definedName>
    <definedName name="input_vcf_automation_cert_state">Arkham!$Y$22</definedName>
    <definedName name="input_vcf_automation_dpg">'Deploy Fleet Management Day-N'!$D$80</definedName>
    <definedName name="input_vcf_automation_folder">Arkham!$Y$28</definedName>
    <definedName name="input_vcf_automation_gateway_cidr">'Deploy Fleet Management Day-N'!$D$81</definedName>
    <definedName name="input_vcf_automation_gateway_ip">Arkham!$Y$38</definedName>
    <definedName name="input_vcf_automation_mask">Arkham!$Y$39</definedName>
    <definedName name="input_vcf_automation_nodea_ip">Arkham!$Y$57</definedName>
    <definedName name="input_vcf_automation_nodeb_ip">Arkham!$Y$58</definedName>
    <definedName name="input_vcf_automation_nodec_ip">Arkham!$Y$59</definedName>
    <definedName name="input_vcf_automation_noded_ip">Arkham!$Y$60</definedName>
    <definedName name="input_vcf_automation_nodee_ip">Arkham!$Y$61</definedName>
    <definedName name="input_vcf_automation_nodeef_ip">Arkham!$Y$62</definedName>
    <definedName name="input_vcf_automation_ou_cert">Arkham!$Y$19</definedName>
    <definedName name="input_vcf_automation_portgroup">Arkham!$Y$30</definedName>
    <definedName name="input_vcf_automation_resource_pool">Arkham!$Y$29</definedName>
    <definedName name="input_vcf_automation_root_password">Arkham!$Y$45</definedName>
    <definedName name="input_vcf_automation_root_password_alias">Arkham!$Y$44</definedName>
    <definedName name="input_vcf_automation_root_password_description">Arkham!$Y$46</definedName>
    <definedName name="input_vcf_automation_root_username">Arkham!$Y$47</definedName>
    <definedName name="input_vcf_automation_runtime_cidr">'Deploy Fleet Management Day-N'!$D$84</definedName>
    <definedName name="input_vcf_automation_runtime_ips">'Deploy Fleet Management Day-N'!$D$83</definedName>
    <definedName name="input_vcf_automation_sr_fqdn">'Deploy Fleet Management Day-N'!$D$86</definedName>
    <definedName name="input_vcf_automation_sr_ip">'Deploy Fleet Management Day-N'!$D$91</definedName>
    <definedName name="input_vcf_automation_version">'Deploy Fleet Management Day-N'!$D$78</definedName>
    <definedName name="input_vcf_automation_vip_fqdn">'Deploy Fleet Management Day-N'!$D$85</definedName>
    <definedName name="input_vcf_automation_vip_ip">'Deploy Fleet Management Day-N'!$D$90</definedName>
    <definedName name="input_vcf_installer_fqdn">'Deploy Management Domain'!$J$384</definedName>
    <definedName name="input_vcf_installer_ip">'Deploy Management Domain'!$L$384</definedName>
    <definedName name="input_vcf_instance_name">'Deploy Management Domain'!$L$69</definedName>
    <definedName name="input_vcfms_system_password">'Deploy Management Domain'!$L$181</definedName>
    <definedName name="input_vvs_dr_dns1_ip">'Site Protection &amp; DR'!$D$69</definedName>
    <definedName name="input_vvs_dr_dns2_ip">'Site Protection &amp; DR'!$D$70</definedName>
    <definedName name="input_vvs_dr_flt_auto_fqdn">'Site Protection &amp; DR'!$D$67</definedName>
    <definedName name="input_vvs_dr_flt_fleet_manager_fqdn">'Site Protection &amp; DR'!$D$13</definedName>
    <definedName name="input_vvs_dr_flt_logs_nodea_fqdn">'Site Protection &amp; DR'!$D$35</definedName>
    <definedName name="input_vvs_dr_flt_logs_nodeb_fqdn">'Site Protection &amp; DR'!$D$36</definedName>
    <definedName name="input_vvs_dr_flt_logs_nodec_fqdn">'Site Protection &amp; DR'!$D$37</definedName>
    <definedName name="input_vvs_dr_flt_net_nodea_fqdn">'Site Protection &amp; DR'!$D$38</definedName>
    <definedName name="input_vvs_dr_flt_net_nodeb_fqdn">'Site Protection &amp; DR'!$D$39</definedName>
    <definedName name="input_vvs_dr_flt_net_nodec_fqdn">'Site Protection &amp; DR'!$D$40</definedName>
    <definedName name="input_vvs_dr_flt_ops_nodea_fqdn">'Site Protection &amp; DR'!$D$21</definedName>
    <definedName name="input_vvs_dr_flt_ops_nodeb_fqdn">'Site Protection &amp; DR'!$D$33</definedName>
    <definedName name="input_vvs_dr_flt_ops_nodec_fqdn">'Site Protection &amp; DR'!$D$34</definedName>
    <definedName name="input_vvs_dr_mgmt_az1_mgmt_vm_pg">'Site Protection &amp; DR'!$D$104</definedName>
    <definedName name="input_vvs_dr_mgmt_cl01_cluster">'Site Protection &amp; DR'!$D$100</definedName>
    <definedName name="input_vvs_dr_mgmt_cl01_datastore">'Site Protection &amp; DR'!$D$103</definedName>
    <definedName name="input_vvs_dr_mgmt_vc_fqdn">'Site Protection &amp; DR'!$D$99</definedName>
    <definedName name="input_vvs_dr_ntp1_server">'Site Protection &amp; DR'!$D$23</definedName>
    <definedName name="input_vvs_dr_parent_dns_zone">'Site Protection &amp; DR'!$D$17</definedName>
    <definedName name="input_vvs_dr_sso_domain">'Site Protection &amp; DR'!$D$133</definedName>
    <definedName name="input_vvs_dr_vr_password">'Site Protection &amp; DR'!$D$135</definedName>
    <definedName name="input_vvs_dr_vr_username">'Site Protection &amp; DR'!$D$134</definedName>
    <definedName name="input_vvs_mgmt_dr_vlr_fqdn">'Site Protection &amp; DR'!$D$105</definedName>
    <definedName name="input_vvs_mgmt_dr_vlr_hostname">'Site Protection &amp; DR'!$D$101</definedName>
    <definedName name="input_witness_dns_zone">Arkham!$C$12</definedName>
    <definedName name="input_wld_administrator_vsphere_local_password">'Deploy Workload Domain'!$D$172</definedName>
    <definedName name="input_wld_avilb_cluster_name">'Configure Workload Domain'!$D$234</definedName>
    <definedName name="input_wld_avilb_cluster_version">'Configure Workload Domain'!$D$222</definedName>
    <definedName name="input_wld_avilb_fqdn">'Configure Workload Domain'!$D$233</definedName>
    <definedName name="input_wld_avilb_ip">'Configure Workload Domain'!$D$232</definedName>
    <definedName name="input_wld_avilb_mgra_ip">'Configure Workload Domain'!$D$229</definedName>
    <definedName name="input_wld_avilb_mgrb_ip">'Configure Workload Domain'!$D$230</definedName>
    <definedName name="input_wld_avilb_mgrc_ip">'Configure Workload Domain'!$D$231</definedName>
    <definedName name="input_wld_avilb_root_password">'Configure Workload Domain'!$D$226</definedName>
    <definedName name="input_wld_avilb_vcfops_password">'Configure Workload Domain'!$D$227</definedName>
    <definedName name="input_wld_az1_dtgw_gateway_cidr">'Configure Workload Domain'!$D$135</definedName>
    <definedName name="input_wld_az1_dtgw_vlan">'Configure Workload Domain'!$D$134</definedName>
    <definedName name="input_wld_az1_edge_overlay_cidr">'Configure Workload Domain'!$D$67</definedName>
    <definedName name="input_wld_az1_edge_overlay_gateway_ip">'Configure Workload Domain'!$D$68</definedName>
    <definedName name="input_wld_az1_edge_overlay_mask">'Configure Workload Domain'!$D$69</definedName>
    <definedName name="input_wld_az1_edge_overlay_network_pool_name">'Configure Workload Domain'!$D$62</definedName>
    <definedName name="input_wld_az1_edge_overlay_pool_end_ip">'Configure Workload Domain'!$D$64</definedName>
    <definedName name="input_wld_az1_edge_overlay_pool_start_ip">'Configure Workload Domain'!$D$63</definedName>
    <definedName name="input_wld_az1_edge_overlay_vlan">'Configure Workload Domain'!$D$59</definedName>
    <definedName name="input_wld_az1_en1_edge_overlay_interface_ip_1_ip">'Configure Workload Domain'!$D$65</definedName>
    <definedName name="input_wld_az1_en1_edge_overlay_interface_ip_2_ip">'Configure Workload Domain'!$D$66</definedName>
    <definedName name="input_wld_az1_en1_eth0_uplink0">'Configure Workload Domain'!$D$55</definedName>
    <definedName name="input_wld_az1_en1_eth0_uplink1">'Configure Workload Domain'!$D$56</definedName>
    <definedName name="input_wld_az1_en1_eth1_uplink0">'Configure Workload Domain'!$D$57</definedName>
    <definedName name="input_wld_az1_en1_eth1_uplink1">'Configure Workload Domain'!$D$58</definedName>
    <definedName name="input_wld_az1_en1_fqdn">'Configure Workload Domain'!$D$42</definedName>
    <definedName name="input_wld_az1_en1_mgmt_cidr">'Configure Workload Domain'!$D$50</definedName>
    <definedName name="input_wld_az1_en1_uplink01_interface_cidr">'Configure Workload Domain'!$D$105</definedName>
    <definedName name="input_wld_az1_en1_uplink02_interface_cidr">'Configure Workload Domain'!$D$112</definedName>
    <definedName name="input_wld_az1_en2_edge_overlay_interface_ip_1_ip">'Configure Workload Domain'!$D$90</definedName>
    <definedName name="input_wld_az1_en2_edge_overlay_interface_ip_2_ip">'Configure Workload Domain'!$D$91</definedName>
    <definedName name="input_wld_az1_en2_eth0_uplink0">'Configure Workload Domain'!$D$83</definedName>
    <definedName name="input_wld_az1_en2_eth0_uplink1">'Configure Workload Domain'!$D$84</definedName>
    <definedName name="input_wld_az1_en2_eth1_uplink0">'Configure Workload Domain'!$D$85</definedName>
    <definedName name="input_wld_az1_en2_eth1_uplink1">'Configure Workload Domain'!$D$86</definedName>
    <definedName name="input_wld_az1_en2_fqdn">'Configure Workload Domain'!$D$71</definedName>
    <definedName name="input_wld_az1_en2_mgmt_cidr">'Configure Workload Domain'!$D$79</definedName>
    <definedName name="input_wld_az1_en2_uplink01_interface_cidr">'Configure Workload Domain'!$D$120</definedName>
    <definedName name="input_wld_az1_en2_uplink02_interface_cidr">'Configure Workload Domain'!$D$127</definedName>
    <definedName name="input_wld_az1_host_overlay_cidr">'Deploy Workload Domain'!$D$330</definedName>
    <definedName name="input_wld_az1_host_overlay_gateway_ip">'Deploy Workload Domain'!$D$333</definedName>
    <definedName name="input_wld_az1_host_overlay_mtu">'Deploy Workload Domain'!$D$388</definedName>
    <definedName name="input_wld_az1_host_overlay_network_pool_description">'Deploy Workload Domain'!$D$329</definedName>
    <definedName name="input_wld_az1_host_overlay_network_pool_name">'Deploy Workload Domain'!$D$328</definedName>
    <definedName name="input_wld_az1_host_overlay_pool_end_ip">'Deploy Workload Domain'!$D$332</definedName>
    <definedName name="input_wld_az1_host_overlay_pool_start_ip">'Deploy Workload Domain'!$D$331</definedName>
    <definedName name="input_wld_az1_host_overlay_uplink_profile_name">'Deploy Workload Domain'!$D$336</definedName>
    <definedName name="input_wld_az1_host_overlay_vlan">'Deploy Workload Domain'!$D$325</definedName>
    <definedName name="input_wld_az1_host1_fqdn">'Deploy Workload Domain'!$D$131</definedName>
    <definedName name="input_wld_az1_host1_mgmt_ip">'Deploy Workload Domain'!$D$62</definedName>
    <definedName name="input_wld_az1_host1_vrms_ip">'Dumping Ground'!$D$293</definedName>
    <definedName name="input_wld_az1_host10_fqdn">'Deploy Workload Domain'!$D$140</definedName>
    <definedName name="input_wld_az1_host10_mgmt_ip">'Deploy Workload Domain'!$D$71</definedName>
    <definedName name="input_wld_az1_host10_vrms_ip">'Dumping Ground'!$D$302</definedName>
    <definedName name="input_wld_az1_host11_fqdn">'Deploy Workload Domain'!$D$141</definedName>
    <definedName name="input_wld_az1_host11_mgmt_ip">'Deploy Workload Domain'!$D$72</definedName>
    <definedName name="input_wld_az1_host11_vrms_ip">'Dumping Ground'!$D$303</definedName>
    <definedName name="input_wld_az1_host12_fqdn">'Deploy Workload Domain'!$D$142</definedName>
    <definedName name="input_wld_az1_host12_mgmt_ip">'Deploy Workload Domain'!$D$73</definedName>
    <definedName name="input_wld_az1_host12_vrms_ip">'Dumping Ground'!$D$304</definedName>
    <definedName name="input_wld_az1_host13_fqdn">'Deploy Workload Domain'!$D$143</definedName>
    <definedName name="input_wld_az1_host13_mgmt_ip">'Deploy Workload Domain'!$D$74</definedName>
    <definedName name="input_wld_az1_host13_vrms_ip">'Dumping Ground'!$D$305</definedName>
    <definedName name="input_wld_az1_host14_fqdn">'Deploy Workload Domain'!$D$144</definedName>
    <definedName name="input_wld_az1_host14_mgmt_ip">'Deploy Workload Domain'!$D$75</definedName>
    <definedName name="input_wld_az1_host14_vrms_ip">'Dumping Ground'!$D$306</definedName>
    <definedName name="input_wld_az1_host15_fqdn">'Deploy Workload Domain'!$D$145</definedName>
    <definedName name="input_wld_az1_host15_mgmt_ip">'Deploy Workload Domain'!$D$76</definedName>
    <definedName name="input_wld_az1_host15_vrms_ip">'Dumping Ground'!$D$307</definedName>
    <definedName name="input_wld_az1_host16_fqdn">'Deploy Workload Domain'!$D$146</definedName>
    <definedName name="input_wld_az1_host16_mgmt_ip">'Deploy Workload Domain'!$D$77</definedName>
    <definedName name="input_wld_az1_host16_vrms_ip">'Dumping Ground'!$D$308</definedName>
    <definedName name="input_wld_az1_host2_fqdn">'Deploy Workload Domain'!$D$132</definedName>
    <definedName name="input_wld_az1_host2_mgmt_ip">'Deploy Workload Domain'!$D$63</definedName>
    <definedName name="input_wld_az1_host2_vrms_ip">'Dumping Ground'!$D$294</definedName>
    <definedName name="input_wld_az1_host3_fqdn">'Deploy Workload Domain'!$D$133</definedName>
    <definedName name="input_wld_az1_host3_mgmt_ip">'Deploy Workload Domain'!$D$64</definedName>
    <definedName name="input_wld_az1_host3_vrms_ip">'Dumping Ground'!$D$295</definedName>
    <definedName name="input_wld_az1_host4_fqdn">'Deploy Workload Domain'!$D$134</definedName>
    <definedName name="input_wld_az1_host4_mgmt_ip">'Deploy Workload Domain'!$D$65</definedName>
    <definedName name="input_wld_az1_host4_vrms_ip">'Dumping Ground'!$D$296</definedName>
    <definedName name="input_wld_az1_host5_fqdn">'Deploy Workload Domain'!$D$135</definedName>
    <definedName name="input_wld_az1_host5_mgmt_ip">'Deploy Workload Domain'!$D$66</definedName>
    <definedName name="input_wld_az1_host5_vrms_ip">'Dumping Ground'!$D$297</definedName>
    <definedName name="input_wld_az1_host6_fqdn">'Deploy Workload Domain'!$D$136</definedName>
    <definedName name="input_wld_az1_host6_mgmt_ip">'Deploy Workload Domain'!$D$67</definedName>
    <definedName name="input_wld_az1_host6_vrms_ip">'Dumping Ground'!$D$298</definedName>
    <definedName name="input_wld_az1_host7_fqdn">'Deploy Workload Domain'!$D$137</definedName>
    <definedName name="input_wld_az1_host7_mgmt_ip">'Deploy Workload Domain'!$D$68</definedName>
    <definedName name="input_wld_az1_host7_vrms_ip">'Dumping Ground'!$D$299</definedName>
    <definedName name="input_wld_az1_host8_fqdn">'Deploy Workload Domain'!$D$138</definedName>
    <definedName name="input_wld_az1_host8_mgmt_ip">'Deploy Workload Domain'!$D$69</definedName>
    <definedName name="input_wld_az1_host8_vrms_ip">'Dumping Ground'!$D$300</definedName>
    <definedName name="input_wld_az1_host9_fqdn">'Deploy Workload Domain'!$D$139</definedName>
    <definedName name="input_wld_az1_host9_mgmt_ip">'Deploy Workload Domain'!$D$70</definedName>
    <definedName name="input_wld_az1_host9_vrms_ip">'Dumping Ground'!$D$301</definedName>
    <definedName name="input_wld_az1_mgmt_gateway_cidr">'Deploy Workload Domain'!$D$60</definedName>
    <definedName name="input_wld_az1_mgmt_mtu">'Deploy Workload Domain'!$D$59</definedName>
    <definedName name="input_wld_az1_mgmt_vlan">'Deploy Workload Domain'!$D$58</definedName>
    <definedName name="input_wld_az1_mgmt_vm_gateway_cidr">'Deploy Workload Domain'!$D$370</definedName>
    <definedName name="input_wld_az1_mgmt_vm_mtu">'Deploy Workload Domain'!$D$371</definedName>
    <definedName name="input_wld_az1_mgmt_vm_vlan">'Deploy Workload Domain'!$D$369</definedName>
    <definedName name="input_wld_az1_pool_name">'Deploy Workload Domain'!$D$82</definedName>
    <definedName name="input_wld_az1_principal_storage_gateway_cidr">'Deploy Workload Domain'!$D$99</definedName>
    <definedName name="input_wld_az1_principal_storage_mtu">'Deploy Workload Domain'!$D$97</definedName>
    <definedName name="input_wld_az1_principal_storage_pool_end_ip">'Deploy Workload Domain'!$D$102</definedName>
    <definedName name="input_wld_az1_principal_storage_pool_start_ip">'Deploy Workload Domain'!$D$101</definedName>
    <definedName name="input_wld_az1_principal_storage_vlan">'Deploy Workload Domain'!$D$96</definedName>
    <definedName name="input_wld_az1_rack1_host_overlay_network_profile_name">'Deploy Workload Domain'!$D$340</definedName>
    <definedName name="input_wld_az1_rack2_edge_overlay_gateway_ip">Arkham!$C$64</definedName>
    <definedName name="input_wld_az1_rack2_edge_overlay_mask">Arkham!$C$67</definedName>
    <definedName name="input_wld_az1_rack2_edge_overlay_mtu">Arkham!$C$70</definedName>
    <definedName name="input_wld_az1_rack2_edge_overlay_network">Arkham!$C$61</definedName>
    <definedName name="input_wld_az1_rack2_edge_overlay_network_pool_name">'Additional Racks'!$D$82</definedName>
    <definedName name="input_wld_az1_rack2_edge_overlay_pool_end_ip">Arkham!$C$72</definedName>
    <definedName name="input_wld_az1_rack2_edge_overlay_pool_start_ip">Arkham!$C$71</definedName>
    <definedName name="input_wld_az1_rack2_edge_overlay_vlan">Arkham!$C$58</definedName>
    <definedName name="input_wld_az1_rack2_host_overlay_cidr">Arkham!$C$23</definedName>
    <definedName name="input_wld_az1_rack2_host_overlay_gateway_ip">'Additional Racks'!$D$95</definedName>
    <definedName name="input_wld_az1_rack2_host_overlay_mask">'Additional Racks'!$D$94</definedName>
    <definedName name="input_wld_az1_rack2_host_overlay_mtu">'Additional Racks'!$D$92</definedName>
    <definedName name="input_wld_az1_rack2_host_overlay_network">'Additional Racks'!$D$93</definedName>
    <definedName name="input_wld_az1_rack2_host_overlay_network_pool_name">'Additional Racks'!$D$80</definedName>
    <definedName name="input_wld_az1_rack2_host_overlay_network_profile_name">'Additional Racks'!$D$78</definedName>
    <definedName name="input_wld_az1_rack2_host_overlay_pool_end_ip">'Additional Racks'!$D$97</definedName>
    <definedName name="input_wld_az1_rack2_host_overlay_pool_start_ip">'Additional Racks'!$D$96</definedName>
    <definedName name="input_wld_az1_rack2_host_overlay_uplink_profile_name">'Additional Racks'!$D$81</definedName>
    <definedName name="input_wld_az1_rack2_host_overlay_vlan">'Additional Racks'!$D$91</definedName>
    <definedName name="input_wld_az1_rack2_host1_fqdn">'Additional Racks'!$D$54</definedName>
    <definedName name="input_wld_az1_rack2_host1_mgmt_ip">'Additional Racks'!$D$14</definedName>
    <definedName name="input_wld_az1_rack2_host10_fqdn">'Additional Racks'!$D$63</definedName>
    <definedName name="input_wld_az1_rack2_host10_mgmt_ip">'Additional Racks'!$D$23</definedName>
    <definedName name="input_wld_az1_rack2_host11_fqdn">'Additional Racks'!$D$64</definedName>
    <definedName name="input_wld_az1_rack2_host11_mgmt_ip">'Additional Racks'!$D$24</definedName>
    <definedName name="input_wld_az1_rack2_host12_fqdn">'Additional Racks'!$D$65</definedName>
    <definedName name="input_wld_az1_rack2_host12_mgmt_ip">'Additional Racks'!$D$25</definedName>
    <definedName name="input_wld_az1_rack2_host13_fqdn">'Additional Racks'!$D$66</definedName>
    <definedName name="input_wld_az1_rack2_host13_mgmt_ip">'Additional Racks'!$D$26</definedName>
    <definedName name="input_wld_az1_rack2_host14_fqdn">'Additional Racks'!$D$67</definedName>
    <definedName name="input_wld_az1_rack2_host14_mgmt_ip">'Additional Racks'!$D$27</definedName>
    <definedName name="input_wld_az1_rack2_host15_fqdn">'Additional Racks'!$D$68</definedName>
    <definedName name="input_wld_az1_rack2_host15_mgmt_ip">'Additional Racks'!$D$28</definedName>
    <definedName name="input_wld_az1_rack2_host16_fqdn">'Additional Racks'!$D$69</definedName>
    <definedName name="input_wld_az1_rack2_host16_mgmt_ip">'Additional Racks'!$D$29</definedName>
    <definedName name="input_wld_az1_rack2_host2_fqdn">'Additional Racks'!$D$55</definedName>
    <definedName name="input_wld_az1_rack2_host2_mgmt_ip">'Additional Racks'!$D$15</definedName>
    <definedName name="input_wld_az1_rack2_host3_fqdn">'Additional Racks'!$D$56</definedName>
    <definedName name="input_wld_az1_rack2_host3_mgmt_ip">'Additional Racks'!$D$16</definedName>
    <definedName name="input_wld_az1_rack2_host4_fqdn">'Additional Racks'!$D$57</definedName>
    <definedName name="input_wld_az1_rack2_host4_mgmt_ip">'Additional Racks'!$D$17</definedName>
    <definedName name="input_wld_az1_rack2_host5_fqdn">'Additional Racks'!$D$58</definedName>
    <definedName name="input_wld_az1_rack2_host5_mgmt_ip">'Additional Racks'!$D$18</definedName>
    <definedName name="input_wld_az1_rack2_host6_fqdn">'Additional Racks'!$D$59</definedName>
    <definedName name="input_wld_az1_rack2_host6_mgmt_ip">'Additional Racks'!$D$19</definedName>
    <definedName name="input_wld_az1_rack2_host7_fqdn">'Additional Racks'!$D$60</definedName>
    <definedName name="input_wld_az1_rack2_host7_mgmt_ip">'Additional Racks'!$D$20</definedName>
    <definedName name="input_wld_az1_rack2_host8_fqdn">'Additional Racks'!$D$61</definedName>
    <definedName name="input_wld_az1_rack2_host8_mgmt_ip">'Additional Racks'!$D$21</definedName>
    <definedName name="input_wld_az1_rack2_host9_fqdn">'Additional Racks'!$D$62</definedName>
    <definedName name="input_wld_az1_rack2_host9_mgmt_ip">'Additional Racks'!$D$22</definedName>
    <definedName name="input_wld_az1_rack2_mgmt_cidr">'Additional Racks'!$D$11</definedName>
    <definedName name="input_wld_az1_rack2_mgmt_gateway_ip">'Additional Racks'!$D$10</definedName>
    <definedName name="input_wld_az1_rack2_mgmt_mtu">'Additional Racks'!$D$12</definedName>
    <definedName name="input_wld_az1_rack2_mgmt_vlan">'Additional Racks'!$D$9</definedName>
    <definedName name="input_wld_az1_rack2_mgmt_vm_cidr">'Value Reference Tables - MR'!$N$275</definedName>
    <definedName name="input_wld_az1_rack2_mgmt_vm_gateway_ip">'Value Reference Tables - MR'!$P$275</definedName>
    <definedName name="input_wld_az1_rack2_mgmt_vm_mtu">'Value Reference Tables - MR'!$R$275</definedName>
    <definedName name="input_wld_az1_rack2_mgmt_vm_vlan">'Value Reference Tables - MR'!$L$275</definedName>
    <definedName name="input_wld_az1_rack2_pool_name">'Additional Racks'!$D$34</definedName>
    <definedName name="input_wld_az1_rack2_principal_storage_cidr">Arkham!$C$21</definedName>
    <definedName name="input_wld_az1_rack2_principal_storage_gateway_ip">'Additional Racks'!$D$48</definedName>
    <definedName name="input_wld_az1_rack2_principal_storage_mask">'Additional Racks'!$D$47</definedName>
    <definedName name="input_wld_az1_rack2_principal_storage_mtu">'Additional Racks'!$D$45</definedName>
    <definedName name="input_wld_az1_rack2_principal_storage_network">'Additional Racks'!$D$46</definedName>
    <definedName name="input_wld_az1_rack2_principal_storage_pool_end_ip">'Additional Racks'!$D$50</definedName>
    <definedName name="input_wld_az1_rack2_principal_storage_pool_start_ip">'Additional Racks'!$D$49</definedName>
    <definedName name="input_wld_az1_rack2_principal_storage_vlan">'Additional Racks'!$D$44</definedName>
    <definedName name="input_wld_az1_rack2_rtep_ip_pool_name">'Additional Racks'!$D$83</definedName>
    <definedName name="input_wld_az1_rack2_secondary_storage_cidr">Arkham!$C$22</definedName>
    <definedName name="input_wld_az1_rack2_secondary_storage_gateway_ip">'Dumping Ground'!$D$512</definedName>
    <definedName name="input_wld_az1_rack2_secondary_storage_mask">'Dumping Ground'!$D$511</definedName>
    <definedName name="input_wld_az1_rack2_secondary_storage_mtu">'Dumping Ground'!$D$509</definedName>
    <definedName name="input_wld_az1_rack2_secondary_storage_network">'Dumping Ground'!$D$510</definedName>
    <definedName name="input_wld_az1_rack2_secondary_storage_pool_end_ip">'Dumping Ground'!$D$514</definedName>
    <definedName name="input_wld_az1_rack2_secondary_storage_pool_start_ip">'Dumping Ground'!$D$513</definedName>
    <definedName name="input_wld_az1_rack2_secondary_storage_vlan">'Dumping Ground'!$D$508</definedName>
    <definedName name="input_wld_az1_rack2_tor1_peer_asn">Arkham!$C$75</definedName>
    <definedName name="input_wld_az1_rack2_tor1_peer_bgp_password">Arkham!$C$76</definedName>
    <definedName name="input_wld_az1_rack2_tor1_peer_ip">Arkham!$C$74</definedName>
    <definedName name="input_wld_az1_rack2_tor2_peer_asn">Arkham!$C$78</definedName>
    <definedName name="input_wld_az1_rack2_tor2_peer_bgp_password">Arkham!$C$79</definedName>
    <definedName name="input_wld_az1_rack2_tor2_peer_ip">Arkham!$C$77</definedName>
    <definedName name="input_wld_az1_rack2_uplink01_gateway_ip">Arkham!$C$62</definedName>
    <definedName name="input_wld_az1_rack2_uplink01_mask">Arkham!$C$65</definedName>
    <definedName name="input_wld_az1_rack2_uplink01_mtu">Arkham!$C$68</definedName>
    <definedName name="input_wld_az1_rack2_uplink01_network">Arkham!$C$59</definedName>
    <definedName name="input_wld_az1_rack2_uplink01_vlan">Arkham!$C$56</definedName>
    <definedName name="input_wld_az1_rack2_uplink02_gateway_ip">Arkham!$C$63</definedName>
    <definedName name="input_wld_az1_rack2_uplink02_mask">Arkham!$C$66</definedName>
    <definedName name="input_wld_az1_rack2_uplink02_mtu">Arkham!$C$69</definedName>
    <definedName name="input_wld_az1_rack2_uplink02_network">Arkham!$C$60</definedName>
    <definedName name="input_wld_az1_rack2_uplink02_vlan">Arkham!$C$57</definedName>
    <definedName name="input_wld_az1_rack2_vmotion_cidr">Arkham!$C$20</definedName>
    <definedName name="input_wld_az1_rack2_vmotion_gateway_ip">'Additional Racks'!$D$40</definedName>
    <definedName name="input_wld_az1_rack2_vmotion_mask">'Additional Racks'!$D$39</definedName>
    <definedName name="input_wld_az1_rack2_vmotion_mtu">'Additional Racks'!$D$37</definedName>
    <definedName name="input_wld_az1_rack2_vmotion_network">'Additional Racks'!$D$38</definedName>
    <definedName name="input_wld_az1_rack2_vmotion_pool_end_ip">'Additional Racks'!$D$42</definedName>
    <definedName name="input_wld_az1_rack2_vmotion_pool_start_ip">'Additional Racks'!$D$41</definedName>
    <definedName name="input_wld_az1_rack2_vmotion_vlan">'Additional Racks'!$D$36</definedName>
    <definedName name="input_wld_az1_rack2_vsan_fault_domain">'Additional Racks'!$D$86</definedName>
    <definedName name="input_wld_az1_rack3_edge_overlay_gateway_ip">Arkham!$F$64</definedName>
    <definedName name="input_wld_az1_rack3_edge_overlay_mask">Arkham!$F$67</definedName>
    <definedName name="input_wld_az1_rack3_edge_overlay_mtu">Arkham!$F$70</definedName>
    <definedName name="input_wld_az1_rack3_edge_overlay_network">Arkham!$F$61</definedName>
    <definedName name="input_wld_az1_rack3_edge_overlay_network_pool_name">'Additional Racks'!$D$175</definedName>
    <definedName name="input_wld_az1_rack3_edge_overlay_pool_end_ip">Arkham!$F$72</definedName>
    <definedName name="input_wld_az1_rack3_edge_overlay_pool_start_ip">Arkham!$F$71</definedName>
    <definedName name="input_wld_az1_rack3_edge_overlay_vlan">Arkham!$F$58</definedName>
    <definedName name="input_wld_az1_rack3_host_overlay_cidr">Arkham!$C$27</definedName>
    <definedName name="input_wld_az1_rack3_host_overlay_gateway_ip">'Additional Racks'!$D$188</definedName>
    <definedName name="input_wld_az1_rack3_host_overlay_mask">'Additional Racks'!$D$187</definedName>
    <definedName name="input_wld_az1_rack3_host_overlay_mtu">'Additional Racks'!$D$185</definedName>
    <definedName name="input_wld_az1_rack3_host_overlay_network">'Additional Racks'!$D$186</definedName>
    <definedName name="input_wld_az1_rack3_host_overlay_network_pool_name">'Additional Racks'!$D$173</definedName>
    <definedName name="input_wld_az1_rack3_host_overlay_network_profile_name">'Additional Racks'!$D$171</definedName>
    <definedName name="input_wld_az1_rack3_host_overlay_pool_end_ip">'Additional Racks'!$D$190</definedName>
    <definedName name="input_wld_az1_rack3_host_overlay_pool_start_ip">'Additional Racks'!$D$189</definedName>
    <definedName name="input_wld_az1_rack3_host_overlay_uplink_profile_name">'Additional Racks'!$D$174</definedName>
    <definedName name="input_wld_az1_rack3_host_overlay_vlan">'Additional Racks'!$D$184</definedName>
    <definedName name="input_wld_az1_rack3_host1_fqdn">'Additional Racks'!$D$147</definedName>
    <definedName name="input_wld_az1_rack3_host1_mgmt_ip">'Additional Racks'!$D$107</definedName>
    <definedName name="input_wld_az1_rack3_host10_fqdn">'Additional Racks'!$D$156</definedName>
    <definedName name="input_wld_az1_rack3_host10_mgmt_ip">'Additional Racks'!$D$116</definedName>
    <definedName name="input_wld_az1_rack3_host11_fqdn">'Additional Racks'!$D$157</definedName>
    <definedName name="input_wld_az1_rack3_host11_mgmt_ip">'Additional Racks'!$D$117</definedName>
    <definedName name="input_wld_az1_rack3_host12_fqdn">'Additional Racks'!$D$158</definedName>
    <definedName name="input_wld_az1_rack3_host12_mgmt_ip">'Additional Racks'!$D$118</definedName>
    <definedName name="input_wld_az1_rack3_host13_fqdn">'Additional Racks'!$D$159</definedName>
    <definedName name="input_wld_az1_rack3_host13_mgmt_ip">'Additional Racks'!$D$119</definedName>
    <definedName name="input_wld_az1_rack3_host14_fqdn">'Additional Racks'!$D$160</definedName>
    <definedName name="input_wld_az1_rack3_host14_mgmt_ip">'Additional Racks'!$D$120</definedName>
    <definedName name="input_wld_az1_rack3_host15_fqdn">'Additional Racks'!$D$161</definedName>
    <definedName name="input_wld_az1_rack3_host15_mgmt_ip">'Additional Racks'!$D$121</definedName>
    <definedName name="input_wld_az1_rack3_host16_fqdn">'Additional Racks'!$D$162</definedName>
    <definedName name="input_wld_az1_rack3_host16_mgmt_ip">'Additional Racks'!$D$122</definedName>
    <definedName name="input_wld_az1_rack3_host2_fqdn">'Additional Racks'!$D$148</definedName>
    <definedName name="input_wld_az1_rack3_host2_mgmt_ip">'Additional Racks'!$D$108</definedName>
    <definedName name="input_wld_az1_rack3_host3_fqdn">'Additional Racks'!$D$149</definedName>
    <definedName name="input_wld_az1_rack3_host3_mgmt_ip">'Additional Racks'!$D$109</definedName>
    <definedName name="input_wld_az1_rack3_host4_fqdn">'Additional Racks'!$D$150</definedName>
    <definedName name="input_wld_az1_rack3_host4_mgmt_ip">'Additional Racks'!$D$110</definedName>
    <definedName name="input_wld_az1_rack3_host5_fqdn">'Additional Racks'!$D$151</definedName>
    <definedName name="input_wld_az1_rack3_host5_mgmt_ip">'Additional Racks'!$D$111</definedName>
    <definedName name="input_wld_az1_rack3_host6_fqdn">'Additional Racks'!$D$152</definedName>
    <definedName name="input_wld_az1_rack3_host6_mgmt_ip">'Additional Racks'!$D$112</definedName>
    <definedName name="input_wld_az1_rack3_host7_fqdn">'Additional Racks'!$D$153</definedName>
    <definedName name="input_wld_az1_rack3_host7_mgmt_ip">'Additional Racks'!$D$113</definedName>
    <definedName name="input_wld_az1_rack3_host8_fqdn">'Additional Racks'!$D$154</definedName>
    <definedName name="input_wld_az1_rack3_host8_mgmt_ip">'Additional Racks'!$D$114</definedName>
    <definedName name="input_wld_az1_rack3_host9_fqdn">'Additional Racks'!$D$155</definedName>
    <definedName name="input_wld_az1_rack3_host9_mgmt_ip">'Additional Racks'!$D$115</definedName>
    <definedName name="input_wld_az1_rack3_mgmt_cidr">'Additional Racks'!$D$104</definedName>
    <definedName name="input_wld_az1_rack3_mgmt_gateway_ip">'Additional Racks'!$D$103</definedName>
    <definedName name="input_wld_az1_rack3_mgmt_mtu">'Additional Racks'!$D$105</definedName>
    <definedName name="input_wld_az1_rack3_mgmt_vlan">'Additional Racks'!$D$102</definedName>
    <definedName name="input_wld_az1_rack3_mgmt_vm_cidr">'Value Reference Tables - MR'!$N$276</definedName>
    <definedName name="input_wld_az1_rack3_mgmt_vm_gateway_ip">'Value Reference Tables - MR'!$P$276</definedName>
    <definedName name="input_wld_az1_rack3_mgmt_vm_mtu">'Value Reference Tables - MR'!$R$276</definedName>
    <definedName name="input_wld_az1_rack3_mgmt_vm_vlan">'Value Reference Tables - MR'!$L$276</definedName>
    <definedName name="input_wld_az1_rack3_pool_name">'Additional Racks'!$D$127</definedName>
    <definedName name="input_wld_az1_rack3_principal_storage_cidr">Arkham!$C$25</definedName>
    <definedName name="input_wld_az1_rack3_principal_storage_gateway_ip">'Additional Racks'!$D$141</definedName>
    <definedName name="input_wld_az1_rack3_principal_storage_mask">'Additional Racks'!$D$140</definedName>
    <definedName name="input_wld_az1_rack3_principal_storage_mtu">'Additional Racks'!$D$138</definedName>
    <definedName name="input_wld_az1_rack3_principal_storage_network">'Additional Racks'!$D$139</definedName>
    <definedName name="input_wld_az1_rack3_principal_storage_pool_end_ip">'Additional Racks'!$D$143</definedName>
    <definedName name="input_wld_az1_rack3_principal_storage_pool_start_ip">'Additional Racks'!$D$142</definedName>
    <definedName name="input_wld_az1_rack3_principal_storage_vlan">'Additional Racks'!$D$137</definedName>
    <definedName name="input_wld_az1_rack3_rtep_ip_pool_name">'Additional Racks'!$D$176</definedName>
    <definedName name="input_wld_az1_rack3_secondary_storage_cidr">Arkham!$C$26</definedName>
    <definedName name="input_wld_az1_rack3_secondary_storage_gateway_ip">'Dumping Ground'!$D$520</definedName>
    <definedName name="input_wld_az1_rack3_secondary_storage_mask">'Dumping Ground'!$D$519</definedName>
    <definedName name="input_wld_az1_rack3_secondary_storage_mtu">'Dumping Ground'!$D$517</definedName>
    <definedName name="input_wld_az1_rack3_secondary_storage_network">'Dumping Ground'!$D$518</definedName>
    <definedName name="input_wld_az1_rack3_secondary_storage_pool_end_ip">'Dumping Ground'!$D$522</definedName>
    <definedName name="input_wld_az1_rack3_secondary_storage_pool_start_ip">'Dumping Ground'!$D$521</definedName>
    <definedName name="input_wld_az1_rack3_secondary_storage_vlan">'Dumping Ground'!$D$516</definedName>
    <definedName name="input_wld_az1_rack3_tor1_peer_asn">Arkham!$F$75</definedName>
    <definedName name="input_wld_az1_rack3_tor1_peer_bgp_password">Arkham!$F$76</definedName>
    <definedName name="input_wld_az1_rack3_tor1_peer_ip">Arkham!$F$74</definedName>
    <definedName name="input_wld_az1_rack3_tor2_peer_asn">Arkham!$F$78</definedName>
    <definedName name="input_wld_az1_rack3_tor2_peer_bgp_password">Arkham!$F$79</definedName>
    <definedName name="input_wld_az1_rack3_tor2_peer_ip">Arkham!$F$77</definedName>
    <definedName name="input_wld_az1_rack3_uplink01_gateway_ip">Arkham!$F$62</definedName>
    <definedName name="input_wld_az1_rack3_uplink01_mask">Arkham!$F$65</definedName>
    <definedName name="input_wld_az1_rack3_uplink01_mtu">Arkham!$F$68</definedName>
    <definedName name="input_wld_az1_rack3_uplink01_network">Arkham!$F$59</definedName>
    <definedName name="input_wld_az1_rack3_uplink01_vlan">Arkham!$F$56</definedName>
    <definedName name="input_wld_az1_rack3_uplink02_gateway_ip">Arkham!$F$63</definedName>
    <definedName name="input_wld_az1_rack3_uplink02_mask">Arkham!$F$66</definedName>
    <definedName name="input_wld_az1_rack3_uplink02_mtu">Arkham!$F$69</definedName>
    <definedName name="input_wld_az1_rack3_uplink02_network">Arkham!$F$60</definedName>
    <definedName name="input_wld_az1_rack3_uplink02_vlan">Arkham!$F$57</definedName>
    <definedName name="input_wld_az1_rack3_vmotion_cidr">Arkham!$C$24</definedName>
    <definedName name="input_wld_az1_rack3_vmotion_gateway_ip">'Additional Racks'!$D$133</definedName>
    <definedName name="input_wld_az1_rack3_vmotion_mask">'Additional Racks'!$D$132</definedName>
    <definedName name="input_wld_az1_rack3_vmotion_mtu">'Additional Racks'!$D$130</definedName>
    <definedName name="input_wld_az1_rack3_vmotion_network">'Additional Racks'!$D$131</definedName>
    <definedName name="input_wld_az1_rack3_vmotion_pool_end_ip">'Additional Racks'!$D$135</definedName>
    <definedName name="input_wld_az1_rack3_vmotion_pool_start_ip">'Additional Racks'!$D$134</definedName>
    <definedName name="input_wld_az1_rack3_vmotion_vlan">'Additional Racks'!$D$129</definedName>
    <definedName name="input_wld_az1_rack3_vsan_fault_domain">'Additional Racks'!$D$179</definedName>
    <definedName name="input_wld_az1_rack4_edge_overlay_gateway_ip">Arkham!$I$64</definedName>
    <definedName name="input_wld_az1_rack4_edge_overlay_mask">Arkham!$I$67</definedName>
    <definedName name="input_wld_az1_rack4_edge_overlay_mtu">Arkham!$I$70</definedName>
    <definedName name="input_wld_az1_rack4_edge_overlay_network">Arkham!$I$61</definedName>
    <definedName name="input_wld_az1_rack4_edge_overlay_network_pool_name">'Additional Racks'!$D$268</definedName>
    <definedName name="input_wld_az1_rack4_edge_overlay_pool_end_ip">Arkham!$I$72</definedName>
    <definedName name="input_wld_az1_rack4_edge_overlay_pool_start_ip">Arkham!$I$71</definedName>
    <definedName name="input_wld_az1_rack4_edge_overlay_vlan">Arkham!$I$58</definedName>
    <definedName name="input_wld_az1_rack4_host_overlay_cidr">Arkham!$C$31</definedName>
    <definedName name="input_wld_az1_rack4_host_overlay_gateway_ip">'Additional Racks'!$D$281</definedName>
    <definedName name="input_wld_az1_rack4_host_overlay_mask">'Additional Racks'!$D$280</definedName>
    <definedName name="input_wld_az1_rack4_host_overlay_mtu">'Additional Racks'!$D$278</definedName>
    <definedName name="input_wld_az1_rack4_host_overlay_network">'Additional Racks'!$D$279</definedName>
    <definedName name="input_wld_az1_rack4_host_overlay_network_pool_name">'Additional Racks'!$D$266</definedName>
    <definedName name="input_wld_az1_rack4_host_overlay_network_profile_name">'Additional Racks'!$D$264</definedName>
    <definedName name="input_wld_az1_rack4_host_overlay_pool_end_ip">'Additional Racks'!$D$283</definedName>
    <definedName name="input_wld_az1_rack4_host_overlay_pool_start_ip">'Additional Racks'!$D$282</definedName>
    <definedName name="input_wld_az1_rack4_host_overlay_uplink_profile_name">'Additional Racks'!$D$267</definedName>
    <definedName name="input_wld_az1_rack4_host_overlay_vlan">'Additional Racks'!$D$277</definedName>
    <definedName name="input_wld_az1_rack4_host1_fqdn">'Additional Racks'!$D$240</definedName>
    <definedName name="input_wld_az1_rack4_host1_mgmt_ip">'Additional Racks'!$D$200</definedName>
    <definedName name="input_wld_az1_rack4_host10_fqdn">'Additional Racks'!$D$249</definedName>
    <definedName name="input_wld_az1_rack4_host10_mgmt_ip">'Additional Racks'!$D$209</definedName>
    <definedName name="input_wld_az1_rack4_host11_fqdn">'Additional Racks'!$D$250</definedName>
    <definedName name="input_wld_az1_rack4_host11_mgmt_ip">'Additional Racks'!$D$210</definedName>
    <definedName name="input_wld_az1_rack4_host12_fqdn">'Additional Racks'!$D$251</definedName>
    <definedName name="input_wld_az1_rack4_host12_mgmt_ip">'Additional Racks'!$D$211</definedName>
    <definedName name="input_wld_az1_rack4_host13_fqdn">'Additional Racks'!$D$252</definedName>
    <definedName name="input_wld_az1_rack4_host13_mgmt_ip">'Additional Racks'!$D$212</definedName>
    <definedName name="input_wld_az1_rack4_host14_fqdn">'Additional Racks'!$D$253</definedName>
    <definedName name="input_wld_az1_rack4_host14_mgmt_ip">'Additional Racks'!$D$213</definedName>
    <definedName name="input_wld_az1_rack4_host15_fqdn">'Additional Racks'!$D$254</definedName>
    <definedName name="input_wld_az1_rack4_host15_mgmt_ip">'Additional Racks'!$D$214</definedName>
    <definedName name="input_wld_az1_rack4_host16_fqdn">'Additional Racks'!$D$255</definedName>
    <definedName name="input_wld_az1_rack4_host16_mgmt_ip">'Additional Racks'!$D$215</definedName>
    <definedName name="input_wld_az1_rack4_host2_fqdn">'Additional Racks'!$D$241</definedName>
    <definedName name="input_wld_az1_rack4_host2_mgmt_ip">'Additional Racks'!$D$201</definedName>
    <definedName name="input_wld_az1_rack4_host3_fqdn">'Additional Racks'!$D$242</definedName>
    <definedName name="input_wld_az1_rack4_host3_mgmt_ip">'Additional Racks'!$D$202</definedName>
    <definedName name="input_wld_az1_rack4_host4_fqdn">'Additional Racks'!$D$243</definedName>
    <definedName name="input_wld_az1_rack4_host4_mgmt_ip">'Additional Racks'!$D$203</definedName>
    <definedName name="input_wld_az1_rack4_host5_fqdn">'Additional Racks'!$D$244</definedName>
    <definedName name="input_wld_az1_rack4_host5_mgmt_ip">'Additional Racks'!$D$204</definedName>
    <definedName name="input_wld_az1_rack4_host6_fqdn">'Additional Racks'!$D$245</definedName>
    <definedName name="input_wld_az1_rack4_host6_mgmt_ip">'Additional Racks'!$D$205</definedName>
    <definedName name="input_wld_az1_rack4_host7_fqdn">'Additional Racks'!$D$246</definedName>
    <definedName name="input_wld_az1_rack4_host7_mgmt_ip">'Additional Racks'!$D$206</definedName>
    <definedName name="input_wld_az1_rack4_host8_fqdn">'Additional Racks'!$D$247</definedName>
    <definedName name="input_wld_az1_rack4_host8_mgmt_ip">'Additional Racks'!$D$207</definedName>
    <definedName name="input_wld_az1_rack4_host9_fqdn">'Additional Racks'!$D$248</definedName>
    <definedName name="input_wld_az1_rack4_host9_mgmt_ip">'Additional Racks'!$D$208</definedName>
    <definedName name="input_wld_az1_rack4_mgmt_cidr">'Additional Racks'!$D$197</definedName>
    <definedName name="input_wld_az1_rack4_mgmt_gateway_ip">'Additional Racks'!$D$196</definedName>
    <definedName name="input_wld_az1_rack4_mgmt_mtu">'Additional Racks'!$D$198</definedName>
    <definedName name="input_wld_az1_rack4_mgmt_vlan">'Additional Racks'!$D$195</definedName>
    <definedName name="input_wld_az1_rack4_mgmt_vm_cidr">'Value Reference Tables - MR'!$N$277</definedName>
    <definedName name="input_wld_az1_rack4_mgmt_vm_gateway_ip">'Value Reference Tables - MR'!$P$277</definedName>
    <definedName name="input_wld_az1_rack4_mgmt_vm_mtu">'Value Reference Tables - MR'!$R$277</definedName>
    <definedName name="input_wld_az1_rack4_mgmt_vm_vlan">'Value Reference Tables - MR'!$L$277</definedName>
    <definedName name="input_wld_az1_rack4_pool_name">'Additional Racks'!$D$220</definedName>
    <definedName name="input_wld_az1_rack4_principal_storage_cidr">Arkham!$C$29</definedName>
    <definedName name="input_wld_az1_rack4_principal_storage_gateway_ip">'Additional Racks'!$D$234</definedName>
    <definedName name="input_wld_az1_rack4_principal_storage_mask">'Additional Racks'!$D$233</definedName>
    <definedName name="input_wld_az1_rack4_principal_storage_mtu">'Additional Racks'!$D$231</definedName>
    <definedName name="input_wld_az1_rack4_principal_storage_network">'Additional Racks'!$D$232</definedName>
    <definedName name="input_wld_az1_rack4_principal_storage_pool_end_ip">'Additional Racks'!$D$236</definedName>
    <definedName name="input_wld_az1_rack4_principal_storage_pool_start_ip">'Additional Racks'!$D$235</definedName>
    <definedName name="input_wld_az1_rack4_principal_storage_vlan">'Additional Racks'!$D$230</definedName>
    <definedName name="input_wld_az1_rack4_rtep_ip_pool_name">'Additional Racks'!$D$269</definedName>
    <definedName name="input_wld_az1_rack4_secondary_storage_cidr">Arkham!$C$30</definedName>
    <definedName name="input_wld_az1_rack4_secondary_storage_gateway_ip">'Dumping Ground'!$D$528</definedName>
    <definedName name="input_wld_az1_rack4_secondary_storage_mask">'Dumping Ground'!$D$527</definedName>
    <definedName name="input_wld_az1_rack4_secondary_storage_mtu">'Dumping Ground'!$D$525</definedName>
    <definedName name="input_wld_az1_rack4_secondary_storage_network">'Dumping Ground'!$D$526</definedName>
    <definedName name="input_wld_az1_rack4_secondary_storage_pool_end_ip">'Dumping Ground'!$D$530</definedName>
    <definedName name="input_wld_az1_rack4_secondary_storage_pool_start_ip">'Dumping Ground'!$D$529</definedName>
    <definedName name="input_wld_az1_rack4_secondary_storage_vlan">'Dumping Ground'!$D$524</definedName>
    <definedName name="input_wld_az1_rack4_tor1_peer_asn">Arkham!$I$75</definedName>
    <definedName name="input_wld_az1_rack4_tor1_peer_bgp_password">Arkham!$I$76</definedName>
    <definedName name="input_wld_az1_rack4_tor1_peer_ip">Arkham!$I$74</definedName>
    <definedName name="input_wld_az1_rack4_tor2_peer_asn">Arkham!$I$78</definedName>
    <definedName name="input_wld_az1_rack4_tor2_peer_bgp_password">Arkham!$I$79</definedName>
    <definedName name="input_wld_az1_rack4_tor2_peer_ip">Arkham!$I$77</definedName>
    <definedName name="input_wld_az1_rack4_uplink01_gateway_ip">Arkham!$I$62</definedName>
    <definedName name="input_wld_az1_rack4_uplink01_mask">Arkham!$I$65</definedName>
    <definedName name="input_wld_az1_rack4_uplink01_mtu">Arkham!$I$68</definedName>
    <definedName name="input_wld_az1_rack4_uplink01_network">Arkham!$I$59</definedName>
    <definedName name="input_wld_az1_rack4_uplink01_vlan">Arkham!$I$56</definedName>
    <definedName name="input_wld_az1_rack4_uplink02_gateway_ip">Arkham!$I$63</definedName>
    <definedName name="input_wld_az1_rack4_uplink02_mask">Arkham!$I$66</definedName>
    <definedName name="input_wld_az1_rack4_uplink02_mtu">Arkham!$I$69</definedName>
    <definedName name="input_wld_az1_rack4_uplink02_network">Arkham!$I$60</definedName>
    <definedName name="input_wld_az1_rack4_uplink02_vlan">Arkham!$I$57</definedName>
    <definedName name="input_wld_az1_rack4_vmotion_cidr">Arkham!$C$28</definedName>
    <definedName name="input_wld_az1_rack4_vmotion_gateway_ip">'Additional Racks'!$D$226</definedName>
    <definedName name="input_wld_az1_rack4_vmotion_mask">'Additional Racks'!$D$225</definedName>
    <definedName name="input_wld_az1_rack4_vmotion_mtu">'Additional Racks'!$D$223</definedName>
    <definedName name="input_wld_az1_rack4_vmotion_network">'Additional Racks'!$D$224</definedName>
    <definedName name="input_wld_az1_rack4_vmotion_pool_end_ip">'Additional Racks'!$D$228</definedName>
    <definedName name="input_wld_az1_rack4_vmotion_pool_start_ip">'Additional Racks'!$D$227</definedName>
    <definedName name="input_wld_az1_rack4_vmotion_vlan">'Additional Racks'!$D$222</definedName>
    <definedName name="input_wld_az1_rack4_vsan_fault_domain">'Additional Racks'!$D$272</definedName>
    <definedName name="input_wld_az1_rack5_edge_overlay_gateway_ip">Arkham!$L$64</definedName>
    <definedName name="input_wld_az1_rack5_edge_overlay_mask">Arkham!$L$67</definedName>
    <definedName name="input_wld_az1_rack5_edge_overlay_mtu">Arkham!$L$70</definedName>
    <definedName name="input_wld_az1_rack5_edge_overlay_network">Arkham!$L$61</definedName>
    <definedName name="input_wld_az1_rack5_edge_overlay_network_pool_name">'Additional Racks'!$D$361</definedName>
    <definedName name="input_wld_az1_rack5_edge_overlay_pool_end_ip">Arkham!$L$72</definedName>
    <definedName name="input_wld_az1_rack5_edge_overlay_pool_start_ip">Arkham!$L$71</definedName>
    <definedName name="input_wld_az1_rack5_edge_overlay_vlan">Arkham!$L$58</definedName>
    <definedName name="input_wld_az1_rack5_host_overlay_cidr">Arkham!$C$35</definedName>
    <definedName name="input_wld_az1_rack5_host_overlay_gateway_ip">'Additional Racks'!$D$374</definedName>
    <definedName name="input_wld_az1_rack5_host_overlay_mask">'Additional Racks'!$D$373</definedName>
    <definedName name="input_wld_az1_rack5_host_overlay_mtu">'Additional Racks'!$D$371</definedName>
    <definedName name="input_wld_az1_rack5_host_overlay_network">'Additional Racks'!$D$372</definedName>
    <definedName name="input_wld_az1_rack5_host_overlay_network_pool_name">'Additional Racks'!$D$359</definedName>
    <definedName name="input_wld_az1_rack5_host_overlay_network_profile_name">'Additional Racks'!$D$357</definedName>
    <definedName name="input_wld_az1_rack5_host_overlay_pool_end_ip">'Additional Racks'!$D$376</definedName>
    <definedName name="input_wld_az1_rack5_host_overlay_pool_start_ip">'Additional Racks'!$D$375</definedName>
    <definedName name="input_wld_az1_rack5_host_overlay_uplink_profile_name">'Additional Racks'!$D$360</definedName>
    <definedName name="input_wld_az1_rack5_host_overlay_vlan">'Additional Racks'!$D$370</definedName>
    <definedName name="input_wld_az1_rack5_host1_fqdn">'Additional Racks'!$D$333</definedName>
    <definedName name="input_wld_az1_rack5_host1_mgmt_ip">'Additional Racks'!$D$293</definedName>
    <definedName name="input_wld_az1_rack5_host10_fqdn">'Additional Racks'!$D$342</definedName>
    <definedName name="input_wld_az1_rack5_host10_mgmt_ip">'Additional Racks'!$D$302</definedName>
    <definedName name="input_wld_az1_rack5_host11_fqdn">'Additional Racks'!$D$343</definedName>
    <definedName name="input_wld_az1_rack5_host11_mgmt_ip">'Additional Racks'!$D$303</definedName>
    <definedName name="input_wld_az1_rack5_host12_fqdn">'Additional Racks'!$D$344</definedName>
    <definedName name="input_wld_az1_rack5_host12_mgmt_ip">'Additional Racks'!$D$304</definedName>
    <definedName name="input_wld_az1_rack5_host13_fqdn">'Additional Racks'!$D$345</definedName>
    <definedName name="input_wld_az1_rack5_host13_mgmt_ip">'Additional Racks'!$D$305</definedName>
    <definedName name="input_wld_az1_rack5_host14_fqdn">'Additional Racks'!$D$346</definedName>
    <definedName name="input_wld_az1_rack5_host14_mgmt_ip">'Additional Racks'!$D$306</definedName>
    <definedName name="input_wld_az1_rack5_host15_fqdn">'Additional Racks'!$D$347</definedName>
    <definedName name="input_wld_az1_rack5_host15_mgmt_ip">'Additional Racks'!$D$307</definedName>
    <definedName name="input_wld_az1_rack5_host16_fqdn">'Additional Racks'!$D$348</definedName>
    <definedName name="input_wld_az1_rack5_host16_mgmt_ip">'Additional Racks'!$D$308</definedName>
    <definedName name="input_wld_az1_rack5_host2_fqdn">'Additional Racks'!$D$334</definedName>
    <definedName name="input_wld_az1_rack5_host2_mgmt_ip">'Additional Racks'!$D$294</definedName>
    <definedName name="input_wld_az1_rack5_host3_fqdn">'Additional Racks'!$D$335</definedName>
    <definedName name="input_wld_az1_rack5_host3_mgmt_ip">'Additional Racks'!$D$295</definedName>
    <definedName name="input_wld_az1_rack5_host4_fqdn">'Additional Racks'!$D$336</definedName>
    <definedName name="input_wld_az1_rack5_host4_mgmt_ip">'Additional Racks'!$D$296</definedName>
    <definedName name="input_wld_az1_rack5_host5_fqdn">'Additional Racks'!$D$337</definedName>
    <definedName name="input_wld_az1_rack5_host5_mgmt_ip">'Additional Racks'!$D$297</definedName>
    <definedName name="input_wld_az1_rack5_host6_fqdn">'Additional Racks'!$D$338</definedName>
    <definedName name="input_wld_az1_rack5_host6_mgmt_ip">'Additional Racks'!$D$298</definedName>
    <definedName name="input_wld_az1_rack5_host7_fqdn">'Additional Racks'!$D$339</definedName>
    <definedName name="input_wld_az1_rack5_host7_mgmt_ip">'Additional Racks'!$D$299</definedName>
    <definedName name="input_wld_az1_rack5_host8_fqdn">'Additional Racks'!$D$340</definedName>
    <definedName name="input_wld_az1_rack5_host8_mgmt_ip">'Additional Racks'!$D$300</definedName>
    <definedName name="input_wld_az1_rack5_host9_fqdn">'Additional Racks'!$D$341</definedName>
    <definedName name="input_wld_az1_rack5_host9_mgmt_ip">'Additional Racks'!$D$301</definedName>
    <definedName name="input_wld_az1_rack5_mgmt_cidr">'Additional Racks'!$D$290</definedName>
    <definedName name="input_wld_az1_rack5_mgmt_gateway_ip">'Additional Racks'!$D$289</definedName>
    <definedName name="input_wld_az1_rack5_mgmt_mtu">'Additional Racks'!$D$291</definedName>
    <definedName name="input_wld_az1_rack5_mgmt_vlan">'Additional Racks'!$D$288</definedName>
    <definedName name="input_wld_az1_rack5_mgmt_vm_cidr">'Value Reference Tables - MR'!$N$278</definedName>
    <definedName name="input_wld_az1_rack5_mgmt_vm_gateway_ip">'Value Reference Tables - MR'!$P$278</definedName>
    <definedName name="input_wld_az1_rack5_mgmt_vm_mtu">'Value Reference Tables - MR'!$R$278</definedName>
    <definedName name="input_wld_az1_rack5_mgmt_vm_vlan">'Value Reference Tables - MR'!$L$278</definedName>
    <definedName name="input_wld_az1_rack5_pool_name">'Additional Racks'!$D$313</definedName>
    <definedName name="input_wld_az1_rack5_principal_storage_cidr">Arkham!$C$33</definedName>
    <definedName name="input_wld_az1_rack5_principal_storage_gateway_ip">'Additional Racks'!$D$327</definedName>
    <definedName name="input_wld_az1_rack5_principal_storage_mask">'Additional Racks'!$D$326</definedName>
    <definedName name="input_wld_az1_rack5_principal_storage_mtu">'Additional Racks'!$D$324</definedName>
    <definedName name="input_wld_az1_rack5_principal_storage_network">'Additional Racks'!$D$325</definedName>
    <definedName name="input_wld_az1_rack5_principal_storage_pool_end_ip">'Additional Racks'!$D$329</definedName>
    <definedName name="input_wld_az1_rack5_principal_storage_pool_start_ip">'Additional Racks'!$D$328</definedName>
    <definedName name="input_wld_az1_rack5_principal_storage_vlan">'Additional Racks'!$D$323</definedName>
    <definedName name="input_wld_az1_rack5_rtep_ip_pool_name">'Additional Racks'!$D$362</definedName>
    <definedName name="input_wld_az1_rack5_secondary_storage_cidr">Arkham!$C$34</definedName>
    <definedName name="input_wld_az1_rack5_secondary_storage_gateway_ip">'Dumping Ground'!$D$536</definedName>
    <definedName name="input_wld_az1_rack5_secondary_storage_mask">'Dumping Ground'!$D$535</definedName>
    <definedName name="input_wld_az1_rack5_secondary_storage_mtu">'Dumping Ground'!$D$533</definedName>
    <definedName name="input_wld_az1_rack5_secondary_storage_network">'Dumping Ground'!$D$534</definedName>
    <definedName name="input_wld_az1_rack5_secondary_storage_pool_end_ip">'Dumping Ground'!$D$538</definedName>
    <definedName name="input_wld_az1_rack5_secondary_storage_pool_start_ip">'Dumping Ground'!$D$537</definedName>
    <definedName name="input_wld_az1_rack5_secondary_storage_vlan">'Dumping Ground'!$D$532</definedName>
    <definedName name="input_wld_az1_rack5_tor1_peer_asn">Arkham!$L$75</definedName>
    <definedName name="input_wld_az1_rack5_tor1_peer_bgp_password">Arkham!$L$76</definedName>
    <definedName name="input_wld_az1_rack5_tor1_peer_ip">Arkham!$L$74</definedName>
    <definedName name="input_wld_az1_rack5_tor2_peer_asn">Arkham!$L$78</definedName>
    <definedName name="input_wld_az1_rack5_tor2_peer_bgp_password">Arkham!$L$79</definedName>
    <definedName name="input_wld_az1_rack5_tor2_peer_ip">Arkham!$L$77</definedName>
    <definedName name="input_wld_az1_rack5_uplink01_gateway_ip">Arkham!$L$62</definedName>
    <definedName name="input_wld_az1_rack5_uplink01_mask">Arkham!$L$65</definedName>
    <definedName name="input_wld_az1_rack5_uplink01_mtu">Arkham!$L$68</definedName>
    <definedName name="input_wld_az1_rack5_uplink01_network">Arkham!$L$59</definedName>
    <definedName name="input_wld_az1_rack5_uplink01_vlan">Arkham!$L$56</definedName>
    <definedName name="input_wld_az1_rack5_uplink02_gateway_ip">Arkham!$L$63</definedName>
    <definedName name="input_wld_az1_rack5_uplink02_mask">Arkham!$L$66</definedName>
    <definedName name="input_wld_az1_rack5_uplink02_mtu">Arkham!$L$69</definedName>
    <definedName name="input_wld_az1_rack5_uplink02_network">Arkham!$L$60</definedName>
    <definedName name="input_wld_az1_rack5_uplink02_vlan">Arkham!$L$57</definedName>
    <definedName name="input_wld_az1_rack5_vmotion_cidr">Arkham!$C$32</definedName>
    <definedName name="input_wld_az1_rack5_vmotion_gateway_ip">'Additional Racks'!$D$319</definedName>
    <definedName name="input_wld_az1_rack5_vmotion_mask">'Additional Racks'!$D$318</definedName>
    <definedName name="input_wld_az1_rack5_vmotion_mtu">'Additional Racks'!$D$316</definedName>
    <definedName name="input_wld_az1_rack5_vmotion_network">'Additional Racks'!$D$317</definedName>
    <definedName name="input_wld_az1_rack5_vmotion_pool_end_ip">'Additional Racks'!$D$321</definedName>
    <definedName name="input_wld_az1_rack5_vmotion_pool_start_ip">'Additional Racks'!$D$320</definedName>
    <definedName name="input_wld_az1_rack5_vmotion_vlan">'Additional Racks'!$D$315</definedName>
    <definedName name="input_wld_az1_rack5_vsan_fault_domain">'Additional Racks'!$D$365</definedName>
    <definedName name="input_wld_az1_rack6_edge_overlay_gateway_ip">Arkham!$O$64</definedName>
    <definedName name="input_wld_az1_rack6_edge_overlay_mask">Arkham!$O$67</definedName>
    <definedName name="input_wld_az1_rack6_edge_overlay_mtu">Arkham!$O$70</definedName>
    <definedName name="input_wld_az1_rack6_edge_overlay_network">Arkham!$O$61</definedName>
    <definedName name="input_wld_az1_rack6_edge_overlay_network_pool_name">'Additional Racks'!$D$454</definedName>
    <definedName name="input_wld_az1_rack6_edge_overlay_pool_end_ip">Arkham!$O$72</definedName>
    <definedName name="input_wld_az1_rack6_edge_overlay_pool_start_ip">Arkham!$O$71</definedName>
    <definedName name="input_wld_az1_rack6_edge_overlay_vlan">Arkham!$O$58</definedName>
    <definedName name="input_wld_az1_rack6_host_overlay_cidr">Arkham!$C$39</definedName>
    <definedName name="input_wld_az1_rack6_host_overlay_gateway_ip">'Additional Racks'!$D$467</definedName>
    <definedName name="input_wld_az1_rack6_host_overlay_mask">'Additional Racks'!$D$466</definedName>
    <definedName name="input_wld_az1_rack6_host_overlay_mtu">'Additional Racks'!$D$464</definedName>
    <definedName name="input_wld_az1_rack6_host_overlay_network">'Additional Racks'!$D$465</definedName>
    <definedName name="input_wld_az1_rack6_host_overlay_network_pool_name">'Additional Racks'!$D$452</definedName>
    <definedName name="input_wld_az1_rack6_host_overlay_network_profile_name">'Additional Racks'!$D$450</definedName>
    <definedName name="input_wld_az1_rack6_host_overlay_pool_end_ip">'Additional Racks'!$D$469</definedName>
    <definedName name="input_wld_az1_rack6_host_overlay_pool_start_ip">'Additional Racks'!$D$468</definedName>
    <definedName name="input_wld_az1_rack6_host_overlay_uplink_profile_name">'Additional Racks'!$D$453</definedName>
    <definedName name="input_wld_az1_rack6_host_overlay_vlan">'Additional Racks'!$D$463</definedName>
    <definedName name="input_wld_az1_rack6_host1_fqdn">'Additional Racks'!$D$426</definedName>
    <definedName name="input_wld_az1_rack6_host1_mgmt_ip">'Additional Racks'!$D$386</definedName>
    <definedName name="input_wld_az1_rack6_host10_fqdn">'Additional Racks'!$D$435</definedName>
    <definedName name="input_wld_az1_rack6_host10_mgmt_ip">'Additional Racks'!$D$395</definedName>
    <definedName name="input_wld_az1_rack6_host11_fqdn">'Additional Racks'!$D$436</definedName>
    <definedName name="input_wld_az1_rack6_host11_mgmt_ip">'Additional Racks'!$D$396</definedName>
    <definedName name="input_wld_az1_rack6_host12_fqdn">'Additional Racks'!$D$437</definedName>
    <definedName name="input_wld_az1_rack6_host12_mgmt_ip">'Additional Racks'!$D$397</definedName>
    <definedName name="input_wld_az1_rack6_host13_fqdn">'Additional Racks'!$D$438</definedName>
    <definedName name="input_wld_az1_rack6_host13_mgmt_ip">'Additional Racks'!$D$398</definedName>
    <definedName name="input_wld_az1_rack6_host14_fqdn">'Additional Racks'!$D$439</definedName>
    <definedName name="input_wld_az1_rack6_host14_mgmt_ip">'Additional Racks'!$D$399</definedName>
    <definedName name="input_wld_az1_rack6_host15_fqdn">'Additional Racks'!$D$440</definedName>
    <definedName name="input_wld_az1_rack6_host15_mgmt_ip">'Additional Racks'!$D$400</definedName>
    <definedName name="input_wld_az1_rack6_host16_fqdn">'Additional Racks'!$D$441</definedName>
    <definedName name="input_wld_az1_rack6_host16_mgmt_ip">'Additional Racks'!$D$401</definedName>
    <definedName name="input_wld_az1_rack6_host2_fqdn">'Additional Racks'!$D$427</definedName>
    <definedName name="input_wld_az1_rack6_host2_mgmt_ip">'Additional Racks'!$D$387</definedName>
    <definedName name="input_wld_az1_rack6_host3_fqdn">'Additional Racks'!$D$428</definedName>
    <definedName name="input_wld_az1_rack6_host3_mgmt_ip">'Additional Racks'!$D$388</definedName>
    <definedName name="input_wld_az1_rack6_host4_fqdn">'Additional Racks'!$D$429</definedName>
    <definedName name="input_wld_az1_rack6_host4_mgmt_ip">'Additional Racks'!$D$389</definedName>
    <definedName name="input_wld_az1_rack6_host5_fqdn">'Additional Racks'!$D$430</definedName>
    <definedName name="input_wld_az1_rack6_host5_mgmt_ip">'Additional Racks'!$D$390</definedName>
    <definedName name="input_wld_az1_rack6_host6_fqdn">'Additional Racks'!$D$431</definedName>
    <definedName name="input_wld_az1_rack6_host6_mgmt_ip">'Additional Racks'!$D$391</definedName>
    <definedName name="input_wld_az1_rack6_host7_fqdn">'Additional Racks'!$D$432</definedName>
    <definedName name="input_wld_az1_rack6_host7_mgmt_ip">'Additional Racks'!$D$392</definedName>
    <definedName name="input_wld_az1_rack6_host8_fqdn">'Additional Racks'!$D$433</definedName>
    <definedName name="input_wld_az1_rack6_host8_mgmt_ip">'Additional Racks'!$D$393</definedName>
    <definedName name="input_wld_az1_rack6_host9_fqdn">'Additional Racks'!$D$434</definedName>
    <definedName name="input_wld_az1_rack6_host9_mgmt_ip">'Additional Racks'!$D$394</definedName>
    <definedName name="input_wld_az1_rack6_mgmt_cidr">'Additional Racks'!$D$383</definedName>
    <definedName name="input_wld_az1_rack6_mgmt_gateway_ip">'Additional Racks'!$D$382</definedName>
    <definedName name="input_wld_az1_rack6_mgmt_mtu">'Additional Racks'!$D$384</definedName>
    <definedName name="input_wld_az1_rack6_mgmt_vlan">'Additional Racks'!$D$381</definedName>
    <definedName name="input_wld_az1_rack6_mgmt_vm_cidr">'Value Reference Tables - MR'!$N$279</definedName>
    <definedName name="input_wld_az1_rack6_mgmt_vm_gateway_ip">'Value Reference Tables - MR'!$P$279</definedName>
    <definedName name="input_wld_az1_rack6_mgmt_vm_mtu">'Value Reference Tables - MR'!$R$279</definedName>
    <definedName name="input_wld_az1_rack6_mgmt_vm_vlan">'Value Reference Tables - MR'!$L$279</definedName>
    <definedName name="input_wld_az1_rack6_pool_name">'Additional Racks'!$D$406</definedName>
    <definedName name="input_wld_az1_rack6_principal_storage_cidr">Arkham!$C$37</definedName>
    <definedName name="input_wld_az1_rack6_principal_storage_gateway_ip">'Additional Racks'!$D$420</definedName>
    <definedName name="input_wld_az1_rack6_principal_storage_mask">'Additional Racks'!$D$419</definedName>
    <definedName name="input_wld_az1_rack6_principal_storage_mtu">'Additional Racks'!$D$417</definedName>
    <definedName name="input_wld_az1_rack6_principal_storage_network">'Additional Racks'!$D$418</definedName>
    <definedName name="input_wld_az1_rack6_principal_storage_pool_end_ip">'Additional Racks'!$D$422</definedName>
    <definedName name="input_wld_az1_rack6_principal_storage_pool_start_ip">'Additional Racks'!$D$421</definedName>
    <definedName name="input_wld_az1_rack6_principal_storage_vlan">'Additional Racks'!$D$416</definedName>
    <definedName name="input_wld_az1_rack6_rtep_ip_pool_name">'Additional Racks'!$D$455</definedName>
    <definedName name="input_wld_az1_rack6_secondary_storage_cidr">Arkham!$C$38</definedName>
    <definedName name="input_wld_az1_rack6_secondary_storage_gateway_ip">'Dumping Ground'!$D$544</definedName>
    <definedName name="input_wld_az1_rack6_secondary_storage_mask">'Dumping Ground'!$D$543</definedName>
    <definedName name="input_wld_az1_rack6_secondary_storage_mtu">'Dumping Ground'!$D$541</definedName>
    <definedName name="input_wld_az1_rack6_secondary_storage_network">'Dumping Ground'!$D$542</definedName>
    <definedName name="input_wld_az1_rack6_secondary_storage_pool_end_ip">'Dumping Ground'!$D$546</definedName>
    <definedName name="input_wld_az1_rack6_secondary_storage_pool_start_ip">'Dumping Ground'!$D$545</definedName>
    <definedName name="input_wld_az1_rack6_secondary_storage_vlan">'Dumping Ground'!$D$540</definedName>
    <definedName name="input_wld_az1_rack6_tor1_peer_asn">Arkham!$O$75</definedName>
    <definedName name="input_wld_az1_rack6_tor1_peer_bgp_password">Arkham!$O$76</definedName>
    <definedName name="input_wld_az1_rack6_tor1_peer_ip">Arkham!$O$74</definedName>
    <definedName name="input_wld_az1_rack6_tor2_peer_asn">Arkham!$O$78</definedName>
    <definedName name="input_wld_az1_rack6_tor2_peer_bgp_password">Arkham!$O$79</definedName>
    <definedName name="input_wld_az1_rack6_tor2_peer_ip">Arkham!$O$77</definedName>
    <definedName name="input_wld_az1_rack6_uplink01_gateway_ip">Arkham!$O$62</definedName>
    <definedName name="input_wld_az1_rack6_uplink01_mask">Arkham!$O$65</definedName>
    <definedName name="input_wld_az1_rack6_uplink01_mtu">Arkham!$O$68</definedName>
    <definedName name="input_wld_az1_rack6_uplink01_network">Arkham!$O$59</definedName>
    <definedName name="input_wld_az1_rack6_uplink01_vlan">Arkham!$O$56</definedName>
    <definedName name="input_wld_az1_rack6_uplink02_gateway_ip">Arkham!$O$63</definedName>
    <definedName name="input_wld_az1_rack6_uplink02_mask">Arkham!$O$66</definedName>
    <definedName name="input_wld_az1_rack6_uplink02_mtu">Arkham!$O$69</definedName>
    <definedName name="input_wld_az1_rack6_uplink02_network">Arkham!$O$60</definedName>
    <definedName name="input_wld_az1_rack6_uplink02_vlan">Arkham!$O$57</definedName>
    <definedName name="input_wld_az1_rack6_vmotion_cidr">Arkham!$C$36</definedName>
    <definedName name="input_wld_az1_rack6_vmotion_gateway_ip">'Additional Racks'!$D$412</definedName>
    <definedName name="input_wld_az1_rack6_vmotion_mask">'Additional Racks'!$D$411</definedName>
    <definedName name="input_wld_az1_rack6_vmotion_mtu">'Additional Racks'!$D$409</definedName>
    <definedName name="input_wld_az1_rack6_vmotion_network">'Additional Racks'!$D$410</definedName>
    <definedName name="input_wld_az1_rack6_vmotion_pool_end_ip">'Additional Racks'!$D$414</definedName>
    <definedName name="input_wld_az1_rack6_vmotion_pool_start_ip">'Additional Racks'!$D$413</definedName>
    <definedName name="input_wld_az1_rack6_vmotion_vlan">'Additional Racks'!$D$408</definedName>
    <definedName name="input_wld_az1_rack6_vsan_fault_domain">'Additional Racks'!$D$458</definedName>
    <definedName name="input_wld_az1_rack7_edge_overlay_gateway_ip">Arkham!$R$64</definedName>
    <definedName name="input_wld_az1_rack7_edge_overlay_mask">Arkham!$R$67</definedName>
    <definedName name="input_wld_az1_rack7_edge_overlay_mtu">Arkham!$R$70</definedName>
    <definedName name="input_wld_az1_rack7_edge_overlay_network">Arkham!$R$61</definedName>
    <definedName name="input_wld_az1_rack7_edge_overlay_network_pool_name">'Additional Racks'!$D$547</definedName>
    <definedName name="input_wld_az1_rack7_edge_overlay_pool_end_ip">Arkham!$R$72</definedName>
    <definedName name="input_wld_az1_rack7_edge_overlay_pool_start_ip">Arkham!$R$71</definedName>
    <definedName name="input_wld_az1_rack7_edge_overlay_vlan">Arkham!$R$58</definedName>
    <definedName name="input_wld_az1_rack7_host_overlay_cidr">Arkham!$C$43</definedName>
    <definedName name="input_wld_az1_rack7_host_overlay_gateway_ip">'Additional Racks'!$D$560</definedName>
    <definedName name="input_wld_az1_rack7_host_overlay_mask">'Additional Racks'!$D$559</definedName>
    <definedName name="input_wld_az1_rack7_host_overlay_mtu">'Additional Racks'!$D$557</definedName>
    <definedName name="input_wld_az1_rack7_host_overlay_network">'Additional Racks'!$D$558</definedName>
    <definedName name="input_wld_az1_rack7_host_overlay_network_pool_name">'Additional Racks'!$D$545</definedName>
    <definedName name="input_wld_az1_rack7_host_overlay_network_profile_name">'Additional Racks'!$D$543</definedName>
    <definedName name="input_wld_az1_rack7_host_overlay_pool_end_ip">'Additional Racks'!$D$562</definedName>
    <definedName name="input_wld_az1_rack7_host_overlay_pool_start_ip">'Additional Racks'!$D$561</definedName>
    <definedName name="input_wld_az1_rack7_host_overlay_uplink_profile_name">'Additional Racks'!$D$546</definedName>
    <definedName name="input_wld_az1_rack7_host_overlay_vlan">'Additional Racks'!$D$556</definedName>
    <definedName name="input_wld_az1_rack7_host1_fqdn">'Additional Racks'!$D$519</definedName>
    <definedName name="input_wld_az1_rack7_host1_mgmt_ip">'Additional Racks'!$D$479</definedName>
    <definedName name="input_wld_az1_rack7_host10_fqdn">'Additional Racks'!$D$528</definedName>
    <definedName name="input_wld_az1_rack7_host10_mgmt_ip">'Additional Racks'!$D$488</definedName>
    <definedName name="input_wld_az1_rack7_host11_fqdn">'Additional Racks'!$D$529</definedName>
    <definedName name="input_wld_az1_rack7_host11_mgmt_ip">'Additional Racks'!$D$489</definedName>
    <definedName name="input_wld_az1_rack7_host12_fqdn">'Additional Racks'!$D$530</definedName>
    <definedName name="input_wld_az1_rack7_host12_mgmt_ip">'Additional Racks'!$D$490</definedName>
    <definedName name="input_wld_az1_rack7_host13_fqdn">'Additional Racks'!$D$531</definedName>
    <definedName name="input_wld_az1_rack7_host13_mgmt_ip">'Additional Racks'!$D$491</definedName>
    <definedName name="input_wld_az1_rack7_host14_fqdn">'Additional Racks'!$D$532</definedName>
    <definedName name="input_wld_az1_rack7_host14_mgmt_ip">'Additional Racks'!$D$492</definedName>
    <definedName name="input_wld_az1_rack7_host15_fqdn">'Additional Racks'!$D$533</definedName>
    <definedName name="input_wld_az1_rack7_host15_mgmt_ip">'Additional Racks'!$D$493</definedName>
    <definedName name="input_wld_az1_rack7_host16_fqdn">'Additional Racks'!$D$534</definedName>
    <definedName name="input_wld_az1_rack7_host16_mgmt_ip">'Additional Racks'!$D$494</definedName>
    <definedName name="input_wld_az1_rack7_host2_fqdn">'Additional Racks'!$D$520</definedName>
    <definedName name="input_wld_az1_rack7_host2_mgmt_ip">'Additional Racks'!$D$480</definedName>
    <definedName name="input_wld_az1_rack7_host3_fqdn">'Additional Racks'!$D$521</definedName>
    <definedName name="input_wld_az1_rack7_host3_mgmt_ip">'Additional Racks'!$D$481</definedName>
    <definedName name="input_wld_az1_rack7_host4_fqdn">'Additional Racks'!$D$522</definedName>
    <definedName name="input_wld_az1_rack7_host4_mgmt_ip">'Additional Racks'!$D$482</definedName>
    <definedName name="input_wld_az1_rack7_host5_fqdn">'Additional Racks'!$D$523</definedName>
    <definedName name="input_wld_az1_rack7_host5_mgmt_ip">'Additional Racks'!$D$483</definedName>
    <definedName name="input_wld_az1_rack7_host6_fqdn">'Additional Racks'!$D$524</definedName>
    <definedName name="input_wld_az1_rack7_host6_mgmt_ip">'Additional Racks'!$D$484</definedName>
    <definedName name="input_wld_az1_rack7_host7_fqdn">'Additional Racks'!$D$525</definedName>
    <definedName name="input_wld_az1_rack7_host7_mgmt_ip">'Additional Racks'!$D$485</definedName>
    <definedName name="input_wld_az1_rack7_host8_fqdn">'Additional Racks'!$D$526</definedName>
    <definedName name="input_wld_az1_rack7_host8_mgmt_ip">'Additional Racks'!$D$486</definedName>
    <definedName name="input_wld_az1_rack7_host9_fqdn">'Additional Racks'!$D$527</definedName>
    <definedName name="input_wld_az1_rack7_host9_mgmt_ip">'Additional Racks'!$D$487</definedName>
    <definedName name="input_wld_az1_rack7_mgmt_cidr">'Additional Racks'!$D$476</definedName>
    <definedName name="input_wld_az1_rack7_mgmt_gateway_ip">'Additional Racks'!$D$475</definedName>
    <definedName name="input_wld_az1_rack7_mgmt_mtu">'Additional Racks'!$D$477</definedName>
    <definedName name="input_wld_az1_rack7_mgmt_vlan">'Additional Racks'!$D$474</definedName>
    <definedName name="input_wld_az1_rack7_mgmt_vm_cidr">'Value Reference Tables - MR'!$N$280</definedName>
    <definedName name="input_wld_az1_rack7_mgmt_vm_gateway_ip">'Value Reference Tables - MR'!$P$280</definedName>
    <definedName name="input_wld_az1_rack7_mgmt_vm_mtu">'Value Reference Tables - MR'!$R$280</definedName>
    <definedName name="input_wld_az1_rack7_mgmt_vm_vlan">'Value Reference Tables - MR'!$L$280</definedName>
    <definedName name="input_wld_az1_rack7_pool_name">'Additional Racks'!$D$499</definedName>
    <definedName name="input_wld_az1_rack7_principal_storage_cidr">Arkham!$C$41</definedName>
    <definedName name="input_wld_az1_rack7_principal_storage_gateway_ip">'Additional Racks'!$D$513</definedName>
    <definedName name="input_wld_az1_rack7_principal_storage_mask">'Additional Racks'!$D$512</definedName>
    <definedName name="input_wld_az1_rack7_principal_storage_mtu">'Additional Racks'!$D$510</definedName>
    <definedName name="input_wld_az1_rack7_principal_storage_network">'Additional Racks'!$D$511</definedName>
    <definedName name="input_wld_az1_rack7_principal_storage_pool_end_ip">'Additional Racks'!$D$515</definedName>
    <definedName name="input_wld_az1_rack7_principal_storage_pool_start_ip">'Additional Racks'!$D$514</definedName>
    <definedName name="input_wld_az1_rack7_principal_storage_vlan">'Additional Racks'!$D$509</definedName>
    <definedName name="input_wld_az1_rack7_rtep_ip_pool_name">'Additional Racks'!$D$548</definedName>
    <definedName name="input_wld_az1_rack7_secondary_storage_cidr">Arkham!$C$42</definedName>
    <definedName name="input_wld_az1_rack7_secondary_storage_gateway_ip">'Dumping Ground'!$D$552</definedName>
    <definedName name="input_wld_az1_rack7_secondary_storage_mask">'Dumping Ground'!$D$551</definedName>
    <definedName name="input_wld_az1_rack7_secondary_storage_mtu">'Dumping Ground'!$D$549</definedName>
    <definedName name="input_wld_az1_rack7_secondary_storage_network">'Dumping Ground'!$D$550</definedName>
    <definedName name="input_wld_az1_rack7_secondary_storage_pool_end_ip">'Dumping Ground'!$D$554</definedName>
    <definedName name="input_wld_az1_rack7_secondary_storage_pool_start_ip">'Dumping Ground'!$D$553</definedName>
    <definedName name="input_wld_az1_rack7_secondary_storage_vlan">'Dumping Ground'!$D$548</definedName>
    <definedName name="input_wld_az1_rack7_tor1_peer_asn">Arkham!$R$75</definedName>
    <definedName name="input_wld_az1_rack7_tor1_peer_bgp_password">Arkham!$R$76</definedName>
    <definedName name="input_wld_az1_rack7_tor1_peer_ip">Arkham!$R$74</definedName>
    <definedName name="input_wld_az1_rack7_tor2_peer_asn">Arkham!$R$78</definedName>
    <definedName name="input_wld_az1_rack7_tor2_peer_bgp_password">Arkham!$R$79</definedName>
    <definedName name="input_wld_az1_rack7_tor2_peer_ip">Arkham!$R$77</definedName>
    <definedName name="input_wld_az1_rack7_uplink01_gateway_ip">Arkham!$R$62</definedName>
    <definedName name="input_wld_az1_rack7_uplink01_mask">Arkham!$R$65</definedName>
    <definedName name="input_wld_az1_rack7_uplink01_mtu">Arkham!$R$68</definedName>
    <definedName name="input_wld_az1_rack7_uplink01_network">Arkham!$R$59</definedName>
    <definedName name="input_wld_az1_rack7_uplink01_vlan">Arkham!$R$56</definedName>
    <definedName name="input_wld_az1_rack7_uplink02_gateway_ip">Arkham!$R$63</definedName>
    <definedName name="input_wld_az1_rack7_uplink02_mask">Arkham!$R$66</definedName>
    <definedName name="input_wld_az1_rack7_uplink02_mtu">Arkham!$R$69</definedName>
    <definedName name="input_wld_az1_rack7_uplink02_network">Arkham!$R$60</definedName>
    <definedName name="input_wld_az1_rack7_uplink02_vlan">Arkham!$R$57</definedName>
    <definedName name="input_wld_az1_rack7_vmotion_cidr">Arkham!$C$40</definedName>
    <definedName name="input_wld_az1_rack7_vmotion_gateway_ip">'Additional Racks'!$D$505</definedName>
    <definedName name="input_wld_az1_rack7_vmotion_mask">'Additional Racks'!$D$504</definedName>
    <definedName name="input_wld_az1_rack7_vmotion_mtu">'Additional Racks'!$D$502</definedName>
    <definedName name="input_wld_az1_rack7_vmotion_network">'Additional Racks'!$D$503</definedName>
    <definedName name="input_wld_az1_rack7_vmotion_pool_end_ip">'Additional Racks'!$D$507</definedName>
    <definedName name="input_wld_az1_rack7_vmotion_pool_start_ip">'Additional Racks'!$D$506</definedName>
    <definedName name="input_wld_az1_rack7_vmotion_vlan">'Additional Racks'!$D$501</definedName>
    <definedName name="input_wld_az1_rack7_vsan_fault_domain">'Additional Racks'!$D$551</definedName>
    <definedName name="input_wld_az1_rack8_edge_overlay_gateway_ip">Arkham!$U$64</definedName>
    <definedName name="input_wld_az1_rack8_edge_overlay_mask">Arkham!$U$67</definedName>
    <definedName name="input_wld_az1_rack8_edge_overlay_mtu">Arkham!$U$70</definedName>
    <definedName name="input_wld_az1_rack8_edge_overlay_network">Arkham!$U$61</definedName>
    <definedName name="input_wld_az1_rack8_edge_overlay_network_pool_name">'Additional Racks'!$D$640</definedName>
    <definedName name="input_wld_az1_rack8_edge_overlay_pool_end_ip">Arkham!$U$72</definedName>
    <definedName name="input_wld_az1_rack8_edge_overlay_pool_start_ip">Arkham!$U$71</definedName>
    <definedName name="input_wld_az1_rack8_edge_overlay_vlan">Arkham!$U$58</definedName>
    <definedName name="input_wld_az1_rack8_host_overlay_cidr">Arkham!$C$47</definedName>
    <definedName name="input_wld_az1_rack8_host_overlay_gateway_ip">'Additional Racks'!$D$653</definedName>
    <definedName name="input_wld_az1_rack8_host_overlay_mask">'Additional Racks'!$D$652</definedName>
    <definedName name="input_wld_az1_rack8_host_overlay_mtu">'Additional Racks'!$D$650</definedName>
    <definedName name="input_wld_az1_rack8_host_overlay_network">'Additional Racks'!$D$651</definedName>
    <definedName name="input_wld_az1_rack8_host_overlay_network_pool_name">'Additional Racks'!$D$638</definedName>
    <definedName name="input_wld_az1_rack8_host_overlay_network_profile_name">'Additional Racks'!$D$636</definedName>
    <definedName name="input_wld_az1_rack8_host_overlay_pool_end_ip">'Additional Racks'!$D$655</definedName>
    <definedName name="input_wld_az1_rack8_host_overlay_pool_start_ip">'Additional Racks'!$D$654</definedName>
    <definedName name="input_wld_az1_rack8_host_overlay_uplink_profile_name">'Additional Racks'!$D$639</definedName>
    <definedName name="input_wld_az1_rack8_host_overlay_vlan">'Additional Racks'!$D$649</definedName>
    <definedName name="input_wld_az1_rack8_host1_fqdn">'Additional Racks'!$D$612</definedName>
    <definedName name="input_wld_az1_rack8_host1_mgmt_ip">'Additional Racks'!$D$572</definedName>
    <definedName name="input_wld_az1_rack8_host10_fqdn">'Additional Racks'!$D$621</definedName>
    <definedName name="input_wld_az1_rack8_host10_mgmt_ip">'Additional Racks'!$D$581</definedName>
    <definedName name="input_wld_az1_rack8_host11_fqdn">'Additional Racks'!$D$622</definedName>
    <definedName name="input_wld_az1_rack8_host11_mgmt_ip">'Additional Racks'!$D$582</definedName>
    <definedName name="input_wld_az1_rack8_host12_fqdn">'Additional Racks'!$D$623</definedName>
    <definedName name="input_wld_az1_rack8_host12_mgmt_ip">'Additional Racks'!$D$583</definedName>
    <definedName name="input_wld_az1_rack8_host13_fqdn">'Additional Racks'!$D$624</definedName>
    <definedName name="input_wld_az1_rack8_host13_mgmt_ip">'Additional Racks'!$D$584</definedName>
    <definedName name="input_wld_az1_rack8_host14_fqdn">'Additional Racks'!$D$625</definedName>
    <definedName name="input_wld_az1_rack8_host14_mgmt_ip">'Additional Racks'!$D$585</definedName>
    <definedName name="input_wld_az1_rack8_host15_fqdn">'Additional Racks'!$D$626</definedName>
    <definedName name="input_wld_az1_rack8_host15_mgmt_ip">'Additional Racks'!$D$586</definedName>
    <definedName name="input_wld_az1_rack8_host16_fqdn">'Additional Racks'!$D$627</definedName>
    <definedName name="input_wld_az1_rack8_host16_mgmt_ip">'Additional Racks'!$D$587</definedName>
    <definedName name="input_wld_az1_rack8_host2_fqdn">'Additional Racks'!$D$613</definedName>
    <definedName name="input_wld_az1_rack8_host2_mgmt_ip">'Additional Racks'!$D$573</definedName>
    <definedName name="input_wld_az1_rack8_host3_fqdn">'Additional Racks'!$D$614</definedName>
    <definedName name="input_wld_az1_rack8_host3_mgmt_ip">'Additional Racks'!$D$574</definedName>
    <definedName name="input_wld_az1_rack8_host4_fqdn">'Additional Racks'!$D$615</definedName>
    <definedName name="input_wld_az1_rack8_host4_mgmt_ip">'Additional Racks'!$D$575</definedName>
    <definedName name="input_wld_az1_rack8_host5_fqdn">'Additional Racks'!$D$616</definedName>
    <definedName name="input_wld_az1_rack8_host5_mgmt_ip">'Additional Racks'!$D$576</definedName>
    <definedName name="input_wld_az1_rack8_host6_fqdn">'Additional Racks'!$D$617</definedName>
    <definedName name="input_wld_az1_rack8_host6_mgmt_ip">'Additional Racks'!$D$577</definedName>
    <definedName name="input_wld_az1_rack8_host7_fqdn">'Additional Racks'!$D$618</definedName>
    <definedName name="input_wld_az1_rack8_host7_mgmt_ip">'Additional Racks'!$D$578</definedName>
    <definedName name="input_wld_az1_rack8_host8_fqdn">'Additional Racks'!$D$619</definedName>
    <definedName name="input_wld_az1_rack8_host8_mgmt_ip">'Additional Racks'!$D$579</definedName>
    <definedName name="input_wld_az1_rack8_host9_fqdn">'Additional Racks'!$D$620</definedName>
    <definedName name="input_wld_az1_rack8_host9_mgmt_ip">'Additional Racks'!$D$580</definedName>
    <definedName name="input_wld_az1_rack8_mgmt_cidr">'Additional Racks'!$D$569</definedName>
    <definedName name="input_wld_az1_rack8_mgmt_gateway_ip">'Additional Racks'!$D$568</definedName>
    <definedName name="input_wld_az1_rack8_mgmt_mtu">'Additional Racks'!$D$570</definedName>
    <definedName name="input_wld_az1_rack8_mgmt_vlan">'Additional Racks'!$D$567</definedName>
    <definedName name="input_wld_az1_rack8_mgmt_vm_cidr">'Value Reference Tables - MR'!$N$281</definedName>
    <definedName name="input_wld_az1_rack8_mgmt_vm_gateway_ip">'Value Reference Tables - MR'!$P$281</definedName>
    <definedName name="input_wld_az1_rack8_mgmt_vm_mtu">'Value Reference Tables - MR'!$R$281</definedName>
    <definedName name="input_wld_az1_rack8_mgmt_vm_vlan">'Value Reference Tables - MR'!$L$281</definedName>
    <definedName name="input_wld_az1_rack8_pool_name">'Additional Racks'!$D$592</definedName>
    <definedName name="input_wld_az1_rack8_principal_storage_cidr">Arkham!$C$45</definedName>
    <definedName name="input_wld_az1_rack8_principal_storage_gateway_ip">'Additional Racks'!$D$606</definedName>
    <definedName name="input_wld_az1_rack8_principal_storage_mask">'Additional Racks'!$D$605</definedName>
    <definedName name="input_wld_az1_rack8_principal_storage_mtu">'Additional Racks'!$D$603</definedName>
    <definedName name="input_wld_az1_rack8_principal_storage_network">'Additional Racks'!$D$604</definedName>
    <definedName name="input_wld_az1_rack8_principal_storage_pool_end_ip">'Additional Racks'!$D$608</definedName>
    <definedName name="input_wld_az1_rack8_principal_storage_pool_start_ip">'Additional Racks'!$D$607</definedName>
    <definedName name="input_wld_az1_rack8_principal_storage_vlan">'Additional Racks'!$D$602</definedName>
    <definedName name="input_wld_az1_rack8_rtep_ip_pool_name">'Additional Racks'!$D$641</definedName>
    <definedName name="input_wld_az1_rack8_secondary_storage_cidr">Arkham!$C$46</definedName>
    <definedName name="input_wld_az1_rack8_secondary_storage_gateway_ip">'Dumping Ground'!$D$560</definedName>
    <definedName name="input_wld_az1_rack8_secondary_storage_mask">'Dumping Ground'!$D$559</definedName>
    <definedName name="input_wld_az1_rack8_secondary_storage_mtu">'Dumping Ground'!$D$557</definedName>
    <definedName name="input_wld_az1_rack8_secondary_storage_network">'Dumping Ground'!$D$558</definedName>
    <definedName name="input_wld_az1_rack8_secondary_storage_pool_end_ip">'Dumping Ground'!$D$562</definedName>
    <definedName name="input_wld_az1_rack8_secondary_storage_pool_start_ip">'Dumping Ground'!$D$561</definedName>
    <definedName name="input_wld_az1_rack8_secondary_storage_vlan">'Dumping Ground'!$D$556</definedName>
    <definedName name="input_wld_az1_rack8_tor1_peer_asn">Arkham!$U$75</definedName>
    <definedName name="input_wld_az1_rack8_tor1_peer_bgp_password">Arkham!$U$76</definedName>
    <definedName name="input_wld_az1_rack8_tor1_peer_ip">Arkham!$U$74</definedName>
    <definedName name="input_wld_az1_rack8_tor2_peer_asn">Arkham!$U$78</definedName>
    <definedName name="input_wld_az1_rack8_tor2_peer_bgp_password">Arkham!$U$79</definedName>
    <definedName name="input_wld_az1_rack8_tor2_peer_ip">Arkham!$U$77</definedName>
    <definedName name="input_wld_az1_rack8_uplink01_gateway_ip">Arkham!$U$62</definedName>
    <definedName name="input_wld_az1_rack8_uplink01_mask">Arkham!$U$65</definedName>
    <definedName name="input_wld_az1_rack8_uplink01_mtu">Arkham!$U$68</definedName>
    <definedName name="input_wld_az1_rack8_uplink01_network">Arkham!$U$59</definedName>
    <definedName name="input_wld_az1_rack8_uplink01_vlan">Arkham!$U$56</definedName>
    <definedName name="input_wld_az1_rack8_uplink02_gateway_ip">Arkham!$U$63</definedName>
    <definedName name="input_wld_az1_rack8_uplink02_mask">Arkham!$U$66</definedName>
    <definedName name="input_wld_az1_rack8_uplink02_mtu">Arkham!$U$69</definedName>
    <definedName name="input_wld_az1_rack8_uplink02_network">Arkham!$U$60</definedName>
    <definedName name="input_wld_az1_rack8_uplink02_vlan">Arkham!$U$57</definedName>
    <definedName name="input_wld_az1_rack8_vmotion_cidr">Arkham!$C$44</definedName>
    <definedName name="input_wld_az1_rack8_vmotion_gateway_ip">'Additional Racks'!$D$598</definedName>
    <definedName name="input_wld_az1_rack8_vmotion_mask">'Additional Racks'!$D$597</definedName>
    <definedName name="input_wld_az1_rack8_vmotion_mtu">'Additional Racks'!$D$595</definedName>
    <definedName name="input_wld_az1_rack8_vmotion_network">'Additional Racks'!$D$596</definedName>
    <definedName name="input_wld_az1_rack8_vmotion_pool_end_ip">'Additional Racks'!$D$600</definedName>
    <definedName name="input_wld_az1_rack8_vmotion_pool_start_ip">'Additional Racks'!$D$599</definedName>
    <definedName name="input_wld_az1_rack8_vmotion_vlan">'Additional Racks'!$D$594</definedName>
    <definedName name="input_wld_az1_rack8_vsan_fault_domain">'Additional Racks'!$D$644</definedName>
    <definedName name="input_wld_az1_rtep_ip_pool_name">'Configure Workload Domain'!$D$539</definedName>
    <definedName name="input_wld_az1_rtep_overlay_cidr">'Configure Workload Domain'!$D$542</definedName>
    <definedName name="input_wld_az1_rtep_overlay_gateway_ip">'Configure Workload Domain'!$D$543</definedName>
    <definedName name="input_wld_az1_rtep_overlay_vlan">'Configure Workload Domain'!$D$572</definedName>
    <definedName name="input_wld_az1_secondary_storage_gateway_cidr">'Deploy Workload Domain'!$D$110</definedName>
    <definedName name="input_wld_az1_secondary_storage_mtu">'Deploy Workload Domain'!$D$108</definedName>
    <definedName name="input_wld_az1_secondary_storage_pool_end_ip">'Deploy Workload Domain'!$D$113</definedName>
    <definedName name="input_wld_az1_secondary_storage_pool_start_ip">'Deploy Workload Domain'!$D$112</definedName>
    <definedName name="input_wld_az1_secondary_storage_vlan">'Deploy Workload Domain'!$D$107</definedName>
    <definedName name="input_wld_az1_storage_cluster_gateway_cidr">'Deploy Workload Domain'!$D$121</definedName>
    <definedName name="input_wld_az1_storage_cluster_mtu">'Deploy Workload Domain'!$D$119</definedName>
    <definedName name="input_wld_az1_storage_cluster_pool_end_ip">'Deploy Workload Domain'!$D$124</definedName>
    <definedName name="input_wld_az1_storage_cluster_pool_start_ip">'Deploy Workload Domain'!$D$123</definedName>
    <definedName name="input_wld_az1_storage_cluster_vlan">'Deploy Workload Domain'!$D$118</definedName>
    <definedName name="input_wld_az1_tor1_peer_asn">'Configure Workload Domain'!$D$109</definedName>
    <definedName name="input_wld_az1_tor1_peer_bgp_password">'Configure Workload Domain'!$D$110</definedName>
    <definedName name="input_wld_az1_tor1_peer_ip">'Configure Workload Domain'!$D$106</definedName>
    <definedName name="input_wld_az1_tor2_peer_asn">'Configure Workload Domain'!$D$116</definedName>
    <definedName name="input_wld_az1_tor2_peer_bgp_password">'Configure Workload Domain'!$D$117</definedName>
    <definedName name="input_wld_az1_tor2_peer_ip">'Configure Workload Domain'!$D$113</definedName>
    <definedName name="input_wld_az1_uplink01_cidr">'Configure Workload Domain'!$D$175</definedName>
    <definedName name="input_wld_az1_uplink01_gateway_ip">'Configure Workload Domain'!$D$174</definedName>
    <definedName name="input_wld_az1_uplink01_mtu">'Configure Workload Domain'!$D$108</definedName>
    <definedName name="input_wld_az1_uplink01_vlan">'Configure Workload Domain'!$D$104</definedName>
    <definedName name="input_wld_az1_uplink02_cidr">'Configure Workload Domain'!$D$179</definedName>
    <definedName name="input_wld_az1_uplink02_gateway_ip">'Configure Workload Domain'!$D$178</definedName>
    <definedName name="input_wld_az1_uplink02_mtu">'Configure Workload Domain'!$D$115</definedName>
    <definedName name="input_wld_az1_uplink02_vlan">'Configure Workload Domain'!$D$111</definedName>
    <definedName name="input_wld_az1_vmotion_gateway_cidr">'Deploy Workload Domain'!$D$88</definedName>
    <definedName name="input_wld_az1_vmotion_mtu">'Deploy Workload Domain'!$D$86</definedName>
    <definedName name="input_wld_az1_vmotion_pool_end_ip">'Deploy Workload Domain'!$D$91</definedName>
    <definedName name="input_wld_az1_vmotion_pool_start_ip">'Deploy Workload Domain'!$D$90</definedName>
    <definedName name="input_wld_az1_vmotion_vlan">'Deploy Workload Domain'!$D$85</definedName>
    <definedName name="input_wld_az1_vrms_cidr">'Dumping Ground'!$D$270</definedName>
    <definedName name="input_wld_az1_vrms_gateway_ip">'Dumping Ground'!$D$269</definedName>
    <definedName name="input_wld_az1_vrms_mtu">'Dumping Ground'!$D$271</definedName>
    <definedName name="input_wld_az1_vrms_vlan">'Dumping Ground'!$D$268</definedName>
    <definedName name="input_wld_az2_host_overlay_cidr">'Configure Workload Domain'!$D$398</definedName>
    <definedName name="input_wld_az2_host_overlay_gateway_ip">'Configure Workload Domain'!$D$397</definedName>
    <definedName name="input_wld_az2_host_overlay_mtu">'Configure Workload Domain'!$D$399</definedName>
    <definedName name="input_wld_az2_host_overlay_network_pool_name">'Configure Workload Domain'!$D$394</definedName>
    <definedName name="input_wld_az2_host_overlay_network_profile_name">'Configure Workload Domain'!$D$392</definedName>
    <definedName name="input_wld_az2_host_overlay_pool_end_ip">'Configure Workload Domain'!$D$401</definedName>
    <definedName name="input_wld_az2_host_overlay_pool_start_ip">'Configure Workload Domain'!$D$400</definedName>
    <definedName name="input_wld_az2_host_overlay_uplink_profile_name">'Configure Workload Domain'!$D$395</definedName>
    <definedName name="input_wld_az2_host_overlay_vlan">'Configure Workload Domain'!$D$396</definedName>
    <definedName name="input_wld_az2_host1_fqdn">'Configure Workload Domain'!$D$305</definedName>
    <definedName name="input_wld_az2_host1_mgmt_ip">'Configure Workload Domain'!$D$247</definedName>
    <definedName name="input_wld_az2_host1_sddc_id">'Configure Workload Domain'!$D$376</definedName>
    <definedName name="input_wld_az2_host1_vrms_ip">'Dumping Ground'!$D$310</definedName>
    <definedName name="input_wld_az2_host10_fqdn">'Configure Workload Domain'!$D$314</definedName>
    <definedName name="input_wld_az2_host10_mgmt_ip">'Configure Workload Domain'!$D$256</definedName>
    <definedName name="input_wld_az2_host10_vrms_ip">'Dumping Ground'!$D$319</definedName>
    <definedName name="input_wld_az2_host11_fqdn">'Configure Workload Domain'!$D$315</definedName>
    <definedName name="input_wld_az2_host11_mgmt_ip">'Configure Workload Domain'!$D$257</definedName>
    <definedName name="input_wld_az2_host11_vrms_ip">'Dumping Ground'!$D$320</definedName>
    <definedName name="input_wld_az2_host12_fqdn">'Configure Workload Domain'!$D$316</definedName>
    <definedName name="input_wld_az2_host12_mgmt_ip">'Configure Workload Domain'!$D$258</definedName>
    <definedName name="input_wld_az2_host12_vrms_ip">'Dumping Ground'!$D$321</definedName>
    <definedName name="input_wld_az2_host13_fqdn">'Configure Workload Domain'!$D$317</definedName>
    <definedName name="input_wld_az2_host13_mgmt_ip">'Configure Workload Domain'!$D$259</definedName>
    <definedName name="input_wld_az2_host13_vrms_ip">'Dumping Ground'!$D$322</definedName>
    <definedName name="input_wld_az2_host14_fqdn">'Configure Workload Domain'!$D$318</definedName>
    <definedName name="input_wld_az2_host14_mgmt_ip">'Configure Workload Domain'!$D$260</definedName>
    <definedName name="input_wld_az2_host14_vrms_ip">'Dumping Ground'!$D$323</definedName>
    <definedName name="input_wld_az2_host15_fqdn">'Configure Workload Domain'!$D$319</definedName>
    <definedName name="input_wld_az2_host15_mgmt_ip">'Configure Workload Domain'!$D$261</definedName>
    <definedName name="input_wld_az2_host15_vrms_ip">'Dumping Ground'!$D$324</definedName>
    <definedName name="input_wld_az2_host16_fqdn">'Configure Workload Domain'!$D$320</definedName>
    <definedName name="input_wld_az2_host16_mgmt_ip">'Configure Workload Domain'!$D$262</definedName>
    <definedName name="input_wld_az2_host16_vrms_ip">'Dumping Ground'!$D$325</definedName>
    <definedName name="input_wld_az2_host2_fqdn">'Configure Workload Domain'!$D$306</definedName>
    <definedName name="input_wld_az2_host2_mgmt_ip">'Configure Workload Domain'!$D$248</definedName>
    <definedName name="input_wld_az2_host2_sddc_id">'Configure Workload Domain'!$D$377</definedName>
    <definedName name="input_wld_az2_host2_vrms_ip">'Dumping Ground'!$D$311</definedName>
    <definedName name="input_wld_az2_host3_fqdn">'Configure Workload Domain'!$D$307</definedName>
    <definedName name="input_wld_az2_host3_mgmt_ip">'Configure Workload Domain'!$D$249</definedName>
    <definedName name="input_wld_az2_host3_sddc_id">'Configure Workload Domain'!$D$378</definedName>
    <definedName name="input_wld_az2_host3_vrms_ip">'Dumping Ground'!$D$312</definedName>
    <definedName name="input_wld_az2_host4_fqdn">'Configure Workload Domain'!$D$308</definedName>
    <definedName name="input_wld_az2_host4_mgmt_ip">'Configure Workload Domain'!$D$250</definedName>
    <definedName name="input_wld_az2_host4_sddc_id">'Configure Workload Domain'!$D$379</definedName>
    <definedName name="input_wld_az2_host4_vrms_ip">'Dumping Ground'!$D$313</definedName>
    <definedName name="input_wld_az2_host5_fqdn">'Configure Workload Domain'!$D$309</definedName>
    <definedName name="input_wld_az2_host5_mgmt_ip">'Configure Workload Domain'!$D$251</definedName>
    <definedName name="input_wld_az2_host5_vrms_ip">'Dumping Ground'!$D$314</definedName>
    <definedName name="input_wld_az2_host6_fqdn">'Configure Workload Domain'!$D$310</definedName>
    <definedName name="input_wld_az2_host6_mgmt_ip">'Configure Workload Domain'!$D$252</definedName>
    <definedName name="input_wld_az2_host6_vrms_ip">'Dumping Ground'!$D$315</definedName>
    <definedName name="input_wld_az2_host7_fqdn">'Configure Workload Domain'!$D$311</definedName>
    <definedName name="input_wld_az2_host7_mgmt_ip">'Configure Workload Domain'!$D$253</definedName>
    <definedName name="input_wld_az2_host7_vrms_ip">'Dumping Ground'!$D$316</definedName>
    <definedName name="input_wld_az2_host8_fqdn">'Configure Workload Domain'!$D$312</definedName>
    <definedName name="input_wld_az2_host8_mgmt_ip">'Configure Workload Domain'!$D$254</definedName>
    <definedName name="input_wld_az2_host8_vrms_ip">'Dumping Ground'!$D$317</definedName>
    <definedName name="input_wld_az2_host9_fqdn">'Configure Workload Domain'!$D$313</definedName>
    <definedName name="input_wld_az2_host9_mgmt_ip">'Configure Workload Domain'!$D$255</definedName>
    <definedName name="input_wld_az2_host9_vrms_ip">'Dumping Ground'!$D$318</definedName>
    <definedName name="input_wld_az2_mgmt_cidr">'Configure Workload Domain'!$D$244</definedName>
    <definedName name="input_wld_az2_mgmt_gateway_ip">'Configure Workload Domain'!$D$243</definedName>
    <definedName name="input_wld_az2_mgmt_mtu">'Configure Workload Domain'!$D$245</definedName>
    <definedName name="input_wld_az2_mgmt_vlan">'Configure Workload Domain'!$D$242</definedName>
    <definedName name="input_wld_az2_pool_name">'Configure Workload Domain'!$D$268</definedName>
    <definedName name="input_wld_az2_principal_storage_gateway_ip">'Configure Workload Domain'!$D$282</definedName>
    <definedName name="input_wld_az2_principal_storage_mask">'Configure Workload Domain'!$D$281</definedName>
    <definedName name="input_wld_az2_principal_storage_mtu">'Configure Workload Domain'!$D$279</definedName>
    <definedName name="input_wld_az2_principal_storage_network">'Configure Workload Domain'!$D$280</definedName>
    <definedName name="input_wld_az2_principal_storage_pool_end_ip">'Configure Workload Domain'!$D$284</definedName>
    <definedName name="input_wld_az2_principal_storage_pool_start_ip">'Configure Workload Domain'!$D$283</definedName>
    <definedName name="input_wld_az2_principal_storage_vlan">'Configure Workload Domain'!$D$278</definedName>
    <definedName name="input_wld_az2_secondary_storage_gateway_ip">'Configure Workload Domain'!$D$290</definedName>
    <definedName name="input_wld_az2_secondary_storage_mask">'Configure Workload Domain'!$D$289</definedName>
    <definedName name="input_wld_az2_secondary_storage_mtu">'Configure Workload Domain'!$D$287</definedName>
    <definedName name="input_wld_az2_secondary_storage_network">'Configure Workload Domain'!$D$288</definedName>
    <definedName name="input_wld_az2_secondary_storage_pool_end_ip">'Configure Workload Domain'!$D$292</definedName>
    <definedName name="input_wld_az2_secondary_storage_pool_start_ip">'Configure Workload Domain'!$D$291</definedName>
    <definedName name="input_wld_az2_secondary_storage_vlan">'Configure Workload Domain'!$D$286</definedName>
    <definedName name="input_wld_az2_storage_cluster_gateway_ip">'Configure Workload Domain'!$D$298</definedName>
    <definedName name="input_wld_az2_storage_cluster_mask">'Configure Workload Domain'!$D$297</definedName>
    <definedName name="input_wld_az2_storage_cluster_mtu">'Configure Workload Domain'!$D$295</definedName>
    <definedName name="input_wld_az2_storage_cluster_network">'Configure Workload Domain'!$D$296</definedName>
    <definedName name="input_wld_az2_storage_cluster_pool_end_ip">'Configure Workload Domain'!$D$300</definedName>
    <definedName name="input_wld_az2_storage_cluster_pool_start_ip">'Configure Workload Domain'!$D$299</definedName>
    <definedName name="input_wld_az2_storage_cluster_vlan">'Configure Workload Domain'!$D$294</definedName>
    <definedName name="input_wld_az2_tor1_peer_asn">'Configure Workload Domain'!$D$419</definedName>
    <definedName name="input_wld_az2_tor1_peer_bgp_password">'Configure Workload Domain'!$D$422</definedName>
    <definedName name="input_wld_az2_tor1_peer_ip">'Configure Workload Domain'!$D$418</definedName>
    <definedName name="input_wld_az2_tor2_peer_asn">'Configure Workload Domain'!$D$424</definedName>
    <definedName name="input_wld_az2_tor2_peer_bgp_password">'Configure Workload Domain'!$D$427</definedName>
    <definedName name="input_wld_az2_tor2_peer_ip">'Configure Workload Domain'!$D$423</definedName>
    <definedName name="input_wld_az2_vmotion_gateway_ip">'Configure Workload Domain'!$D$274</definedName>
    <definedName name="input_wld_az2_vmotion_mask">'Configure Workload Domain'!$D$273</definedName>
    <definedName name="input_wld_az2_vmotion_mtu">'Configure Workload Domain'!$D$271</definedName>
    <definedName name="input_wld_az2_vmotion_network">'Configure Workload Domain'!$D$272</definedName>
    <definedName name="input_wld_az2_vmotion_pool_end_ip">'Configure Workload Domain'!$D$276</definedName>
    <definedName name="input_wld_az2_vmotion_pool_start_ip">'Configure Workload Domain'!$D$275</definedName>
    <definedName name="input_wld_az2_vmotion_vlan">'Configure Workload Domain'!$D$270</definedName>
    <definedName name="input_wld_bf_nsxt_admin_password">'Deploy Workload Domain'!$D$48</definedName>
    <definedName name="input_wld_bf_nsxt_audit_password">'Deploy Workload Domain'!$D$50</definedName>
    <definedName name="input_wld_bf_nsxt_mgra_fqdn">'Deploy Workload Domain'!$D$41</definedName>
    <definedName name="input_wld_bf_nsxt_mgrb_fqdn">'Deploy Workload Domain'!$D$42</definedName>
    <definedName name="input_wld_bf_nsxt_mgrc_fqdn">'Deploy Workload Domain'!$D$43</definedName>
    <definedName name="input_wld_bf_nsxt_root_password">'Deploy Workload Domain'!$D$49</definedName>
    <definedName name="input_wld_bf_nsxt_vip_fqdn">'Deploy Workload Domain'!$D$44</definedName>
    <definedName name="input_wld_bf_sddc_domain">'Deploy Workload Domain'!$D$23</definedName>
    <definedName name="input_wld_bf_vc_fqdn">'Deploy Workload Domain'!$D$29</definedName>
    <definedName name="input_wld_bf_vc_root_password">'Deploy Workload Domain'!$D$30</definedName>
    <definedName name="input_wld_bf_vc_sso_password">'Deploy Workload Domain'!$D$32</definedName>
    <definedName name="input_wld_bf_vc_sso_username">'Deploy Workload Domain'!$D$31</definedName>
    <definedName name="input_wld_cl01_az1_mgmt_pg">'Deploy Workload Domain'!$D$294</definedName>
    <definedName name="input_wld_cl01_az1_mgmt_vm_pg">'Deploy Workload Domain'!$D$299</definedName>
    <definedName name="input_wld_cl01_az1_nsx_uplink_count">'Deploy Workload Domain'!$D$337</definedName>
    <definedName name="input_wld_cl01_az1_principal_storage_pg">'Deploy Workload Domain'!$D$309</definedName>
    <definedName name="input_wld_cl01_az1_uplink01_pg">'Configure Workload Domain'!$D$173</definedName>
    <definedName name="input_wld_cl01_az1_uplink02_pg">'Configure Workload Domain'!$D$177</definedName>
    <definedName name="input_wld_cl01_az1_vmotion_pg">'Deploy Workload Domain'!$D$304</definedName>
    <definedName name="input_wld_cl01_az1_vsan_storage_client_pg">'Deploy Workload Domain'!$D$314</definedName>
    <definedName name="input_wld_cl01_cluster">'Deploy Workload Domain'!$D$177</definedName>
    <definedName name="input_wld_cl01_cluster_sddc_id">'Configure Workload Domain'!$D$405</definedName>
    <definedName name="input_wld_cl01_cluster_zn_name">'Deploy Workload Domain'!$D$178</definedName>
    <definedName name="input_wld_cl01_evc_mode">'Dumping Ground'!$S$7</definedName>
    <definedName name="input_wld_cl01_image_name">'Deploy Workload Domain'!$D$182</definedName>
    <definedName name="input_wld_cl01_nfs_datastore_name">'Deploy Workload Domain'!$D$228</definedName>
    <definedName name="input_wld_cl01_nfs_server_address">'Deploy Workload Domain'!$D$230</definedName>
    <definedName name="input_wld_cl01_nfs_share_path">'Deploy Workload Domain'!$D$229</definedName>
    <definedName name="input_wld_cl01_supervisor_control_plane_ip_range">'Deploy Workload Domain'!$D$351</definedName>
    <definedName name="input_wld_cl01_supervisor_dns">'Deploy Workload Domain'!$D$359</definedName>
    <definedName name="input_wld_cl01_supervisor_ext_ip_block_gateway_cidr">'Deploy Workload Domain'!$D$205</definedName>
    <definedName name="input_wld_cl01_supervisor_ext_ip_block_vlan">'Deploy Workload Domain'!$D$204</definedName>
    <definedName name="input_wld_cl01_supervisor_name">'Deploy Workload Domain'!$D$348</definedName>
    <definedName name="input_wld_cl01_supervisor_nsx_project">'Deploy Workload Domain'!$D$356</definedName>
    <definedName name="input_wld_cl01_supervisor_ntp">'Deploy Workload Domain'!$D$360</definedName>
    <definedName name="input_wld_cl01_supervisor_private_transit_gateway_cidr">'Deploy Workload Domain'!$D$358</definedName>
    <definedName name="input_wld_cl01_supervisor_service_cidr">'Deploy Workload Domain'!$D$349</definedName>
    <definedName name="input_wld_cl01_supervisor_vpc_profile">'Deploy Workload Domain'!$D$357</definedName>
    <definedName name="input_wld_cl01_vds01_lag_name">'Deploy Workload Domain'!$D$264</definedName>
    <definedName name="input_wld_cl01_vds01_mtu">'Deploy Workload Domain'!$D$262</definedName>
    <definedName name="input_wld_cl01_vds01_name">'Deploy Workload Domain'!$D$261</definedName>
    <definedName name="input_wld_cl01_vds01_pnics">'Deploy Workload Domain'!$D$269</definedName>
    <definedName name="input_wld_cl01_vds01_uplink_count">'Deploy Workload Domain'!$D$268</definedName>
    <definedName name="input_wld_cl01_vds02_lag_name">'Deploy Workload Domain'!$D$275</definedName>
    <definedName name="input_wld_cl01_vds02_mtu">'Deploy Workload Domain'!$D$273</definedName>
    <definedName name="input_wld_cl01_vds02_name">'Deploy Workload Domain'!$D$272</definedName>
    <definedName name="input_wld_cl01_vds02_pnics">'Deploy Workload Domain'!$D$280</definedName>
    <definedName name="input_wld_cl01_vds02_uplink_count">'Deploy Workload Domain'!$D$279</definedName>
    <definedName name="input_wld_cl01_vds03_lag_name">'Deploy Workload Domain'!$D$286</definedName>
    <definedName name="input_wld_cl01_vds03_mtu">'Deploy Workload Domain'!$D$284</definedName>
    <definedName name="input_wld_cl01_vds03_name">'Deploy Workload Domain'!$D$283</definedName>
    <definedName name="input_wld_cl01_vds03_pnics">'Deploy Workload Domain'!$D$291</definedName>
    <definedName name="input_wld_cl01_vds03_uplink_count">'Deploy Workload Domain'!$D$290</definedName>
    <definedName name="input_wld_cl01_vmfs_datastore_name">'Deploy Workload Domain'!$D$227</definedName>
    <definedName name="input_wld_cl01_vsan_datastore">'Deploy Workload Domain'!$D$219</definedName>
    <definedName name="input_wld_cl01_vsan_dit_rekey_custom_interval">'Deploy Workload Domain'!$D$225</definedName>
    <definedName name="input_wld_cl01_vsan_dit_rekey_default_interval">'Deploy Workload Domain'!$D$224</definedName>
    <definedName name="input_wld_datacenter">'Configure Workload Domain'!$D$359</definedName>
    <definedName name="input_wld_day2_vnaa_fqdn">'Configure Workload Domain'!$D$151</definedName>
    <definedName name="input_wld_day2_vnab_fqdn">'Configure Workload Domain'!$D$161</definedName>
    <definedName name="input_wld_ec_mtu">'Configure Workload Domain'!$D$39</definedName>
    <definedName name="input_wld_ec_name">'Configure Workload Domain'!$D$38</definedName>
    <definedName name="input_wld_ec_rp_name">'Configure Workload Domain'!$D$44</definedName>
    <definedName name="input_wld_ec01_en01_host_group_affinity_rule_name">'Configure Workload Domain'!$D$46</definedName>
    <definedName name="input_wld_ec01_en02_host_group_affinity_rule_name">'Configure Workload Domain'!$D$75</definedName>
    <definedName name="input_wld_en_asn">'Configure Workload Domain'!$D$102</definedName>
    <definedName name="input_wld_esx_root_password">'Deploy Workload Domain'!$D$153</definedName>
    <definedName name="input_wld_esx_root_username">'Deploy Workload Domain'!$D$152</definedName>
    <definedName name="input_wld_existing_active_nsx_gm">'Configure Workload Domain'!$D$585</definedName>
    <definedName name="input_wld_existing_cross_instance_t0_name">'Configure Workload Domain'!$D$586</definedName>
    <definedName name="input_wld_host_overlay_transportzone">'Deploy Workload Domain'!$D$324</definedName>
    <definedName name="input_wld_nsx_vlan_transport_zone_name">'Deploy Workload Domain'!$D$334</definedName>
    <definedName name="input_wld_nsxt_en_admin_password">'Configure Workload Domain'!$D$97</definedName>
    <definedName name="input_wld_nsxt_en_root_password">'Configure Workload Domain'!$D$96</definedName>
    <definedName name="input_wld_nsxt_federation_global_manager_name">'Configure Workload Domain'!$D$548</definedName>
    <definedName name="input_wld_nsxt_federation_location_name">'Configure Workload Domain'!$D$566</definedName>
    <definedName name="input_wld_nsxt_global_mgr_anti_affinity_rule_name">'Configure Workload Domain'!$D$507</definedName>
    <definedName name="input_wld_nsxt_global_mgr_certificate_id">'Configure Workload Domain'!$D$525</definedName>
    <definedName name="input_wld_nsxt_global_mgr_cluster_id">'Configure Workload Domain'!$D$489</definedName>
    <definedName name="input_wld_nsxt_global_mgr_vmca_signed_thumbprint">'Configure Workload Domain'!$D$490</definedName>
    <definedName name="input_wld_nsxt_global_mgra_fqdn">'Configure Workload Domain'!$D$443</definedName>
    <definedName name="input_wld_nsxt_global_mgra_hostname">'Configure Workload Domain'!$D$434</definedName>
    <definedName name="input_wld_nsxt_global_mgra_ip">'Configure Workload Domain'!$D$444</definedName>
    <definedName name="input_wld_nsxt_global_mgrb_fqdn">'Configure Workload Domain'!$D$460</definedName>
    <definedName name="input_wld_nsxt_global_mgrb_hostname">'Configure Workload Domain'!$D$451</definedName>
    <definedName name="input_wld_nsxt_global_mgrb_ip">'Configure Workload Domain'!$D$461</definedName>
    <definedName name="input_wld_nsxt_global_mgrc_fqdn">'Configure Workload Domain'!$D$477</definedName>
    <definedName name="input_wld_nsxt_global_mgrc_hostname">'Configure Workload Domain'!$D$468</definedName>
    <definedName name="input_wld_nsxt_global_mgrc_ip">'Configure Workload Domain'!$D$478</definedName>
    <definedName name="input_wld_nsxt_gm_admin_password">'Configure Workload Domain'!$D$441</definedName>
    <definedName name="input_wld_nsxt_gm_audit_password">'Configure Workload Domain'!$D$442</definedName>
    <definedName name="input_wld_nsxt_gm_fingerprint">'Configure Workload Domain'!$D$553</definedName>
    <definedName name="input_wld_nsxt_gm_root_password">'Configure Workload Domain'!$D$440</definedName>
    <definedName name="input_wld_nsxt_gm_vip_fqdn">'Configure Workload Domain'!$D$516</definedName>
    <definedName name="input_wld_nsxt_gm_vip_ip">'Configure Workload Domain'!$D$515</definedName>
    <definedName name="input_wld_nsxt_lm_admin_password">'Deploy Workload Domain'!$D$200</definedName>
    <definedName name="input_wld_nsxt_lm_audit_password">'Deploy Workload Domain'!$D$201</definedName>
    <definedName name="input_wld_nsxt_lm_fingerprint">'Configure Workload Domain'!$D$564</definedName>
    <definedName name="input_wld_nsxt_mgra_fqdn">'Deploy Workload Domain'!$D$192</definedName>
    <definedName name="input_wld_nsxt_mgra_ip">'Deploy Workload Domain'!$D$193</definedName>
    <definedName name="input_wld_nsxt_mgrb_fqdn">'Deploy Workload Domain'!$D$194</definedName>
    <definedName name="input_wld_nsxt_mgrb_ip">'Deploy Workload Domain'!$D$195</definedName>
    <definedName name="input_wld_nsxt_mgrc_fqdn">'Deploy Workload Domain'!$D$196</definedName>
    <definedName name="input_wld_nsxt_mgrc_ip">'Deploy Workload Domain'!$D$197</definedName>
    <definedName name="input_wld_nsxt_vip_fqdn">'Deploy Workload Domain'!$D$198</definedName>
    <definedName name="input_wld_nsxt_vip_ip">'Deploy Workload Domain'!$D$199</definedName>
    <definedName name="input_wld_nsxt_xreg_t1_name">'Configure Workload Domain'!$D$578</definedName>
    <definedName name="input_wld_rack2_en_asn">Arkham!$C$73</definedName>
    <definedName name="input_wld_rack3_en_asn">Arkham!$F$73</definedName>
    <definedName name="input_wld_rack4_en_asn">Arkham!$I$73</definedName>
    <definedName name="input_wld_rack5_en_asn">Arkham!$L$73</definedName>
    <definedName name="input_wld_rack6_en_asn">Arkham!$O$73</definedName>
    <definedName name="input_wld_rack7_en_asn">Arkham!$R$73</definedName>
    <definedName name="input_wld_rack8_en_asn">Arkham!$U$73</definedName>
    <definedName name="input_wld_rtep_overlay_pool_end_ip">'Configure Workload Domain'!$D$541</definedName>
    <definedName name="input_wld_rtep_overlay_pool_start_ip">'Configure Workload Domain'!$D$540</definedName>
    <definedName name="input_wld_rwr_az1_vrms_gateway_ip">'On-Premises Ransomware Recovery'!$D$99</definedName>
    <definedName name="input_wld_rwr_az1_vrms_gateway_mask">'On-Premises Ransomware Recovery'!$D$82</definedName>
    <definedName name="input_wld_rwr_cl02_cluster">'On-Premises Ransomware Recovery'!$D$78</definedName>
    <definedName name="input_wld_rwr_cl02_vds01">'On-Premises Ransomware Recovery'!$D$70</definedName>
    <definedName name="input_wld_rwr_recovery_site_az1_vrms_cidr">'On-Premises Ransomware Recovery'!$D$100</definedName>
    <definedName name="input_wld_rwr_recovery_site_vc_fqdn">'On-Premises Ransomware Recovery'!$D$153</definedName>
    <definedName name="input_wld_rwr_recoverysite_fd">'On-Premises Ransomware Recovery'!$D$144</definedName>
    <definedName name="input_wld_rwr_vc_fqdn">'On-Premises Ransomware Recovery'!$D$42</definedName>
    <definedName name="input_wld_rwr_vcfops_vlsr_username">'On-Premises Ransomware Recovery'!$D$203</definedName>
    <definedName name="input_wld_rwr_vcfops_vr_username">'On-Premises Ransomware Recovery'!$D$205</definedName>
    <definedName name="input_wld_sddc_domain">'Deploy Workload Domain'!$D$160</definedName>
    <definedName name="input_wld_srm_admin_email">'Dumping Ground'!$D$82</definedName>
    <definedName name="input_wld_srm_admin_password">'Dumping Ground'!$D$79</definedName>
    <definedName name="input_wld_srm_database_password">'Dumping Ground'!$D$80</definedName>
    <definedName name="input_wld_srm_hostname">'Dumping Ground'!$E$12</definedName>
    <definedName name="input_wld_srm_ip">'Dumping Ground'!$G$12</definedName>
    <definedName name="input_wld_srm_p12_password">'Dumping Ground'!$D$83</definedName>
    <definedName name="input_wld_srm_recovery_vcenter_fqdn">'Dumping Ground'!$D$85</definedName>
    <definedName name="input_wld_srm_recovery_vcenter_password">'Dumping Ground'!$D$87</definedName>
    <definedName name="input_wld_srm_recovery_vcenter_username">'Dumping Ground'!$D$86</definedName>
    <definedName name="input_wld_srm_root_password">'Dumping Ground'!$D$78</definedName>
    <definedName name="input_wld_srm_site_name">'Dumping Ground'!$D$81</definedName>
    <definedName name="input_wld_srm_sso_domain_membership">'Dumping Ground'!$D$89</definedName>
    <definedName name="input_wld_srm_vm_folder">'Dumping Ground'!$D$77</definedName>
    <definedName name="input_wld_srm_vm_size">'Management Domain Sizing'!$F$89</definedName>
    <definedName name="input_wld_sso_domain_name">'Deploy Workload Domain'!$D$171</definedName>
    <definedName name="input_wld_supvr_api_server_fqdn">'Configure Workload Domain'!$D$216</definedName>
    <definedName name="input_wld_supvr_cp_storage_policy">'Configure Workload Domain'!$D$193</definedName>
    <definedName name="input_wld_supvr_ed_storage_policy">'Configure Workload Domain'!$D$194</definedName>
    <definedName name="input_wld_supvr_ic_storage_policy">'Configure Workload Domain'!$D$195</definedName>
    <definedName name="input_wld_supvr_ip_address_range">'Configure Workload Domain'!$D$199</definedName>
    <definedName name="input_wld_supvr_mgmt_dns_server">'Configure Workload Domain'!$D$202</definedName>
    <definedName name="input_wld_supvr_mgmt_dns_zones">'Configure Workload Domain'!$D$203</definedName>
    <definedName name="input_wld_supvr_mgmt_ntp_server">'Configure Workload Domain'!$D$204</definedName>
    <definedName name="input_wld_supvr_name">'Configure Workload Domain'!$D$188</definedName>
    <definedName name="input_wld_supvr_nsx_project">'Configure Workload Domain'!$D$206</definedName>
    <definedName name="input_wld_supvr_vpc_connectivity_profile">'Configure Workload Domain'!$D$207</definedName>
    <definedName name="input_wld_supvr_vpc_ext_ip_blocks_name">'Configure Workload Domain'!$D$208</definedName>
    <definedName name="input_wld_supvr_vpc_priv_cidr">'Configure Workload Domain'!$D$210</definedName>
    <definedName name="input_wld_supvr_vpc_priv_ip_blocks_name">'Configure Workload Domain'!$D$209</definedName>
    <definedName name="input_wld_supvr_vpc_service_cidr">'Configure Workload Domain'!$D$211</definedName>
    <definedName name="input_wld_supvr_wld_dns_server">'Configure Workload Domain'!$D$212</definedName>
    <definedName name="input_wld_supvr_wld_ntp_server">'Configure Workload Domain'!$D$213</definedName>
    <definedName name="input_wld_supvr_zone_name">'Configure Workload Domain'!$D$191</definedName>
    <definedName name="input_wld_tier0_name">'Configure Workload Domain'!$D$99</definedName>
    <definedName name="input_wld_vc_fqdn">'Deploy Workload Domain'!$D$169</definedName>
    <definedName name="input_wld_vc_ip">'Deploy Workload Domain'!$D$393</definedName>
    <definedName name="input_wld_vcenter_root_password">'Deploy Workload Domain'!$D$170</definedName>
    <definedName name="input_wld_vlr_hostname">'On-Premises Ransomware Recovery'!$D$11</definedName>
    <definedName name="input_wld_vlr_replication_user">'On-Premises Ransomware Recovery'!$D$44</definedName>
    <definedName name="input_wld_vna_rp_name">'Configure Workload Domain'!$D$153</definedName>
    <definedName name="input_wld_vnaa_cidr">'Configure Workload Domain'!$D$157</definedName>
    <definedName name="input_wld_vnaa_fqdn">'Deploy Workload Domain'!$D$206</definedName>
    <definedName name="input_wld_vnaa_ip">'Deploy Workload Domain'!$D$400</definedName>
    <definedName name="input_wld_vnab_cidr">'Configure Workload Domain'!$D$167</definedName>
    <definedName name="input_wld_vnab_fqdn">'Deploy Workload Domain'!$D$207</definedName>
    <definedName name="input_wld_vnab_ip">'Deploy Workload Domain'!$D$401</definedName>
    <definedName name="input_wld_vpc_ext_ip_blocks_cidr">'Configure Workload Domain'!$D$139</definedName>
    <definedName name="input_wld_vpc_ext_ip_blocks_excluded_ips">'Configure Workload Domain'!$D$140</definedName>
    <definedName name="input_wld_vpc_ext_ip_blocks_name">'Configure Workload Domain'!$D$137</definedName>
    <definedName name="input_wld_vpc_ext_ip_blocks_reserved">'Configure Workload Domain'!$D$141</definedName>
    <definedName name="input_wld_vpc_ext_ip_blocks_visability">'Configure Workload Domain'!$D$138</definedName>
    <definedName name="input_wld_vpc_priv_ip_blocks_excluded_ips">'Configure Workload Domain'!$D$145</definedName>
    <definedName name="input_wld_vpc_priv_ip_blocks_name">'Configure Workload Domain'!$D$142</definedName>
    <definedName name="input_wld_vpc_priv_ip_blocks_reserved">'Configure Workload Domain'!$D$146</definedName>
    <definedName name="input_wld_vpc_priv_ip_blocks_visability">'Configure Workload Domain'!$D$143</definedName>
    <definedName name="input_wld_vpc_transit_gateway_ip_blocks_cidr">'Configure Workload Domain'!$D$144</definedName>
    <definedName name="input_wld_vpc_vna_cluster_name">'Configure Workload Domain'!$D$148</definedName>
    <definedName name="input_wld_vrms_admin_email">'Dumping Ground'!$D$73</definedName>
    <definedName name="input_wld_vrms_admin_password">'Dumping Ground'!$D$71</definedName>
    <definedName name="input_wld_vrms_hostname">'Dumping Ground'!$E$10</definedName>
    <definedName name="input_wld_vrms_mgmt_ip">'Dumping Ground'!$G$10</definedName>
    <definedName name="input_wld_vrms_p12_password">'Dumping Ground'!$D$75</definedName>
    <definedName name="input_wld_vrms_pg">'Dumping Ground'!$D$74</definedName>
    <definedName name="input_wld_vrms_recovery_replication_cidr">'Dumping Ground'!$D$88</definedName>
    <definedName name="input_wld_vrms_root_password">'Dumping Ground'!$D$70</definedName>
    <definedName name="input_wld_vrms_site_name">'Dumping Ground'!$D$72</definedName>
    <definedName name="input_wld_vrms_vm_folder">'Dumping Ground'!$D$69</definedName>
    <definedName name="input_wld_vrms_vrms_ip">'Dumping Ground'!$G$11</definedName>
    <definedName name="input_wld_witness_cluster">'Configure Workload Domain'!$D$341</definedName>
    <definedName name="input_wld_witness_dns1_ip">'Configure Workload Domain'!$D$352</definedName>
    <definedName name="input_wld_witness_dns2_ip">'Configure Workload Domain'!$D$353</definedName>
    <definedName name="input_wld_witness_fqdn">'Configure Workload Domain'!$D$360</definedName>
    <definedName name="input_wld_witness_hostname">'Configure Workload Domain'!$D$340</definedName>
    <definedName name="input_wld_witness_ip">'Configure Workload Domain'!$D$347</definedName>
    <definedName name="input_wld_witness_mgmt_pg">'Configure Workload Domain'!$D$344</definedName>
    <definedName name="input_wld_witness_ntp1_server">'Configure Workload Domain'!$D$354</definedName>
    <definedName name="input_wld_witness_ntp2_server">'Configure Workload Domain'!$D$355</definedName>
    <definedName name="input_wld_witness_root_password">'Configure Workload Domain'!$D$346</definedName>
    <definedName name="input_wld_witness_vm_folder">'Configure Workload Domain'!$D$342</definedName>
    <definedName name="input_wld_witness_vsan_datastore">'Configure Workload Domain'!$D$343</definedName>
    <definedName name="input_wld_witness_zone_vc_fqdn">'Configure Workload Domain'!$D$338</definedName>
    <definedName name="input_wld_witness_zone_vc_ip">'Configure Workload Domain'!$D$339</definedName>
    <definedName name="input_wld_witnessaz_mgmt_cidr">'Configure Workload Domain'!$D$332</definedName>
    <definedName name="input_wld_witnessaz_mgmt_gateway_ip">'Configure Workload Domain'!$D$331</definedName>
    <definedName name="input_wld_witnessaz_mgmt_mtu">'Configure Workload Domain'!$D$333</definedName>
    <definedName name="input_wld_witnessaz_mgmt_vlan">'Configure Workload Domain'!$D$330</definedName>
    <definedName name="input_xreg_vra_admin_password">'Deploy Management Domain'!$L$189</definedName>
    <definedName name="input_xreg_vra_prefix">'Deploy Management Domain'!$L$191</definedName>
    <definedName name="input_xreg_vra_virtual_fqdn">'Deploy Management Domain'!$L$187</definedName>
    <definedName name="input_xreg_vra_virtual_ip">'Deploy Management Domain'!$L$379</definedName>
    <definedName name="input_xreg_vrops_admin_password">'Deploy Management Domain'!$L$165</definedName>
    <definedName name="input_xreg_vrops_collector_fqdn">'Deploy Management Domain'!$L$172</definedName>
    <definedName name="input_xreg_vrops_collector_ip">'Deploy Management Domain'!$L$375</definedName>
    <definedName name="input_xreg_vrops_collector_root_password">'Deploy Management Domain'!$L$173</definedName>
    <definedName name="input_xreg_vrops_nodea_fqdn">'Deploy Management Domain'!$L$162</definedName>
    <definedName name="input_xreg_vrops_nodea_ip">'Deploy Management Domain'!$L$372</definedName>
    <definedName name="input_xreg_vrops_nodeb_fqdn">'Deploy Management Domain'!$L$163</definedName>
    <definedName name="input_xreg_vrops_nodeb_ip">'Deploy Management Domain'!$L$373</definedName>
    <definedName name="input_xreg_vrops_nodec_fqdn">'Deploy Management Domain'!$L$164</definedName>
    <definedName name="input_xreg_vrops_nodec_ip">'Deploy Management Domain'!$L$374</definedName>
    <definedName name="input_xreg_vrops_root_password">'Deploy Management Domain'!$L$166</definedName>
    <definedName name="input_xreg_vrops_srm_sso_password">'Site Protection &amp; DR'!$D$481</definedName>
    <definedName name="input_xreg_vrops_srm_sso_username">'Site Protection &amp; DR'!$D$480</definedName>
    <definedName name="input_xreg_vrops_virtual_fqdn">'Deploy Management Domain'!$L$170</definedName>
    <definedName name="input_xreg_vrops_virtual_ip">'Deploy Management Domain'!$L$377</definedName>
    <definedName name="input_xreg_vrops_vrms_sso_password">'Site Protection &amp; DR'!$D$479</definedName>
    <definedName name="input_xreg_vrops_vrms_sso_username">'Site Protection &amp; DR'!$D$478</definedName>
    <definedName name="input_xregion_dns1_ip">Arkham!$C$13</definedName>
    <definedName name="input_xregion_dns2_ip">Arkham!$C$14</definedName>
    <definedName name="input_xregion_ntp1_server">Arkham!$C$18</definedName>
    <definedName name="input_xregion_ntp2_server">Arkham!$C$19</definedName>
    <definedName name="lag_load_balancing">'Static Reference Tables'!$B$617:$B$636</definedName>
    <definedName name="mgmt_avi_loadbalancer_chosen">'Configure Management Domain'!$B$15</definedName>
    <definedName name="mgmt_avi_loadbalancer_result">'Configure Management Domain'!$D$15</definedName>
    <definedName name="mgmt_avilb_cluster_formfactor_chosen">'Configure Management Domain'!$D$281</definedName>
    <definedName name="mgmt_avilb_cluster_name">'Value Reference Tables'!$O$30</definedName>
    <definedName name="mgmt_avilb_cluster_version">'Value Reference Tables'!$O$31</definedName>
    <definedName name="mgmt_avilb_fqdn">'Value Reference Tables'!$C$74</definedName>
    <definedName name="mgmt_avilb_ha_chosen">'Configure Management Domain'!$D$285</definedName>
    <definedName name="mgmt_avilb_hostname">'Value Reference Tables'!$C$53</definedName>
    <definedName name="mgmt_avilb_ip">'Value Reference Tables'!$C$25</definedName>
    <definedName name="mgmt_avilb_mgra_ip">'Value Reference Tables'!$C$26</definedName>
    <definedName name="mgmt_avilb_mgrb_ip">'Value Reference Tables'!$C$27</definedName>
    <definedName name="mgmt_avilb_mgrc_ip">'Value Reference Tables'!$C$28</definedName>
    <definedName name="mgmt_avilb_root_password">'Value Reference Tables'!$L$31</definedName>
    <definedName name="mgmt_avilb_vcfops_password">'Value Reference Tables'!$L$32</definedName>
    <definedName name="mgmt_az1_dtgw_gateway_cidr">'Value Reference Tables'!$C$148</definedName>
    <definedName name="mgmt_az1_dtgw_vlan">'Value Reference Tables'!$C$276</definedName>
    <definedName name="mgmt_az1_ec01_password_creation_chosen">'Configure Management Domain'!$D$152</definedName>
    <definedName name="mgmt_az1_edge_overlay_cidr">'Value Reference Tables - MR'!$F$32</definedName>
    <definedName name="mgmt_az1_edge_overlay_gateway_ip">'Value Reference Tables - MR'!$F$94</definedName>
    <definedName name="mgmt_az1_edge_overlay_mask">'Value Reference Tables - MR'!$F$62</definedName>
    <definedName name="mgmt_az1_edge_overlay_mtu">'Value Reference Tables - MR'!$F$78</definedName>
    <definedName name="mgmt_az1_edge_overlay_network">'Value Reference Tables - MR'!$F$47</definedName>
    <definedName name="mgmt_az1_edge_overlay_network_pool_name">'Value Reference Tables - MR'!$F$188</definedName>
    <definedName name="mgmt_az1_edge_overlay_pg">'Value Reference Tables - MR'!$F$133</definedName>
    <definedName name="mgmt_az1_edge_overlay_pool_end_ip">'Value Reference Tables - MR'!$F$176</definedName>
    <definedName name="mgmt_az1_edge_overlay_pool_start_ip">'Value Reference Tables - MR'!$F$175</definedName>
    <definedName name="mgmt_az1_edge_overlay_vlan">'Value Reference Tables - MR'!$F$17</definedName>
    <definedName name="mgmt_az1_en1_edge_overlay_interface_ip_1_ip">'Value Reference Tables - MR'!$F$277</definedName>
    <definedName name="mgmt_az1_en1_edge_overlay_interface_ip_2_ip">'Value Reference Tables - MR'!$F$278</definedName>
    <definedName name="mgmt_az1_en1_edge_overlay_network_ip_allocation_chosen">'Configure Management Domain'!$D$118</definedName>
    <definedName name="mgmt_az1_en1_eth0_uplink0">'Value Reference Tables'!$C$218</definedName>
    <definedName name="mgmt_az1_en1_eth0_uplink1">'Value Reference Tables'!$C$219</definedName>
    <definedName name="mgmt_az1_en1_eth1_uplink0">'Value Reference Tables'!$C$220</definedName>
    <definedName name="mgmt_az1_en1_eth1_uplink1">'Value Reference Tables'!$C$221</definedName>
    <definedName name="mgmt_az1_en1_fqdn">'Value Reference Tables'!$C$72</definedName>
    <definedName name="mgmt_az1_en1_hostname">'Value Reference Tables - MR'!$F$271</definedName>
    <definedName name="mgmt_az1_en1_ip_allocation_chosen">'Configure Management Domain'!$D$106</definedName>
    <definedName name="mgmt_az1_en1_mgmt_cidr">'Value Reference Tables - MR'!$F$274</definedName>
    <definedName name="mgmt_az1_en1_mgmt_ip">'Value Reference Tables - MR'!$F$273</definedName>
    <definedName name="mgmt_az1_en1_uplink_ip_assignment_chosen">'Configure Management Domain'!$D$117</definedName>
    <definedName name="mgmt_az1_en1_uplink01_interface_cidr">'Value Reference Tables - MR'!$F$275</definedName>
    <definedName name="mgmt_az1_en1_uplink02_interface_cidr">'Value Reference Tables - MR'!$F$276</definedName>
    <definedName name="mgmt_az1_en2_edge_overlay_interface_ip_1_ip">'Value Reference Tables - MR'!$F$288</definedName>
    <definedName name="mgmt_az1_en2_edge_overlay_interface_ip_2_ip">'Value Reference Tables - MR'!$F$289</definedName>
    <definedName name="mgmt_az1_en2_eth0_uplink0">'Value Reference Tables'!$C$222</definedName>
    <definedName name="mgmt_az1_en2_eth0_uplink1">'Value Reference Tables'!$C$223</definedName>
    <definedName name="mgmt_az1_en2_eth1_uplink0">'Value Reference Tables'!$C$224</definedName>
    <definedName name="mgmt_az1_en2_eth1_uplink1">'Value Reference Tables'!$C$225</definedName>
    <definedName name="mgmt_az1_en2_fqdn">'Value Reference Tables'!$C$73</definedName>
    <definedName name="mgmt_az1_en2_hostname">'Value Reference Tables - MR'!$F$282</definedName>
    <definedName name="mgmt_az1_en2_mgmt_cidr">'Value Reference Tables - MR'!$F$285</definedName>
    <definedName name="mgmt_az1_en2_mgmt_ip">'Value Reference Tables - MR'!$F$284</definedName>
    <definedName name="mgmt_az1_en2_uplink01_interface_cidr">'Value Reference Tables - MR'!$F$286</definedName>
    <definedName name="mgmt_az1_en2_uplink02_interface_cidr">'Value Reference Tables - MR'!$F$287</definedName>
    <definedName name="mgmt_az1_host_fqdns">'Value Reference Tables - MR'!$F$253:$F$268</definedName>
    <definedName name="mgmt_az1_host_hostnames">'Value Reference Tables - MR'!$F$234:$F$249</definedName>
    <definedName name="mgmt_az1_host_mgmt_ips">'Value Reference Tables - MR'!$F$199:$F$214</definedName>
    <definedName name="mgmt_az1_host_overlay_cidr">'Value Reference Tables - MR'!$F$27</definedName>
    <definedName name="mgmt_az1_host_overlay_gateway_cidr">'Value Reference Tables - MR'!$F$104</definedName>
    <definedName name="mgmt_az1_host_overlay_gateway_ip">'Value Reference Tables - MR'!$F$89</definedName>
    <definedName name="mgmt_az1_host_overlay_mask">'Value Reference Tables - MR'!$F$57</definedName>
    <definedName name="mgmt_az1_host_overlay_mtu">'Value Reference Tables - MR'!$F$73</definedName>
    <definedName name="mgmt_az1_host_overlay_network">'Value Reference Tables - MR'!$F$42</definedName>
    <definedName name="mgmt_az1_host_overlay_network_pool_description">'Value Reference Tables - MR'!$F$184</definedName>
    <definedName name="mgmt_az1_host_overlay_network_pool_name">'Value Reference Tables - MR'!$F$185</definedName>
    <definedName name="mgmt_az1_host_overlay_network_profile_name">'Value Reference Tables - MR'!$F$183</definedName>
    <definedName name="mgmt_az1_host_overlay_pg">'Value Reference Tables - MR'!$F$129</definedName>
    <definedName name="mgmt_az1_host_overlay_pool_end_ip">'Value Reference Tables - MR'!$F$170</definedName>
    <definedName name="mgmt_az1_host_overlay_pool_start_ip">'Value Reference Tables - MR'!$F$169</definedName>
    <definedName name="mgmt_az1_host_overlay_transport_zone">'Value Reference Tables - MR'!$F$186</definedName>
    <definedName name="mgmt_az1_host_overlay_vlan">'Value Reference Tables - MR'!$F$12</definedName>
    <definedName name="mgmt_az1_host1_fqdn">'Value Reference Tables - MR'!$F$253</definedName>
    <definedName name="mgmt_az1_host1_hostname">'Value Reference Tables - MR'!$F$234</definedName>
    <definedName name="mgmt_az1_host1_mgmt_ip">'Value Reference Tables - MR'!$F$199</definedName>
    <definedName name="mgmt_az1_host1_vrms_ip">'Value Reference Tables - MR'!$F$215</definedName>
    <definedName name="mgmt_az1_host10_fqdn">'Value Reference Tables - MR'!$F$262</definedName>
    <definedName name="mgmt_az1_host10_hostname">'Value Reference Tables - MR'!$F$243</definedName>
    <definedName name="mgmt_az1_host10_mgmt_ip">'Value Reference Tables - MR'!$F$208</definedName>
    <definedName name="mgmt_az1_host10_vrms_ip">'Value Reference Tables - MR'!$F$224</definedName>
    <definedName name="mgmt_az1_host11_fqdn">'Value Reference Tables - MR'!$F$263</definedName>
    <definedName name="mgmt_az1_host11_hostname">'Value Reference Tables - MR'!$F$244</definedName>
    <definedName name="mgmt_az1_host11_mgmt_ip">'Value Reference Tables - MR'!$F$209</definedName>
    <definedName name="mgmt_az1_host11_vrms_ip">'Value Reference Tables - MR'!$F$225</definedName>
    <definedName name="mgmt_az1_host12_fqdn">'Value Reference Tables - MR'!$F$264</definedName>
    <definedName name="mgmt_az1_host12_hostname">'Value Reference Tables - MR'!$F$245</definedName>
    <definedName name="mgmt_az1_host12_mgmt_ip">'Value Reference Tables - MR'!$F$210</definedName>
    <definedName name="mgmt_az1_host12_vrms_ip">'Value Reference Tables - MR'!$F$226</definedName>
    <definedName name="mgmt_az1_host13_fqdn">'Value Reference Tables - MR'!$F$265</definedName>
    <definedName name="mgmt_az1_host13_hostname">'Value Reference Tables - MR'!$F$246</definedName>
    <definedName name="mgmt_az1_host13_mgmt_ip">'Value Reference Tables - MR'!$F$211</definedName>
    <definedName name="mgmt_az1_host13_vrms_ip">'Value Reference Tables - MR'!$F$227</definedName>
    <definedName name="mgmt_az1_host14_fqdn">'Value Reference Tables - MR'!$F$266</definedName>
    <definedName name="mgmt_az1_host14_hostname">'Value Reference Tables - MR'!$F$247</definedName>
    <definedName name="mgmt_az1_host14_mgmt_ip">'Value Reference Tables - MR'!$F$212</definedName>
    <definedName name="mgmt_az1_host14_vrms_ip">'Value Reference Tables - MR'!$F$228</definedName>
    <definedName name="mgmt_az1_host15_fqdn">'Value Reference Tables - MR'!$F$267</definedName>
    <definedName name="mgmt_az1_host15_hostname">'Value Reference Tables - MR'!$F$248</definedName>
    <definedName name="mgmt_az1_host15_mgmt_ip">'Value Reference Tables - MR'!$F$213</definedName>
    <definedName name="mgmt_az1_host15_vrms_ip">'Value Reference Tables - MR'!$F$229</definedName>
    <definedName name="mgmt_az1_host16_fqdn">'Value Reference Tables - MR'!$F$268</definedName>
    <definedName name="mgmt_az1_host16_hostname">'Value Reference Tables - MR'!$F$249</definedName>
    <definedName name="mgmt_az1_host16_mgmt_ip">'Value Reference Tables - MR'!$F$214</definedName>
    <definedName name="mgmt_az1_host16_vrms_ip">'Value Reference Tables - MR'!$F$230</definedName>
    <definedName name="mgmt_az1_host2_fqdn">'Value Reference Tables - MR'!$F$254</definedName>
    <definedName name="mgmt_az1_host2_hostname">'Value Reference Tables - MR'!$F$235</definedName>
    <definedName name="mgmt_az1_host2_mgmt_ip">'Value Reference Tables - MR'!$F$200</definedName>
    <definedName name="mgmt_az1_host2_vrms_ip">'Value Reference Tables - MR'!$F$216</definedName>
    <definedName name="mgmt_az1_host3_fqdn">'Value Reference Tables - MR'!$F$255</definedName>
    <definedName name="mgmt_az1_host3_hostname">'Value Reference Tables - MR'!$F$236</definedName>
    <definedName name="mgmt_az1_host3_mgmt_ip">'Value Reference Tables - MR'!$F$201</definedName>
    <definedName name="mgmt_az1_host3_vrms_ip">'Value Reference Tables - MR'!$F$217</definedName>
    <definedName name="mgmt_az1_host4_fqdn">'Value Reference Tables - MR'!$F$256</definedName>
    <definedName name="mgmt_az1_host4_hostname">'Value Reference Tables - MR'!$F$237</definedName>
    <definedName name="mgmt_az1_host4_mgmt_ip">'Value Reference Tables - MR'!$F$202</definedName>
    <definedName name="mgmt_az1_host4_vrms_ip">'Value Reference Tables - MR'!$F$218</definedName>
    <definedName name="mgmt_az1_host5_fqdn">'Value Reference Tables - MR'!$F$257</definedName>
    <definedName name="mgmt_az1_host5_hostname">'Value Reference Tables - MR'!$F$238</definedName>
    <definedName name="mgmt_az1_host5_mgmt_ip">'Value Reference Tables - MR'!$F$203</definedName>
    <definedName name="mgmt_az1_host5_vrms_ip">'Value Reference Tables - MR'!$F$219</definedName>
    <definedName name="mgmt_az1_host6_fqdn">'Value Reference Tables - MR'!$F$258</definedName>
    <definedName name="mgmt_az1_host6_hostname">'Value Reference Tables - MR'!$F$239</definedName>
    <definedName name="mgmt_az1_host6_mgmt_ip">'Value Reference Tables - MR'!$F$204</definedName>
    <definedName name="mgmt_az1_host6_vrms_ip">'Value Reference Tables - MR'!$F$220</definedName>
    <definedName name="mgmt_az1_host7_fqdn">'Value Reference Tables - MR'!$F$259</definedName>
    <definedName name="mgmt_az1_host7_hostname">'Value Reference Tables - MR'!$F$240</definedName>
    <definedName name="mgmt_az1_host7_mgmt_ip">'Value Reference Tables - MR'!$F$205</definedName>
    <definedName name="mgmt_az1_host7_vrms_ip">'Value Reference Tables - MR'!$F$221</definedName>
    <definedName name="mgmt_az1_host8_fqdn">'Value Reference Tables - MR'!$F$260</definedName>
    <definedName name="mgmt_az1_host8_hostname">'Value Reference Tables - MR'!$F$241</definedName>
    <definedName name="mgmt_az1_host8_mgmt_ip">'Value Reference Tables - MR'!$F$206</definedName>
    <definedName name="mgmt_az1_host8_vrms_ip">'Value Reference Tables - MR'!$F$222</definedName>
    <definedName name="mgmt_az1_host9_fqdn">'Value Reference Tables - MR'!$F$261</definedName>
    <definedName name="mgmt_az1_host9_hostname">'Value Reference Tables - MR'!$F$242</definedName>
    <definedName name="mgmt_az1_host9_mgmt_ip">'Value Reference Tables - MR'!$F$207</definedName>
    <definedName name="mgmt_az1_host9_vrms_ip">'Value Reference Tables - MR'!$F$223</definedName>
    <definedName name="mgmt_az1_mgmt_cidr">'Value Reference Tables - MR'!$F$24</definedName>
    <definedName name="mgmt_az1_mgmt_gateway_cidr">'Value Reference Tables - MR'!$F$101</definedName>
    <definedName name="mgmt_az1_mgmt_gateway_ip">'Value Reference Tables - MR'!$F$86</definedName>
    <definedName name="mgmt_az1_mgmt_mask">'Value Reference Tables - MR'!$F$54</definedName>
    <definedName name="mgmt_az1_mgmt_mtu">'Value Reference Tables - MR'!$F$70</definedName>
    <definedName name="mgmt_az1_mgmt_network">'Value Reference Tables - MR'!$F$39</definedName>
    <definedName name="mgmt_az1_mgmt_vlan">'Value Reference Tables - MR'!$F$9</definedName>
    <definedName name="mgmt_az1_mgmt_vm_cidr">'Value Reference Tables - MR'!$F$23</definedName>
    <definedName name="mgmt_az1_mgmt_vm_gateway_cidr">'Value Reference Tables - MR'!$F$100</definedName>
    <definedName name="mgmt_az1_mgmt_vm_gateway_ip">'Value Reference Tables - MR'!$F$85</definedName>
    <definedName name="mgmt_az1_mgmt_vm_mask">'Value Reference Tables - MR'!$F$53</definedName>
    <definedName name="mgmt_az1_mgmt_vm_mtu">'Value Reference Tables - MR'!$F$69</definedName>
    <definedName name="mgmt_az1_mgmt_vm_network">'Value Reference Tables - MR'!$F$38</definedName>
    <definedName name="mgmt_az1_mgmt_vm_vlan">'Value Reference Tables - MR'!$F$8</definedName>
    <definedName name="mgmt_az1_pool_name">'Value Reference Tables - MR'!$F$182</definedName>
    <definedName name="mgmt_az1_rtep_ip_pool_name">'Value Reference Tables - MR'!$F$189</definedName>
    <definedName name="mgmt_az1_rtep_overlay_cidr">'Value Reference Tables - MR'!$F$33</definedName>
    <definedName name="mgmt_az1_rtep_overlay_gateway_ip">'Value Reference Tables - MR'!$F$95</definedName>
    <definedName name="mgmt_az1_rtep_overlay_mtu">'Value Reference Tables - MR'!$F$79</definedName>
    <definedName name="mgmt_az1_rtep_overlay_network">'Value Reference Tables - MR'!$F$48</definedName>
    <definedName name="mgmt_az1_rtep_overlay_pg">'Value Reference Tables - MR'!$F$134</definedName>
    <definedName name="mgmt_az1_rtep_overlay_vlan">'Value Reference Tables - MR'!$F$18</definedName>
    <definedName name="mgmt_az1_secondary_storage_cidr">'Value Reference Tables - MR'!$F$28</definedName>
    <definedName name="mgmt_az1_secondary_storage_gateway_cidr">'Value Reference Tables - MR'!$F$105</definedName>
    <definedName name="mgmt_az1_secondary_storage_gateway_ip">'Value Reference Tables - MR'!$F$90</definedName>
    <definedName name="mgmt_az1_secondary_storage_mask">'Value Reference Tables - MR'!$F$59</definedName>
    <definedName name="mgmt_az1_secondary_storage_mtu">'Value Reference Tables - MR'!$F$74</definedName>
    <definedName name="mgmt_az1_secondary_storage_network">'Value Reference Tables - MR'!$F$43</definedName>
    <definedName name="mgmt_az1_secondary_storage_pool_end_ip">'Value Reference Tables - MR'!$F$172</definedName>
    <definedName name="mgmt_az1_secondary_storage_pool_start_ip">'Value Reference Tables - MR'!$F$171</definedName>
    <definedName name="mgmt_az1_secondary_storage_vlan">'Value Reference Tables - MR'!$F$13</definedName>
    <definedName name="mgmt_az1_tor1_peer_asn">'Value Reference Tables - MR'!$F$117</definedName>
    <definedName name="mgmt_az1_tor1_peer_bgp_password">'Value Reference Tables - MR'!$F$118</definedName>
    <definedName name="mgmt_az1_tor1_peer_ip">'Value Reference Tables - MR'!$F$116</definedName>
    <definedName name="mgmt_az1_tor2_peer_asn">'Value Reference Tables - MR'!$F$120</definedName>
    <definedName name="mgmt_az1_tor2_peer_bgp_password">'Value Reference Tables - MR'!$F$121</definedName>
    <definedName name="mgmt_az1_tor2_peer_ip">'Value Reference Tables - MR'!$F$119</definedName>
    <definedName name="mgmt_az1_uplink01_cidr">'Value Reference Tables - MR'!$F$30</definedName>
    <definedName name="mgmt_az1_uplink01_gateway_ip">'Value Reference Tables - MR'!$F$92</definedName>
    <definedName name="mgmt_az1_uplink01_mask">'Value Reference Tables - MR'!$F$60</definedName>
    <definedName name="mgmt_az1_uplink01_mtu">'Value Reference Tables - MR'!$F$76</definedName>
    <definedName name="mgmt_az1_uplink01_network">'Value Reference Tables - MR'!$F$45</definedName>
    <definedName name="mgmt_az1_uplink01_vlan">'Value Reference Tables - MR'!$F$15</definedName>
    <definedName name="mgmt_az1_uplink02_cidr">'Value Reference Tables - MR'!$F$31</definedName>
    <definedName name="mgmt_az1_uplink02_gateway_ip">'Value Reference Tables - MR'!$F$93</definedName>
    <definedName name="mgmt_az1_uplink02_mask">'Value Reference Tables - MR'!$F$61</definedName>
    <definedName name="mgmt_az1_uplink02_mtu">'Value Reference Tables - MR'!$F$77</definedName>
    <definedName name="mgmt_az1_uplink02_network">'Value Reference Tables - MR'!$F$46</definedName>
    <definedName name="mgmt_az1_uplink02_vlan">'Value Reference Tables - MR'!$F$16</definedName>
    <definedName name="mgmt_az1_vcf_mgmt_cidr">'Value Reference Tables - MR'!$F$29</definedName>
    <definedName name="mgmt_az1_vcf_mgmt_gateway_cidr">'Value Reference Tables - MR'!$F$106</definedName>
    <definedName name="mgmt_az1_vcf_mgmt_gateway_ip">'Value Reference Tables - MR'!$F$91</definedName>
    <definedName name="mgmt_az1_vcf_mgmt_gateway_ipv6_cidr">'Value Reference Tables'!$C$277</definedName>
    <definedName name="mgmt_az1_vcf_mgmt_mask">'Value Reference Tables - MR'!$F$58</definedName>
    <definedName name="mgmt_az1_vcf_mgmt_mtu">'Value Reference Tables - MR'!$F$75</definedName>
    <definedName name="mgmt_az1_vcf_mgmt_network">'Value Reference Tables - MR'!$F$44</definedName>
    <definedName name="mgmt_az1_vcf_mgmt_vlan">'Value Reference Tables - MR'!$F$14</definedName>
    <definedName name="mgmt_az1_vm_cidr">'Value Reference Tables'!$AD$12</definedName>
    <definedName name="mgmt_az1_vm_gateway_ip">'Value Reference Tables'!$AD$16</definedName>
    <definedName name="mgmt_az1_vm_mtu">'Value Reference Tables'!$AD$20</definedName>
    <definedName name="mgmt_az1_vm_vlan">'Value Reference Tables'!$AD$8</definedName>
    <definedName name="mgmt_az1_vmotion_cidr">'Value Reference Tables - MR'!$F$25</definedName>
    <definedName name="mgmt_az1_vmotion_gateway_cidr">'Value Reference Tables - MR'!$F$102</definedName>
    <definedName name="mgmt_az1_vmotion_gateway_ip">'Value Reference Tables - MR'!$F$87</definedName>
    <definedName name="mgmt_az1_vmotion_ip_scheme_chosen">'Deploy Management Domain'!$L$50</definedName>
    <definedName name="mgmt_az1_vmotion_mask">'Value Reference Tables - MR'!$F$55</definedName>
    <definedName name="mgmt_az1_vmotion_mtu">'Value Reference Tables - MR'!$F$71</definedName>
    <definedName name="mgmt_az1_vmotion_network">'Value Reference Tables - MR'!$F$40</definedName>
    <definedName name="mgmt_az1_vmotion_pool_end_ip">'Value Reference Tables - MR'!$F$166</definedName>
    <definedName name="mgmt_az1_vmotion_pool_start_ip">'Value Reference Tables - MR'!$F$165</definedName>
    <definedName name="mgmt_az1_vmotion_vlan">'Value Reference Tables - MR'!$F$10</definedName>
    <definedName name="mgmt_az1_vrms_cidr">'Value Reference Tables - MR'!$F$34</definedName>
    <definedName name="mgmt_az1_vrms_gateway_ip">'Value Reference Tables - MR'!$F$96</definedName>
    <definedName name="mgmt_az1_vrms_mask">'Value Reference Tables'!$C$278</definedName>
    <definedName name="mgmt_az1_vrms_mtu">'Value Reference Tables - MR'!$F$80</definedName>
    <definedName name="mgmt_az1_vrms_network">'Value Reference Tables - MR'!$F$49</definedName>
    <definedName name="mgmt_az1_vrms_vlan">'Value Reference Tables - MR'!$F$19</definedName>
    <definedName name="mgmt_az1_vsan_cidr">'Value Reference Tables - MR'!$F$26</definedName>
    <definedName name="mgmt_az1_vsan_gateway_cidr">'Value Reference Tables - MR'!$F$103</definedName>
    <definedName name="mgmt_az1_vsan_gateway_ip">'Value Reference Tables - MR'!$F$88</definedName>
    <definedName name="mgmt_az1_vsan_ip_scheme_chosen">'Deploy Management Domain'!$L$51</definedName>
    <definedName name="mgmt_az1_vsan_mask">'Value Reference Tables - MR'!$F$56</definedName>
    <definedName name="mgmt_az1_vsan_mtu">'Value Reference Tables - MR'!$F$72</definedName>
    <definedName name="mgmt_az1_vsan_network">'Value Reference Tables - MR'!$F$41</definedName>
    <definedName name="mgmt_az1_vsan_pool_end_ip">'Value Reference Tables - MR'!$F$168</definedName>
    <definedName name="mgmt_az1_vsan_pool_start_ip">'Value Reference Tables - MR'!$F$167</definedName>
    <definedName name="mgmt_az1_vsan_vlan">'Value Reference Tables - MR'!$F$11</definedName>
    <definedName name="mgmt_az2_edge_overlay_cidr">'Value Reference Tables - MR'!$F$316</definedName>
    <definedName name="mgmt_az2_edge_overlay_gateway_ip">'Value Reference Tables - MR'!$F$358</definedName>
    <definedName name="mgmt_az2_edge_overlay_mask">'Value Reference Tables - MR'!$F$344</definedName>
    <definedName name="mgmt_az2_edge_overlay_mtu">'Value Reference Tables - MR'!$F$372</definedName>
    <definedName name="mgmt_az2_edge_overlay_network">'Value Reference Tables - MR'!$F$330</definedName>
    <definedName name="mgmt_az2_edge_overlay_pg">'Value Reference Tables - MR'!$F$396</definedName>
    <definedName name="mgmt_az2_edge_overlay_vlan">'Value Reference Tables - MR'!$F$302</definedName>
    <definedName name="mgmt_az2_host_fqdns">'Value Reference Tables - MR'!$F$475:$F$490</definedName>
    <definedName name="mgmt_az2_host_hostnames">'Value Reference Tables - MR'!$F$456:$F$471</definedName>
    <definedName name="mgmt_az2_host_mgmt_ips">'Value Reference Tables - MR'!$F$421:$F$436</definedName>
    <definedName name="mgmt_az2_host_overlay_cidr">'Value Reference Tables - MR'!$F$312</definedName>
    <definedName name="mgmt_az2_host_overlay_gateway_ip">'Value Reference Tables - MR'!$F$354</definedName>
    <definedName name="mgmt_az2_host_overlay_mask">'Value Reference Tables - MR'!$F$340</definedName>
    <definedName name="mgmt_az2_host_overlay_mtu">'Value Reference Tables - MR'!$F$368</definedName>
    <definedName name="mgmt_az2_host_overlay_network">'Value Reference Tables - MR'!$F$326</definedName>
    <definedName name="mgmt_az2_host_overlay_network_pool_name">'Value Reference Tables - MR'!$F$416</definedName>
    <definedName name="mgmt_az2_host_overlay_network_profile_name">'Value Reference Tables - MR'!$F$415</definedName>
    <definedName name="mgmt_az2_host_overlay_new_pool_chosen">'Configure Management Domain'!$D$435</definedName>
    <definedName name="mgmt_az2_host_overlay_pg">'Value Reference Tables - MR'!$F$392</definedName>
    <definedName name="mgmt_az2_host_overlay_pool_end_ip">'Value Reference Tables - MR'!$F$406</definedName>
    <definedName name="mgmt_az2_host_overlay_pool_name">'Value Reference Tables'!$C$188</definedName>
    <definedName name="mgmt_az2_host_overlay_pool_start_ip">'Value Reference Tables - MR'!$F$405</definedName>
    <definedName name="mgmt_az2_host_overlay_uplink_profile_name">'Value Reference Tables - MR'!$F$417</definedName>
    <definedName name="mgmt_az2_host_overlay_vlan">'Value Reference Tables - MR'!$F$298</definedName>
    <definedName name="mgmt_az2_host_vrms_ips">'Value Reference Tables - MR'!$F$437:$F$452</definedName>
    <definedName name="mgmt_az2_host1_fqdn">'Value Reference Tables - MR'!$F$475</definedName>
    <definedName name="mgmt_az2_host1_hostname">'Value Reference Tables - MR'!$F$456</definedName>
    <definedName name="mgmt_az2_host1_mgmt_ip">'Value Reference Tables - MR'!$F$421</definedName>
    <definedName name="mgmt_az2_host1_sddc_id">'Value Reference Tables'!$C$183</definedName>
    <definedName name="mgmt_az2_host1_vrms_ip">'Value Reference Tables - MR'!$F$437</definedName>
    <definedName name="mgmt_az2_host10_fqdn">'Value Reference Tables - MR'!$F$484</definedName>
    <definedName name="mgmt_az2_host10_hostname">'Value Reference Tables - MR'!$F$465</definedName>
    <definedName name="mgmt_az2_host10_mgmt_ip">'Value Reference Tables - MR'!$F$430</definedName>
    <definedName name="mgmt_az2_host10_vrms_ip">'Value Reference Tables - MR'!$F$446</definedName>
    <definedName name="mgmt_az2_host11_fqdn">'Value Reference Tables - MR'!$F$485</definedName>
    <definedName name="mgmt_az2_host11_hostname">'Value Reference Tables - MR'!$F$466</definedName>
    <definedName name="mgmt_az2_host11_mgmt_ip">'Value Reference Tables - MR'!$F$431</definedName>
    <definedName name="mgmt_az2_host11_vrms_ip">'Value Reference Tables - MR'!$F$447</definedName>
    <definedName name="mgmt_az2_host12_fqdn">'Value Reference Tables - MR'!$F$486</definedName>
    <definedName name="mgmt_az2_host12_hostname">'Value Reference Tables - MR'!$F$467</definedName>
    <definedName name="mgmt_az2_host12_mgmt_ip">'Value Reference Tables - MR'!$F$432</definedName>
    <definedName name="mgmt_az2_host12_vrms_ip">'Value Reference Tables - MR'!$F$448</definedName>
    <definedName name="mgmt_az2_host13_fqdn">'Value Reference Tables - MR'!$F$487</definedName>
    <definedName name="mgmt_az2_host13_hostname">'Value Reference Tables - MR'!$F$468</definedName>
    <definedName name="mgmt_az2_host13_mgmt_ip">'Value Reference Tables - MR'!$F$433</definedName>
    <definedName name="mgmt_az2_host13_vrms_ip">'Value Reference Tables - MR'!$F$449</definedName>
    <definedName name="mgmt_az2_host14_fqdn">'Value Reference Tables - MR'!$F$488</definedName>
    <definedName name="mgmt_az2_host14_hostname">'Value Reference Tables - MR'!$F$469</definedName>
    <definedName name="mgmt_az2_host14_mgmt_ip">'Value Reference Tables - MR'!$F$434</definedName>
    <definedName name="mgmt_az2_host14_vrms_ip">'Value Reference Tables - MR'!$F$450</definedName>
    <definedName name="mgmt_az2_host15_fqdn">'Value Reference Tables - MR'!$F$489</definedName>
    <definedName name="mgmt_az2_host15_hostname">'Value Reference Tables - MR'!$F$470</definedName>
    <definedName name="mgmt_az2_host15_mgmt_ip">'Value Reference Tables - MR'!$F$435</definedName>
    <definedName name="mgmt_az2_host15_vrms_ip">'Value Reference Tables - MR'!$F$451</definedName>
    <definedName name="mgmt_az2_host16_fqdn">'Value Reference Tables - MR'!$F$490</definedName>
    <definedName name="mgmt_az2_host16_hostname">'Value Reference Tables - MR'!$F$471</definedName>
    <definedName name="mgmt_az2_host16_mgmt_ip">'Value Reference Tables - MR'!$F$436</definedName>
    <definedName name="mgmt_az2_host16_vrms_ip">'Value Reference Tables - MR'!$F$452</definedName>
    <definedName name="mgmt_az2_host2_fqdn">'Value Reference Tables - MR'!$F$476</definedName>
    <definedName name="mgmt_az2_host2_hostname">'Value Reference Tables - MR'!$F$457</definedName>
    <definedName name="mgmt_az2_host2_mgmt_ip">'Value Reference Tables - MR'!$F$422</definedName>
    <definedName name="mgmt_az2_host2_sddc_id">'Value Reference Tables'!$C$184</definedName>
    <definedName name="mgmt_az2_host2_vrms_ip">'Value Reference Tables - MR'!$F$438</definedName>
    <definedName name="mgmt_az2_host3_fqdn">'Value Reference Tables - MR'!$F$477</definedName>
    <definedName name="mgmt_az2_host3_hostname">'Value Reference Tables - MR'!$F$458</definedName>
    <definedName name="mgmt_az2_host3_mgmt_ip">'Value Reference Tables - MR'!$F$423</definedName>
    <definedName name="mgmt_az2_host3_sddc_id">'Value Reference Tables'!$C$185</definedName>
    <definedName name="mgmt_az2_host3_vrms_ip">'Value Reference Tables - MR'!$F$439</definedName>
    <definedName name="mgmt_az2_host4_fqdn">'Value Reference Tables - MR'!$F$478</definedName>
    <definedName name="mgmt_az2_host4_hostname">'Value Reference Tables - MR'!$F$459</definedName>
    <definedName name="mgmt_az2_host4_mgmt_ip">'Value Reference Tables - MR'!$F$424</definedName>
    <definedName name="mgmt_az2_host4_sddc_id">'Value Reference Tables'!$C$186</definedName>
    <definedName name="mgmt_az2_host4_vrms_ip">'Value Reference Tables - MR'!$F$440</definedName>
    <definedName name="mgmt_az2_host5_fqdn">'Value Reference Tables - MR'!$F$479</definedName>
    <definedName name="mgmt_az2_host5_hostname">'Value Reference Tables - MR'!$F$460</definedName>
    <definedName name="mgmt_az2_host5_mgmt_ip">'Value Reference Tables - MR'!$F$425</definedName>
    <definedName name="mgmt_az2_host5_vrms_ip">'Value Reference Tables - MR'!$F$441</definedName>
    <definedName name="mgmt_az2_host6_fqdn">'Value Reference Tables - MR'!$F$480</definedName>
    <definedName name="mgmt_az2_host6_hostname">'Value Reference Tables - MR'!$F$461</definedName>
    <definedName name="mgmt_az2_host6_mgmt_ip">'Value Reference Tables - MR'!$F$426</definedName>
    <definedName name="mgmt_az2_host6_vrms_ip">'Value Reference Tables - MR'!$F$442</definedName>
    <definedName name="mgmt_az2_host7_fqdn">'Value Reference Tables - MR'!$F$481</definedName>
    <definedName name="mgmt_az2_host7_hostname">'Value Reference Tables - MR'!$F$462</definedName>
    <definedName name="mgmt_az2_host7_mgmt_ip">'Value Reference Tables - MR'!$F$427</definedName>
    <definedName name="mgmt_az2_host7_vrms_ip">'Value Reference Tables - MR'!$F$443</definedName>
    <definedName name="mgmt_az2_host8_fqdn">'Value Reference Tables - MR'!$F$482</definedName>
    <definedName name="mgmt_az2_host8_hostname">'Value Reference Tables - MR'!$F$463</definedName>
    <definedName name="mgmt_az2_host8_mgmt_ip">'Value Reference Tables - MR'!$F$428</definedName>
    <definedName name="mgmt_az2_host8_vrms_ip">'Value Reference Tables - MR'!$F$444</definedName>
    <definedName name="mgmt_az2_host9_fqdn">'Value Reference Tables - MR'!$F$483</definedName>
    <definedName name="mgmt_az2_host9_hostname">'Value Reference Tables - MR'!$F$464</definedName>
    <definedName name="mgmt_az2_host9_mgmt_ip">'Value Reference Tables - MR'!$F$429</definedName>
    <definedName name="mgmt_az2_host9_vrms_ip">'Value Reference Tables - MR'!$F$445</definedName>
    <definedName name="mgmt_az2_mgmt_cidr">'Value Reference Tables - MR'!$F$309</definedName>
    <definedName name="mgmt_az2_mgmt_gateway_ip">'Value Reference Tables - MR'!$F$351</definedName>
    <definedName name="mgmt_az2_mgmt_mask">'Value Reference Tables - MR'!$F$337</definedName>
    <definedName name="mgmt_az2_mgmt_mtu">'Value Reference Tables - MR'!$F$365</definedName>
    <definedName name="mgmt_az2_mgmt_network">'Value Reference Tables - MR'!$F$323</definedName>
    <definedName name="mgmt_az2_mgmt_vlan">'Value Reference Tables - MR'!$F$295</definedName>
    <definedName name="mgmt_az2_mgmt_vm_cidr">'Value Reference Tables - MR'!$F$308</definedName>
    <definedName name="mgmt_az2_mgmt_vm_gateway_ip">'Value Reference Tables - MR'!$F$350</definedName>
    <definedName name="mgmt_az2_mgmt_vm_mtu">'Value Reference Tables - MR'!$F$364</definedName>
    <definedName name="mgmt_az2_mgmt_vm_vlan">'Value Reference Tables - MR'!$F$294</definedName>
    <definedName name="mgmt_az2_pool_name">'Value Reference Tables - MR'!$F$414</definedName>
    <definedName name="mgmt_az2_reuse_vcf_networkpool_chosen">'Configure Management Domain'!$D$322</definedName>
    <definedName name="mgmt_az2_rtep_overlay_cidr">'Value Reference Tables - MR'!$F$317</definedName>
    <definedName name="mgmt_az2_rtep_overlay_gateway_ip">'Value Reference Tables - MR'!$F$359</definedName>
    <definedName name="mgmt_az2_rtep_overlay_mask">'Value Reference Tables - MR'!$F$345</definedName>
    <definedName name="mgmt_az2_rtep_overlay_mtu">'Value Reference Tables - MR'!$F$373</definedName>
    <definedName name="mgmt_az2_rtep_overlay_network">'Value Reference Tables - MR'!$F$331</definedName>
    <definedName name="mgmt_az2_rtep_overlay_pg">'Value Reference Tables - MR'!$F$397</definedName>
    <definedName name="mgmt_az2_rtep_overlay_vlan">'Value Reference Tables - MR'!$F$303</definedName>
    <definedName name="mgmt_az2_secondary_storage_cidr">'Value Reference Tables - MR'!$F$313</definedName>
    <definedName name="mgmt_az2_secondary_storage_gateway_ip">'Value Reference Tables - MR'!$F$355</definedName>
    <definedName name="mgmt_az2_secondary_storage_mask">'Value Reference Tables - MR'!$F$341</definedName>
    <definedName name="mgmt_az2_secondary_storage_mtu">'Value Reference Tables - MR'!$F$369</definedName>
    <definedName name="mgmt_az2_secondary_storage_network">'Value Reference Tables - MR'!$F$327</definedName>
    <definedName name="mgmt_az2_secondary_storage_pool_end_ip">'Value Reference Tables - MR'!$F$408</definedName>
    <definedName name="mgmt_az2_secondary_storage_pool_start_ip">'Value Reference Tables - MR'!$F$407</definedName>
    <definedName name="mgmt_az2_secondary_storage_vlan">'Value Reference Tables - MR'!$F$299</definedName>
    <definedName name="mgmt_az2_tor1_peer_asn">'Value Reference Tables - MR'!$F$380</definedName>
    <definedName name="mgmt_az2_tor1_peer_bgp_password">'Value Reference Tables - MR'!$F$381</definedName>
    <definedName name="mgmt_az2_tor1_peer_ip">'Value Reference Tables - MR'!$F$379</definedName>
    <definedName name="mgmt_az2_tor2_peer_asn">'Value Reference Tables - MR'!$F$383</definedName>
    <definedName name="mgmt_az2_tor2_peer_bgp_password">'Value Reference Tables - MR'!$F$384</definedName>
    <definedName name="mgmt_az2_tor2_peer_ip">'Value Reference Tables - MR'!$F$382</definedName>
    <definedName name="mgmt_az2_uplink01_cidr">'Value Reference Tables - MR'!$F$314</definedName>
    <definedName name="mgmt_az2_uplink01_gateway_ip">'Value Reference Tables - MR'!$F$356</definedName>
    <definedName name="mgmt_az2_uplink01_mask">'Value Reference Tables - MR'!$F$342</definedName>
    <definedName name="mgmt_az2_uplink01_mtu">'Value Reference Tables - MR'!$F$370</definedName>
    <definedName name="mgmt_az2_uplink01_network">'Value Reference Tables - MR'!$F$328</definedName>
    <definedName name="mgmt_az2_uplink01_vlan">'Value Reference Tables - MR'!$F$300</definedName>
    <definedName name="mgmt_az2_uplink02_cidr">'Value Reference Tables - MR'!$F$315</definedName>
    <definedName name="mgmt_az2_uplink02_gateway_ip">'Value Reference Tables - MR'!$F$357</definedName>
    <definedName name="mgmt_az2_uplink02_mask">'Value Reference Tables - MR'!$F$343</definedName>
    <definedName name="mgmt_az2_uplink02_mtu">'Value Reference Tables - MR'!$F$371</definedName>
    <definedName name="mgmt_az2_uplink02_network">'Value Reference Tables - MR'!$F$329</definedName>
    <definedName name="mgmt_az2_uplink02_vlan">'Value Reference Tables - MR'!$F$301</definedName>
    <definedName name="mgmt_az2_vm_cidr">'Value Reference Tables'!$AE$12</definedName>
    <definedName name="mgmt_az2_vm_gateway_ip">'Value Reference Tables'!$AE$16</definedName>
    <definedName name="mgmt_az2_vm_mtu">'Value Reference Tables'!$AE$20</definedName>
    <definedName name="mgmt_az2_vm_vlan">'Value Reference Tables'!$AE$8</definedName>
    <definedName name="mgmt_az2_vmotion_cidr">'Value Reference Tables - MR'!$F$310</definedName>
    <definedName name="mgmt_az2_vmotion_gateway_ip">'Value Reference Tables - MR'!$F$352</definedName>
    <definedName name="mgmt_az2_vmotion_mask">'Value Reference Tables - MR'!$F$338</definedName>
    <definedName name="mgmt_az2_vmotion_mtu">'Value Reference Tables - MR'!$F$366</definedName>
    <definedName name="mgmt_az2_vmotion_network">'Value Reference Tables - MR'!$F$324</definedName>
    <definedName name="mgmt_az2_vmotion_pool_end_ip">'Value Reference Tables - MR'!$F$402</definedName>
    <definedName name="mgmt_az2_vmotion_pool_start_ip">'Value Reference Tables - MR'!$F$401</definedName>
    <definedName name="mgmt_az2_vmotion_vlan">'Value Reference Tables - MR'!$F$296</definedName>
    <definedName name="mgmt_az2_vrms_cidr">'Value Reference Tables - MR'!$F$318</definedName>
    <definedName name="mgmt_az2_vrms_gateway_ip">'Value Reference Tables - MR'!$F$360</definedName>
    <definedName name="mgmt_az2_vrms_mask">'Value Reference Tables - MR'!$F$346</definedName>
    <definedName name="mgmt_az2_vrms_mtu">'Value Reference Tables - MR'!$F$374</definedName>
    <definedName name="mgmt_az2_vrms_network">'Value Reference Tables - MR'!$F$332</definedName>
    <definedName name="mgmt_az2_vrms_vlan">'Value Reference Tables - MR'!$F$304</definedName>
    <definedName name="mgmt_az2_vsan_cidr">'Value Reference Tables - MR'!$F$311</definedName>
    <definedName name="mgmt_az2_vsan_gateway_ip">'Value Reference Tables - MR'!$F$353</definedName>
    <definedName name="mgmt_az2_vsan_mask">'Value Reference Tables - MR'!$F$339</definedName>
    <definedName name="mgmt_az2_vsan_mtu">'Value Reference Tables - MR'!$F$367</definedName>
    <definedName name="mgmt_az2_vsan_network">'Value Reference Tables - MR'!$F$325</definedName>
    <definedName name="mgmt_az2_vsan_pool_end_ip">'Value Reference Tables - MR'!$F$404</definedName>
    <definedName name="mgmt_az2_vsan_pool_start_ip">'Value Reference Tables - MR'!$F$403</definedName>
    <definedName name="mgmt_az2_vsan_vlan">'Value Reference Tables - MR'!$F$297</definedName>
    <definedName name="mgmt_ceip_status_chosen">'Deploy Management Domain'!$L$71</definedName>
    <definedName name="mgmt_cl01_az1_flt_lbt_chosen">'Deploy Management Domain'!$L$267</definedName>
    <definedName name="mgmt_cl01_az1_flt_uplink1_chosen">'Deploy Management Domain'!$L$268</definedName>
    <definedName name="mgmt_cl01_az1_flt_uplink2_chosen">'Deploy Management Domain'!$L$269</definedName>
    <definedName name="mgmt_cl01_az1_mgmt_lbt_chosen">'Deploy Management Domain'!$L$257</definedName>
    <definedName name="mgmt_cl01_az1_mgmt_pg">'Value Reference Tables - MR'!$F$126</definedName>
    <definedName name="mgmt_cl01_az1_mgmt_uplink1_chosen">'Deploy Management Domain'!$L$258</definedName>
    <definedName name="mgmt_cl01_az1_mgmt_uplink2_chosen">'Deploy Management Domain'!$L$259</definedName>
    <definedName name="mgmt_cl01_az1_mgmt_vm_lbt_chosen">'Deploy Management Domain'!$L$262</definedName>
    <definedName name="mgmt_cl01_az1_mgmt_vm_pg">'Value Reference Tables - MR'!$F$125</definedName>
    <definedName name="mgmt_cl01_az1_mgmt_vm_uplink1_chosen">'Deploy Management Domain'!$L$263</definedName>
    <definedName name="mgmt_cl01_az1_mgmt_vm_uplink2_chosen">'Deploy Management Domain'!$L$264</definedName>
    <definedName name="mgmt_cl01_az1_nfs_lbt_chosen">'Deploy Management Domain'!$L$282</definedName>
    <definedName name="mgmt_cl01_az1_nfs_pg">'Value Reference Tables - MR'!$F$135</definedName>
    <definedName name="mgmt_cl01_az1_nfs_uplink1_chosen">'Deploy Management Domain'!$L$283</definedName>
    <definedName name="mgmt_cl01_az1_nfs_uplink2_chosen">'Deploy Management Domain'!$L$284</definedName>
    <definedName name="mgmt_cl01_az1_nsx_lbt_chosen">'Deploy Management Domain'!$L$288</definedName>
    <definedName name="mgmt_cl01_az1_nsx_uplink1_chosen">'Deploy Management Domain'!$L$289</definedName>
    <definedName name="mgmt_cl01_az1_nsx_uplink2_chosen">'Deploy Management Domain'!$L$290</definedName>
    <definedName name="mgmt_cl01_az1_uplink01_pg">'Value Reference Tables - MR'!$F$131</definedName>
    <definedName name="mgmt_cl01_az1_uplink02_pg">'Value Reference Tables - MR'!$F$132</definedName>
    <definedName name="mgmt_cl01_az1_vcf_mgmt_pg">'Value Reference Tables - MR'!$F$136</definedName>
    <definedName name="mgmt_cl01_az1_vmotion_lbt_chosen">'Deploy Management Domain'!$L$272</definedName>
    <definedName name="mgmt_cl01_az1_vmotion_pg">'Value Reference Tables - MR'!$F$127</definedName>
    <definedName name="mgmt_cl01_az1_vmotion_uplink1_chosen">'Deploy Management Domain'!$L$273</definedName>
    <definedName name="mgmt_cl01_az1_vmotion_uplink2_chosen">'Deploy Management Domain'!$L$274</definedName>
    <definedName name="mgmt_cl01_az1_vsan_lbt_chosen">'Deploy Management Domain'!$L$277</definedName>
    <definedName name="mgmt_cl01_az1_vsan_pg">'Value Reference Tables - MR'!$F$128</definedName>
    <definedName name="mgmt_cl01_az1_vsan_uplink1_chosen">'Deploy Management Domain'!$L$278</definedName>
    <definedName name="mgmt_cl01_az1_vsan_uplink2_chosen">'Deploy Management Domain'!$L$279</definedName>
    <definedName name="mgmt_cl01_az2_mgmt_pg">'Value Reference Tables - MR'!$F$389</definedName>
    <definedName name="mgmt_cl01_az2_mgmt_vm_pg">'Value Reference Tables - MR'!$F$388</definedName>
    <definedName name="mgmt_cl01_az2_uplink01_pg">'Value Reference Tables - MR'!$F$394</definedName>
    <definedName name="mgmt_cl01_az2_uplink02_pg">'Value Reference Tables - MR'!$F$395</definedName>
    <definedName name="mgmt_cl01_az2_vmotion_pg">'Value Reference Tables - MR'!$F$390</definedName>
    <definedName name="mgmt_cl01_az2_vsan_pg">'Value Reference Tables - MR'!$F$391</definedName>
    <definedName name="mgmt_cl01_cluster">'Value Reference Tables'!$C$89</definedName>
    <definedName name="mgmt_cl01_cluster_sddc_id">'Value Reference Tables'!$C$187</definedName>
    <definedName name="mgmt_cl01_nfs_server_bound_to_vmknic_chosen">'Deploy Management Domain'!$L$213</definedName>
    <definedName name="mgmt_cl01_nfs_server_ip">'Value Reference Tables'!$C$129</definedName>
    <definedName name="mgmt_cl01_nfs_share">'Value Reference Tables'!$C$128</definedName>
    <definedName name="mgmt_cl01_vds_profile_chosen">'Deploy Management Domain'!$L$218</definedName>
    <definedName name="mgmt_cl01_vds01_lacp_mode_chosen">'Deploy Management Domain'!$L$227</definedName>
    <definedName name="mgmt_cl01_vds01_lacp_timeout_chosen">'Deploy Management Domain'!$L$229</definedName>
    <definedName name="mgmt_cl01_vds01_lag_lbt_chosen">'Deploy Management Domain'!$L$228</definedName>
    <definedName name="mgmt_cl01_vds01_lag_name">'Value Reference Tables'!$C$103</definedName>
    <definedName name="mgmt_cl01_vds01_link_type_chosen">'Deploy Management Domain'!$L$225</definedName>
    <definedName name="mgmt_cl01_vds01_mtu">'Value Reference Tables'!$C$102</definedName>
    <definedName name="mgmt_cl01_vds01_name">'Value Reference Tables'!$C$98</definedName>
    <definedName name="mgmt_cl01_vds01_pnics">'Value Reference Tables'!$C$99:$C$100</definedName>
    <definedName name="mgmt_cl01_vds01_uplink_count">'Value Reference Tables'!$C$101</definedName>
    <definedName name="mgmt_cl01_vds01_uplink1">'Value Reference Tables'!$C$99</definedName>
    <definedName name="mgmt_cl01_vds01_uplink2">'Value Reference Tables'!$C$100</definedName>
    <definedName name="mgmt_cl01_vds02_lacp_mode_chosen">'Deploy Management Domain'!$L$238</definedName>
    <definedName name="mgmt_cl01_vds02_lacp_timeout_chosen">'Deploy Management Domain'!$L$240</definedName>
    <definedName name="mgmt_cl01_vds02_lag_lbt_chosen">'Deploy Management Domain'!$L$239</definedName>
    <definedName name="mgmt_cl01_vds02_lag_name">'Value Reference Tables'!$C$110</definedName>
    <definedName name="mgmt_cl01_vds02_link_type_chosen">'Deploy Management Domain'!$L$236</definedName>
    <definedName name="mgmt_cl01_vds02_mtu">'Value Reference Tables'!$C$109</definedName>
    <definedName name="mgmt_cl01_vds02_name">'Value Reference Tables'!$C$105</definedName>
    <definedName name="mgmt_cl01_vds02_pnics">'Value Reference Tables'!$C$106:$C$107</definedName>
    <definedName name="mgmt_cl01_vds02_uplink_count">'Value Reference Tables'!$C$108</definedName>
    <definedName name="mgmt_cl01_vds02_uplink1">'Value Reference Tables'!$C$106</definedName>
    <definedName name="mgmt_cl01_vds02_uplink2">'Value Reference Tables'!$C$107</definedName>
    <definedName name="mgmt_cl01_vds03_lacp_mode_chosen">'Deploy Management Domain'!$L$249</definedName>
    <definedName name="mgmt_cl01_vds03_lacp_timeout_chosen">'Deploy Management Domain'!$L$251</definedName>
    <definedName name="mgmt_cl01_vds03_lag_lbt_chosen">'Deploy Management Domain'!$L$250</definedName>
    <definedName name="mgmt_cl01_vds03_lag_name">'Value Reference Tables'!$C$117</definedName>
    <definedName name="mgmt_cl01_vds03_link_type_chosen">'Deploy Management Domain'!$L$247</definedName>
    <definedName name="mgmt_cl01_vds03_mtu">'Value Reference Tables'!$C$116</definedName>
    <definedName name="mgmt_cl01_vds03_name">'Value Reference Tables'!$C$112</definedName>
    <definedName name="mgmt_cl01_vds03_pnics">'Value Reference Tables'!$C$113:$C$114</definedName>
    <definedName name="mgmt_cl01_vds03_uplink_count">'Value Reference Tables'!$C$115</definedName>
    <definedName name="mgmt_cl01_vds03_uplink1">'Value Reference Tables'!$C$113</definedName>
    <definedName name="mgmt_cl01_vds03_uplink2">'Value Reference Tables'!$C$114</definedName>
    <definedName name="mgmt_cl01_vsan_data_in_transit_chosen">'Deploy Management Domain'!$L$60</definedName>
    <definedName name="mgmt_cl01_vsan_datastore">'Value Reference Tables'!$C$125</definedName>
    <definedName name="mgmt_cl01_vsan_dedupe_compression_chosen">'Deploy Management Domain'!$L$63</definedName>
    <definedName name="mgmt_cl01_vsan_dit_rekey_custom_interval">'Value Reference Tables'!$O$133</definedName>
    <definedName name="mgmt_cl01_vsan_dit_rekey_default_interval">'Value Reference Tables'!$O$134</definedName>
    <definedName name="mgmt_cl01_vsan_dit_rekey_result">Arkham!$X$79</definedName>
    <definedName name="mgmt_cl01_vsan_dit_rekey_type_chosen">'Deploy Management Domain'!$L$208</definedName>
    <definedName name="mgmt_cl01_vsan_esa_hcl_check_chosen">'Deploy Management Domain'!$L$61</definedName>
    <definedName name="mgmt_cl01_vsan_ftt_chosen">'Deploy Management Domain'!$L$62</definedName>
    <definedName name="mgmt_consolidated_result">'Value Reference Tables'!$AA$61</definedName>
    <definedName name="mgmt_cross_instance_linked_t0_name">'Value Reference Tables'!$C$279</definedName>
    <definedName name="mgmt_datacenter">'Value Reference Tables'!$C$88</definedName>
    <definedName name="mgmt_depot_activation_code">'Value Reference Tables'!$C$280</definedName>
    <definedName name="mgmt_domain_chosen">'VCF &amp; VVF Planning'!$J$18</definedName>
    <definedName name="mgmt_domain_deployment_type_chosen">'VCF &amp; VVF Planning'!$J$17</definedName>
    <definedName name="mgmt_domain_deployment_type_result">'VCF &amp; VVF Planning'!$L$17</definedName>
    <definedName name="mgmt_domain_existing_nsx_manager_chosen">'Deploy Management Domain'!$L$33</definedName>
    <definedName name="mgmt_domain_existing_vcenter_chosen">'Deploy Management Domain'!$L$32</definedName>
    <definedName name="mgmt_domain_existing_vcenter_result">'Value Reference Tables'!$C$289</definedName>
    <definedName name="mgmt_domain_existing_vcf_operations_chosen">'Deploy Management Domain'!$L$31</definedName>
    <definedName name="mgmt_domain_ops_automation_later_chosen">'Deploy Management Domain'!$L$47</definedName>
    <definedName name="mgmt_domain_password_creation_chosen">'Deploy Management Domain'!$L$81</definedName>
    <definedName name="mgmt_domain_result">'VCF &amp; VVF Planning'!$L$18</definedName>
    <definedName name="mgmt_domain_vcf_automation_later_chosen">'Deploy Management Domain'!$L$34</definedName>
    <definedName name="mgmt_domain_vcf_operations_ha_mode_chosen">'Deploy Management Domain'!$L$39</definedName>
    <definedName name="mgmt_domain_vcf_operations_size_chosen">'Deploy Management Domain'!$L$40</definedName>
    <definedName name="mgmt_dpg_reuse_chosen">'Deploy Management Domain'!$L$45</definedName>
    <definedName name="mgmt_dpg_reuse_result">'Value Reference Tables'!$C$141</definedName>
    <definedName name="mgmt_dual_stack_networking_chosen">'Deploy Management Domain'!$L$49</definedName>
    <definedName name="mgmt_ec_api_chosen">'Configure Management Domain'!$D$228</definedName>
    <definedName name="mgmt_ec_formfactor_chosen">'Configure Management Domain'!$D$97</definedName>
    <definedName name="mgmt_ec_ip_assignment_chosen">'Configure Management Domain'!$D$105</definedName>
    <definedName name="mgmt_ec_mtu">'Value Reference Tables'!$C$135</definedName>
    <definedName name="mgmt_ec_name">'Value Reference Tables'!$O$15</definedName>
    <definedName name="mgmt_ec_rp_name">'Value Reference Tables'!$C$136</definedName>
    <definedName name="mgmt_ec01_en01_host_group_affinity_rule_name">'Value Reference Tables'!$C$138</definedName>
    <definedName name="mgmt_ec01_en02_host_group_affinity_rule_name">'Value Reference Tables'!$C$139</definedName>
    <definedName name="mgmt_ec01_host_group_affinity_rule_chosen">'Configure Management Domain'!$D$102</definedName>
    <definedName name="mgmt_ec01_use_host_overlay_chosen">'Configure Management Domain'!$D$110</definedName>
    <definedName name="mgmt_edge_vm_folder">'Value Reference Tables'!$O$36</definedName>
    <definedName name="mgmt_en_asn">'Value Reference Tables - MR'!$F$115</definedName>
    <definedName name="mgmt_en01_bfd_chosen">'Configure Management Domain'!$D$165</definedName>
    <definedName name="mgmt_en02_bfd_chosen">'Configure Management Domain'!$D$179</definedName>
    <definedName name="mgmt_existing_active_nsx_gm">Arkham!$C$49</definedName>
    <definedName name="mgmt_existing_cross_instance_t0_name">Arkham!$C$50</definedName>
    <definedName name="mgmt_flt_fm_reuse_password_chosen">Arkham!$Y$10</definedName>
    <definedName name="mgmt_gateway_routing_type_chosen">'Configure Management Domain'!$D$158</definedName>
    <definedName name="mgmt_host_overlay_addressing_chosen">'Deploy Management Domain'!$L$154</definedName>
    <definedName name="mgmt_host_overlay_transportzone">'Value Reference Tables'!$C$281</definedName>
    <definedName name="mgmt_internet_proxy_address">'Value Reference Tables'!$O$55</definedName>
    <definedName name="mgmt_internet_proxy_auth_chosen">'Deploy Management Domain'!$L$18</definedName>
    <definedName name="mgmt_internet_proxy_chosen">'Deploy Management Domain'!$L$14</definedName>
    <definedName name="mgmt_internet_proxy_email">'Value Reference Tables'!$L$38</definedName>
    <definedName name="mgmt_internet_proxy_password">'Value Reference Tables'!$L$39</definedName>
    <definedName name="mgmt_internet_proxy_port">'Value Reference Tables'!$O$56</definedName>
    <definedName name="mgmt_internet_proxy_type_chosen">'Deploy Management Domain'!$L$15</definedName>
    <definedName name="mgmt_mgmt_vm_folder">'Value Reference Tables'!$O$34</definedName>
    <definedName name="mgmt_nsx_default_operation_mode_chosen">'Deploy Management Domain'!$L$286</definedName>
    <definedName name="mgmt_nsx_operation_mode_chosen">'Deploy Management Domain'!$L$287</definedName>
    <definedName name="mgmt_nsx_overlay_network_chosen">'Deploy Management Domain'!$L$303</definedName>
    <definedName name="mgmt_nsx_overlay_transit_gateway_chosen">'Deploy Management Domain'!$L$54</definedName>
    <definedName name="mgmt_nsx_vm_folder">'Value Reference Tables'!$O$35</definedName>
    <definedName name="mgmt_nsx_vpc_type_chosen">'Deploy Management Domain'!$L$53</definedName>
    <definedName name="mgmt_nsxt_appliance_size_chosen">'Deploy Management Domain'!$L$328</definedName>
    <definedName name="mgmt_nsxt_appliance_size_result">Arkham!$X$67</definedName>
    <definedName name="mgmt_nsxt_en_admin_password">'Value Reference Tables'!$C$216</definedName>
    <definedName name="mgmt_nsxt_en_root_password">'Value Reference Tables'!$C$217</definedName>
    <definedName name="mgmt_nsxt_enable_edge_sync_chosen">'Deploy Management Domain'!$L$302</definedName>
    <definedName name="mgmt_nsxt_federation_chosen">'Configure Management Domain'!$B$17</definedName>
    <definedName name="mgmt_nsxt_federation_global_manager_name">'Value Reference Tables'!$O$23</definedName>
    <definedName name="mgmt_nsxt_federation_location_name">'Value Reference Tables'!$O$24</definedName>
    <definedName name="mgmt_nsxt_federation_result">'Configure Management Domain'!$D$17</definedName>
    <definedName name="mgmt_nsxt_global_mgr_anti_affinity_rule_name">'Value Reference Tables'!$O$21</definedName>
    <definedName name="mgmt_nsxt_global_mgr_certificate_id">'Value Reference Tables'!$O$22</definedName>
    <definedName name="mgmt_nsxt_global_mgr_cluster_id">'Value Reference Tables'!$O$20</definedName>
    <definedName name="mgmt_nsxt_global_mgr_vmca_signed_thumbprint">'Value Reference Tables'!$O$19</definedName>
    <definedName name="mgmt_nsxt_global_mgra_fqdn">'Value Reference Tables'!$C$69</definedName>
    <definedName name="mgmt_nsxt_global_mgra_hostname">'Value Reference Tables'!$C$50</definedName>
    <definedName name="mgmt_nsxt_global_mgra_ip">'Value Reference Tables'!$C$22</definedName>
    <definedName name="mgmt_nsxt_global_mgrb_fqdn">'Value Reference Tables'!$C$70</definedName>
    <definedName name="mgmt_nsxt_global_mgrb_hostname">'Value Reference Tables'!$C$51</definedName>
    <definedName name="mgmt_nsxt_global_mgrb_ip">'Value Reference Tables'!$C$23</definedName>
    <definedName name="mgmt_nsxt_global_mgrc_fqdn">'Value Reference Tables'!$C$71</definedName>
    <definedName name="mgmt_nsxt_global_mgrc_hostname">'Value Reference Tables'!$C$52</definedName>
    <definedName name="mgmt_nsxt_global_mgrc_ip">'Value Reference Tables'!$C$24</definedName>
    <definedName name="mgmt_nsxt_gm_fingerprint">'Value Reference Tables'!$O$26</definedName>
    <definedName name="mgmt_nsxt_gm_hostname">'Value Reference Tables'!$C$49</definedName>
    <definedName name="mgmt_nsxt_gm_vip_fqdn">'Value Reference Tables'!$C$68</definedName>
    <definedName name="mgmt_nsxt_gm_vip_ip">'Value Reference Tables'!$C$21</definedName>
    <definedName name="mgmt_nsxt_hostname">'Value Reference Tables'!$C$45</definedName>
    <definedName name="mgmt_nsxt_lm_fingerprint">'Value Reference Tables'!$O$25</definedName>
    <definedName name="mgmt_nsxt_mgr_formfactor">'Value Reference Tables'!$O$14</definedName>
    <definedName name="mgmt_nsxt_mgra_fqdn">'Value Reference Tables'!$C$65</definedName>
    <definedName name="mgmt_nsxt_mgra_hostname">'Value Reference Tables'!$C$46</definedName>
    <definedName name="mgmt_nsxt_mgra_ip">'Value Reference Tables'!$C$18</definedName>
    <definedName name="mgmt_nsxt_mgrb_fqdn">'Value Reference Tables'!$C$66</definedName>
    <definedName name="mgmt_nsxt_mgrb_hostname">'Value Reference Tables'!$C$47</definedName>
    <definedName name="mgmt_nsxt_mgrb_ip">'Value Reference Tables'!$C$19</definedName>
    <definedName name="mgmt_nsxt_mgrc_fqdn">'Value Reference Tables'!$C$67</definedName>
    <definedName name="mgmt_nsxt_mgrc_hostname">'Value Reference Tables'!$C$48</definedName>
    <definedName name="mgmt_nsxt_mgrc_ip">'Value Reference Tables'!$C$20</definedName>
    <definedName name="mgmt_nsxt_vip_fqdn">'Value Reference Tables'!$C$64</definedName>
    <definedName name="mgmt_nsxt_vip_ip">'Value Reference Tables'!$C$17</definedName>
    <definedName name="mgmt_nsxt_xreg_t1_name">'Value Reference Tables'!$O$27</definedName>
    <definedName name="mgmt_offline_depot_chosen">'Deploy Management Domain'!$L$9</definedName>
    <definedName name="mgmt_offline_depot_fqdn">'Value Reference Tables'!$O$58</definedName>
    <definedName name="mgmt_offline_depot_port">'Value Reference Tables'!$O$59</definedName>
    <definedName name="mgmt_principal_storage_chosen">'Deploy Management Domain'!$L$59</definedName>
    <definedName name="mgmt_recovery_lb_creation_method">'Value Reference Tables'!$U$20</definedName>
    <definedName name="mgmt_rtep_overlay_pool_end_ip">'Value Reference Tables - MR'!$F$178</definedName>
    <definedName name="mgmt_rtep_overlay_pool_start_ip">'Value Reference Tables - MR'!$F$177</definedName>
    <definedName name="mgmt_rwr_recovery_site_az1_mgmt_cidr">'Value Reference Tables'!$U$100</definedName>
    <definedName name="mgmt_rwr_vc_fqdn">'Value Reference Tables'!$U$82</definedName>
    <definedName name="mgmt_sddc_domain">'Value Reference Tables'!$O$8</definedName>
    <definedName name="mgmt_set_appliance_size_chosen">'Deploy Management Domain'!$L$319</definedName>
    <definedName name="mgmt_signed_certs_chosen">'Configure Management Domain'!$B$12</definedName>
    <definedName name="mgmt_signed_certs_result">'Configure Management Domain'!$D$12</definedName>
    <definedName name="mgmt_srm_admin_email">'Value Reference Tables'!$U$34</definedName>
    <definedName name="mgmt_srm_admin_password">'Value Reference Tables'!$U$31</definedName>
    <definedName name="mgmt_srm_database_password">'Value Reference Tables'!$U$32</definedName>
    <definedName name="mgmt_srm_days">'Value Reference Tables'!$U$39</definedName>
    <definedName name="mgmt_srm_fqdn">'Value Reference Tables'!$R$76</definedName>
    <definedName name="mgmt_srm_instances_per_day">'Value Reference Tables'!$U$38</definedName>
    <definedName name="mgmt_srm_ip">'Value Reference Tables'!$R$55</definedName>
    <definedName name="mgmt_srm_logs_pg">'Value Reference Tables'!$C$282</definedName>
    <definedName name="mgmt_srm_logs_rp">'Value Reference Tables'!$O$121</definedName>
    <definedName name="mgmt_srm_net_pg">'Value Reference Tables'!$C$283</definedName>
    <definedName name="mgmt_srm_net_rp">'Value Reference Tables'!$O$120</definedName>
    <definedName name="mgmt_srm_p12_password">'Value Reference Tables'!$U$35</definedName>
    <definedName name="mgmt_srm_recovery_cluster">'Value Reference Tables'!$U$52</definedName>
    <definedName name="mgmt_srm_recovery_datastore">'Value Reference Tables'!$U$53</definedName>
    <definedName name="mgmt_srm_recovery_gateway">'Value Reference Tables'!$O$123</definedName>
    <definedName name="mgmt_srm_recovery_mask">'Value Reference Tables'!$O$124</definedName>
    <definedName name="mgmt_srm_recovery_nsx_ec_name">'Value Reference Tables'!$U$51</definedName>
    <definedName name="mgmt_srm_recovery_nsx_location">'Value Reference Tables'!$U$50</definedName>
    <definedName name="mgmt_srm_recovery_pg">'Value Reference Tables'!$O$122</definedName>
    <definedName name="mgmt_srm_recovery_sddc_manager_domain">'Value Reference Tables'!$U$49</definedName>
    <definedName name="mgmt_srm_recovery_sddc_manager_fqdn">'Value Reference Tables'!$U$8</definedName>
    <definedName name="mgmt_srm_recovery_sddc_manager_password">'Value Reference Tables'!$U$10</definedName>
    <definedName name="mgmt_srm_recovery_sddc_manager_username">'Value Reference Tables'!$U$9</definedName>
    <definedName name="mgmt_srm_recovery_t1_si_ip">'Value Reference Tables'!$R$56</definedName>
    <definedName name="mgmt_srm_recovery_vcenter_fqdn">'Value Reference Tables'!$U$46</definedName>
    <definedName name="mgmt_srm_recovery_vcenter_password">'Value Reference Tables'!$U$48</definedName>
    <definedName name="mgmt_srm_recovery_vcenter_username">'Value Reference Tables'!$U$47</definedName>
    <definedName name="mgmt_srm_root_password">'Value Reference Tables'!$U$30</definedName>
    <definedName name="mgmt_srm_rpo">'Value Reference Tables'!$U$37</definedName>
    <definedName name="mgmt_srm_site_name">'Value Reference Tables'!$U$33</definedName>
    <definedName name="mgmt_srm_sso_domain_membership">'Value Reference Tables'!$U$55</definedName>
    <definedName name="mgmt_srm_vm_folder">'Value Reference Tables'!$U$29</definedName>
    <definedName name="mgmt_srm_vm_size">'Value Reference Tables'!$U$36</definedName>
    <definedName name="mgmt_srm_vra_pg">'Value Reference Tables'!$U$44</definedName>
    <definedName name="mgmt_srm_vra_rp">'Value Reference Tables'!$U$45</definedName>
    <definedName name="mgmt_srm_vrops_pg">'Value Reference Tables'!$U$42</definedName>
    <definedName name="mgmt_srm_vrops_rp">'Value Reference Tables'!$U$43</definedName>
    <definedName name="mgmt_srm_vrslcm_wsa_pg">'Value Reference Tables'!$U$40</definedName>
    <definedName name="mgmt_srm_vrslcm_wsa_rp">'Value Reference Tables'!$U$41</definedName>
    <definedName name="mgmt_sso_domain">'Value Reference Tables'!$C$90</definedName>
    <definedName name="mgmt_sso_domain_username">'Value Reference Tables'!$C$91</definedName>
    <definedName name="mgmt_stretched_cluster_chosen">'Configure Management Domain'!$B$16</definedName>
    <definedName name="mgmt_stretched_cluster_result">'Configure Management Domain'!$D$16</definedName>
    <definedName name="mgmt_supervisor_chosen">'Configure Management Domain'!$B$14</definedName>
    <definedName name="mgmt_supervisor_result">'Configure Management Domain'!$D$14</definedName>
    <definedName name="mgmt_supvr_api_server_fqdn">'Value Reference Tables'!$C$271</definedName>
    <definedName name="mgmt_supvr_cp_storage_policy">'Value Reference Tables'!$C$256</definedName>
    <definedName name="mgmt_supvr_ctrl_plane_ha_chosen">'Configure Management Domain'!$D$246</definedName>
    <definedName name="mgmt_supvr_ctrl_plane_size_chosen">'Configure Management Domain'!$D$272</definedName>
    <definedName name="mgmt_supvr_ed_storage_policy">'Value Reference Tables'!$C$257</definedName>
    <definedName name="mgmt_supvr_ic_storage_policy">'Value Reference Tables'!$C$258</definedName>
    <definedName name="mgmt_supvr_ip_address_range">'Value Reference Tables'!$C$259</definedName>
    <definedName name="mgmt_supvr_ip_mode_chosen">'Configure Management Domain'!$D$254</definedName>
    <definedName name="mgmt_supvr_location_chosen">'Configure Management Domain'!$D$244</definedName>
    <definedName name="mgmt_supvr_mgmt_dns_server">'Value Reference Tables'!$C$260</definedName>
    <definedName name="mgmt_supvr_mgmt_dns_zones">'Value Reference Tables'!$C$261</definedName>
    <definedName name="mgmt_supvr_mgmt_ntp_server">'Value Reference Tables'!$C$262</definedName>
    <definedName name="mgmt_supvr_name">'Value Reference Tables'!$C$254</definedName>
    <definedName name="mgmt_supvr_networking_stack_chosen">'Configure Management Domain'!$D$242</definedName>
    <definedName name="mgmt_supvr_nsx_project">'Value Reference Tables'!$C$263</definedName>
    <definedName name="mgmt_supvr_vpc_connectivity_profile">'Value Reference Tables'!$C$264</definedName>
    <definedName name="mgmt_supvr_vpc_ext_ip_blocks_name">'Value Reference Tables'!$C$265</definedName>
    <definedName name="mgmt_supvr_vpc_priv_cidr">'Value Reference Tables'!$C$267</definedName>
    <definedName name="mgmt_supvr_vpc_priv_ip_blocks_name">'Value Reference Tables'!$C$266</definedName>
    <definedName name="mgmt_supvr_vpc_service_cidr">'Value Reference Tables'!$C$268</definedName>
    <definedName name="mgmt_supvr_wld_dns_server">'Value Reference Tables'!$C$269</definedName>
    <definedName name="mgmt_supvr_wld_ntp_server">'Value Reference Tables'!$C$270</definedName>
    <definedName name="mgmt_supvr_zone_name">'Value Reference Tables'!$C$255</definedName>
    <definedName name="mgmt_tier0_ha_chosen">'Configure Management Domain'!$D$157</definedName>
    <definedName name="mgmt_tier0_name">'Value Reference Tables'!$O$17</definedName>
    <definedName name="mgmt_tier1_name">'Value Reference Tables'!$O$18</definedName>
    <definedName name="mgmt_vc_fqdn">'Value Reference Tables'!$C$63</definedName>
    <definedName name="mgmt_vc_hostname">'Value Reference Tables'!$C$44</definedName>
    <definedName name="mgmt_vc_ip">'Value Reference Tables'!$C$16</definedName>
    <definedName name="mgmt_vc_size">'Value Reference Tables'!$O$11</definedName>
    <definedName name="mgmt_vc_storage_size">'Value Reference Tables'!$O$12</definedName>
    <definedName name="mgmt_vcenter_appliance_size_chosen">'Deploy Management Domain'!$L$325</definedName>
    <definedName name="mgmt_vcenter_appliance_size_result">Arkham!$X$65</definedName>
    <definedName name="mgmt_vcenter_storage_size_chosen">'Deploy Management Domain'!$L$326</definedName>
    <definedName name="mgmt_vcenter_storage_size_result">Arkham!$X$66</definedName>
    <definedName name="mgmt_vcf_auto_size_result">Arkham!$X$71</definedName>
    <definedName name="mgmt_vcf_installer_location_chosen">'Deploy Management Domain'!$L$311</definedName>
    <definedName name="mgmt_vcf_management_network_chosen">'Deploy Management Domain'!$L$46</definedName>
    <definedName name="mgmt_vcfms_size_result">Arkham!$X$70</definedName>
    <definedName name="mgmt_vcfops_appliance_size_chosen">'Deploy Management Domain'!$L$321</definedName>
    <definedName name="mgmt_vcfops_appliance_size_result">Arkham!$X$68</definedName>
    <definedName name="mgmt_vcfops_collector_size_chosen">'Deploy Management Domain'!$L$323</definedName>
    <definedName name="mgmt_vcfops_collector_size_result">Arkham!$X$69</definedName>
    <definedName name="mgmt_vna_ip_assignment_address_type_chosen">'Configure Management Domain'!$D$212</definedName>
    <definedName name="mgmt_vna_ip_assignment_chosen">'Configure Management Domain'!$D$213</definedName>
    <definedName name="mgmt_vna_rp_name">'Value Reference Tables'!$C$251</definedName>
    <definedName name="mgmt_vnaa_cidr">'Value Reference Tables'!$C$249</definedName>
    <definedName name="mgmt_vnaa_fqdn">'Value Reference Tables'!$C$247</definedName>
    <definedName name="mgmt_vnab_cidr">'Value Reference Tables'!$C$250</definedName>
    <definedName name="mgmt_vnab_fqdn">'Value Reference Tables'!$C$248</definedName>
    <definedName name="mgmt_vns_chosen">'Configure Management Domain'!$B$13</definedName>
    <definedName name="mgmt_vns_result">'Configure Management Domain'!$D$13</definedName>
    <definedName name="mgmt_vpc_ext_ip_blocks_cidr">'Value Reference Tables'!$C$238</definedName>
    <definedName name="mgmt_vpc_ext_ip_blocks_excluded_ips">'Value Reference Tables'!$C$239</definedName>
    <definedName name="mgmt_vpc_ext_ip_blocks_name">'Value Reference Tables'!$C$236</definedName>
    <definedName name="mgmt_vpc_ext_ip_blocks_reserved">'Value Reference Tables'!$C$240</definedName>
    <definedName name="mgmt_vpc_ext_ip_blocks_visability">'Value Reference Tables'!$C$237</definedName>
    <definedName name="mgmt_vpc_priv_ip_blocks_excluded_ips">'Value Reference Tables'!$C$244</definedName>
    <definedName name="mgmt_vpc_priv_ip_blocks_name">'Value Reference Tables'!$C$241</definedName>
    <definedName name="mgmt_vpc_priv_ip_blocks_reserved">'Value Reference Tables'!$C$245</definedName>
    <definedName name="mgmt_vpc_priv_ip_blocks_visability">'Value Reference Tables'!$C$242</definedName>
    <definedName name="mgmt_vpc_transit_gateway_ip_blocks_cidr">'Value Reference Tables'!$C$243</definedName>
    <definedName name="mgmt_vpc_vna_cluster_name">'Value Reference Tables'!$C$246</definedName>
    <definedName name="mgmt_vpc_vna_cluster_size_chosen">'Configure Management Domain'!$D$206</definedName>
    <definedName name="mgmt_vrms_admin_email">'Value Reference Tables'!$U$25</definedName>
    <definedName name="mgmt_vrms_admin_password">'Value Reference Tables'!$U$23</definedName>
    <definedName name="mgmt_vrms_hostname">'Value Reference Tables'!$R$66</definedName>
    <definedName name="mgmt_vrms_mgmt_ip">'Value Reference Tables'!$R$53</definedName>
    <definedName name="mgmt_vrms_p12_password">'Value Reference Tables'!$U$27</definedName>
    <definedName name="mgmt_vrms_pg">'Value Reference Tables'!$U$26</definedName>
    <definedName name="mgmt_vrms_recovery_replication_cidr">'Value Reference Tables'!$U$54</definedName>
    <definedName name="mgmt_vrms_root_password">'Value Reference Tables'!$U$22</definedName>
    <definedName name="mgmt_vrms_site_name">'Value Reference Tables'!$U$24</definedName>
    <definedName name="mgmt_vrms_vm_folder">'Value Reference Tables'!$U$21</definedName>
    <definedName name="mgmt_vrms_vrms_ip">'Value Reference Tables'!$R$54</definedName>
    <definedName name="mgmt_witness_az_mgmt_mask">'Value Reference Tables'!$AA$8</definedName>
    <definedName name="mgmt_witness_cluster">'Value Reference Tables'!$C$194</definedName>
    <definedName name="mgmt_witness_dns1_ip">'Value Reference Tables'!$C$201</definedName>
    <definedName name="mgmt_witness_dns2_ip">'Value Reference Tables'!$C$202</definedName>
    <definedName name="mgmt_witness_fqdn">'Value Reference Tables'!$C$84</definedName>
    <definedName name="mgmt_witness_hostname">'Value Reference Tables'!$C$179</definedName>
    <definedName name="mgmt_witness_ip">'Value Reference Tables'!$L$91</definedName>
    <definedName name="mgmt_witness_mgmt_ip">'Value Reference Tables'!$C$200</definedName>
    <definedName name="mgmt_witness_mgmt_pg">'Value Reference Tables'!$X$12</definedName>
    <definedName name="mgmt_witness_ntp1_server">'Value Reference Tables'!$C$203</definedName>
    <definedName name="mgmt_witness_ntp2_server">'Value Reference Tables'!$C$204</definedName>
    <definedName name="mgmt_witness_root_password">'Value Reference Tables'!$L$36</definedName>
    <definedName name="mgmt_witness_sddc_domain">'Value Reference Tables'!$C$192</definedName>
    <definedName name="mgmt_witness_vc_fqdn">'Value Reference Tables'!$C$83</definedName>
    <definedName name="mgmt_witness_vcenter_fqdn">'Value Reference Tables'!$L$83</definedName>
    <definedName name="mgmt_witness_vcenter_hostname">'Value Reference Tables'!$C$178</definedName>
    <definedName name="mgmt_witness_vm_folder">'Value Reference Tables'!$C$195</definedName>
    <definedName name="mgmt_witness_vsan_datastore">'Value Reference Tables'!$C$193</definedName>
    <definedName name="mgmt_witness_zone_vc_fqdn">'Value Reference Tables'!$L$84</definedName>
    <definedName name="mgmt_witness_zone_vc_hostname">'Value Reference Tables'!$L$85</definedName>
    <definedName name="mgmt_witness_zone_vc_ip">'Value Reference Tables'!$C$199</definedName>
    <definedName name="mgmt_witnessaz_cidr">'Value Reference Tables'!$X$16</definedName>
    <definedName name="mgmt_witnessaz_gateway_ip">'Value Reference Tables'!$X$20</definedName>
    <definedName name="mgmt_witnessaz_mgmt_cidr">'Value Reference Tables'!$L$92</definedName>
    <definedName name="mgmt_witnessaz_mgmt_gateway_ip">'Value Reference Tables'!$L$93</definedName>
    <definedName name="mgmt_witnessaz_mgmt_mask">'Value Reference Tables'!$L$90</definedName>
    <definedName name="mgmt_witnessaz_mgmt_mtu">'Value Reference Tables'!$X$24</definedName>
    <definedName name="mgmt_witnessaz_mgmt_network">'Value Reference Tables'!$L$89</definedName>
    <definedName name="mgmt_witnessaz_mgmt_vlan">'Value Reference Tables'!$X$8</definedName>
    <definedName name="mgmt_witnessaz_mtu">'Value Reference Tables'!$L$86</definedName>
    <definedName name="mgmt_witnessaz_vlan">'Value Reference Tables'!$L$87</definedName>
    <definedName name="navigation_apply_signed_certs_mgmt_domain">'Configure Management Domain'!$B$31</definedName>
    <definedName name="navigation_apply_signed_certs_wld_domain">'Configure Workload Domain'!$B$9</definedName>
    <definedName name="navigation_avi_lb_mgmt_domain">'Configure Management Domain'!$B$275</definedName>
    <definedName name="navigation_avi_lb_wld_domain">'Configure Workload Domain'!$B$218</definedName>
    <definedName name="navigation_configure_sftp_mgmt_domain">'Configure Management Domain'!$B$19</definedName>
    <definedName name="navigation_mgmt_configure_auth">'Deploy Fleet Management Day-N'!$B$93</definedName>
    <definedName name="navigation_mgmt_supervisor">'Configure Management Domain'!$B$240</definedName>
    <definedName name="navigation_nsx_federation_for_management_domain">'Configure Management Domain'!$B$468</definedName>
    <definedName name="navigation_nsx_federation_for_wld_domain">'Configure Workload Domain'!$B$429</definedName>
    <definedName name="navigation_nsx_routing_mgmt_domain">'Configure Management Domain'!$B$87</definedName>
    <definedName name="navigation_nsx_routing_wld_domain">'Configure Workload Domain'!$B$30</definedName>
    <definedName name="navigation_site_protection_mgmt">'Site Protection &amp; DR'!$B$8</definedName>
    <definedName name="navigation_site_protection_solution_interop">'Site Protection &amp; DR'!$B$367</definedName>
    <definedName name="navigation_site_protection_wld">'Dumping Ground'!$B$217</definedName>
    <definedName name="navigation_stretched_cluster_mgmt_domain">'Configure Management Domain'!$B$293</definedName>
    <definedName name="navigation_stretched_cluster_wld_domain">'Configure Workload Domain'!$B$236</definedName>
    <definedName name="navigation_vcf_and_vvf_planning_tab">'VCF &amp; VVF Planning'!$A$1</definedName>
    <definedName name="navigation_wld_supervisor">'Configure Workload Domain'!$B$183</definedName>
    <definedName name="navlink_input_ca_values">'Configure Management Domain'!$B$58</definedName>
    <definedName name="non_first_domain_mgmt_only_viable">'Value Reference Tables'!$AA$56</definedName>
    <definedName name="non_first_domain_mgmt_vi_viable">'Value Reference Tables'!$AA$57</definedName>
    <definedName name="NSX_RTEP_Overlay">'Value Reference Tables - MR'!$R$110</definedName>
    <definedName name="nsx_sizing_limits">'Static Reference Tables'!$B$647:$D$651</definedName>
    <definedName name="nsxt_en_admin_password">'Value Reference Tables'!$L$19</definedName>
    <definedName name="nsxt_en_root_password">'Value Reference Tables'!$L$18</definedName>
    <definedName name="nsxt_gm_admin_password">'Value Reference Tables'!$L$21</definedName>
    <definedName name="nsxt_gm_audit_password">'Value Reference Tables'!$L$22</definedName>
    <definedName name="nsxt_gm_root_password">'Value Reference Tables'!$L$20</definedName>
    <definedName name="nsxt_lm_admin_password">'Value Reference Tables'!$L$16</definedName>
    <definedName name="nsxt_lm_audit_password">'Value Reference Tables'!$L$17</definedName>
    <definedName name="nsxt_lm_root_password">'Value Reference Tables'!$L$15</definedName>
    <definedName name="other_instance">'Value Reference Tables'!$AA$20</definedName>
    <definedName name="parent_dns_zone">'Value Reference Tables'!$L$65</definedName>
    <definedName name="pnp_version_history">Arkham!$B$2</definedName>
    <definedName name="pnp_version_number">'Value Reference Tables'!$C$11</definedName>
    <definedName name="prefix_flt_shared_cidr">'Value Reference Tables'!$AA$42</definedName>
    <definedName name="prefix_mgmt_az1_cidr">'Value Reference Tables'!$AA$23</definedName>
    <definedName name="prefix_mgmt_az1_vlan">'Value Reference Tables'!$AA$22</definedName>
    <definedName name="prefix_mgmt_az2_cidr">'Value Reference Tables'!$AA$25</definedName>
    <definedName name="prefix_mgmt_az2_vlan">'Value Reference Tables'!$AA$24</definedName>
    <definedName name="prefix_mgmt_ipv6_cidr">'Value Reference Tables'!$AA$43</definedName>
    <definedName name="prefix_mgmt_tor_asn">'Value Reference Tables'!$AA$30</definedName>
    <definedName name="prefix_mgmt_witness_cidr">'Value Reference Tables'!$AA$29</definedName>
    <definedName name="prefix_mgmt_witness_vlan">'Value Reference Tables'!$AA$28</definedName>
    <definedName name="prefix_other_region_az1_cidr">'Value Reference Tables'!$AA$40</definedName>
    <definedName name="prefix_portable_component">'Value Reference Tables'!$AA$41</definedName>
    <definedName name="prefix_reg_cidr">'Value Reference Tables'!$AA$26</definedName>
    <definedName name="prefix_wld_az1_cidr">'Value Reference Tables'!$AA$32</definedName>
    <definedName name="prefix_wld_az1_rack_cidr">'Value Reference Tables - MR'!$AH$9</definedName>
    <definedName name="prefix_wld_az1_rack_vlan">'Value Reference Tables - MR'!$AH$7</definedName>
    <definedName name="prefix_wld_az1_vlan">'Value Reference Tables'!$AA$31</definedName>
    <definedName name="prefix_wld_az2_cidr">'Value Reference Tables'!$AA$35</definedName>
    <definedName name="prefix_wld_az2_rack_cidr">'Value Reference Tables - MR'!$AH$10</definedName>
    <definedName name="prefix_wld_az2_rack_vlan">'Value Reference Tables - MR'!$AH$8</definedName>
    <definedName name="prefix_wld_az2_vlan">'Value Reference Tables'!$AA$34</definedName>
    <definedName name="prefix_wld_k8s_cidr">'Value Reference Tables'!$AA$39</definedName>
    <definedName name="prefix_wld_tor_asn">'Value Reference Tables'!$AA$38</definedName>
    <definedName name="prefix_wld_witness_cidr">'Value Reference Tables'!$AA$37</definedName>
    <definedName name="prefix_wld_witness_vlan">'Value Reference Tables'!$AA$36</definedName>
    <definedName name="prefix_xreg_cidr">'Value Reference Tables'!$AA$27</definedName>
    <definedName name="prefix_xreg_vlan">'Value Reference Tables'!$AA$44</definedName>
    <definedName name="protected_mgmt_result">'Value Reference Tables'!$AA$51</definedName>
    <definedName name="protected_wld_result">'Value Reference Tables'!$AA$53</definedName>
    <definedName name="recovery_mgmt_result">'Value Reference Tables'!$AA$52</definedName>
    <definedName name="region_dns1_ip">'Value Reference Tables'!$L$50</definedName>
    <definedName name="region_dns2_ip">'Value Reference Tables'!$L$51</definedName>
    <definedName name="region_ntp_servers_array">'Value Reference Tables'!$L$45:$L$46</definedName>
    <definedName name="region_ntp1_server">'Value Reference Tables'!$L$45</definedName>
    <definedName name="region_ntp2_server">'Value Reference Tables'!$L$46</definedName>
    <definedName name="rwr_child_dns_zone">'Value Reference Tables'!$U$90</definedName>
    <definedName name="rwr_chosen">'Management Domain Sizing'!$B$83</definedName>
    <definedName name="rwr_datacenter">'Value Reference Tables'!$U$94</definedName>
    <definedName name="rwr_result">'Management Domain Sizing'!$I$83</definedName>
    <definedName name="rwr_sso_domain_name">'Value Reference Tables'!$U$88</definedName>
    <definedName name="rwr_vlr_replication_password">'Value Reference Tables'!$U$91</definedName>
    <definedName name="rwr_vrms_pg">'Value Reference Tables'!$U$92</definedName>
    <definedName name="sample_administrator_vsphere_local_password">'Deploy Management Domain'!$K$201</definedName>
    <definedName name="sample_ca_administrator_password">'Configure Management Domain'!$C$36</definedName>
    <definedName name="sample_ca_administrator_username">'Configure Management Domain'!$C$35</definedName>
    <definedName name="sample_ca_algorithm">'Configure Management Domain'!$C$59</definedName>
    <definedName name="sample_ca_country">'Configure Management Domain'!$C$62</definedName>
    <definedName name="sample_ca_email_address">'Configure Management Domain'!$C$65</definedName>
    <definedName name="sample_ca_key_size">'Configure Management Domain'!$C$66</definedName>
    <definedName name="sample_ca_locality">'Configure Management Domain'!$C$64</definedName>
    <definedName name="sample_ca_organization">'Configure Management Domain'!$C$61</definedName>
    <definedName name="sample_ca_organization_unit">'Configure Management Domain'!$C$60</definedName>
    <definedName name="sample_ca_state">'Configure Management Domain'!$C$63</definedName>
    <definedName name="sample_ca_template_name">'Configure Management Domain'!$C$46</definedName>
    <definedName name="sample_certificate_authority_fqdn">'Configure Management Domain'!$C$34</definedName>
    <definedName name="sample_certificate_authority_name">'Configure Management Domain'!$C$68</definedName>
    <definedName name="sample_child_dns_zone">Arkham!$B$11</definedName>
    <definedName name="sample_cluster_az1_host_overlay_cidr">'Deploy Cluster'!$C$250</definedName>
    <definedName name="sample_cluster_az1_host_overlay_gateway_ip">'Deploy Cluster'!$C$253</definedName>
    <definedName name="sample_cluster_az1_host_overlay_network_pool_description">'Deploy Cluster'!$C$249</definedName>
    <definedName name="sample_cluster_az1_host_overlay_network_pool_name">'Deploy Cluster'!$C$248</definedName>
    <definedName name="sample_cluster_az1_host_overlay_network_profile_name">'Deploy Cluster'!$C$256</definedName>
    <definedName name="sample_cluster_az1_host_overlay_pool_end_ip">'Deploy Cluster'!$C$252</definedName>
    <definedName name="sample_cluster_az1_host_overlay_pool_start_ip">'Deploy Cluster'!$C$251</definedName>
    <definedName name="sample_cluster_az1_host_overlay_uplink_profile_name">'Deploy Cluster'!$C$260</definedName>
    <definedName name="sample_cluster_az1_host_overlay_vlan">'Deploy Cluster'!$C$245</definedName>
    <definedName name="sample_cluster_az1_host1_fqdn">'Deploy Cluster'!$C$96</definedName>
    <definedName name="sample_cluster_az1_host1_mgmt_ip">'Deploy Cluster'!$C$29</definedName>
    <definedName name="sample_cluster_az1_host10_fqdn">'Deploy Cluster'!$C$105</definedName>
    <definedName name="sample_cluster_az1_host10_mgmt_ip">'Deploy Cluster'!$C$38</definedName>
    <definedName name="sample_cluster_az1_host11_fqdn">'Deploy Cluster'!$C$106</definedName>
    <definedName name="sample_cluster_az1_host11_mgmt_ip">'Deploy Cluster'!$C$39</definedName>
    <definedName name="sample_cluster_az1_host12_fqdn">'Deploy Cluster'!$C$107</definedName>
    <definedName name="sample_cluster_az1_host12_mgmt_ip">'Deploy Cluster'!$C$40</definedName>
    <definedName name="sample_cluster_az1_host13_fqdn">'Deploy Cluster'!$C$108</definedName>
    <definedName name="sample_cluster_az1_host13_mgmt_ip">'Deploy Cluster'!$C$41</definedName>
    <definedName name="sample_cluster_az1_host14_fqdn">'Deploy Cluster'!$C$109</definedName>
    <definedName name="sample_cluster_az1_host14_mgmt_ip">'Deploy Cluster'!$C$42</definedName>
    <definedName name="sample_cluster_az1_host15_fqdn">'Deploy Cluster'!$C$110</definedName>
    <definedName name="sample_cluster_az1_host15_mgmt_ip">'Deploy Cluster'!$C$43</definedName>
    <definedName name="sample_cluster_az1_host16_fqdn">'Deploy Cluster'!$C$111</definedName>
    <definedName name="sample_cluster_az1_host16_mgmt_ip">'Deploy Cluster'!$C$44</definedName>
    <definedName name="sample_cluster_az1_host2_fqdn">'Deploy Cluster'!$C$97</definedName>
    <definedName name="sample_cluster_az1_host2_mgmt_ip">'Deploy Cluster'!$C$30</definedName>
    <definedName name="sample_cluster_az1_host3_fqdn">'Deploy Cluster'!$C$98</definedName>
    <definedName name="sample_cluster_az1_host3_mgmt_ip">'Deploy Cluster'!$C$31</definedName>
    <definedName name="sample_cluster_az1_host4_fqdn">'Deploy Cluster'!$C$99</definedName>
    <definedName name="sample_cluster_az1_host4_mgmt_ip">'Deploy Cluster'!$C$32</definedName>
    <definedName name="sample_cluster_az1_host5_fqdn">'Deploy Cluster'!$C$100</definedName>
    <definedName name="sample_cluster_az1_host5_mgmt_ip">'Deploy Cluster'!$C$33</definedName>
    <definedName name="sample_cluster_az1_host6_fqdn">'Deploy Cluster'!$C$101</definedName>
    <definedName name="sample_cluster_az1_host6_mgmt_ip">'Deploy Cluster'!$C$34</definedName>
    <definedName name="sample_cluster_az1_host7_fqdn">'Deploy Cluster'!$C$102</definedName>
    <definedName name="sample_cluster_az1_host7_mgmt_ip">'Deploy Cluster'!$C$35</definedName>
    <definedName name="sample_cluster_az1_host8_fqdn">'Deploy Cluster'!$C$103</definedName>
    <definedName name="sample_cluster_az1_host8_mgmt_ip">'Deploy Cluster'!$C$36</definedName>
    <definedName name="sample_cluster_az1_host9_fqdn">'Deploy Cluster'!$C$104</definedName>
    <definedName name="sample_cluster_az1_host9_mgmt_ip">'Deploy Cluster'!$C$37</definedName>
    <definedName name="sample_cluster_az1_mgmt_cidr">'Deploy Cluster'!$C$26</definedName>
    <definedName name="sample_cluster_az1_mgmt_gateway_ip">'Deploy Cluster'!$C$25</definedName>
    <definedName name="sample_cluster_az1_mgmt_mtu">'Deploy Cluster'!$C$27</definedName>
    <definedName name="sample_cluster_az1_mgmt_pg">'Deploy Cluster'!$C$214</definedName>
    <definedName name="sample_cluster_az1_mgmt_vlan">'Deploy Cluster'!$C$24</definedName>
    <definedName name="sample_cluster_az1_mgmt_vm_pg">'Deploy Cluster'!$C$219</definedName>
    <definedName name="sample_cluster_az1_nsx_uplink_count">'Deploy Cluster'!$C$257</definedName>
    <definedName name="sample_cluster_az1_nsx_uplink1">'Deploy Cluster'!$C$258</definedName>
    <definedName name="sample_cluster_az1_nsx_uplink1_active">'Deploy Cluster'!$C$262</definedName>
    <definedName name="sample_cluster_az1_nsx_uplink2">'Deploy Cluster'!$C$259</definedName>
    <definedName name="sample_cluster_az1_nsx_uplink2_active">'Deploy Cluster'!$C$263</definedName>
    <definedName name="sample_cluster_az1_pool_name">'Deploy Cluster'!$C$48</definedName>
    <definedName name="sample_cluster_az1_principal_storage_gateway_cidr">'Deploy Cluster'!$C$65</definedName>
    <definedName name="sample_cluster_az1_principal_storage_mtu">'Deploy Cluster'!$C$63</definedName>
    <definedName name="sample_cluster_az1_principal_storage_pg">'Deploy Cluster'!$C$229</definedName>
    <definedName name="sample_cluster_az1_principal_storage_pool_end_ip">'Deploy Cluster'!$C$68</definedName>
    <definedName name="sample_cluster_az1_principal_storage_pool_start_ip">'Deploy Cluster'!$C$67</definedName>
    <definedName name="sample_cluster_az1_principal_storage_vlan">'Deploy Cluster'!$C$62</definedName>
    <definedName name="sample_cluster_az1_secondary_storage_gateway_cidr">'Deploy Cluster'!$C$76</definedName>
    <definedName name="sample_cluster_az1_secondary_storage_mtu">'Deploy Cluster'!$C$74</definedName>
    <definedName name="sample_cluster_az1_secondary_storage_pool_end_ip">'Deploy Cluster'!$C$79</definedName>
    <definedName name="sample_cluster_az1_secondary_storage_pool_start_ip">'Deploy Cluster'!$C$78</definedName>
    <definedName name="sample_cluster_az1_secondary_storage_vlan">'Deploy Cluster'!$C$73</definedName>
    <definedName name="sample_cluster_az1_storage_cluster_gateway_cidr">'Deploy Cluster'!$C$87</definedName>
    <definedName name="sample_cluster_az1_storage_cluster_mtu">'Deploy Cluster'!$C$85</definedName>
    <definedName name="sample_cluster_az1_storage_cluster_pool_end_ip">'Deploy Cluster'!$C$90</definedName>
    <definedName name="sample_cluster_az1_storage_cluster_pool_start_ip">'Deploy Cluster'!$C$89</definedName>
    <definedName name="sample_cluster_az1_storage_cluster_vlan">'Deploy Cluster'!$C$84</definedName>
    <definedName name="sample_cluster_az1_vmotion_gateway_cidr">'Deploy Cluster'!$C$54</definedName>
    <definedName name="sample_cluster_az1_vmotion_mtu">'Deploy Cluster'!$C$52</definedName>
    <definedName name="sample_cluster_az1_vmotion_pg">'Deploy Cluster'!$C$224</definedName>
    <definedName name="sample_cluster_az1_vmotion_pool_end_ip">'Deploy Cluster'!$C$57</definedName>
    <definedName name="sample_cluster_az1_vmotion_pool_start_ip">'Deploy Cluster'!$C$56</definedName>
    <definedName name="sample_cluster_az1_vmotion_vlan">'Deploy Cluster'!$C$51</definedName>
    <definedName name="sample_cluster_az1_vsan_storage_client_pg">'Deploy Cluster'!$C$234</definedName>
    <definedName name="sample_cluster_az2_host_overlay_cidr">'Deploy Cluster'!$C$424</definedName>
    <definedName name="sample_cluster_az2_host_overlay_gateway_ip">'Deploy Cluster'!$C$425</definedName>
    <definedName name="sample_cluster_az2_host_overlay_gateway_mtu">'Deploy Cluster'!$C$426</definedName>
    <definedName name="sample_cluster_az2_host_overlay_network_pool_name">'Deploy Cluster'!$C$421</definedName>
    <definedName name="sample_cluster_az2_host_overlay_network_profile_name">'Deploy Cluster'!$C$419</definedName>
    <definedName name="sample_cluster_az2_host_overlay_pool_end_ip">'Deploy Cluster'!$C$428</definedName>
    <definedName name="sample_cluster_az2_host_overlay_pool_start_ip">'Deploy Cluster'!$C$427</definedName>
    <definedName name="sample_cluster_az2_host_overlay_uplink_profile_name">'Deploy Cluster'!$C$422</definedName>
    <definedName name="sample_cluster_az2_host_overlay_vlan">'Deploy Cluster'!$C$423</definedName>
    <definedName name="sample_cluster_az2_host1_fqdn">'Deploy Cluster'!$C$331</definedName>
    <definedName name="sample_cluster_az2_host1_mgmt_ip">'Deploy Cluster'!$C$275</definedName>
    <definedName name="sample_cluster_az2_host10_fqdn">'Deploy Cluster'!$C$340</definedName>
    <definedName name="sample_cluster_az2_host10_mgmt_ip">'Deploy Cluster'!$C$284</definedName>
    <definedName name="sample_cluster_az2_host11_fqdn">'Deploy Cluster'!$C$341</definedName>
    <definedName name="sample_cluster_az2_host11_mgmt_ip">'Deploy Cluster'!$C$285</definedName>
    <definedName name="sample_cluster_az2_host12_fqdn">'Deploy Cluster'!$C$342</definedName>
    <definedName name="sample_cluster_az2_host12_mgmt_ip">'Deploy Cluster'!$C$286</definedName>
    <definedName name="sample_cluster_az2_host13_fqdn">'Deploy Cluster'!$C$343</definedName>
    <definedName name="sample_cluster_az2_host13_mgmt_ip">'Deploy Cluster'!$C$287</definedName>
    <definedName name="sample_cluster_az2_host14_fqdn">'Deploy Cluster'!$C$344</definedName>
    <definedName name="sample_cluster_az2_host14_mgmt_ip">'Deploy Cluster'!$C$288</definedName>
    <definedName name="sample_cluster_az2_host15_fqdn">'Deploy Cluster'!$C$345</definedName>
    <definedName name="sample_cluster_az2_host15_mgmt_ip">'Deploy Cluster'!$C$289</definedName>
    <definedName name="sample_cluster_az2_host16_fqdn">'Deploy Cluster'!$C$346</definedName>
    <definedName name="sample_cluster_az2_host16_mgmt_ip">'Deploy Cluster'!$C$290</definedName>
    <definedName name="sample_cluster_az2_host2_fqdn">'Deploy Cluster'!$C$332</definedName>
    <definedName name="sample_cluster_az2_host2_mgmt_ip">'Deploy Cluster'!$C$276</definedName>
    <definedName name="sample_cluster_az2_host3_fqdn">'Deploy Cluster'!$C$333</definedName>
    <definedName name="sample_cluster_az2_host3_mgmt_ip">'Deploy Cluster'!$C$277</definedName>
    <definedName name="sample_cluster_az2_host4_fqdn">'Deploy Cluster'!$C$334</definedName>
    <definedName name="sample_cluster_az2_host4_mgmt_ip">'Deploy Cluster'!$C$278</definedName>
    <definedName name="sample_cluster_az2_host5_fqdn">'Deploy Cluster'!$C$335</definedName>
    <definedName name="sample_cluster_az2_host5_mgmt_ip">'Deploy Cluster'!$C$279</definedName>
    <definedName name="sample_cluster_az2_host6_fqdn">'Deploy Cluster'!$C$336</definedName>
    <definedName name="sample_cluster_az2_host6_mgmt_ip">'Deploy Cluster'!$C$280</definedName>
    <definedName name="sample_cluster_az2_host7_fqdn">'Deploy Cluster'!$C$337</definedName>
    <definedName name="sample_cluster_az2_host7_mgmt_ip">'Deploy Cluster'!$C$281</definedName>
    <definedName name="sample_cluster_az2_host8_fqdn">'Deploy Cluster'!$C$338</definedName>
    <definedName name="sample_cluster_az2_host8_mgmt_ip">'Deploy Cluster'!$C$282</definedName>
    <definedName name="sample_cluster_az2_host9_fqdn">'Deploy Cluster'!$C$339</definedName>
    <definedName name="sample_cluster_az2_host9_mgmt_ip">'Deploy Cluster'!$C$283</definedName>
    <definedName name="sample_cluster_az2_mgmt_cidr">'Deploy Cluster'!$C$272</definedName>
    <definedName name="sample_cluster_az2_mgmt_gateway_ip">'Deploy Cluster'!$C$271</definedName>
    <definedName name="sample_cluster_az2_mgmt_mtu">'Deploy Cluster'!$C$273</definedName>
    <definedName name="sample_cluster_az2_mgmt_vlan">'Deploy Cluster'!$C$270</definedName>
    <definedName name="sample_cluster_az2_pool_name">'Deploy Cluster'!$C$295</definedName>
    <definedName name="sample_cluster_az2_principal_storage_gateway_ip">'Deploy Cluster'!$C$309</definedName>
    <definedName name="sample_cluster_az2_principal_storage_mask">'Deploy Cluster'!$C$308</definedName>
    <definedName name="sample_cluster_az2_principal_storage_mtu">'Deploy Cluster'!$C$306</definedName>
    <definedName name="sample_cluster_az2_principal_storage_network">'Deploy Cluster'!$C$307</definedName>
    <definedName name="sample_cluster_az2_principal_storage_pool_end_ip">'Deploy Cluster'!$C$311</definedName>
    <definedName name="sample_cluster_az2_principal_storage_pool_start_ip">'Deploy Cluster'!$C$310</definedName>
    <definedName name="sample_cluster_az2_principal_storage_vlan">'Deploy Cluster'!$C$305</definedName>
    <definedName name="sample_cluster_az2_secondary_storage_gateway_ip">'Deploy Cluster'!$C$317</definedName>
    <definedName name="sample_cluster_az2_secondary_storage_mask">'Deploy Cluster'!$C$316</definedName>
    <definedName name="sample_cluster_az2_secondary_storage_mtu">'Deploy Cluster'!$C$314</definedName>
    <definedName name="sample_cluster_az2_secondary_storage_network">'Deploy Cluster'!$C$315</definedName>
    <definedName name="sample_cluster_az2_secondary_storage_pool_end_ip">'Deploy Cluster'!$C$319</definedName>
    <definedName name="sample_cluster_az2_secondary_storage_pool_start_ip">'Deploy Cluster'!$C$318</definedName>
    <definedName name="sample_cluster_az2_secondary_storage_vlan">'Deploy Cluster'!$C$313</definedName>
    <definedName name="sample_cluster_az2_storage_cluster_gateway_ip">'Deploy Cluster'!$C$325</definedName>
    <definedName name="sample_cluster_az2_storage_cluster_mask">'Deploy Cluster'!$C$324</definedName>
    <definedName name="sample_cluster_az2_storage_cluster_mtu">'Deploy Cluster'!$C$322</definedName>
    <definedName name="sample_cluster_az2_storage_cluster_network">'Deploy Cluster'!$C$323</definedName>
    <definedName name="sample_cluster_az2_storage_cluster_pool_end_ip">'Deploy Cluster'!$C$327</definedName>
    <definedName name="sample_cluster_az2_storage_cluster_pool_start_ip">'Deploy Cluster'!$C$326</definedName>
    <definedName name="sample_cluster_az2_storage_cluster_vlan">'Deploy Cluster'!$C$321</definedName>
    <definedName name="sample_cluster_az2_tor1_peer_asn">'Deploy Cluster'!$C$446</definedName>
    <definedName name="sample_cluster_az2_tor1_peer_ip">'Deploy Cluster'!$C$445</definedName>
    <definedName name="sample_cluster_az2_tor2_peer_asn">'Deploy Cluster'!$C$453</definedName>
    <definedName name="sample_cluster_az2_tor2_peer_ip">'Deploy Cluster'!$C$450</definedName>
    <definedName name="sample_cluster_az2_vmotion_gateway_ip">'Deploy Cluster'!$C$301</definedName>
    <definedName name="sample_cluster_az2_vmotion_mask">'Deploy Cluster'!$C$300</definedName>
    <definedName name="sample_cluster_az2_vmotion_mtu">'Deploy Cluster'!$C$298</definedName>
    <definedName name="sample_cluster_az2_vmotion_network">'Deploy Cluster'!$C$299</definedName>
    <definedName name="sample_cluster_az2_vmotion_pool_end_ip">'Deploy Cluster'!$C$303</definedName>
    <definedName name="sample_cluster_az2_vmotion_pool_start_ip">'Deploy Cluster'!$C$302</definedName>
    <definedName name="sample_cluster_az2_vmotion_vlan">'Deploy Cluster'!$C$297</definedName>
    <definedName name="sample_cluster_cluster_sddc_id">'Deploy Cluster'!$C$432</definedName>
    <definedName name="sample_cluster_datacenter">'Deploy Cluster'!$C$384</definedName>
    <definedName name="sample_cluster_domain_name">'Deploy Cluster'!$C$19</definedName>
    <definedName name="sample_cluster_esx_root_password">'Deploy Cluster'!$C$118</definedName>
    <definedName name="sample_cluster_esx_root_username">'Deploy Cluster'!$C$117</definedName>
    <definedName name="sample_cluster_host_overlay_transportzone">'Deploy Cluster'!$C$244</definedName>
    <definedName name="sample_cluster_image_name">'Deploy Cluster'!$C$130</definedName>
    <definedName name="sample_cluster_name">'Deploy Cluster'!$C$125</definedName>
    <definedName name="sample_cluster_nfs_datastore_name">'Deploy Cluster'!$C$148</definedName>
    <definedName name="sample_cluster_nfs_server_address">'Deploy Cluster'!$C$150</definedName>
    <definedName name="sample_cluster_nfs_share_path">'Deploy Cluster'!$C$149</definedName>
    <definedName name="sample_cluster_nsx_vlan_transport_zone_name">'Deploy Cluster'!$C$254</definedName>
    <definedName name="sample_cluster_nsxt_vip_fqdn">'Deploy Cluster'!$C$437</definedName>
    <definedName name="sample_cluster_storage_cluster_name">'Deploy Cluster'!$C$142</definedName>
    <definedName name="sample_cluster_vc_fqdn">'Deploy Cluster'!$C$383</definedName>
    <definedName name="sample_cluster_vds01_lag_name">'Deploy Cluster'!$C$184</definedName>
    <definedName name="sample_cluster_vds01_mtu">'Deploy Cluster'!$C$182</definedName>
    <definedName name="sample_cluster_vds01_name">'Deploy Cluster'!$C$181</definedName>
    <definedName name="sample_cluster_vds01_pnics">'Deploy Cluster'!$C$189</definedName>
    <definedName name="sample_cluster_vds01_uplink_count">'Deploy Cluster'!$C$188</definedName>
    <definedName name="sample_cluster_vds02_lag_name">'Deploy Cluster'!$C$195</definedName>
    <definedName name="sample_cluster_vds02_mtu">'Deploy Cluster'!$C$193</definedName>
    <definedName name="sample_cluster_vds02_name">'Deploy Cluster'!$C$192</definedName>
    <definedName name="sample_cluster_vds02_pnics">'Deploy Cluster'!$C$200</definedName>
    <definedName name="sample_cluster_vds02_uplink_count">'Deploy Cluster'!$C$199</definedName>
    <definedName name="sample_cluster_vds03_lag_name">'Deploy Cluster'!$C$206</definedName>
    <definedName name="sample_cluster_vds03_mtu">'Deploy Cluster'!$C$204</definedName>
    <definedName name="sample_cluster_vds03_name">'Deploy Cluster'!$C$203</definedName>
    <definedName name="sample_cluster_vds03_pnics">'Deploy Cluster'!$C$211</definedName>
    <definedName name="sample_cluster_vds03_uplink_count">'Deploy Cluster'!$C$210</definedName>
    <definedName name="sample_cluster_vmfs_datastore_name">'Deploy Cluster'!$C$147</definedName>
    <definedName name="sample_cluster_vsan_datastore">'Deploy Cluster'!$C$143</definedName>
    <definedName name="sample_cluster_vsan_dit_rekey_custom_interval">'Deploy Cluster'!$C$141</definedName>
    <definedName name="sample_cluster_vsan_dit_rekey_default_interval">'Deploy Cluster'!$C$140</definedName>
    <definedName name="sample_cluster_witness_cluster">'Deploy Cluster'!$C$366</definedName>
    <definedName name="sample_cluster_witness_dns1_ip">'Deploy Cluster'!$C$377</definedName>
    <definedName name="sample_cluster_witness_dns2_ip">'Deploy Cluster'!$C$378</definedName>
    <definedName name="sample_cluster_witness_fqdn">'Deploy Cluster'!$C$385</definedName>
    <definedName name="sample_cluster_witness_hostname">'Deploy Cluster'!$C$365</definedName>
    <definedName name="sample_cluster_witness_ip">'Deploy Cluster'!$C$372</definedName>
    <definedName name="sample_cluster_witness_mgmt_pg">'Deploy Cluster'!$C$369</definedName>
    <definedName name="sample_cluster_witness_ntp1_server">'Deploy Cluster'!$C$379</definedName>
    <definedName name="sample_cluster_witness_ntp2_server">'Deploy Cluster'!$C$380</definedName>
    <definedName name="sample_cluster_witness_vm_folder">'Deploy Cluster'!$C$367</definedName>
    <definedName name="sample_cluster_witness_vsan_datastore">'Deploy Cluster'!$C$368</definedName>
    <definedName name="sample_cluster_witness_zone_vc_fqdn">'Deploy Cluster'!$C$364</definedName>
    <definedName name="sample_cluster_witnessaz_mask">'Deploy Cluster'!$C$373</definedName>
    <definedName name="sample_cluster_witnessaz_mgmt_cidr">'Deploy Cluster'!$C$358</definedName>
    <definedName name="sample_cluster_witnessaz_mgmt_gateway_ip">'Deploy Cluster'!$C$357</definedName>
    <definedName name="sample_cluster_witnessaz_mgmt_mtu">'Deploy Cluster'!$C$359</definedName>
    <definedName name="sample_cluster_witnessaz_mgmt_vlan">'Deploy Cluster'!$C$356</definedName>
    <definedName name="sample_cr_clean_room">'Cyber Recovery'!$C$126</definedName>
    <definedName name="sample_cr_console_cloud">'Cyber Recovery'!$C$110</definedName>
    <definedName name="sample_cr_mgmt_protect_vc_domain">'Cyber Recovery'!$C$34</definedName>
    <definedName name="sample_cr_mgmt_protect_vc_fqdn">'Cyber Recovery'!$C$33</definedName>
    <definedName name="sample_cr_wld_pnr_fqdn">'Cyber Recovery'!$C$17</definedName>
    <definedName name="sample_cr_wld_pnr_ip">'Cyber Recovery'!$C$27</definedName>
    <definedName name="sample_cr_wld_protect_vc_replication_user">'Cyber Recovery'!$C$43</definedName>
    <definedName name="sample_cr_wld_vrms_pg">'Cyber Recovery'!$C$62</definedName>
    <definedName name="sample_domain_controller_hostname">Arkham!$B$15</definedName>
    <definedName name="sample_esxi_root_password">'Deploy Management Domain'!$K$86</definedName>
    <definedName name="sample_flt_auto_node_pool_end_ip">'Deploy Management Domain'!$K$128</definedName>
    <definedName name="sample_flt_auto_node_pool_start_ip">'Deploy Management Domain'!$K$127</definedName>
    <definedName name="sample_flt_auto_sr_fqdn">'Deploy Management Domain'!$K$188</definedName>
    <definedName name="sample_flt_def_administrator_vsphere_local_password">'Deploy Fleet Management Day-N'!$C$18</definedName>
    <definedName name="sample_flt_def_administrator_vsphere_local_username">'Deploy Fleet Management Day-N'!$C$17</definedName>
    <definedName name="sample_flt_def_auto_admin_password">'Deploy Fleet Management Day-N'!$C$49</definedName>
    <definedName name="sample_flt_def_auto_cluster_cidr">'Deploy Fleet Management Day-N'!$C$50</definedName>
    <definedName name="sample_flt_def_auto_node_pool_end_ip">'Deploy Fleet Management Day-N'!$C$30</definedName>
    <definedName name="sample_flt_def_auto_node_pool_start_ip">'Deploy Fleet Management Day-N'!$C$29</definedName>
    <definedName name="sample_flt_def_auto_node_prefix">'Deploy Fleet Management Day-N'!$C$70</definedName>
    <definedName name="sample_flt_def_auto_sr_fqdn">'Deploy Fleet Management Day-N'!$C$48</definedName>
    <definedName name="sample_flt_def_auto_sr_ip">'Deploy Fleet Management Day-N'!$C$59</definedName>
    <definedName name="sample_flt_def_sddc_mgr_fqdn">'Deploy Fleet Management Day-N'!$C$16</definedName>
    <definedName name="sample_flt_def_vcf_operations_admin_password">'Deploy Fleet Management Day-N'!$C$35</definedName>
    <definedName name="sample_flt_def_vcf_operations_az1_vcf_mgmt_gateway_cidr">'Deploy Fleet Management Day-N'!$C$27</definedName>
    <definedName name="sample_flt_def_vcf_operations_az1_vcf_mgmt_pg">'Deploy Fleet Management Day-N'!$C$26</definedName>
    <definedName name="sample_flt_def_vcf_operations_data_root_password">'Deploy Fleet Management Day-N'!$C$38</definedName>
    <definedName name="sample_flt_def_vcf_operations_lc_fqdn">'Deploy Fleet Management Day-N'!$C$45</definedName>
    <definedName name="sample_flt_def_vcf_operations_lc_ip">'Deploy Fleet Management Day-N'!$C$57</definedName>
    <definedName name="sample_flt_def_vcf_operations_nodea_fqdn">'Deploy Fleet Management Day-N'!$C$32</definedName>
    <definedName name="sample_flt_def_vcf_operations_nodea_ip">'Deploy Fleet Management Day-N'!$C$52</definedName>
    <definedName name="sample_flt_def_vcf_operations_nodeb_fqdn">'Deploy Fleet Management Day-N'!$C$33</definedName>
    <definedName name="sample_flt_def_vcf_operations_nodeb_ip">'Deploy Fleet Management Day-N'!$C$53</definedName>
    <definedName name="sample_flt_def_vcf_operations_nodec_fqdn">'Deploy Fleet Management Day-N'!$C$34</definedName>
    <definedName name="sample_flt_def_vcf_operations_nodec_ip">'Deploy Fleet Management Day-N'!$C$54</definedName>
    <definedName name="sample_flt_def_vcf_operations_proxy_az1_vcf_mgmt_gateway_cidr">'Deploy Fleet Management Day-N'!$C$68</definedName>
    <definedName name="sample_flt_def_vcf_operations_proxy_az1_vcf_mgmt_pg">'Deploy Fleet Management Day-N'!$C$67</definedName>
    <definedName name="sample_flt_def_vcf_operations_proxy_fqdn">'Deploy Fleet Management Day-N'!$C$42</definedName>
    <definedName name="sample_flt_def_vcf_operations_proxy_ip">'Deploy Fleet Management Day-N'!$C$56</definedName>
    <definedName name="sample_flt_def_vcf_operations_proxy_root_password">'Deploy Fleet Management Day-N'!$C$43</definedName>
    <definedName name="sample_flt_def_vcf_operations_replica_root_password">'Deploy Fleet Management Day-N'!$C$37</definedName>
    <definedName name="sample_flt_def_vcf_operations_root_password">'Deploy Fleet Management Day-N'!$C$36</definedName>
    <definedName name="sample_flt_def_vcf_operations_virtual_fqdn">'Deploy Fleet Management Day-N'!$C$40</definedName>
    <definedName name="sample_flt_def_vcf_operations_virtual_ip">'Deploy Fleet Management Day-N'!$C$55</definedName>
    <definedName name="sample_flt_def_vra_virtual_fqdn">'Deploy Fleet Management Day-N'!$C$47</definedName>
    <definedName name="sample_flt_def_vra_virtual_ip">'Deploy Fleet Management Day-N'!$C$58</definedName>
    <definedName name="sample_flt_fc_fqdn">'Deploy Management Domain'!$K$177</definedName>
    <definedName name="sample_flt_fc_ip">'Deploy Management Domain'!$K$364</definedName>
    <definedName name="sample_flt_ic_fqdn">'Deploy Management Domain'!$K$178</definedName>
    <definedName name="sample_flt_ic_ip">'Deploy Management Domain'!$K$365</definedName>
    <definedName name="sample_flt_lc_fqdn">'Deploy Management Domain'!$K$175</definedName>
    <definedName name="sample_flt_lc_ip">'Deploy Management Domain'!$K$368</definedName>
    <definedName name="sample_flt_logs_admin_password">'Deploy Fleet Management Day-N'!$C$141</definedName>
    <definedName name="sample_flt_logs_admin_username">'Deploy Fleet Management Day-N'!$C$140</definedName>
    <definedName name="sample_flt_logs_vip_fqdn">'Deploy Fleet Management Day-N'!$C$142</definedName>
    <definedName name="sample_flt_logs_vip_ip">'Deploy Fleet Management Day-N'!$C$147</definedName>
    <definedName name="sample_flt_net_admin_password">'Deploy Fleet Management Day-N'!$C$155</definedName>
    <definedName name="sample_flt_net_nodea_fqdn">'Deploy Fleet Management Day-N'!$C$166</definedName>
    <definedName name="sample_flt_net_nodea_gateway_cidr">'Deploy Fleet Management Day-N'!$C$159</definedName>
    <definedName name="sample_flt_net_nodea_ip">'Deploy Fleet Management Day-N'!$C$158</definedName>
    <definedName name="sample_flt_net_nodea_pg">'Deploy Fleet Management Day-N'!$C$157</definedName>
    <definedName name="sample_flt_net_prxy_fqdn">'Deploy Fleet Management Day-N'!$C$169</definedName>
    <definedName name="sample_flt_net_prxy_gateway_cidr">'Deploy Fleet Management Day-N'!$C$163</definedName>
    <definedName name="sample_flt_net_prxy_ip">'Deploy Fleet Management Day-N'!$C$162</definedName>
    <definedName name="sample_flt_net_prxy_pg">'Deploy Fleet Management Day-N'!$C$161</definedName>
    <definedName name="sample_flt_sr_fqdn">'Deploy Management Domain'!$K$180</definedName>
    <definedName name="sample_flt_sr_ip">'Deploy Management Domain'!$K$367</definedName>
    <definedName name="sample_flt_vcfms_node_pool_end_ip">'Deploy Management Domain'!$K$123</definedName>
    <definedName name="sample_flt_vcfms_node_pool_start_ip">'Deploy Management Domain'!$K$122</definedName>
    <definedName name="sample_flt_vidb_base_dn">'Deploy Fleet Management Day-N'!$C$115</definedName>
    <definedName name="sample_flt_vidb_bind_password">'Deploy Fleet Management Day-N'!$C$117</definedName>
    <definedName name="sample_flt_vidb_bind_username">'Deploy Fleet Management Day-N'!$C$116</definedName>
    <definedName name="sample_flt_vidb_directory_name">'Deploy Fleet Management Day-N'!$C$105</definedName>
    <definedName name="sample_flt_vidb_distinguished_name">'Deploy Fleet Management Day-N'!$C$123</definedName>
    <definedName name="sample_flt_vidb_employeeID">'Deploy Fleet Management Day-N'!$C$124</definedName>
    <definedName name="sample_flt_vidb_first_name">'Deploy Fleet Management Day-N'!$C$121</definedName>
    <definedName name="sample_flt_vidb_group_base_dn">'Deploy Fleet Management Day-N'!$C$128</definedName>
    <definedName name="sample_flt_vidb_last_name">'Deploy Fleet Management Day-N'!$C$122</definedName>
    <definedName name="sample_flt_vidb_mail">'Deploy Fleet Management Day-N'!$C$125</definedName>
    <definedName name="sample_flt_vidb_primary_domain_controller">'Deploy Fleet Management Day-N'!$C$110</definedName>
    <definedName name="sample_flt_vidb_primary_domain_controller_port">'Deploy Fleet Management Day-N'!$C$111</definedName>
    <definedName name="sample_flt_vidb_secondary_domain_controller">'Deploy Fleet Management Day-N'!$C$112</definedName>
    <definedName name="sample_flt_vidb_secondary_domain_controller_port">'Deploy Fleet Management Day-N'!$C$113</definedName>
    <definedName name="sample_flt_vidb_user_base_dn">'Deploy Fleet Management Day-N'!$C$130</definedName>
    <definedName name="sample_flt_vidb_user_name">'Deploy Fleet Management Day-N'!$C$120</definedName>
    <definedName name="sample_flt_vidb_user_principal_name">'Deploy Fleet Management Day-N'!$C$126</definedName>
    <definedName name="sample_flt_vidb_vip_fqdn">'Deploy Management Domain'!$K$179</definedName>
    <definedName name="sample_flt_vidb_vip_ip">'Deploy Management Domain'!$K$366</definedName>
    <definedName name="sample_mgmt_auth_encrypted_cert">'Deploy Fleet Management Day-N'!$C$109</definedName>
    <definedName name="sample_mgmt_avilb_cluster_name">'Configure Management Domain'!$C$291</definedName>
    <definedName name="sample_mgmt_avilb_cluster_version">'Configure Management Domain'!$C$279</definedName>
    <definedName name="sample_mgmt_avilb_fqdn">'Configure Management Domain'!$C$290</definedName>
    <definedName name="sample_mgmt_avilb_ip">'Configure Management Domain'!$C$289</definedName>
    <definedName name="sample_mgmt_avilb_mgra_ip">'Configure Management Domain'!$C$286</definedName>
    <definedName name="sample_mgmt_avilb_mgrb_ip">'Configure Management Domain'!$C$287</definedName>
    <definedName name="sample_mgmt_avilb_mgrc_ip">'Configure Management Domain'!$C$288</definedName>
    <definedName name="sample_mgmt_avilb_root_password">'Configure Management Domain'!$C$283</definedName>
    <definedName name="sample_mgmt_avilb_vcfops_password">'Configure Management Domain'!$C$284</definedName>
    <definedName name="sample_mgmt_az1_dtgw_gateway_cidr">'Configure Management Domain'!$C$192</definedName>
    <definedName name="sample_mgmt_az1_dtgw_vlan">'Configure Management Domain'!$C$191</definedName>
    <definedName name="sample_mgmt_az1_edge_overlay_cidr">'Configure Management Domain'!$C$124</definedName>
    <definedName name="sample_mgmt_az1_edge_overlay_gateway_ip">'Configure Management Domain'!$C$125</definedName>
    <definedName name="sample_mgmt_az1_edge_overlay_mask">'Configure Management Domain'!$C$126</definedName>
    <definedName name="sample_mgmt_az1_edge_overlay_mtu">'Configure Management Domain'!$C$238</definedName>
    <definedName name="sample_mgmt_az1_edge_overlay_network_pool_name">'Configure Management Domain'!$C$119</definedName>
    <definedName name="sample_mgmt_az1_edge_overlay_pool_end_ip">'Configure Management Domain'!$C$121</definedName>
    <definedName name="sample_mgmt_az1_edge_overlay_pool_start_ip">'Configure Management Domain'!$C$120</definedName>
    <definedName name="sample_mgmt_az1_edge_overlay_vlan">'Configure Management Domain'!$C$116</definedName>
    <definedName name="sample_mgmt_az1_en1_edge_overlay_interface_ip_1_ip">'Configure Management Domain'!$C$122</definedName>
    <definedName name="sample_mgmt_az1_en1_edge_overlay_interface_ip_2_ip">'Configure Management Domain'!$C$123</definedName>
    <definedName name="sample_mgmt_az1_en1_eth0_uplink0">'Configure Management Domain'!$C$112</definedName>
    <definedName name="sample_mgmt_az1_en1_eth0_uplink1">'Configure Management Domain'!$C$113</definedName>
    <definedName name="sample_mgmt_az1_en1_eth1_uplink0">'Configure Management Domain'!$C$114</definedName>
    <definedName name="sample_mgmt_az1_en1_eth1_uplink1">'Configure Management Domain'!$C$115</definedName>
    <definedName name="sample_mgmt_az1_en1_fqdn">'Configure Management Domain'!$C$99</definedName>
    <definedName name="sample_mgmt_az1_en1_hostname">'Configure Management Domain'!$C$612</definedName>
    <definedName name="sample_mgmt_az1_en1_mgmt_cidr">'Configure Management Domain'!$C$107</definedName>
    <definedName name="sample_mgmt_az1_en1_uplink01_interface_cidr">'Configure Management Domain'!$C$162</definedName>
    <definedName name="sample_mgmt_az1_en1_uplink02_interface_cidr">'Configure Management Domain'!$C$169</definedName>
    <definedName name="sample_mgmt_az1_en2_edge_overlay_interface_ip_1_ip">'Configure Management Domain'!$C$147</definedName>
    <definedName name="sample_mgmt_az1_en2_edge_overlay_interface_ip_2_ip">'Configure Management Domain'!$C$148</definedName>
    <definedName name="sample_mgmt_az1_en2_eth0_uplink0">'Configure Management Domain'!$C$140</definedName>
    <definedName name="sample_mgmt_az1_en2_eth0_uplink1">'Configure Management Domain'!$C$141</definedName>
    <definedName name="sample_mgmt_az1_en2_eth1_uplink0">'Configure Management Domain'!$C$142</definedName>
    <definedName name="sample_mgmt_az1_en2_eth1_uplink1">'Configure Management Domain'!$C$143</definedName>
    <definedName name="sample_mgmt_az1_en2_fqdn">'Configure Management Domain'!$C$128</definedName>
    <definedName name="sample_mgmt_az1_en2_hostname">'Configure Management Domain'!$C$618</definedName>
    <definedName name="sample_mgmt_az1_en2_mgmt_cidr">'Configure Management Domain'!$C$135</definedName>
    <definedName name="sample_mgmt_az1_en2_uplink01_interface_cidr">'Configure Management Domain'!$C$177</definedName>
    <definedName name="sample_mgmt_az1_en2_uplink02_interface_cidr">'Configure Management Domain'!$C$184</definedName>
    <definedName name="sample_mgmt_az1_host_overlay_gateway_cidr">'Deploy Management Domain'!$K$153</definedName>
    <definedName name="sample_mgmt_az1_host_overlay_mtu">'Deploy Management Domain'!$K$359</definedName>
    <definedName name="sample_mgmt_az1_host_overlay_network_pool_description">Arkham!$X$7</definedName>
    <definedName name="sample_mgmt_az1_host_overlay_network_pool_name">Arkham!$X$6</definedName>
    <definedName name="sample_mgmt_az1_host_overlay_pool_end_ip">'Deploy Management Domain'!$K$156</definedName>
    <definedName name="sample_mgmt_az1_host_overlay_pool_start_ip">'Deploy Management Domain'!$K$155</definedName>
    <definedName name="sample_mgmt_az1_host_overlay_vlan">'Deploy Management Domain'!$K$152</definedName>
    <definedName name="sample_mgmt_az1_host1_fqdn">'Deploy Management Domain'!$K$87</definedName>
    <definedName name="sample_mgmt_az1_host1_mgmt_ip">'Deploy Management Domain'!$K$393</definedName>
    <definedName name="sample_mgmt_az1_host1_vrms_ip">'Site Protection &amp; DR'!$C$176</definedName>
    <definedName name="sample_mgmt_az1_host10_fqdn">'Deploy Management Domain'!$K$96</definedName>
    <definedName name="sample_mgmt_az1_host10_mgmt_ip">'Deploy Management Domain'!$K$402</definedName>
    <definedName name="sample_mgmt_az1_host10_vrms_ip">'Site Protection &amp; DR'!$C$185</definedName>
    <definedName name="sample_mgmt_az1_host11_fqdn">'Deploy Management Domain'!$K$97</definedName>
    <definedName name="sample_mgmt_az1_host11_mgmt_ip">'Deploy Management Domain'!$K$403</definedName>
    <definedName name="sample_mgmt_az1_host11_vrms_ip">'Site Protection &amp; DR'!$C$186</definedName>
    <definedName name="sample_mgmt_az1_host12_fqdn">'Deploy Management Domain'!$K$98</definedName>
    <definedName name="sample_mgmt_az1_host12_mgmt_ip">'Deploy Management Domain'!$K$404</definedName>
    <definedName name="sample_mgmt_az1_host12_vrms_ip">'Site Protection &amp; DR'!$C$187</definedName>
    <definedName name="sample_mgmt_az1_host13_fqdn">'Deploy Management Domain'!$K$99</definedName>
    <definedName name="sample_mgmt_az1_host13_mgmt_ip">'Deploy Management Domain'!$K$405</definedName>
    <definedName name="sample_mgmt_az1_host13_vrms_ip">'Site Protection &amp; DR'!$C$188</definedName>
    <definedName name="sample_mgmt_az1_host14_fqdn">'Deploy Management Domain'!$K$100</definedName>
    <definedName name="sample_mgmt_az1_host14_mgmt_ip">'Deploy Management Domain'!$K$406</definedName>
    <definedName name="sample_mgmt_az1_host14_vrms_ip">'Site Protection &amp; DR'!$C$189</definedName>
    <definedName name="sample_mgmt_az1_host15_fqdn">'Deploy Management Domain'!$K$101</definedName>
    <definedName name="sample_mgmt_az1_host15_mgmt_ip">'Deploy Management Domain'!$K$407</definedName>
    <definedName name="sample_mgmt_az1_host15_vrms_ip">'Site Protection &amp; DR'!$C$190</definedName>
    <definedName name="sample_mgmt_az1_host16_fqdn">'Deploy Management Domain'!$K$102</definedName>
    <definedName name="sample_mgmt_az1_host16_mgmt_ip">'Deploy Management Domain'!$K$408</definedName>
    <definedName name="sample_mgmt_az1_host16_vrms_ip">'Site Protection &amp; DR'!$C$191</definedName>
    <definedName name="sample_mgmt_az1_host2_fqdn">'Deploy Management Domain'!$K$88</definedName>
    <definedName name="sample_mgmt_az1_host2_mgmt_ip">'Deploy Management Domain'!$K$394</definedName>
    <definedName name="sample_mgmt_az1_host2_vrms_ip">'Site Protection &amp; DR'!$C$177</definedName>
    <definedName name="sample_mgmt_az1_host3_fqdn">'Deploy Management Domain'!$K$89</definedName>
    <definedName name="sample_mgmt_az1_host3_mgmt_ip">'Deploy Management Domain'!$K$395</definedName>
    <definedName name="sample_mgmt_az1_host3_vrms_ip">'Site Protection &amp; DR'!$C$178</definedName>
    <definedName name="sample_mgmt_az1_host4_fqdn">'Deploy Management Domain'!$K$90</definedName>
    <definedName name="sample_mgmt_az1_host4_mgmt_ip">'Deploy Management Domain'!$K$396</definedName>
    <definedName name="sample_mgmt_az1_host4_vrms_ip">'Site Protection &amp; DR'!$C$179</definedName>
    <definedName name="sample_mgmt_az1_host5_fqdn">'Deploy Management Domain'!$K$91</definedName>
    <definedName name="sample_mgmt_az1_host5_mgmt_ip">'Deploy Management Domain'!$K$397</definedName>
    <definedName name="sample_mgmt_az1_host5_vrms_ip">'Site Protection &amp; DR'!$C$180</definedName>
    <definedName name="sample_mgmt_az1_host6_fqdn">'Deploy Management Domain'!$K$92</definedName>
    <definedName name="sample_mgmt_az1_host6_mgmt_ip">'Deploy Management Domain'!$K$398</definedName>
    <definedName name="sample_mgmt_az1_host6_vrms_ip">'Site Protection &amp; DR'!$C$181</definedName>
    <definedName name="sample_mgmt_az1_host7_fqdn">'Deploy Management Domain'!$K$93</definedName>
    <definedName name="sample_mgmt_az1_host7_mgmt_ip">'Deploy Management Domain'!$K$399</definedName>
    <definedName name="sample_mgmt_az1_host7_vrms_ip">'Site Protection &amp; DR'!$C$182</definedName>
    <definedName name="sample_mgmt_az1_host8_fqdn">'Deploy Management Domain'!$K$94</definedName>
    <definedName name="sample_mgmt_az1_host8_mgmt_ip">'Deploy Management Domain'!$K$400</definedName>
    <definedName name="sample_mgmt_az1_host8_vrms_ip">'Site Protection &amp; DR'!$C$183</definedName>
    <definedName name="sample_mgmt_az1_host9_fqdn">'Deploy Management Domain'!$K$95</definedName>
    <definedName name="sample_mgmt_az1_host9_mgmt_ip">'Deploy Management Domain'!$K$401</definedName>
    <definedName name="sample_mgmt_az1_host9_vrms_ip">'Site Protection &amp; DR'!$C$184</definedName>
    <definedName name="sample_mgmt_az1_mgmt_gateway_cidr">'Deploy Management Domain'!$K$109</definedName>
    <definedName name="sample_mgmt_az1_mgmt_mtu">'Deploy Management Domain'!$K$108</definedName>
    <definedName name="sample_mgmt_az1_mgmt_vlan">'Deploy Management Domain'!$K$107</definedName>
    <definedName name="sample_mgmt_az1_mgmt_vm_gateway_cidr">'Deploy Management Domain'!$K$114</definedName>
    <definedName name="sample_mgmt_az1_mgmt_vm_mtu">'Deploy Management Domain'!$K$113</definedName>
    <definedName name="sample_mgmt_az1_mgmt_vm_prefix">'On-Premises Ransomware Recovery'!$C$24</definedName>
    <definedName name="sample_mgmt_az1_mgmt_vm_vlan">'Deploy Management Domain'!$K$112</definedName>
    <definedName name="sample_mgmt_az1_rtep_ip_pool_name">'Configure Management Domain'!$C$564</definedName>
    <definedName name="sample_mgmt_az1_rtep_overlay_cidr">'Configure Management Domain'!$C$567</definedName>
    <definedName name="sample_mgmt_az1_rtep_overlay_gateway_ip">'Configure Management Domain'!$C$568</definedName>
    <definedName name="sample_mgmt_az1_rtep_overlay_vlan">'Configure Management Domain'!$C$591</definedName>
    <definedName name="sample_mgmt_az1_secondary_storage_gateway_cidr">'Deploy Management Domain'!$K$148</definedName>
    <definedName name="sample_mgmt_az1_secondary_storage_mtu">'Deploy Management Domain'!$K$147</definedName>
    <definedName name="sample_mgmt_az1_secondary_storage_pool_end_ip">'Deploy Management Domain'!$K$150</definedName>
    <definedName name="sample_mgmt_az1_secondary_storage_pool_start_ip">'Deploy Management Domain'!$K$149</definedName>
    <definedName name="sample_mgmt_az1_secondary_storage_vlan">'Deploy Management Domain'!$K$146</definedName>
    <definedName name="sample_mgmt_az1_tor1_peer_asn">'Configure Management Domain'!$C$166</definedName>
    <definedName name="sample_mgmt_az1_tor1_peer_bgp_password">'Configure Management Domain'!$C$167</definedName>
    <definedName name="sample_mgmt_az1_tor1_peer_ip">'Configure Management Domain'!$C$163</definedName>
    <definedName name="sample_mgmt_az1_tor2_peer_asn">'Configure Management Domain'!$C$173</definedName>
    <definedName name="sample_mgmt_az1_tor2_peer_bgp_password">'Configure Management Domain'!$C$174</definedName>
    <definedName name="sample_mgmt_az1_tor2_peer_ip">'Configure Management Domain'!$C$170</definedName>
    <definedName name="sample_mgmt_az1_uplink01_cidr">'Configure Management Domain'!$C$232</definedName>
    <definedName name="sample_mgmt_az1_uplink01_gateway_ip">'Configure Management Domain'!$C$231</definedName>
    <definedName name="sample_mgmt_az1_uplink01_mtu">'Configure Management Domain'!$C$164</definedName>
    <definedName name="sample_mgmt_az1_uplink01_vlan">'Configure Management Domain'!$C$161</definedName>
    <definedName name="sample_mgmt_az1_uplink02_cidr">'Configure Management Domain'!$C$236</definedName>
    <definedName name="sample_mgmt_az1_uplink02_gateway_ip">'Configure Management Domain'!$C$235</definedName>
    <definedName name="sample_mgmt_az1_uplink02_mtu">'Configure Management Domain'!$C$171</definedName>
    <definedName name="sample_mgmt_az1_uplink02_vlan">'Configure Management Domain'!$C$168</definedName>
    <definedName name="sample_mgmt_az1_vcf_mgmt_gateway_cidr">'Deploy Management Domain'!$K$119</definedName>
    <definedName name="sample_mgmt_az1_vcf_mgmt_gateway_ipv6_cidr">'Deploy Management Domain'!$K$120</definedName>
    <definedName name="sample_mgmt_az1_vcf_mgmt_mtu">'Deploy Management Domain'!$K$118</definedName>
    <definedName name="sample_mgmt_az1_vcf_mgmt_vlan">'Deploy Management Domain'!$K$117</definedName>
    <definedName name="sample_mgmt_az1_vmotion_gateway_cidr">'Deploy Management Domain'!$K$132</definedName>
    <definedName name="sample_mgmt_az1_vmotion_mtu">'Deploy Management Domain'!$K$131</definedName>
    <definedName name="sample_mgmt_az1_vmotion_pool_end_ip">'Deploy Management Domain'!$K$134</definedName>
    <definedName name="sample_mgmt_az1_vmotion_pool_start_ip">'Deploy Management Domain'!$K$133</definedName>
    <definedName name="sample_mgmt_az1_vmotion_vlan">'Deploy Management Domain'!$K$130</definedName>
    <definedName name="sample_mgmt_az1_vrms_cidr">'Site Protection &amp; DR'!$C$171</definedName>
    <definedName name="sample_mgmt_az1_vrms_gateway_ip">'Site Protection &amp; DR'!$C$173</definedName>
    <definedName name="sample_mgmt_az1_vrms_mask">'Site Protection &amp; DR'!$C$172</definedName>
    <definedName name="sample_mgmt_az1_vrms_mtu">'Site Protection &amp; DR'!$C$174</definedName>
    <definedName name="sample_mgmt_az1_vrms_vlan">'Site Protection &amp; DR'!$C$163</definedName>
    <definedName name="sample_mgmt_az1_vsan_gateway_cidr">'Deploy Management Domain'!$K$140</definedName>
    <definedName name="sample_mgmt_az1_vsan_mtu">'Deploy Management Domain'!$K$139</definedName>
    <definedName name="sample_mgmt_az1_vsan_pool_end_ip">'Deploy Management Domain'!$K$142</definedName>
    <definedName name="sample_mgmt_az1_vsan_pool_start_ip">'Deploy Management Domain'!$K$141</definedName>
    <definedName name="sample_mgmt_az1_vsan_vlan">'Deploy Management Domain'!$K$138</definedName>
    <definedName name="sample_mgmt_az2_host_hostnames">'Configure Management Domain'!$C$352:$C$367</definedName>
    <definedName name="sample_mgmt_az2_host_overlay_cidr">'Configure Management Domain'!$C$440</definedName>
    <definedName name="sample_mgmt_az2_host_overlay_gateway_ip">'Configure Management Domain'!$C$439</definedName>
    <definedName name="sample_mgmt_az2_host_overlay_mtu">'Configure Management Domain'!$C$441</definedName>
    <definedName name="sample_mgmt_az2_host_overlay_network_pool_name">'Configure Management Domain'!$C$436</definedName>
    <definedName name="sample_mgmt_az2_host_overlay_network_profile_name">'Configure Management Domain'!$C$434</definedName>
    <definedName name="sample_mgmt_az2_host_overlay_pool_end_ip">'Configure Management Domain'!$C$443</definedName>
    <definedName name="sample_mgmt_az2_host_overlay_pool_start_ip">'Configure Management Domain'!$C$442</definedName>
    <definedName name="sample_mgmt_az2_host_overlay_uplink_profile_name">'Configure Management Domain'!$C$437</definedName>
    <definedName name="sample_mgmt_az2_host_overlay_vlan">'Configure Management Domain'!$C$438</definedName>
    <definedName name="sample_mgmt_az2_host1_fqdn">'Configure Management Domain'!$C$352</definedName>
    <definedName name="sample_mgmt_az2_host1_mgmt_ip">'Configure Management Domain'!$C$303</definedName>
    <definedName name="sample_mgmt_az2_host1_sddc_id">'Configure Management Domain'!$C$418</definedName>
    <definedName name="sample_mgmt_az2_host1_vrms_ip">'Site Protection &amp; DR'!$C$193</definedName>
    <definedName name="sample_mgmt_az2_host10_fqdn">'Configure Management Domain'!$C$361</definedName>
    <definedName name="sample_mgmt_az2_host10_mgmt_ip">'Configure Management Domain'!$C$312</definedName>
    <definedName name="sample_mgmt_az2_host10_vrms_ip">'Site Protection &amp; DR'!$C$202</definedName>
    <definedName name="sample_mgmt_az2_host11_fqdn">'Configure Management Domain'!$C$362</definedName>
    <definedName name="sample_mgmt_az2_host11_mgmt_ip">'Configure Management Domain'!$C$313</definedName>
    <definedName name="sample_mgmt_az2_host11_vrms_ip">'Site Protection &amp; DR'!$C$203</definedName>
    <definedName name="sample_mgmt_az2_host12_fqdn">'Configure Management Domain'!$C$363</definedName>
    <definedName name="sample_mgmt_az2_host12_mgmt_ip">'Configure Management Domain'!$C$314</definedName>
    <definedName name="sample_mgmt_az2_host12_vrms_ip">'Site Protection &amp; DR'!$C$204</definedName>
    <definedName name="sample_mgmt_az2_host13_fqdn">'Configure Management Domain'!$C$364</definedName>
    <definedName name="sample_mgmt_az2_host13_mgmt_ip">'Configure Management Domain'!$C$315</definedName>
    <definedName name="sample_mgmt_az2_host13_vrms_ip">'Site Protection &amp; DR'!$C$205</definedName>
    <definedName name="sample_mgmt_az2_host14_fqdn">'Configure Management Domain'!$C$365</definedName>
    <definedName name="sample_mgmt_az2_host14_mgmt_ip">'Configure Management Domain'!$C$316</definedName>
    <definedName name="sample_mgmt_az2_host14_vrms_ip">'Site Protection &amp; DR'!$C$206</definedName>
    <definedName name="sample_mgmt_az2_host15_fqdn">'Configure Management Domain'!$C$366</definedName>
    <definedName name="sample_mgmt_az2_host15_mgmt_ip">'Configure Management Domain'!$C$317</definedName>
    <definedName name="sample_mgmt_az2_host15_vrms_ip">'Site Protection &amp; DR'!$C$207</definedName>
    <definedName name="sample_mgmt_az2_host16_fqdn">'Configure Management Domain'!$C$367</definedName>
    <definedName name="sample_mgmt_az2_host16_mgmt_ip">'Configure Management Domain'!$C$318</definedName>
    <definedName name="sample_mgmt_az2_host16_vrms_ip">'Site Protection &amp; DR'!$C$208</definedName>
    <definedName name="sample_mgmt_az2_host2_fqdn">'Configure Management Domain'!$C$353</definedName>
    <definedName name="sample_mgmt_az2_host2_mgmt_ip">'Configure Management Domain'!$C$304</definedName>
    <definedName name="sample_mgmt_az2_host2_sddc_id">'Configure Management Domain'!$C$419</definedName>
    <definedName name="sample_mgmt_az2_host2_vrms_ip">'Site Protection &amp; DR'!$C$194</definedName>
    <definedName name="sample_mgmt_az2_host3_fqdn">'Configure Management Domain'!$C$354</definedName>
    <definedName name="sample_mgmt_az2_host3_mgmt_ip">'Configure Management Domain'!$C$305</definedName>
    <definedName name="sample_mgmt_az2_host3_sddc_id">'Configure Management Domain'!$C$420</definedName>
    <definedName name="sample_mgmt_az2_host3_vrms_ip">'Site Protection &amp; DR'!$C$195</definedName>
    <definedName name="sample_mgmt_az2_host4_fqdn">'Configure Management Domain'!$C$355</definedName>
    <definedName name="sample_mgmt_az2_host4_mgmt_ip">'Configure Management Domain'!$C$306</definedName>
    <definedName name="sample_mgmt_az2_host4_sddc_id">'Configure Management Domain'!$C$421</definedName>
    <definedName name="sample_mgmt_az2_host4_vrms_ip">'Site Protection &amp; DR'!$C$196</definedName>
    <definedName name="sample_mgmt_az2_host5_fqdn">'Configure Management Domain'!$C$356</definedName>
    <definedName name="sample_mgmt_az2_host5_mgmt_ip">'Configure Management Domain'!$C$307</definedName>
    <definedName name="sample_mgmt_az2_host5_vrms_ip">'Site Protection &amp; DR'!$C$197</definedName>
    <definedName name="sample_mgmt_az2_host6_fqdn">'Configure Management Domain'!$C$357</definedName>
    <definedName name="sample_mgmt_az2_host6_mgmt_ip">'Configure Management Domain'!$C$308</definedName>
    <definedName name="sample_mgmt_az2_host6_vrms_ip">'Site Protection &amp; DR'!$C$198</definedName>
    <definedName name="sample_mgmt_az2_host7_fqdn">'Configure Management Domain'!$C$358</definedName>
    <definedName name="sample_mgmt_az2_host7_mgmt_ip">'Configure Management Domain'!$C$309</definedName>
    <definedName name="sample_mgmt_az2_host7_vrms_ip">'Site Protection &amp; DR'!$C$199</definedName>
    <definedName name="sample_mgmt_az2_host8_fqdn">'Configure Management Domain'!$C$359</definedName>
    <definedName name="sample_mgmt_az2_host8_mgmt_ip">'Configure Management Domain'!$C$310</definedName>
    <definedName name="sample_mgmt_az2_host8_vrms_ip">'Site Protection &amp; DR'!$C$200</definedName>
    <definedName name="sample_mgmt_az2_host9_fqdn">'Configure Management Domain'!$C$360</definedName>
    <definedName name="sample_mgmt_az2_host9_mgmt_ip">'Configure Management Domain'!$C$311</definedName>
    <definedName name="sample_mgmt_az2_host9_vrms_ip">'Site Protection &amp; DR'!$C$201</definedName>
    <definedName name="sample_mgmt_az2_mgmt_cidr">'Configure Management Domain'!$C$300</definedName>
    <definedName name="sample_mgmt_az2_mgmt_gateway_ip">'Configure Management Domain'!$C$299</definedName>
    <definedName name="sample_mgmt_az2_mgmt_mtu">'Configure Management Domain'!$C$301</definedName>
    <definedName name="sample_mgmt_az2_mgmt_vlan">'Configure Management Domain'!$C$298</definedName>
    <definedName name="sample_mgmt_az2_pool_name">'Configure Management Domain'!$C$323</definedName>
    <definedName name="sample_mgmt_az2_secondary_storage_cidr">'Management Domain As Built'!$C$110</definedName>
    <definedName name="sample_mgmt_az2_secondary_storage_gateway_ip">'Configure Management Domain'!$C$345</definedName>
    <definedName name="sample_mgmt_az2_secondary_storage_mask">'Configure Management Domain'!$C$344</definedName>
    <definedName name="sample_mgmt_az2_secondary_storage_mtu">'Configure Management Domain'!$C$342</definedName>
    <definedName name="sample_mgmt_az2_secondary_storage_network">'Configure Management Domain'!$C$343</definedName>
    <definedName name="sample_mgmt_az2_secondary_storage_pool_end_ip">'Configure Management Domain'!$C$347</definedName>
    <definedName name="sample_mgmt_az2_secondary_storage_pool_start_ip">'Configure Management Domain'!$C$346</definedName>
    <definedName name="sample_mgmt_az2_secondary_storage_vlan">'Configure Management Domain'!$C$341</definedName>
    <definedName name="sample_mgmt_az2_tor1_peer_asn">'Configure Management Domain'!$C$458</definedName>
    <definedName name="sample_mgmt_az2_tor1_peer_bgp_password">'Configure Management Domain'!$C$461</definedName>
    <definedName name="sample_mgmt_az2_tor1_peer_ip">'Configure Management Domain'!$C$457</definedName>
    <definedName name="sample_mgmt_az2_tor2_peer_asn">'Configure Management Domain'!$C$465</definedName>
    <definedName name="sample_mgmt_az2_tor2_peer_bgp_password">'Configure Management Domain'!$C$466</definedName>
    <definedName name="sample_mgmt_az2_tor2_peer_ip">'Configure Management Domain'!$C$462</definedName>
    <definedName name="sample_mgmt_az2_vmotion_gateway_cidr">'Configure Management Domain'!$C$329</definedName>
    <definedName name="sample_mgmt_az2_vmotion_ip">'Management Domain As Built'!$C$95</definedName>
    <definedName name="sample_mgmt_az2_vmotion_mask">'Configure Management Domain'!$C$328</definedName>
    <definedName name="sample_mgmt_az2_vmotion_mtu">'Configure Management Domain'!$C$326</definedName>
    <definedName name="sample_mgmt_az2_vmotion_network">'Configure Management Domain'!$C$327</definedName>
    <definedName name="sample_mgmt_az2_vmotion_pool_end_ip">'Configure Management Domain'!$C$331</definedName>
    <definedName name="sample_mgmt_az2_vmotion_pool_start_ip">'Configure Management Domain'!$C$330</definedName>
    <definedName name="sample_mgmt_az2_vmotion_vlan">'Configure Management Domain'!$C$325</definedName>
    <definedName name="sample_mgmt_az2_vsan_cidr">'Management Domain As Built'!$C$103</definedName>
    <definedName name="sample_mgmt_az2_vsan_gateway_ip">'Configure Management Domain'!$C$337</definedName>
    <definedName name="sample_mgmt_az2_vsan_mask">'Configure Management Domain'!$C$336</definedName>
    <definedName name="sample_mgmt_az2_vsan_mtu">'Configure Management Domain'!$C$334</definedName>
    <definedName name="sample_mgmt_az2_vsan_network">'Configure Management Domain'!$C$335</definedName>
    <definedName name="sample_mgmt_az2_vsan_pool_end_ip">'Configure Management Domain'!$C$339</definedName>
    <definedName name="sample_mgmt_az2_vsan_pool_start_ip">'Configure Management Domain'!$C$338</definedName>
    <definedName name="sample_mgmt_az2_vsan_vlan">'Configure Management Domain'!$C$333</definedName>
    <definedName name="sample_mgmt_cl01_az1_mgmt_pg">'Deploy Management Domain'!$K$256</definedName>
    <definedName name="sample_mgmt_cl01_az1_mgmt_vm_pg">'Deploy Management Domain'!$K$261</definedName>
    <definedName name="sample_mgmt_cl01_az1_nfs_pg">'Deploy Management Domain'!$K$281</definedName>
    <definedName name="sample_mgmt_cl01_az1_uplink01_pg">'Configure Management Domain'!$C$230</definedName>
    <definedName name="sample_mgmt_cl01_az1_uplink02_pg">'Configure Management Domain'!$C$234</definedName>
    <definedName name="sample_mgmt_cl01_az1_vcf_mgmt_pg">'Deploy Management Domain'!$K$266</definedName>
    <definedName name="sample_mgmt_cl01_az1_vmotion_pg">'Deploy Management Domain'!$K$271</definedName>
    <definedName name="sample_mgmt_cl01_az1_vsan_pg">'Deploy Management Domain'!$K$276</definedName>
    <definedName name="sample_mgmt_cl01_cluster">'Deploy Management Domain'!$K$198</definedName>
    <definedName name="sample_mgmt_cl01_cluster_sddc_id">'Configure Management Domain'!$C$447</definedName>
    <definedName name="sample_mgmt_cl01_nfs_server_ip">'Deploy Management Domain'!$K$212</definedName>
    <definedName name="sample_mgmt_cl01_nfs_share">'Deploy Management Domain'!$K$211</definedName>
    <definedName name="sample_mgmt_cl01_vds01_lag_name">'Deploy Management Domain'!$K$226</definedName>
    <definedName name="sample_mgmt_cl01_vds01_mtu">'Deploy Management Domain'!$K$224</definedName>
    <definedName name="sample_mgmt_cl01_vds01_name">'Deploy Management Domain'!$K$223</definedName>
    <definedName name="sample_mgmt_cl01_vds01_uplink_count">'Deploy Management Domain'!$K$230</definedName>
    <definedName name="sample_mgmt_cl01_vds01_uplink1">'Deploy Management Domain'!$K$231</definedName>
    <definedName name="sample_mgmt_cl01_vds01_uplink2">'Deploy Management Domain'!$K$232</definedName>
    <definedName name="sample_mgmt_cl01_vds02_lag_name">'Deploy Management Domain'!$K$237</definedName>
    <definedName name="sample_mgmt_cl01_vds02_mtu">'Deploy Management Domain'!$K$235</definedName>
    <definedName name="sample_mgmt_cl01_vds02_name">'Deploy Management Domain'!$K$234</definedName>
    <definedName name="sample_mgmt_cl01_vds02_uplink_count">'Deploy Management Domain'!$K$241</definedName>
    <definedName name="sample_mgmt_cl01_vds02_uplink1">'Deploy Management Domain'!$K$242</definedName>
    <definedName name="sample_mgmt_cl01_vds02_uplink2">'Deploy Management Domain'!$K$243</definedName>
    <definedName name="sample_mgmt_cl01_vds03_lag_name">'Deploy Management Domain'!$K$248</definedName>
    <definedName name="sample_mgmt_cl01_vds03_mtu">'Deploy Management Domain'!$K$246</definedName>
    <definedName name="sample_mgmt_cl01_vds03_name">'Deploy Management Domain'!$K$245</definedName>
    <definedName name="sample_mgmt_cl01_vds03_uplink_count">'Deploy Management Domain'!$K$252</definedName>
    <definedName name="sample_mgmt_cl01_vds03_uplink1">'Deploy Management Domain'!$K$253</definedName>
    <definedName name="sample_mgmt_cl01_vds03_uplink2">'Deploy Management Domain'!$K$254</definedName>
    <definedName name="sample_mgmt_cl01_vsan_datastore">'Deploy Management Domain'!$K$207</definedName>
    <definedName name="sample_mgmt_cross_instance_linked_t0_name">'Configure Management Domain'!$C$596</definedName>
    <definedName name="sample_mgmt_datacenter">'Deploy Management Domain'!$K$197</definedName>
    <definedName name="sample_mgmt_depot_activation_code">'Deploy Management Domain'!$K$13</definedName>
    <definedName name="sample_mgmt_ec_mtu">'Configure Management Domain'!$C$96</definedName>
    <definedName name="sample_mgmt_ec_name">'Configure Management Domain'!$C$95</definedName>
    <definedName name="sample_mgmt_ec_rp_name">'Configure Management Domain'!$C$101</definedName>
    <definedName name="sample_mgmt_ec01_en01_host_group_affinity_rule_name">'Configure Management Domain'!$C$103</definedName>
    <definedName name="sample_mgmt_ec01_en02_host_group_affinity_rule_name">'Configure Management Domain'!$C$132</definedName>
    <definedName name="sample_mgmt_en_asn">'Configure Management Domain'!$C$159</definedName>
    <definedName name="sample_mgmt_existing_active_nsx_gm">'Configure Management Domain'!$C$604</definedName>
    <definedName name="sample_mgmt_existing_cross_instance_t0_name">'Configure Management Domain'!$C$605</definedName>
    <definedName name="sample_mgmt_host_overlay_transportzone">Arkham!$X$5</definedName>
    <definedName name="sample_mgmt_internet_proxy_address">'Deploy Management Domain'!$K$16</definedName>
    <definedName name="sample_mgmt_internet_proxy_email">'Deploy Management Domain'!$K$19</definedName>
    <definedName name="sample_mgmt_internet_proxy_password">'Deploy Management Domain'!$K$20</definedName>
    <definedName name="sample_mgmt_internet_proxy_port">'Deploy Management Domain'!$K$17</definedName>
    <definedName name="sample_mgmt_nsxt_en_admin_password">'Configure Management Domain'!$C$154</definedName>
    <definedName name="sample_mgmt_nsxt_en_root_password">'Configure Management Domain'!$C$153</definedName>
    <definedName name="sample_mgmt_nsxt_federation_global_manager_name">'Configure Management Domain'!$C$571</definedName>
    <definedName name="sample_mgmt_nsxt_federation_location_name">'Configure Management Domain'!$C$585</definedName>
    <definedName name="sample_mgmt_nsxt_global_mgr_anti_affinity_rule_name">'Configure Management Domain'!$C$542</definedName>
    <definedName name="sample_mgmt_nsxt_global_mgr_certificate_id">'Configure Management Domain'!$C$554</definedName>
    <definedName name="sample_mgmt_nsxt_global_mgr_cluster_id">'Configure Management Domain'!$C$526</definedName>
    <definedName name="sample_mgmt_nsxt_global_mgr_vmca_signed_thumbprint">'Configure Management Domain'!$C$527</definedName>
    <definedName name="sample_mgmt_nsxt_global_mgra_fqdn">'Configure Management Domain'!$C$482</definedName>
    <definedName name="sample_mgmt_nsxt_global_mgra_hostname">'Configure Management Domain'!$C$473</definedName>
    <definedName name="sample_mgmt_nsxt_global_mgra_ip">'Configure Management Domain'!$C$483</definedName>
    <definedName name="sample_mgmt_nsxt_global_mgrb_fqdn">'Configure Management Domain'!$C$499</definedName>
    <definedName name="sample_mgmt_nsxt_global_mgrb_hostname">'Configure Management Domain'!$C$490</definedName>
    <definedName name="sample_mgmt_nsxt_global_mgrb_ip">'Configure Management Domain'!$C$500</definedName>
    <definedName name="sample_mgmt_nsxt_global_mgrc_fqdn">'Configure Management Domain'!$C$516</definedName>
    <definedName name="sample_mgmt_nsxt_global_mgrc_hostname">'Configure Management Domain'!$C$507</definedName>
    <definedName name="sample_mgmt_nsxt_global_mgrc_ip">'Configure Management Domain'!$C$517</definedName>
    <definedName name="sample_mgmt_nsxt_gm_fingerprint">'Configure Management Domain'!$C$574</definedName>
    <definedName name="sample_mgmt_nsxt_gm_vip_fqdn">'Configure Management Domain'!$C$523</definedName>
    <definedName name="sample_mgmt_nsxt_gm_vip_ip">'Configure Management Domain'!$C$548</definedName>
    <definedName name="sample_mgmt_nsxt_lm_fingerprint">'Configure Management Domain'!$C$583</definedName>
    <definedName name="sample_mgmt_nsxt_mgra_fqdn">'Deploy Management Domain'!$K$296</definedName>
    <definedName name="sample_mgmt_nsxt_mgra_ip">'Deploy Management Domain'!$K$389</definedName>
    <definedName name="sample_mgmt_nsxt_mgrb_fqdn">'Deploy Management Domain'!$K$297</definedName>
    <definedName name="sample_mgmt_nsxt_mgrb_ip">'Deploy Management Domain'!$K$390</definedName>
    <definedName name="sample_mgmt_nsxt_mgrc_fqdn">'Deploy Management Domain'!$K$298</definedName>
    <definedName name="sample_mgmt_nsxt_mgrc_ip">'Deploy Management Domain'!$K$391</definedName>
    <definedName name="sample_mgmt_nsxt_vip_fqdn">'Deploy Management Domain'!$K$295</definedName>
    <definedName name="sample_mgmt_nsxt_vip_ip">'Deploy Management Domain'!$K$388</definedName>
    <definedName name="sample_mgmt_nsxt_xreg_t1_name">'Configure Management Domain'!$C$595</definedName>
    <definedName name="sample_mgmt_offline_depot_fqdn">'Deploy Management Domain'!$K$10</definedName>
    <definedName name="sample_mgmt_offline_depot_port">'Deploy Management Domain'!$K$11</definedName>
    <definedName name="sample_mgmt_recovery_lb_creation_method">'Dumping Ground'!$C$53</definedName>
    <definedName name="sample_mgmt_rtep_overlay_pool_end_ip">'Configure Management Domain'!$C$566</definedName>
    <definedName name="sample_mgmt_rtep_overlay_pool_start_ip">'Configure Management Domain'!$C$565</definedName>
    <definedName name="sample_mgmt_rwr_recovery_site_az1_mgmt_cidr">'On-Premises Ransomware Recovery'!$C$101</definedName>
    <definedName name="sample_mgmt_rwr_vc_fqdn">'On-Premises Ransomware Recovery'!$C$9</definedName>
    <definedName name="sample_mgmt_sddc_domain">'Deploy Management Domain'!$K$70</definedName>
    <definedName name="sample_mgmt_srm_admin_email">'Dumping Ground'!$C$41</definedName>
    <definedName name="sample_mgmt_srm_admin_password">'Dumping Ground'!$C$38</definedName>
    <definedName name="sample_mgmt_srm_database_password">'Dumping Ground'!$C$39</definedName>
    <definedName name="sample_mgmt_srm_days">'Site Protection &amp; DR'!$C$255</definedName>
    <definedName name="sample_mgmt_srm_instances_per_day">'Site Protection &amp; DR'!$C$254</definedName>
    <definedName name="sample_mgmt_srm_ip">'Dumping Ground'!$F$6</definedName>
    <definedName name="sample_mgmt_srm_logs_pg">'Site Protection &amp; DR'!$C$282</definedName>
    <definedName name="sample_mgmt_srm_logs_rp">'Site Protection &amp; DR'!$C$283</definedName>
    <definedName name="sample_mgmt_srm_net_pg">'Site Protection &amp; DR'!$C$307</definedName>
    <definedName name="sample_mgmt_srm_net_rp">'Site Protection &amp; DR'!$C$308</definedName>
    <definedName name="sample_mgmt_srm_p12_password">'Dumping Ground'!$C$42</definedName>
    <definedName name="sample_mgmt_srm_recovery_cluster">'Site Protection &amp; DR'!$C$324</definedName>
    <definedName name="sample_mgmt_srm_recovery_datastore">'Site Protection &amp; DR'!$C$252</definedName>
    <definedName name="sample_mgmt_srm_recovery_gateway">'Site Protection &amp; DR'!$C$382</definedName>
    <definedName name="sample_mgmt_srm_recovery_mask">'Site Protection &amp; DR'!$C$383</definedName>
    <definedName name="sample_mgmt_srm_recovery_nsx_ec_name">'Dumping Ground'!$C$60</definedName>
    <definedName name="sample_mgmt_srm_recovery_nsx_location">'Dumping Ground'!$C$59</definedName>
    <definedName name="sample_mgmt_srm_recovery_pg">'Site Protection &amp; DR'!$C$376</definedName>
    <definedName name="sample_mgmt_srm_recovery_sddc_manager_domain">'Dumping Ground'!$C$58</definedName>
    <definedName name="sample_mgmt_srm_recovery_sddc_manager_fqdn">'Dumping Ground'!$C$17</definedName>
    <definedName name="sample_mgmt_srm_recovery_sddc_manager_password">'Dumping Ground'!$C$19</definedName>
    <definedName name="sample_mgmt_srm_recovery_sddc_manager_username">'Dumping Ground'!$C$18</definedName>
    <definedName name="sample_mgmt_srm_recovery_t1_si_ip">'Dumping Ground'!$F$7</definedName>
    <definedName name="sample_mgmt_srm_recovery_vcenter_fqdn">'Site Protection &amp; DR'!$C$217</definedName>
    <definedName name="sample_mgmt_srm_recovery_vcenter_password">'Site Protection &amp; DR'!$C$219</definedName>
    <definedName name="sample_mgmt_srm_recovery_vcenter_username">'Site Protection &amp; DR'!$C$218</definedName>
    <definedName name="sample_mgmt_srm_root_password">'Dumping Ground'!$C$37</definedName>
    <definedName name="sample_mgmt_srm_rpo">'Site Protection &amp; DR'!$C$253</definedName>
    <definedName name="sample_mgmt_srm_site_name">'Dumping Ground'!$C$40</definedName>
    <definedName name="sample_mgmt_srm_sso_domain_membership">'Dumping Ground'!$C$64</definedName>
    <definedName name="sample_mgmt_srm_vm_folder">'Dumping Ground'!$C$36</definedName>
    <definedName name="sample_mgmt_srm_vra_pg">'Dumping Ground'!$C$50</definedName>
    <definedName name="sample_mgmt_srm_vra_rp">'Dumping Ground'!$C$51</definedName>
    <definedName name="sample_mgmt_srm_vrops_pg">'Site Protection &amp; DR'!$C$256</definedName>
    <definedName name="sample_mgmt_srm_vrops_rp">'Site Protection &amp; DR'!$C$257</definedName>
    <definedName name="sample_mgmt_srm_vrslcm_wsa_pg">'Dumping Ground'!$C$46</definedName>
    <definedName name="sample_mgmt_srm_vrslcm_wsa_rp">'Dumping Ground'!$C$47</definedName>
    <definedName name="sample_mgmt_sso_domain">'Deploy Management Domain'!$K$199</definedName>
    <definedName name="sample_mgmt_sso_domain_username">'Deploy Management Domain'!$K$200</definedName>
    <definedName name="sample_mgmt_supvr_api_server_fqdn">'Configure Management Domain'!$C$273</definedName>
    <definedName name="sample_mgmt_supvr_cp_storage_policy">'Configure Management Domain'!$C$250</definedName>
    <definedName name="sample_mgmt_supvr_ed_storage_policy">'Configure Management Domain'!$C$251</definedName>
    <definedName name="sample_mgmt_supvr_ic_storage_policy">'Configure Management Domain'!$C$252</definedName>
    <definedName name="sample_mgmt_supvr_ip_address_range">'Configure Management Domain'!$C$256</definedName>
    <definedName name="sample_mgmt_supvr_mgmt_dns_server">'Configure Management Domain'!$C$259</definedName>
    <definedName name="sample_mgmt_supvr_mgmt_dns_zones">'Configure Management Domain'!$C$260</definedName>
    <definedName name="sample_mgmt_supvr_mgmt_ntp_server">'Configure Management Domain'!$C$261</definedName>
    <definedName name="sample_mgmt_supvr_name">'Configure Management Domain'!$C$245</definedName>
    <definedName name="sample_mgmt_supvr_nsx_project">'Configure Management Domain'!$C$263</definedName>
    <definedName name="sample_mgmt_supvr_vpc_connectivity_profile">'Configure Management Domain'!$C$264</definedName>
    <definedName name="sample_mgmt_supvr_vpc_ext_ip_blocks_name">'Configure Management Domain'!$C$265</definedName>
    <definedName name="sample_mgmt_supvr_vpc_priv_cidr">'Configure Management Domain'!$C$267</definedName>
    <definedName name="sample_mgmt_supvr_vpc_priv_ip_blocks_name">'Configure Management Domain'!$C$266</definedName>
    <definedName name="sample_mgmt_supvr_vpc_service_cidr">'Configure Management Domain'!$C$268</definedName>
    <definedName name="sample_mgmt_supvr_wld_dns_server">'Configure Management Domain'!$C$269</definedName>
    <definedName name="sample_mgmt_supvr_wld_ntp_server">'Configure Management Domain'!$C$270</definedName>
    <definedName name="sample_mgmt_supvr_zone_name">'Configure Management Domain'!$C$248</definedName>
    <definedName name="sample_mgmt_tier0_name">'Configure Management Domain'!$C$156</definedName>
    <definedName name="sample_mgmt_vc_fqdn">'Deploy Management Domain'!$K$196</definedName>
    <definedName name="sample_mgmt_vc_ip">'Deploy Management Domain'!$K$386</definedName>
    <definedName name="sample_mgmt_vna_rp_name">'Configure Management Domain'!$C$210</definedName>
    <definedName name="sample_mgmt_vnaa_cidr">'Configure Management Domain'!$C$214</definedName>
    <definedName name="sample_mgmt_vnaa_fqdn">'Configure Management Domain'!$C$208</definedName>
    <definedName name="sample_mgmt_vnab_cidr">'Configure Management Domain'!$C$224</definedName>
    <definedName name="sample_mgmt_vnab_fqdn">'Configure Management Domain'!$C$218</definedName>
    <definedName name="sample_mgmt_vpc_ext_ip_blocks_cidr">'Configure Management Domain'!$C$196</definedName>
    <definedName name="sample_mgmt_vpc_ext_ip_blocks_excluded_ips">'Configure Management Domain'!$C$197</definedName>
    <definedName name="sample_mgmt_vpc_ext_ip_blocks_name">'Configure Management Domain'!$C$194</definedName>
    <definedName name="sample_mgmt_vpc_ext_ip_blocks_reserved">'Configure Management Domain'!$C$198</definedName>
    <definedName name="sample_mgmt_vpc_ext_ip_blocks_visability">'Configure Management Domain'!$C$195</definedName>
    <definedName name="sample_mgmt_vpc_priv_ip_blocks_excluded_ips">'Configure Management Domain'!$C$202</definedName>
    <definedName name="sample_mgmt_vpc_priv_ip_blocks_name">'Configure Management Domain'!$C$199</definedName>
    <definedName name="sample_mgmt_vpc_priv_ip_blocks_reserved">'Configure Management Domain'!$C$203</definedName>
    <definedName name="sample_mgmt_vpc_priv_ip_blocks_visability">'Configure Management Domain'!$C$200</definedName>
    <definedName name="sample_mgmt_vpc_transit_gateway_ip_blocks_cidr">'Configure Management Domain'!$C$201</definedName>
    <definedName name="sample_mgmt_vpc_vna_cluster_name">'Configure Management Domain'!$C$205</definedName>
    <definedName name="sample_mgmt_vrms_admin_email">'Site Protection &amp; DR'!$C$153</definedName>
    <definedName name="sample_mgmt_vrms_admin_password">'Dumping Ground'!$C$30</definedName>
    <definedName name="sample_mgmt_vrms_hostname">'Dumping Ground'!$D$4</definedName>
    <definedName name="sample_mgmt_vrms_mgmt_ip">'Site Protection &amp; DR'!$C$113</definedName>
    <definedName name="sample_mgmt_vrms_p12_password">'Dumping Ground'!$C$34</definedName>
    <definedName name="sample_mgmt_vrms_pg">'Site Protection &amp; DR'!$C$162</definedName>
    <definedName name="sample_mgmt_vrms_recovery_replication_cidr">'Dumping Ground'!$C$63</definedName>
    <definedName name="sample_mgmt_vrms_root_password">'Dumping Ground'!$C$29</definedName>
    <definedName name="sample_mgmt_vrms_site_name">'Site Protection &amp; DR'!$C$152</definedName>
    <definedName name="sample_mgmt_vrms_vm_folder">'Dumping Ground'!$C$28</definedName>
    <definedName name="sample_mgmt_vrms_vrms_ip">'Dumping Ground'!$F$5</definedName>
    <definedName name="sample_mgmt_vsan_dit_rekey_custom_interval">'Deploy Management Domain'!$K$210</definedName>
    <definedName name="sample_mgmt_vsan_dit_rekey_default_interval">'Deploy Management Domain'!$K$209</definedName>
    <definedName name="sample_mgmt_witness_cluster">'Configure Management Domain'!$C$386</definedName>
    <definedName name="sample_mgmt_witness_dns1_ip">'Configure Management Domain'!$C$397</definedName>
    <definedName name="sample_mgmt_witness_dns2_ip">'Configure Management Domain'!$C$398</definedName>
    <definedName name="sample_mgmt_witness_fqdn">'Configure Management Domain'!$C$444</definedName>
    <definedName name="sample_mgmt_witness_hostname">'Configure Management Domain'!$C$385</definedName>
    <definedName name="sample_mgmt_witness_ip">'Configure Management Domain'!$C$392</definedName>
    <definedName name="sample_mgmt_witness_mgmt_pg">'Configure Management Domain'!$C$389</definedName>
    <definedName name="sample_mgmt_witness_ntp1_server">'Configure Management Domain'!$C$399</definedName>
    <definedName name="sample_mgmt_witness_ntp2_server">'Configure Management Domain'!$C$400</definedName>
    <definedName name="sample_mgmt_witness_root_password">'Configure Management Domain'!$C$391</definedName>
    <definedName name="sample_mgmt_witness_vm_folder">'Configure Management Domain'!$C$387</definedName>
    <definedName name="sample_mgmt_witness_vsan_datastore">'Configure Management Domain'!$C$388</definedName>
    <definedName name="sample_mgmt_witness_zone_vc_fqdn">'Configure Management Domain'!$C$383</definedName>
    <definedName name="sample_mgmt_witness_zone_vc_ip">'Configure Management Domain'!$C$384</definedName>
    <definedName name="sample_mgmt_witnessaz_mgmt_cidr">'Configure Management Domain'!$C$380</definedName>
    <definedName name="sample_mgmt_witnessaz_mgmt_gateway_ip">'Configure Management Domain'!$C$379</definedName>
    <definedName name="sample_mgmt_witnessaz_mgmt_mtu">'Configure Management Domain'!$C$381</definedName>
    <definedName name="sample_mgmt_witnessaz_mgmt_vlan">'Configure Management Domain'!$C$378</definedName>
    <definedName name="sample_nsxt_gm_admin_password">'Configure Management Domain'!$C$480</definedName>
    <definedName name="sample_nsxt_gm_audit_password">'Configure Management Domain'!$C$481</definedName>
    <definedName name="sample_nsxt_gm_root_password">'Configure Management Domain'!$C$479</definedName>
    <definedName name="sample_nsxt_lm_admin_password">'Deploy Management Domain'!$K$299</definedName>
    <definedName name="sample_nsxt_lm_audit_password">'Deploy Management Domain'!$K$301</definedName>
    <definedName name="sample_nsxt_lm_root_password">'Deploy Management Domain'!$K$300</definedName>
    <definedName name="sample_parent_dns_zone">'Deploy Management Domain'!$K$79</definedName>
    <definedName name="sample_region_ad_child_fqdn">'Value Reference Tables'!$C$10</definedName>
    <definedName name="sample_region_ad_parent_fqdn">'Value Reference Tables'!$C$9</definedName>
    <definedName name="sample_region_dns1_ip">'Deploy Management Domain'!$K$73</definedName>
    <definedName name="sample_region_dns2_ip">'Deploy Management Domain'!$K$74</definedName>
    <definedName name="sample_region_ntp1_server">'Deploy Management Domain'!$K$76</definedName>
    <definedName name="sample_region_ntp2_server">'Deploy Management Domain'!$K$77</definedName>
    <definedName name="sample_rwr_cert_country_code">'On-Premises Ransomware Recovery'!$C$34</definedName>
    <definedName name="sample_rwr_cert_file">'On-Premises Ransomware Recovery'!$C$37</definedName>
    <definedName name="sample_rwr_cert_locality">'On-Premises Ransomware Recovery'!$C$32</definedName>
    <definedName name="sample_rwr_cert_organisation">'On-Premises Ransomware Recovery'!$C$30</definedName>
    <definedName name="sample_rwr_cert_ou">'On-Premises Ransomware Recovery'!$C$31</definedName>
    <definedName name="sample_rwr_cert_state">'On-Premises Ransomware Recovery'!$C$33</definedName>
    <definedName name="sample_rwr_child_dns_zone">'On-Premises Ransomware Recovery'!$C$20</definedName>
    <definedName name="sample_rwr_datacenter">'On-Premises Ransomware Recovery'!$C$143</definedName>
    <definedName name="sample_rwr_sso_domain_name">'On-Premises Ransomware Recovery'!$C$43</definedName>
    <definedName name="sample_rwr_vlr_replication_password">'On-Premises Ransomware Recovery'!$C$45</definedName>
    <definedName name="sample_rwr_vrms_pg">'On-Premises Ransomware Recovery'!$C$71</definedName>
    <definedName name="sample_sddc_mgr_admin_local_password">'Deploy Management Domain'!$K$315</definedName>
    <definedName name="sample_sddc_mgr_fqdn">'Deploy Management Domain'!$K$312</definedName>
    <definedName name="sample_sddc_mgr_ip">'Deploy Management Domain'!$K$385</definedName>
    <definedName name="sample_sddc_mgr_root_password">'Deploy Management Domain'!$K$313</definedName>
    <definedName name="sample_sddc_mgr_vcf_password">'Deploy Management Domain'!$K$314</definedName>
    <definedName name="sample_sftp_server">'Configure Management Domain'!$C$22</definedName>
    <definedName name="sample_sftp_server_backup_dir">'Configure Management Domain'!$C$27</definedName>
    <definedName name="sample_sftp_server_passphrase">'Configure Management Domain'!$C$29</definedName>
    <definedName name="sample_sftp_server_port">'Configure Management Domain'!$C$23</definedName>
    <definedName name="sample_sftp_server_protocol">'Configure Management Domain'!$C$24</definedName>
    <definedName name="sample_sftp_server_sshfingerprint">'Configure Management Domain'!$C$28</definedName>
    <definedName name="sample_smtp_server">Arkham!$B$16</definedName>
    <definedName name="sample_smtp_server_port">Arkham!$B$17</definedName>
    <definedName name="sample_svc_my_vmware_password">'Deploy Management Domain'!$K$12</definedName>
    <definedName name="sample_svc_vcf_bck_password">'Configure Management Domain'!$C$26</definedName>
    <definedName name="sample_svc_vcf_bck_user">'Configure Management Domain'!$C$25</definedName>
    <definedName name="sample_svc_vcf_ca_vcf_password">'Configure Management Domain'!$C$56</definedName>
    <definedName name="sample_svc_vcf_ca_vcf_user">'Configure Management Domain'!$C$51</definedName>
    <definedName name="sample_vcenter_root_password">'Deploy Management Domain'!$K$202</definedName>
    <definedName name="sample_vcf_automation_additional_vips">Arkham!$X$56</definedName>
    <definedName name="sample_vcf_automation_admin_password">'Deploy Fleet Management Day-N'!$C$87</definedName>
    <definedName name="sample_vcf_automation_admin_password_alias">Arkham!$X$41</definedName>
    <definedName name="sample_vcf_automation_admin_password_description">Arkham!$X$42</definedName>
    <definedName name="sample_vcf_automation_admin_username">Arkham!$X$43</definedName>
    <definedName name="sample_vcf_automation_cert_alias">Arkham!$X$15</definedName>
    <definedName name="sample_vcf_automation_cert_common_name">Arkham!$X$17</definedName>
    <definedName name="sample_vcf_automation_cert_country_code">Arkham!$X$20</definedName>
    <definedName name="sample_vcf_automation_cert_file">Arkham!$X$16</definedName>
    <definedName name="sample_vcf_automation_cert_locality">Arkham!$X$21</definedName>
    <definedName name="sample_vcf_automation_cert_organisation">Arkham!$X$18</definedName>
    <definedName name="sample_vcf_automation_cert_state">Arkham!$X$22</definedName>
    <definedName name="sample_vcf_automation_dpg">'Deploy Fleet Management Day-N'!$C$80</definedName>
    <definedName name="sample_vcf_automation_folder">Arkham!$X$28</definedName>
    <definedName name="sample_vcf_automation_gateway_cidr">'Deploy Fleet Management Day-N'!$C$81</definedName>
    <definedName name="sample_vcf_automation_gateway_ip">Arkham!$X$38</definedName>
    <definedName name="sample_vcf_automation_mask">Arkham!$X$39</definedName>
    <definedName name="sample_vcf_automation_nodea_ip">Arkham!$X$57</definedName>
    <definedName name="sample_vcf_automation_nodeb_ip">Arkham!$X$58</definedName>
    <definedName name="sample_vcf_automation_nodec_ip">Arkham!$X$59</definedName>
    <definedName name="sample_vcf_automation_noded_ip">Arkham!$X$60</definedName>
    <definedName name="sample_vcf_automation_nodee_ip">Arkham!$X$61</definedName>
    <definedName name="sample_vcf_automation_nodeef_ip">Arkham!$X$62</definedName>
    <definedName name="sample_vcf_automation_ou_cert">Arkham!$X$19</definedName>
    <definedName name="sample_vcf_automation_portgroup">Arkham!$X$30</definedName>
    <definedName name="sample_vcf_automation_resource_pool">Arkham!$X$29</definedName>
    <definedName name="sample_vcf_automation_root_password">Arkham!$X$45</definedName>
    <definedName name="sample_vcf_automation_root_password_alias">Arkham!$X$44</definedName>
    <definedName name="sample_vcf_automation_root_password_description">Arkham!$X$46</definedName>
    <definedName name="sample_vcf_automation_root_username">Arkham!$X$47</definedName>
    <definedName name="sample_vcf_automation_runtime_cidr">'Deploy Fleet Management Day-N'!$C$84</definedName>
    <definedName name="sample_vcf_automation_runtime_ips">'Deploy Fleet Management Day-N'!$C$83</definedName>
    <definedName name="sample_vcf_automation_sr_fqdn">'Deploy Fleet Management Day-N'!$C$86</definedName>
    <definedName name="sample_vcf_automation_sr_ip">'Deploy Fleet Management Day-N'!$C$91</definedName>
    <definedName name="sample_vcf_automation_version">'Deploy Fleet Management Day-N'!$C$78</definedName>
    <definedName name="sample_vcf_automation_vip_fqdn">'Deploy Fleet Management Day-N'!$C$85</definedName>
    <definedName name="sample_vcf_automation_vip_ip">'Deploy Fleet Management Day-N'!$C$90</definedName>
    <definedName name="sample_vcf_installer_fqdn">'Value Reference Tables'!$C$8</definedName>
    <definedName name="sample_vcf_installer_ip">'Deploy Management Domain'!$K$384</definedName>
    <definedName name="sample_vcf_instance_name">'Deploy Management Domain'!$K$69</definedName>
    <definedName name="sample_vcfms_system_password">'Deploy Management Domain'!$K$181</definedName>
    <definedName name="sample_vrslcm_xreg_vm_folder">'Dumping Ground'!$C$98</definedName>
    <definedName name="sample_vvs_dr_dns1_ip">'Site Protection &amp; DR'!$C$69</definedName>
    <definedName name="sample_vvs_dr_dns2_ip">'Site Protection &amp; DR'!$C$70</definedName>
    <definedName name="sample_vvs_dr_flt_auto_fqdn">'Site Protection &amp; DR'!$C$67</definedName>
    <definedName name="sample_vvs_dr_flt_fleet_manager_fqdn">'Site Protection &amp; DR'!$C$13</definedName>
    <definedName name="sample_vvs_dr_flt_fleet_manager_hostname">'Site Protection &amp; DR'!$C$248</definedName>
    <definedName name="sample_vvs_dr_flt_logs_nodea_fqdn">'Site Protection &amp; DR'!$C$35</definedName>
    <definedName name="sample_vvs_dr_flt_logs_nodeb_fqdn">'Site Protection &amp; DR'!$C$36</definedName>
    <definedName name="sample_vvs_dr_flt_logs_nodec_fqdn">'Site Protection &amp; DR'!$C$37</definedName>
    <definedName name="sample_vvs_dr_flt_net_nodea_fqdn">'Site Protection &amp; DR'!$C$38</definedName>
    <definedName name="sample_vvs_dr_flt_net_nodeb_fqdn">'Site Protection &amp; DR'!$C$39</definedName>
    <definedName name="sample_vvs_dr_flt_net_nodec_fqdn">'Site Protection &amp; DR'!$C$40</definedName>
    <definedName name="sample_vvs_dr_flt_ops_nodea_fqdn">'Site Protection &amp; DR'!$C$21</definedName>
    <definedName name="sample_vvs_dr_flt_ops_nodea_hostname">'Site Protection &amp; DR'!$C$249</definedName>
    <definedName name="sample_vvs_dr_flt_ops_nodeb_fqdn">'Site Protection &amp; DR'!$C$33</definedName>
    <definedName name="sample_vvs_dr_flt_ops_nodeb_hostname">'Site Protection &amp; DR'!$C$250</definedName>
    <definedName name="sample_vvs_dr_flt_ops_nodec_fqdn">'Site Protection &amp; DR'!$C$34</definedName>
    <definedName name="sample_vvs_dr_flt_ops_nodec_hostname">'Site Protection &amp; DR'!$C$251</definedName>
    <definedName name="sample_vvs_dr_mgmt_az1_mgmt_vm_pg">'Site Protection &amp; DR'!$C$104</definedName>
    <definedName name="sample_vvs_dr_mgmt_cl01_cluster">'Site Protection &amp; DR'!$C$100</definedName>
    <definedName name="sample_vvs_dr_mgmt_cl01_datastore">'Site Protection &amp; DR'!$C$103</definedName>
    <definedName name="sample_vvs_dr_mgmt_vc_fqdn">'Site Protection &amp; DR'!$C$99</definedName>
    <definedName name="sample_vvs_dr_ntp1_server">'Site Protection &amp; DR'!$C$23</definedName>
    <definedName name="sample_vvs_dr_parent_dns_zone">'Site Protection &amp; DR'!$C$17</definedName>
    <definedName name="sample_vvs_dr_sso_domain">'Site Protection &amp; DR'!$C$133</definedName>
    <definedName name="sample_vvs_dr_vr_password">'Site Protection &amp; DR'!$C$135</definedName>
    <definedName name="sample_vvs_dr_vr_username">'Site Protection &amp; DR'!$C$134</definedName>
    <definedName name="sample_vvs_mgmt_dr_vlr_fqdn">'Site Protection &amp; DR'!$C$105</definedName>
    <definedName name="sample_vvs_mgmt_dr_vlr_hostname">'Site Protection &amp; DR'!$C$101</definedName>
    <definedName name="sample_witness_dns_zone">Arkham!$B$12</definedName>
    <definedName name="sample_wld_administrator_vsphere_local_password">'Deploy Workload Domain'!$C$172</definedName>
    <definedName name="sample_wld_avilb_cluster_name">'Configure Workload Domain'!$C$234</definedName>
    <definedName name="sample_wld_avilb_cluster_version">'Configure Workload Domain'!$C$222</definedName>
    <definedName name="sample_wld_avilb_fqdn">'Configure Workload Domain'!$C$233</definedName>
    <definedName name="sample_wld_avilb_ip">'Configure Workload Domain'!$C$232</definedName>
    <definedName name="sample_wld_avilb_mgra_ip">'Configure Workload Domain'!$C$229</definedName>
    <definedName name="sample_wld_avilb_mgrb_ip">'Configure Workload Domain'!$C$230</definedName>
    <definedName name="sample_wld_avilb_mgrc_ip">'Configure Workload Domain'!$C$231</definedName>
    <definedName name="sample_wld_avilb_root_password">'Configure Workload Domain'!$C$226</definedName>
    <definedName name="sample_wld_avilb_vcfops_password">'Configure Workload Domain'!$C$227</definedName>
    <definedName name="sample_wld_az1_dtgw_gateway_cidr">'Configure Workload Domain'!$C$135</definedName>
    <definedName name="sample_wld_az1_dtgw_vlan">'Configure Workload Domain'!$C$134</definedName>
    <definedName name="sample_wld_az1_edge_overlay_cidr">'Configure Workload Domain'!$C$67</definedName>
    <definedName name="sample_wld_az1_edge_overlay_gateway_ip">'Configure Workload Domain'!$C$68</definedName>
    <definedName name="sample_wld_az1_edge_overlay_mask">'Configure Workload Domain'!$C$69</definedName>
    <definedName name="sample_wld_az1_edge_overlay_network_pool_name">'Configure Workload Domain'!$C$62</definedName>
    <definedName name="sample_wld_az1_edge_overlay_pool_end_ip">'Configure Workload Domain'!$C$64</definedName>
    <definedName name="sample_wld_az1_edge_overlay_pool_start_ip">'Configure Workload Domain'!$C$63</definedName>
    <definedName name="sample_wld_az1_edge_overlay_vlan">'Workload Domain As Built'!$C$22</definedName>
    <definedName name="sample_wld_az1_en1_edge_overlay_interface_ip_1_ip">'Configure Workload Domain'!$C$65</definedName>
    <definedName name="sample_wld_az1_en1_edge_overlay_interface_ip_2_ip">'Configure Workload Domain'!$C$66</definedName>
    <definedName name="sample_wld_az1_en1_eth0_uplink0">'Configure Workload Domain'!$C$55</definedName>
    <definedName name="sample_wld_az1_en1_eth0_uplink1">'Configure Workload Domain'!$C$56</definedName>
    <definedName name="sample_wld_az1_en1_eth1_uplink0">'Configure Workload Domain'!$C$57</definedName>
    <definedName name="sample_wld_az1_en1_eth1_uplink1">'Configure Workload Domain'!$C$58</definedName>
    <definedName name="sample_wld_az1_en1_fqdn">'Configure Workload Domain'!$C$42</definedName>
    <definedName name="sample_wld_az1_en1_hostname">'Configure Workload Domain'!$C$593</definedName>
    <definedName name="sample_wld_az1_en1_mgmt_cidr">'Configure Workload Domain'!$C$50</definedName>
    <definedName name="sample_wld_az1_en1_uplink01_interface_cidr">'Configure Workload Domain'!$C$105</definedName>
    <definedName name="sample_wld_az1_en1_uplink02_interface_cidr">'Configure Workload Domain'!$C$112</definedName>
    <definedName name="sample_wld_az1_en2_edge_overlay_interface_ip_1_ip">'Configure Workload Domain'!$C$90</definedName>
    <definedName name="sample_wld_az1_en2_edge_overlay_interface_ip_2_ip">'Configure Workload Domain'!$C$91</definedName>
    <definedName name="sample_wld_az1_en2_eth0_uplink0">'Configure Workload Domain'!$C$83</definedName>
    <definedName name="sample_wld_az1_en2_eth0_uplink1">'Configure Workload Domain'!$C$84</definedName>
    <definedName name="sample_wld_az1_en2_eth1_uplink0">'Configure Workload Domain'!$C$85</definedName>
    <definedName name="sample_wld_az1_en2_eth1_uplink1">'Configure Workload Domain'!$C$86</definedName>
    <definedName name="sample_wld_az1_en2_fqdn">'Configure Workload Domain'!$C$71</definedName>
    <definedName name="sample_wld_az1_en2_hostname">'Configure Workload Domain'!$C$605</definedName>
    <definedName name="sample_wld_az1_en2_mgmt_cidr">'Configure Workload Domain'!$C$79</definedName>
    <definedName name="sample_wld_az1_en2_uplink01_interface_cidr">'Configure Workload Domain'!$C$120</definedName>
    <definedName name="sample_wld_az1_en2_uplink02_interface_cidr">'Configure Workload Domain'!$C$127</definedName>
    <definedName name="sample_wld_az1_host_fqdns">'Deploy Workload Domain'!$C$131:$C$146</definedName>
    <definedName name="sample_wld_az1_host_mgmt_ips">'Deploy Workload Domain'!$C$62:$C$77</definedName>
    <definedName name="sample_wld_az1_host_overlay_cidr">'Deploy Workload Domain'!$C$330</definedName>
    <definedName name="sample_wld_az1_host_overlay_gateway_ip">'Deploy Workload Domain'!$C$333</definedName>
    <definedName name="sample_wld_az1_host_overlay_mtu">'Deploy Workload Domain'!$C$388</definedName>
    <definedName name="sample_wld_az1_host_overlay_network_pool_description">'Deploy Workload Domain'!$C$329</definedName>
    <definedName name="sample_wld_az1_host_overlay_network_pool_name">'Deploy Workload Domain'!$C$328</definedName>
    <definedName name="sample_wld_az1_host_overlay_pool_end_ip">'Deploy Workload Domain'!$C$332</definedName>
    <definedName name="sample_wld_az1_host_overlay_pool_start_ip">'Deploy Workload Domain'!$C$331</definedName>
    <definedName name="sample_wld_az1_host_overlay_uplink_profile_name">'Deploy Workload Domain'!$C$336</definedName>
    <definedName name="sample_wld_az1_host_overlay_vlan">'Deploy Workload Domain'!$C$325</definedName>
    <definedName name="sample_wld_az1_host1_fqdn">'Deploy Workload Domain'!$C$131</definedName>
    <definedName name="sample_wld_az1_host1_mgmt_ip">'Deploy Workload Domain'!$C$62</definedName>
    <definedName name="sample_wld_az1_host1_vrms_ip">'Dumping Ground'!$C$293</definedName>
    <definedName name="sample_wld_az1_host10_fqdn">'Deploy Workload Domain'!$C$140</definedName>
    <definedName name="sample_wld_az1_host10_mgmt_ip">'Deploy Workload Domain'!$C$71</definedName>
    <definedName name="sample_wld_az1_host10_vrms_ip">'Dumping Ground'!$C$302</definedName>
    <definedName name="sample_wld_az1_host11_fqdn">'Deploy Workload Domain'!$C$141</definedName>
    <definedName name="sample_wld_az1_host11_mgmt_ip">'Deploy Workload Domain'!$C$72</definedName>
    <definedName name="sample_wld_az1_host11_vrms_ip">'Dumping Ground'!$C$303</definedName>
    <definedName name="sample_wld_az1_host12_fqdn">'Deploy Workload Domain'!$C$142</definedName>
    <definedName name="sample_wld_az1_host12_mgmt_ip">'Deploy Workload Domain'!$C$73</definedName>
    <definedName name="sample_wld_az1_host12_vrms_ip">'Dumping Ground'!$C$304</definedName>
    <definedName name="sample_wld_az1_host13_fqdn">'Deploy Workload Domain'!$C$143</definedName>
    <definedName name="sample_wld_az1_host13_mgmt_ip">'Deploy Workload Domain'!$C$74</definedName>
    <definedName name="sample_wld_az1_host13_vrms_ip">'Dumping Ground'!$C$305</definedName>
    <definedName name="sample_wld_az1_host14_fqdn">'Deploy Workload Domain'!$C$144</definedName>
    <definedName name="sample_wld_az1_host14_mgmt_ip">'Deploy Workload Domain'!$C$75</definedName>
    <definedName name="sample_wld_az1_host14_vrms_ip">'Dumping Ground'!$C$306</definedName>
    <definedName name="sample_wld_az1_host15_fqdn">'Deploy Workload Domain'!$C$145</definedName>
    <definedName name="sample_wld_az1_host15_mgmt_ip">'Deploy Workload Domain'!$C$76</definedName>
    <definedName name="sample_wld_az1_host15_vrms_ip">'Dumping Ground'!$C$307</definedName>
    <definedName name="sample_wld_az1_host16_fqdn">'Deploy Workload Domain'!$C$146</definedName>
    <definedName name="sample_wld_az1_host16_mgmt_ip">'Deploy Workload Domain'!$C$77</definedName>
    <definedName name="sample_wld_az1_host16_vrms_ip">'Dumping Ground'!$C$308</definedName>
    <definedName name="sample_wld_az1_host2_fqdn">'Deploy Workload Domain'!$C$132</definedName>
    <definedName name="sample_wld_az1_host2_mgmt_ip">'Deploy Workload Domain'!$C$63</definedName>
    <definedName name="sample_wld_az1_host2_vrms_ip">'Dumping Ground'!$C$294</definedName>
    <definedName name="sample_wld_az1_host3_fqdn">'Deploy Workload Domain'!$C$133</definedName>
    <definedName name="sample_wld_az1_host3_mgmt_ip">'Deploy Workload Domain'!$C$64</definedName>
    <definedName name="sample_wld_az1_host3_vrms_ip">'Dumping Ground'!$C$295</definedName>
    <definedName name="sample_wld_az1_host4_fqdn">'Deploy Workload Domain'!$C$134</definedName>
    <definedName name="sample_wld_az1_host4_mgmt_ip">'Deploy Workload Domain'!$C$65</definedName>
    <definedName name="sample_wld_az1_host4_vrms_ip">'Dumping Ground'!$C$296</definedName>
    <definedName name="sample_wld_az1_host5_fqdn">'Deploy Workload Domain'!$C$135</definedName>
    <definedName name="sample_wld_az1_host5_mgmt_ip">'Deploy Workload Domain'!$C$66</definedName>
    <definedName name="sample_wld_az1_host5_vrms_ip">'Dumping Ground'!$C$297</definedName>
    <definedName name="sample_wld_az1_host6_fqdn">'Deploy Workload Domain'!$C$136</definedName>
    <definedName name="sample_wld_az1_host6_mgmt_ip">'Deploy Workload Domain'!$C$67</definedName>
    <definedName name="sample_wld_az1_host6_vrms_ip">'Dumping Ground'!$C$298</definedName>
    <definedName name="sample_wld_az1_host7_fqdn">'Deploy Workload Domain'!$C$137</definedName>
    <definedName name="sample_wld_az1_host7_mgmt_ip">'Deploy Workload Domain'!$C$68</definedName>
    <definedName name="sample_wld_az1_host7_vrms_ip">'Dumping Ground'!$C$299</definedName>
    <definedName name="sample_wld_az1_host8_fqdn">'Deploy Workload Domain'!$C$138</definedName>
    <definedName name="sample_wld_az1_host8_mgmt_ip">'Deploy Workload Domain'!$C$69</definedName>
    <definedName name="sample_wld_az1_host8_vrms_ip">'Dumping Ground'!$C$300</definedName>
    <definedName name="sample_wld_az1_host9_fqdn">'Deploy Workload Domain'!$C$139</definedName>
    <definedName name="sample_wld_az1_host9_mgmt_ip">'Deploy Workload Domain'!$C$70</definedName>
    <definedName name="sample_wld_az1_host9_vrms_ip">'Dumping Ground'!$C$301</definedName>
    <definedName name="sample_wld_az1_mgmt_gateway_cidr">'Deploy Workload Domain'!$C$60</definedName>
    <definedName name="sample_wld_az1_mgmt_mtu">'Deploy Workload Domain'!$C$59</definedName>
    <definedName name="sample_wld_az1_mgmt_vlan">'Deploy Workload Domain'!$C$58</definedName>
    <definedName name="sample_wld_az1_mgmt_vm_gateway_cidr">'Deploy Workload Domain'!$C$370</definedName>
    <definedName name="sample_wld_az1_mgmt_vm_mtu">'Deploy Workload Domain'!$C$371</definedName>
    <definedName name="sample_wld_az1_mgmt_vm_vlan">'Deploy Workload Domain'!$C$369</definedName>
    <definedName name="sample_wld_az1_pool_name">'Deploy Workload Domain'!$C$82</definedName>
    <definedName name="sample_wld_az1_principal_storage_gateway_cidr">'Deploy Workload Domain'!$C$99</definedName>
    <definedName name="sample_wld_az1_principal_storage_mtu">'Deploy Workload Domain'!$C$97</definedName>
    <definedName name="sample_wld_az1_principal_storage_pool_end_ip">'Deploy Workload Domain'!$C$102</definedName>
    <definedName name="sample_wld_az1_principal_storage_pool_start_ip">'Deploy Workload Domain'!$C$101</definedName>
    <definedName name="sample_wld_az1_principal_storage_vlan">'Deploy Workload Domain'!$C$96</definedName>
    <definedName name="sample_wld_az1_rack1_host_overlay_network_profile_name">'Deploy Workload Domain'!$C$340</definedName>
    <definedName name="sample_wld_az1_rack2_edge_overlay_gateway_ip">Arkham!$B$64</definedName>
    <definedName name="sample_wld_az1_rack2_edge_overlay_mask">Arkham!$B$67</definedName>
    <definedName name="sample_wld_az1_rack2_edge_overlay_mtu">Arkham!$B$70</definedName>
    <definedName name="sample_wld_az1_rack2_edge_overlay_network">Arkham!$B$61</definedName>
    <definedName name="sample_wld_az1_rack2_edge_overlay_network_pool_name">'Additional Racks'!$C$82</definedName>
    <definedName name="sample_wld_az1_rack2_edge_overlay_pool_end_ip">Arkham!$B$72</definedName>
    <definedName name="sample_wld_az1_rack2_edge_overlay_pool_start_ip">Arkham!$B$71</definedName>
    <definedName name="sample_wld_az1_rack2_edge_overlay_vlan">Arkham!$B$58</definedName>
    <definedName name="sample_wld_az1_rack2_host_hostnames">'Additional Racks'!$C$54:$C$69</definedName>
    <definedName name="sample_wld_az1_rack2_host_mgmt_ips">'Additional Racks'!$C$14:$C$29</definedName>
    <definedName name="sample_wld_az1_rack2_host_overlay_cidr">Arkham!$B$23</definedName>
    <definedName name="sample_wld_az1_rack2_host_overlay_gateway_ip">'Additional Racks'!$C$95</definedName>
    <definedName name="sample_wld_az1_rack2_host_overlay_mask">'Additional Racks'!$C$94</definedName>
    <definedName name="sample_wld_az1_rack2_host_overlay_mtu">'Additional Racks'!$C$92</definedName>
    <definedName name="sample_wld_az1_rack2_host_overlay_network">'Additional Racks'!$C$93</definedName>
    <definedName name="sample_wld_az1_rack2_host_overlay_network_pool_name">'Additional Racks'!$C$80</definedName>
    <definedName name="sample_wld_az1_rack2_host_overlay_network_profile_name">'Additional Racks'!$C$78</definedName>
    <definedName name="sample_wld_az1_rack2_host_overlay_pool_end_ip">'Additional Racks'!$C$97</definedName>
    <definedName name="sample_wld_az1_rack2_host_overlay_pool_start_ip">'Additional Racks'!$C$96</definedName>
    <definedName name="sample_wld_az1_rack2_host_overlay_uplink_profile_name">'Additional Racks'!$C$81</definedName>
    <definedName name="sample_wld_az1_rack2_host_overlay_vlan">'Additional Racks'!$C$91</definedName>
    <definedName name="sample_wld_az1_rack2_host1_fqdn">'Additional Racks'!$C$54</definedName>
    <definedName name="sample_wld_az1_rack2_host1_mgmt_ip">'Additional Racks'!$C$14</definedName>
    <definedName name="sample_wld_az1_rack2_host10_fqdn">'Additional Racks'!$C$63</definedName>
    <definedName name="sample_wld_az1_rack2_host10_mgmt_ip">'Additional Racks'!$C$23</definedName>
    <definedName name="sample_wld_az1_rack2_host11_fqdn">'Additional Racks'!$C$64</definedName>
    <definedName name="sample_wld_az1_rack2_host11_mgmt_ip">'Additional Racks'!$C$24</definedName>
    <definedName name="sample_wld_az1_rack2_host12_fqdn">'Additional Racks'!$C$65</definedName>
    <definedName name="sample_wld_az1_rack2_host12_mgmt_ip">'Additional Racks'!$C$25</definedName>
    <definedName name="sample_wld_az1_rack2_host13_fqdn">'Additional Racks'!$C$66</definedName>
    <definedName name="sample_wld_az1_rack2_host13_mgmt_ip">'Additional Racks'!$C$26</definedName>
    <definedName name="sample_wld_az1_rack2_host14_fqdn">'Additional Racks'!$C$67</definedName>
    <definedName name="sample_wld_az1_rack2_host14_mgmt_ip">'Additional Racks'!$C$27</definedName>
    <definedName name="sample_wld_az1_rack2_host15_fqdn">'Additional Racks'!$C$68</definedName>
    <definedName name="sample_wld_az1_rack2_host15_mgmt_ip">'Additional Racks'!$C$28</definedName>
    <definedName name="sample_wld_az1_rack2_host16_fqdn">'Additional Racks'!$C$69</definedName>
    <definedName name="sample_wld_az1_rack2_host16_mgmt_ip">'Additional Racks'!$C$29</definedName>
    <definedName name="sample_wld_az1_rack2_host2_fqdn">'Additional Racks'!$C$55</definedName>
    <definedName name="sample_wld_az1_rack2_host2_mgmt_ip">'Additional Racks'!$C$15</definedName>
    <definedName name="sample_wld_az1_rack2_host3_fqdn">'Additional Racks'!$C$56</definedName>
    <definedName name="sample_wld_az1_rack2_host3_mgmt_ip">'Additional Racks'!$C$16</definedName>
    <definedName name="sample_wld_az1_rack2_host4_fqdn">'Additional Racks'!$C$57</definedName>
    <definedName name="sample_wld_az1_rack2_host4_mgmt_ip">'Additional Racks'!$C$17</definedName>
    <definedName name="sample_wld_az1_rack2_host5_fqdn">'Additional Racks'!$C$58</definedName>
    <definedName name="sample_wld_az1_rack2_host5_mgmt_ip">'Additional Racks'!$C$18</definedName>
    <definedName name="sample_wld_az1_rack2_host6_fqdn">'Additional Racks'!$C$59</definedName>
    <definedName name="sample_wld_az1_rack2_host6_mgmt_ip">'Additional Racks'!$C$19</definedName>
    <definedName name="sample_wld_az1_rack2_host7_fqdn">'Additional Racks'!$C$60</definedName>
    <definedName name="sample_wld_az1_rack2_host7_mgmt_ip">'Additional Racks'!$C$20</definedName>
    <definedName name="sample_wld_az1_rack2_host8_fqdn">'Additional Racks'!$C$61</definedName>
    <definedName name="sample_wld_az1_rack2_host8_mgmt_ip">'Additional Racks'!$C$21</definedName>
    <definedName name="sample_wld_az1_rack2_host9_fqdn">'Additional Racks'!$C$62</definedName>
    <definedName name="sample_wld_az1_rack2_host9_mgmt_ip">'Additional Racks'!$C$22</definedName>
    <definedName name="sample_wld_az1_rack2_mgmt_cidr">'Additional Racks'!$C$11</definedName>
    <definedName name="sample_wld_az1_rack2_mgmt_gateway_ip">'Additional Racks'!$C$10</definedName>
    <definedName name="sample_wld_az1_rack2_mgmt_mtu">'Additional Racks'!$C$12</definedName>
    <definedName name="sample_wld_az1_rack2_mgmt_vlan">'Additional Racks'!$C$9</definedName>
    <definedName name="sample_wld_az1_rack2_mgmt_vm_cidr">'Value Reference Tables - MR'!$M$270</definedName>
    <definedName name="sample_wld_az1_rack2_mgmt_vm_gateway_ip">'Value Reference Tables - MR'!$O$275</definedName>
    <definedName name="sample_wld_az1_rack2_mgmt_vm_mtu">'Value Reference Tables - MR'!$Q$275</definedName>
    <definedName name="sample_wld_az1_rack2_mgmt_vm_vlan">'Value Reference Tables - MR'!$K$275</definedName>
    <definedName name="sample_wld_az1_rack2_pool_name">'Additional Racks'!$C$34</definedName>
    <definedName name="sample_wld_az1_rack2_principal_storage_cidr">Arkham!$B$21</definedName>
    <definedName name="sample_wld_az1_rack2_principal_storage_gateway_ip">'Additional Racks'!$C$48</definedName>
    <definedName name="sample_wld_az1_rack2_principal_storage_mask">'Additional Racks'!$C$47</definedName>
    <definedName name="sample_wld_az1_rack2_principal_storage_mtu">'Additional Racks'!$C$45</definedName>
    <definedName name="sample_wld_az1_rack2_principal_storage_network">'Additional Racks'!$C$46</definedName>
    <definedName name="sample_wld_az1_rack2_principal_storage_pool_end_ip">'Additional Racks'!$C$50</definedName>
    <definedName name="sample_wld_az1_rack2_principal_storage_pool_start_ip">'Additional Racks'!$C$49</definedName>
    <definedName name="sample_wld_az1_rack2_principal_storage_vlan">'Additional Racks'!$C$44</definedName>
    <definedName name="sample_wld_az1_rack2_rtep_ip_pool_name">'Additional Racks'!$C$83</definedName>
    <definedName name="sample_wld_az1_rack2_secondary_storage_cidr">Arkham!$B$22</definedName>
    <definedName name="sample_wld_az1_rack2_secondary_storage_gateway_ip">'Dumping Ground'!$C$512</definedName>
    <definedName name="sample_wld_az1_rack2_secondary_storage_mask">'Dumping Ground'!$C$511</definedName>
    <definedName name="sample_wld_az1_rack2_secondary_storage_mtu">'Dumping Ground'!$C$509</definedName>
    <definedName name="sample_wld_az1_rack2_secondary_storage_network">'Dumping Ground'!$C$510</definedName>
    <definedName name="sample_wld_az1_rack2_secondary_storage_pool_end_ip">'Dumping Ground'!$C$514</definedName>
    <definedName name="sample_wld_az1_rack2_secondary_storage_pool_start_ip">'Dumping Ground'!$C$513</definedName>
    <definedName name="sample_wld_az1_rack2_secondary_storage_vlan">'Dumping Ground'!$C$508</definedName>
    <definedName name="sample_wld_az1_rack2_tor1_peer_asn">Arkham!$B$75</definedName>
    <definedName name="sample_wld_az1_rack2_tor1_peer_bgp_password">Arkham!$B$76</definedName>
    <definedName name="sample_wld_az1_rack2_tor1_peer_ip">Arkham!$B$74</definedName>
    <definedName name="sample_wld_az1_rack2_tor2_peer_asn">Arkham!$B$78</definedName>
    <definedName name="sample_wld_az1_rack2_tor2_peer_bgp_password">Arkham!$B$79</definedName>
    <definedName name="sample_wld_az1_rack2_tor2_peer_ip">Arkham!$B$77</definedName>
    <definedName name="sample_wld_az1_rack2_uplink01_gateway_ip">Arkham!$B$62</definedName>
    <definedName name="sample_wld_az1_rack2_uplink01_mask">Arkham!$B$65</definedName>
    <definedName name="sample_wld_az1_rack2_uplink01_mtu">Arkham!$B$68</definedName>
    <definedName name="sample_wld_az1_rack2_uplink01_network">Arkham!$B$59</definedName>
    <definedName name="sample_wld_az1_rack2_uplink01_vlan">Arkham!$B$56</definedName>
    <definedName name="sample_wld_az1_rack2_uplink02_gateway_ip">Arkham!$B$63</definedName>
    <definedName name="sample_wld_az1_rack2_uplink02_mask">Arkham!$B$66</definedName>
    <definedName name="sample_wld_az1_rack2_uplink02_mtu">Arkham!$B$69</definedName>
    <definedName name="sample_wld_az1_rack2_uplink02_network">Arkham!$B$60</definedName>
    <definedName name="sample_wld_az1_rack2_uplink02_vlan">Arkham!$B$57</definedName>
    <definedName name="sample_wld_az1_rack2_vmotion_cidr">Arkham!$B$20</definedName>
    <definedName name="sample_wld_az1_rack2_vmotion_gateway_ip">'Additional Racks'!$C$40</definedName>
    <definedName name="sample_wld_az1_rack2_vmotion_mask">'Additional Racks'!$C$39</definedName>
    <definedName name="sample_wld_az1_rack2_vmotion_mtu">'Additional Racks'!$C$37</definedName>
    <definedName name="sample_wld_az1_rack2_vmotion_network">'Additional Racks'!$C$38</definedName>
    <definedName name="sample_wld_az1_rack2_vmotion_pool_end_ip">'Additional Racks'!$C$42</definedName>
    <definedName name="sample_wld_az1_rack2_vmotion_pool_start_ip">'Additional Racks'!$C$41</definedName>
    <definedName name="sample_wld_az1_rack2_vmotion_vlan">'Additional Racks'!$C$36</definedName>
    <definedName name="sample_wld_az1_rack2_vsan_fault_domain">'Additional Racks'!$C$86</definedName>
    <definedName name="sample_wld_az1_rack3_edge_overlay_gateway_ip">Arkham!$E$64</definedName>
    <definedName name="sample_wld_az1_rack3_edge_overlay_mask">Arkham!$E$67</definedName>
    <definedName name="sample_wld_az1_rack3_edge_overlay_mtu">Arkham!$E$70</definedName>
    <definedName name="sample_wld_az1_rack3_edge_overlay_network">Arkham!$E$61</definedName>
    <definedName name="sample_wld_az1_rack3_edge_overlay_network_pool_name">'Additional Racks'!$C$175</definedName>
    <definedName name="sample_wld_az1_rack3_edge_overlay_pool_end_ip">Arkham!$E$72</definedName>
    <definedName name="sample_wld_az1_rack3_edge_overlay_pool_start_ip">Arkham!$E$71</definedName>
    <definedName name="sample_wld_az1_rack3_edge_overlay_vlan">Arkham!$E$58</definedName>
    <definedName name="sample_wld_az1_rack3_host_hostnames">'Additional Racks'!$C$147:$C$162</definedName>
    <definedName name="sample_wld_az1_rack3_host_mgmt_ips">'Additional Racks'!$C$107:$C$122</definedName>
    <definedName name="sample_wld_az1_rack3_host_overlay_cidr">Arkham!$B$27</definedName>
    <definedName name="sample_wld_az1_rack3_host_overlay_gateway_ip">'Additional Racks'!$C$188</definedName>
    <definedName name="sample_wld_az1_rack3_host_overlay_mask">'Additional Racks'!$C$187</definedName>
    <definedName name="sample_wld_az1_rack3_host_overlay_mtu">'Additional Racks'!$C$185</definedName>
    <definedName name="sample_wld_az1_rack3_host_overlay_network">'Additional Racks'!$C$186</definedName>
    <definedName name="sample_wld_az1_rack3_host_overlay_network_pool_name">'Additional Racks'!$C$173</definedName>
    <definedName name="sample_wld_az1_rack3_host_overlay_network_profile_name">'Additional Racks'!$C$171</definedName>
    <definedName name="sample_wld_az1_rack3_host_overlay_pool_end_ip">'Additional Racks'!$C$190</definedName>
    <definedName name="sample_wld_az1_rack3_host_overlay_pool_start_ip">'Additional Racks'!$C$189</definedName>
    <definedName name="sample_wld_az1_rack3_host_overlay_uplink_profile_name">'Additional Racks'!$C$174</definedName>
    <definedName name="sample_wld_az1_rack3_host_overlay_vlan">'Additional Racks'!$C$184</definedName>
    <definedName name="sample_wld_az1_rack3_host1_fqdn">'Additional Racks'!$C$147</definedName>
    <definedName name="sample_wld_az1_rack3_host1_mgmt_ip">'Additional Racks'!$C$107</definedName>
    <definedName name="sample_wld_az1_rack3_host10_fqdn">'Additional Racks'!$C$156</definedName>
    <definedName name="sample_wld_az1_rack3_host10_mgmt_ip">'Additional Racks'!$C$116</definedName>
    <definedName name="sample_wld_az1_rack3_host11_fqdn">'Additional Racks'!$C$157</definedName>
    <definedName name="sample_wld_az1_rack3_host11_mgmt_ip">'Additional Racks'!$C$117</definedName>
    <definedName name="sample_wld_az1_rack3_host12_fqdn">'Additional Racks'!$C$158</definedName>
    <definedName name="sample_wld_az1_rack3_host12_mgmt_ip">'Additional Racks'!$C$118</definedName>
    <definedName name="sample_wld_az1_rack3_host13_fqdn">'Additional Racks'!$C$159</definedName>
    <definedName name="sample_wld_az1_rack3_host13_mgmt_ip">'Additional Racks'!$C$119</definedName>
    <definedName name="sample_wld_az1_rack3_host14_fqdn">'Additional Racks'!$C$160</definedName>
    <definedName name="sample_wld_az1_rack3_host14_mgmt_ip">'Additional Racks'!$C$120</definedName>
    <definedName name="sample_wld_az1_rack3_host15_fqdn">'Additional Racks'!$C$161</definedName>
    <definedName name="sample_wld_az1_rack3_host15_mgmt_ip">'Additional Racks'!$C$121</definedName>
    <definedName name="sample_wld_az1_rack3_host16_fqdn">'Additional Racks'!$C$162</definedName>
    <definedName name="sample_wld_az1_rack3_host16_mgmt_ip">'Additional Racks'!$C$122</definedName>
    <definedName name="sample_wld_az1_rack3_host2_fqdn">'Additional Racks'!$C$148</definedName>
    <definedName name="sample_wld_az1_rack3_host2_mgmt_ip">'Additional Racks'!$C$108</definedName>
    <definedName name="sample_wld_az1_rack3_host3_fqdn">'Additional Racks'!$C$149</definedName>
    <definedName name="sample_wld_az1_rack3_host3_mgmt_ip">'Additional Racks'!$C$109</definedName>
    <definedName name="sample_wld_az1_rack3_host4_fqdn">'Additional Racks'!$C$150</definedName>
    <definedName name="sample_wld_az1_rack3_host4_mgmt_ip">'Additional Racks'!$C$110</definedName>
    <definedName name="sample_wld_az1_rack3_host5_fqdn">'Additional Racks'!$C$151</definedName>
    <definedName name="sample_wld_az1_rack3_host5_mgmt_ip">'Additional Racks'!$C$111</definedName>
    <definedName name="sample_wld_az1_rack3_host6_fqdn">'Additional Racks'!$C$152</definedName>
    <definedName name="sample_wld_az1_rack3_host6_mgmt_ip">'Additional Racks'!$C$112</definedName>
    <definedName name="sample_wld_az1_rack3_host7_fqdn">'Additional Racks'!$C$153</definedName>
    <definedName name="sample_wld_az1_rack3_host7_mgmt_ip">'Additional Racks'!$C$113</definedName>
    <definedName name="sample_wld_az1_rack3_host8_fqdn">'Additional Racks'!$C$154</definedName>
    <definedName name="sample_wld_az1_rack3_host8_mgmt_ip">'Additional Racks'!$C$114</definedName>
    <definedName name="sample_wld_az1_rack3_host9_fqdn">'Additional Racks'!$C$155</definedName>
    <definedName name="sample_wld_az1_rack3_host9_mgmt_ip">'Additional Racks'!$C$115</definedName>
    <definedName name="sample_wld_az1_rack3_mgmt_cidr">'Additional Racks'!$C$104</definedName>
    <definedName name="sample_wld_az1_rack3_mgmt_gateway_ip">'Additional Racks'!$C$103</definedName>
    <definedName name="sample_wld_az1_rack3_mgmt_mtu">'Additional Racks'!$C$105</definedName>
    <definedName name="sample_wld_az1_rack3_mgmt_vlan">'Additional Racks'!$C$102</definedName>
    <definedName name="sample_wld_az1_rack3_mgmt_vm_cidr">'Value Reference Tables - MR'!$M$271</definedName>
    <definedName name="sample_wld_az1_rack3_mgmt_vm_gateway_ip">'Value Reference Tables - MR'!$O$276</definedName>
    <definedName name="sample_wld_az1_rack3_mgmt_vm_mtu">'Value Reference Tables - MR'!$Q$276</definedName>
    <definedName name="sample_wld_az1_rack3_mgmt_vm_vlan">'Value Reference Tables - MR'!$K$276</definedName>
    <definedName name="sample_wld_az1_rack3_pool_name">'Additional Racks'!$C$127</definedName>
    <definedName name="sample_wld_az1_rack3_principal_storage_cidr">Arkham!$B$25</definedName>
    <definedName name="sample_wld_az1_rack3_principal_storage_gateway_ip">'Additional Racks'!$C$141</definedName>
    <definedName name="sample_wld_az1_rack3_principal_storage_mask">'Additional Racks'!$C$140</definedName>
    <definedName name="sample_wld_az1_rack3_principal_storage_mtu">'Additional Racks'!$C$138</definedName>
    <definedName name="sample_wld_az1_rack3_principal_storage_network">'Additional Racks'!$C$139</definedName>
    <definedName name="sample_wld_az1_rack3_principal_storage_pool_end_ip">'Additional Racks'!$C$143</definedName>
    <definedName name="sample_wld_az1_rack3_principal_storage_pool_start_ip">'Additional Racks'!$C$142</definedName>
    <definedName name="sample_wld_az1_rack3_principal_storage_vlan">'Additional Racks'!$C$137</definedName>
    <definedName name="sample_wld_az1_rack3_rtep_ip_pool_name">'Additional Racks'!$C$176</definedName>
    <definedName name="sample_wld_az1_rack3_secondary_storage_cidr">Arkham!$B$26</definedName>
    <definedName name="sample_wld_az1_rack3_secondary_storage_gateway_ip">'Dumping Ground'!$C$520</definedName>
    <definedName name="sample_wld_az1_rack3_secondary_storage_mask">'Dumping Ground'!$C$519</definedName>
    <definedName name="sample_wld_az1_rack3_secondary_storage_mtu">'Dumping Ground'!$C$517</definedName>
    <definedName name="sample_wld_az1_rack3_secondary_storage_network">'Dumping Ground'!$C$518</definedName>
    <definedName name="sample_wld_az1_rack3_secondary_storage_pool_end_ip">'Dumping Ground'!$C$522</definedName>
    <definedName name="sample_wld_az1_rack3_secondary_storage_pool_start_ip">'Dumping Ground'!$C$521</definedName>
    <definedName name="sample_wld_az1_rack3_secondary_storage_vlan">'Dumping Ground'!$C$516</definedName>
    <definedName name="sample_wld_az1_rack3_tor1_peer_asn">Arkham!$E$75</definedName>
    <definedName name="sample_wld_az1_rack3_tor1_peer_bgp_password">Arkham!$E$76</definedName>
    <definedName name="sample_wld_az1_rack3_tor1_peer_ip">Arkham!$E$74</definedName>
    <definedName name="sample_wld_az1_rack3_tor2_peer_asn">Arkham!$E$78</definedName>
    <definedName name="sample_wld_az1_rack3_tor2_peer_bgp_password">Arkham!$E$79</definedName>
    <definedName name="sample_wld_az1_rack3_tor2_peer_ip">Arkham!$E$77</definedName>
    <definedName name="sample_wld_az1_rack3_uplink01_gateway_ip">Arkham!$E$62</definedName>
    <definedName name="sample_wld_az1_rack3_uplink01_mask">Arkham!$E$65</definedName>
    <definedName name="sample_wld_az1_rack3_uplink01_mtu">Arkham!$E$68</definedName>
    <definedName name="sample_wld_az1_rack3_uplink01_network">Arkham!$E$59</definedName>
    <definedName name="sample_wld_az1_rack3_uplink01_vlan">Arkham!$E$56</definedName>
    <definedName name="sample_wld_az1_rack3_uplink02_gateway_ip">Arkham!$E$63</definedName>
    <definedName name="sample_wld_az1_rack3_uplink02_mask">Arkham!$E$66</definedName>
    <definedName name="sample_wld_az1_rack3_uplink02_mtu">Arkham!$E$69</definedName>
    <definedName name="sample_wld_az1_rack3_uplink02_network">Arkham!$E$60</definedName>
    <definedName name="sample_wld_az1_rack3_uplink02_vlan">Arkham!$E$57</definedName>
    <definedName name="sample_wld_az1_rack3_vmotion_cidr">Arkham!$B$24</definedName>
    <definedName name="sample_wld_az1_rack3_vmotion_gateway_ip">'Additional Racks'!$C$133</definedName>
    <definedName name="sample_wld_az1_rack3_vmotion_mask">'Additional Racks'!$C$132</definedName>
    <definedName name="sample_wld_az1_rack3_vmotion_mtu">'Additional Racks'!$C$130</definedName>
    <definedName name="sample_wld_az1_rack3_vmotion_network">'Additional Racks'!$C$131</definedName>
    <definedName name="sample_wld_az1_rack3_vmotion_pool_end_ip">'Additional Racks'!$C$135</definedName>
    <definedName name="sample_wld_az1_rack3_vmotion_pool_start_ip">'Additional Racks'!$C$134</definedName>
    <definedName name="sample_wld_az1_rack3_vmotion_vlan">'Additional Racks'!$C$129</definedName>
    <definedName name="sample_wld_az1_rack3_vsan_fault_domain">'Additional Racks'!$C$179</definedName>
    <definedName name="sample_wld_az1_rack4_edge_overlay_gateway_ip">Arkham!$H$64</definedName>
    <definedName name="sample_wld_az1_rack4_edge_overlay_mask">Arkham!$H$67</definedName>
    <definedName name="sample_wld_az1_rack4_edge_overlay_mtu">Arkham!$H$70</definedName>
    <definedName name="sample_wld_az1_rack4_edge_overlay_network">Arkham!$H$61</definedName>
    <definedName name="sample_wld_az1_rack4_edge_overlay_network_pool_name">'Additional Racks'!$C$268</definedName>
    <definedName name="sample_wld_az1_rack4_edge_overlay_pool_end_ip">Arkham!$H$72</definedName>
    <definedName name="sample_wld_az1_rack4_edge_overlay_pool_start_ip">Arkham!$H$71</definedName>
    <definedName name="sample_wld_az1_rack4_edge_overlay_vlan">Arkham!$H$58</definedName>
    <definedName name="sample_wld_az1_rack4_host_hostnames">'Additional Racks'!$C$240:$C$255</definedName>
    <definedName name="sample_wld_az1_rack4_host_mgmt_ips">'Additional Racks'!$C$200:$C$215</definedName>
    <definedName name="sample_wld_az1_rack4_host_overlay_cidr">Arkham!$B$31</definedName>
    <definedName name="sample_wld_az1_rack4_host_overlay_gateway_ip">'Additional Racks'!$C$281</definedName>
    <definedName name="sample_wld_az1_rack4_host_overlay_mask">'Additional Racks'!$C$280</definedName>
    <definedName name="sample_wld_az1_rack4_host_overlay_mtu">'Additional Racks'!$C$278</definedName>
    <definedName name="sample_wld_az1_rack4_host_overlay_network">'Additional Racks'!$C$279</definedName>
    <definedName name="sample_wld_az1_rack4_host_overlay_network_pool_name">'Additional Racks'!$C$266</definedName>
    <definedName name="sample_wld_az1_rack4_host_overlay_network_profile_name">'Additional Racks'!$C$264</definedName>
    <definedName name="sample_wld_az1_rack4_host_overlay_pool_end_ip">'Additional Racks'!$C$283</definedName>
    <definedName name="sample_wld_az1_rack4_host_overlay_pool_start_ip">'Additional Racks'!$C$282</definedName>
    <definedName name="sample_wld_az1_rack4_host_overlay_uplink_profile_name">'Additional Racks'!$C$267</definedName>
    <definedName name="sample_wld_az1_rack4_host_overlay_vlan">'Additional Racks'!$C$277</definedName>
    <definedName name="sample_wld_az1_rack4_host1_fqdn">'Additional Racks'!$C$240</definedName>
    <definedName name="sample_wld_az1_rack4_host1_mgmt_ip">'Additional Racks'!$C$200</definedName>
    <definedName name="sample_wld_az1_rack4_host10_fqdn">'Additional Racks'!$C$249</definedName>
    <definedName name="sample_wld_az1_rack4_host10_mgmt_ip">'Additional Racks'!$C$209</definedName>
    <definedName name="sample_wld_az1_rack4_host11_fqdn">'Additional Racks'!$C$250</definedName>
    <definedName name="sample_wld_az1_rack4_host11_mgmt_ip">'Additional Racks'!$C$210</definedName>
    <definedName name="sample_wld_az1_rack4_host12_fqdn">'Additional Racks'!$C$251</definedName>
    <definedName name="sample_wld_az1_rack4_host12_mgmt_ip">'Additional Racks'!$C$211</definedName>
    <definedName name="sample_wld_az1_rack4_host13_fqdn">'Additional Racks'!$C$252</definedName>
    <definedName name="sample_wld_az1_rack4_host13_mgmt_ip">'Additional Racks'!$C$212</definedName>
    <definedName name="sample_wld_az1_rack4_host14_fqdn">'Additional Racks'!$C$253</definedName>
    <definedName name="sample_wld_az1_rack4_host14_mgmt_ip">'Additional Racks'!$C$213</definedName>
    <definedName name="sample_wld_az1_rack4_host15_fqdn">'Additional Racks'!$C$254</definedName>
    <definedName name="sample_wld_az1_rack4_host15_mgmt_ip">'Additional Racks'!$C$214</definedName>
    <definedName name="sample_wld_az1_rack4_host16_fqdn">'Additional Racks'!$C$255</definedName>
    <definedName name="sample_wld_az1_rack4_host16_mgmt_ip">'Additional Racks'!$C$215</definedName>
    <definedName name="sample_wld_az1_rack4_host2_fqdn">'Additional Racks'!$C$241</definedName>
    <definedName name="sample_wld_az1_rack4_host2_mgmt_ip">'Additional Racks'!$C$201</definedName>
    <definedName name="sample_wld_az1_rack4_host3_fqdn">'Additional Racks'!$C$242</definedName>
    <definedName name="sample_wld_az1_rack4_host3_mgmt_ip">'Additional Racks'!$C$202</definedName>
    <definedName name="sample_wld_az1_rack4_host4_fqdn">'Additional Racks'!$C$243</definedName>
    <definedName name="sample_wld_az1_rack4_host4_mgmt_ip">'Additional Racks'!$C$203</definedName>
    <definedName name="sample_wld_az1_rack4_host5_fqdn">'Additional Racks'!$C$244</definedName>
    <definedName name="sample_wld_az1_rack4_host5_mgmt_ip">'Additional Racks'!$C$204</definedName>
    <definedName name="sample_wld_az1_rack4_host6_fqdn">'Additional Racks'!$C$245</definedName>
    <definedName name="sample_wld_az1_rack4_host6_mgmt_ip">'Additional Racks'!$C$205</definedName>
    <definedName name="sample_wld_az1_rack4_host7_fqdn">'Additional Racks'!$C$246</definedName>
    <definedName name="sample_wld_az1_rack4_host7_mgmt_ip">'Additional Racks'!$C$206</definedName>
    <definedName name="sample_wld_az1_rack4_host8_fqdn">'Additional Racks'!$C$247</definedName>
    <definedName name="sample_wld_az1_rack4_host8_mgmt_ip">'Additional Racks'!$C$207</definedName>
    <definedName name="sample_wld_az1_rack4_host9_fqdn">'Additional Racks'!$C$248</definedName>
    <definedName name="sample_wld_az1_rack4_host9_mgmt_ip">'Additional Racks'!$C$208</definedName>
    <definedName name="sample_wld_az1_rack4_mgmt_cidr">'Additional Racks'!$C$197</definedName>
    <definedName name="sample_wld_az1_rack4_mgmt_gateway_ip">'Additional Racks'!$C$196</definedName>
    <definedName name="sample_wld_az1_rack4_mgmt_mtu">'Additional Racks'!$C$198</definedName>
    <definedName name="sample_wld_az1_rack4_mgmt_vlan">'Additional Racks'!$C$195</definedName>
    <definedName name="sample_wld_az1_rack4_mgmt_vm_cidr">'Value Reference Tables - MR'!$M$272</definedName>
    <definedName name="sample_wld_az1_rack4_mgmt_vm_gateway_ip">'Value Reference Tables - MR'!$O$277</definedName>
    <definedName name="sample_wld_az1_rack4_mgmt_vm_mtu">'Value Reference Tables - MR'!$Q$277</definedName>
    <definedName name="sample_wld_az1_rack4_mgmt_vm_vlan">'Value Reference Tables - MR'!$K$277</definedName>
    <definedName name="sample_wld_az1_rack4_pool_name">'Additional Racks'!$C$220</definedName>
    <definedName name="sample_wld_az1_rack4_principal_storage_cidr">Arkham!$B$29</definedName>
    <definedName name="sample_wld_az1_rack4_principal_storage_gateway_ip">'Additional Racks'!$C$234</definedName>
    <definedName name="sample_wld_az1_rack4_principal_storage_mask">'Additional Racks'!$C$233</definedName>
    <definedName name="sample_wld_az1_rack4_principal_storage_mtu">'Additional Racks'!$C$231</definedName>
    <definedName name="sample_wld_az1_rack4_principal_storage_network">'Additional Racks'!$C$232</definedName>
    <definedName name="sample_wld_az1_rack4_principal_storage_pool_end_ip">'Additional Racks'!$C$236</definedName>
    <definedName name="sample_wld_az1_rack4_principal_storage_pool_start_ip">'Additional Racks'!$C$235</definedName>
    <definedName name="sample_wld_az1_rack4_principal_storage_vlan">'Additional Racks'!$C$230</definedName>
    <definedName name="sample_wld_az1_rack4_rtep_ip_pool_name">'Additional Racks'!$C$269</definedName>
    <definedName name="sample_wld_az1_rack4_secondary_storage_cidr">Arkham!$B$30</definedName>
    <definedName name="sample_wld_az1_rack4_secondary_storage_gateway_ip">'Dumping Ground'!$C$528</definedName>
    <definedName name="sample_wld_az1_rack4_secondary_storage_mask">'Dumping Ground'!$C$527</definedName>
    <definedName name="sample_wld_az1_rack4_secondary_storage_mtu">'Dumping Ground'!$C$525</definedName>
    <definedName name="sample_wld_az1_rack4_secondary_storage_network">'Dumping Ground'!$C$526</definedName>
    <definedName name="sample_wld_az1_rack4_secondary_storage_pool_end_ip">'Dumping Ground'!$C$530</definedName>
    <definedName name="sample_wld_az1_rack4_secondary_storage_pool_start_ip">'Dumping Ground'!$C$529</definedName>
    <definedName name="sample_wld_az1_rack4_secondary_storage_vlan">'Dumping Ground'!$C$524</definedName>
    <definedName name="sample_wld_az1_rack4_tor1_peer_asn">Arkham!$H$75</definedName>
    <definedName name="sample_wld_az1_rack4_tor1_peer_bgp_password">Arkham!$H$76</definedName>
    <definedName name="sample_wld_az1_rack4_tor1_peer_ip">Arkham!$H$74</definedName>
    <definedName name="sample_wld_az1_rack4_tor2_peer_asn">Arkham!$H$78</definedName>
    <definedName name="sample_wld_az1_rack4_tor2_peer_bgp_password">Arkham!$H$79</definedName>
    <definedName name="sample_wld_az1_rack4_tor2_peer_ip">Arkham!$H$77</definedName>
    <definedName name="sample_wld_az1_rack4_uplink01_gateway_ip">Arkham!$H$62</definedName>
    <definedName name="sample_wld_az1_rack4_uplink01_mask">Arkham!$H$65</definedName>
    <definedName name="sample_wld_az1_rack4_uplink01_mtu">Arkham!$H$68</definedName>
    <definedName name="sample_wld_az1_rack4_uplink01_network">Arkham!$H$59</definedName>
    <definedName name="sample_wld_az1_rack4_uplink01_vlan">Arkham!$H$56</definedName>
    <definedName name="sample_wld_az1_rack4_uplink02_gateway_ip">Arkham!$H$63</definedName>
    <definedName name="sample_wld_az1_rack4_uplink02_mask">Arkham!$H$66</definedName>
    <definedName name="sample_wld_az1_rack4_uplink02_mtu">Arkham!$H$69</definedName>
    <definedName name="sample_wld_az1_rack4_uplink02_network">Arkham!$H$60</definedName>
    <definedName name="sample_wld_az1_rack4_uplink02_vlan">Arkham!$H$57</definedName>
    <definedName name="sample_wld_az1_rack4_vmotion_cidr">Arkham!$B$28</definedName>
    <definedName name="sample_wld_az1_rack4_vmotion_gateway_ip">'Additional Racks'!$C$226</definedName>
    <definedName name="sample_wld_az1_rack4_vmotion_mask">'Additional Racks'!$C$225</definedName>
    <definedName name="sample_wld_az1_rack4_vmotion_mtu">'Additional Racks'!$C$223</definedName>
    <definedName name="sample_wld_az1_rack4_vmotion_network">'Additional Racks'!$C$224</definedName>
    <definedName name="sample_wld_az1_rack4_vmotion_pool_end_ip">'Additional Racks'!$C$228</definedName>
    <definedName name="sample_wld_az1_rack4_vmotion_pool_start_ip">'Additional Racks'!$C$227</definedName>
    <definedName name="sample_wld_az1_rack4_vmotion_vlan">'Additional Racks'!$C$222</definedName>
    <definedName name="sample_wld_az1_rack4_vsan_fault_domain">'Additional Racks'!$C$272</definedName>
    <definedName name="sample_wld_az1_rack5_edge_overlay_gateway_ip">Arkham!$K$64</definedName>
    <definedName name="sample_wld_az1_rack5_edge_overlay_mask">Arkham!$K$67</definedName>
    <definedName name="sample_wld_az1_rack5_edge_overlay_mtu">Arkham!$K$70</definedName>
    <definedName name="sample_wld_az1_rack5_edge_overlay_network">Arkham!$K$61</definedName>
    <definedName name="sample_wld_az1_rack5_edge_overlay_network_pool_name">'Additional Racks'!$C$361</definedName>
    <definedName name="sample_wld_az1_rack5_edge_overlay_pool_end_ip">Arkham!$K$72</definedName>
    <definedName name="sample_wld_az1_rack5_edge_overlay_pool_start_ip">Arkham!$K$71</definedName>
    <definedName name="sample_wld_az1_rack5_edge_overlay_vlan">Arkham!$K$58</definedName>
    <definedName name="sample_wld_az1_rack5_host_hostnames">'Additional Racks'!$C$333:$C$348</definedName>
    <definedName name="sample_wld_az1_rack5_host_mgmt_ips">'Additional Racks'!$C$293:$C$308</definedName>
    <definedName name="sample_wld_az1_rack5_host_overlay_cidr">Arkham!$B$35</definedName>
    <definedName name="sample_wld_az1_rack5_host_overlay_gateway_ip">'Additional Racks'!$C$374</definedName>
    <definedName name="sample_wld_az1_rack5_host_overlay_mask">'Additional Racks'!$C$373</definedName>
    <definedName name="sample_wld_az1_rack5_host_overlay_mtu">'Additional Racks'!$C$371</definedName>
    <definedName name="sample_wld_az1_rack5_host_overlay_network">'Additional Racks'!$C$372</definedName>
    <definedName name="sample_wld_az1_rack5_host_overlay_network_pool_name">'Additional Racks'!$C$359</definedName>
    <definedName name="sample_wld_az1_rack5_host_overlay_network_profile_name">'Additional Racks'!$C$357</definedName>
    <definedName name="sample_wld_az1_rack5_host_overlay_pool_end_ip">'Additional Racks'!$C$376</definedName>
    <definedName name="sample_wld_az1_rack5_host_overlay_pool_start_ip">'Additional Racks'!$C$375</definedName>
    <definedName name="sample_wld_az1_rack5_host_overlay_uplink_profile_name">'Additional Racks'!$C$360</definedName>
    <definedName name="sample_wld_az1_rack5_host_overlay_vlan">'Additional Racks'!$C$370</definedName>
    <definedName name="sample_wld_az1_rack5_host1_fqdn">'Additional Racks'!$C$333</definedName>
    <definedName name="sample_wld_az1_rack5_host1_mgmt_ip">'Additional Racks'!$C$293</definedName>
    <definedName name="sample_wld_az1_rack5_host10_fqdn">'Additional Racks'!$C$342</definedName>
    <definedName name="sample_wld_az1_rack5_host10_mgmt_ip">'Additional Racks'!$C$302</definedName>
    <definedName name="sample_wld_az1_rack5_host11_fqdn">'Additional Racks'!$C$343</definedName>
    <definedName name="sample_wld_az1_rack5_host11_mgmt_ip">'Additional Racks'!$C$303</definedName>
    <definedName name="sample_wld_az1_rack5_host12_fqdn">'Additional Racks'!$C$344</definedName>
    <definedName name="sample_wld_az1_rack5_host12_mgmt_ip">'Additional Racks'!$C$304</definedName>
    <definedName name="sample_wld_az1_rack5_host13_fqdn">'Additional Racks'!$C$345</definedName>
    <definedName name="sample_wld_az1_rack5_host13_mgmt_ip">'Additional Racks'!$C$305</definedName>
    <definedName name="sample_wld_az1_rack5_host14_fqdn">'Additional Racks'!$C$346</definedName>
    <definedName name="sample_wld_az1_rack5_host14_mgmt_ip">'Additional Racks'!$C$306</definedName>
    <definedName name="sample_wld_az1_rack5_host15_fqdn">'Additional Racks'!$C$347</definedName>
    <definedName name="sample_wld_az1_rack5_host15_mgmt_ip">'Additional Racks'!$C$307</definedName>
    <definedName name="sample_wld_az1_rack5_host16_fqdn">'Additional Racks'!$C$348</definedName>
    <definedName name="sample_wld_az1_rack5_host16_mgmt_ip">'Additional Racks'!$C$308</definedName>
    <definedName name="sample_wld_az1_rack5_host2_fqdn">'Additional Racks'!$C$334</definedName>
    <definedName name="sample_wld_az1_rack5_host2_mgmt_ip">'Additional Racks'!$C$294</definedName>
    <definedName name="sample_wld_az1_rack5_host3_fqdn">'Additional Racks'!$C$335</definedName>
    <definedName name="sample_wld_az1_rack5_host3_mgmt_ip">'Additional Racks'!$C$295</definedName>
    <definedName name="sample_wld_az1_rack5_host4_fqdn">'Additional Racks'!$C$336</definedName>
    <definedName name="sample_wld_az1_rack5_host4_mgmt_ip">'Additional Racks'!$C$296</definedName>
    <definedName name="sample_wld_az1_rack5_host5_fqdn">'Additional Racks'!$C$337</definedName>
    <definedName name="sample_wld_az1_rack5_host5_mgmt_ip">'Additional Racks'!$C$297</definedName>
    <definedName name="sample_wld_az1_rack5_host6_fqdn">'Additional Racks'!$C$338</definedName>
    <definedName name="sample_wld_az1_rack5_host6_mgmt_ip">'Additional Racks'!$C$298</definedName>
    <definedName name="sample_wld_az1_rack5_host7_fqdn">'Additional Racks'!$C$339</definedName>
    <definedName name="sample_wld_az1_rack5_host7_mgmt_ip">'Additional Racks'!$C$299</definedName>
    <definedName name="sample_wld_az1_rack5_host8_fqdn">'Additional Racks'!$C$340</definedName>
    <definedName name="sample_wld_az1_rack5_host8_mgmt_ip">'Additional Racks'!$C$300</definedName>
    <definedName name="sample_wld_az1_rack5_host9_fqdn">'Additional Racks'!$C$341</definedName>
    <definedName name="sample_wld_az1_rack5_host9_mgmt_ip">'Additional Racks'!$C$301</definedName>
    <definedName name="sample_wld_az1_rack5_mgmt_cidr">'Additional Racks'!$C$290</definedName>
    <definedName name="sample_wld_az1_rack5_mgmt_gateway_ip">'Additional Racks'!$C$289</definedName>
    <definedName name="sample_wld_az1_rack5_mgmt_mtu">'Additional Racks'!$C$291</definedName>
    <definedName name="sample_wld_az1_rack5_mgmt_vlan">'Additional Racks'!$C$288</definedName>
    <definedName name="sample_wld_az1_rack5_mgmt_vm_cidr">'Value Reference Tables - MR'!$M$273</definedName>
    <definedName name="sample_wld_az1_rack5_mgmt_vm_gateway_ip">'Value Reference Tables - MR'!$O$278</definedName>
    <definedName name="sample_wld_az1_rack5_mgmt_vm_mtu">'Value Reference Tables - MR'!$Q$278</definedName>
    <definedName name="sample_wld_az1_rack5_mgmt_vm_vlan">'Value Reference Tables - MR'!$K$278</definedName>
    <definedName name="sample_wld_az1_rack5_pool_name">'Additional Racks'!$C$313</definedName>
    <definedName name="sample_wld_az1_rack5_principal_storage_cidr">Arkham!$B$33</definedName>
    <definedName name="sample_wld_az1_rack5_principal_storage_gateway_ip">'Additional Racks'!$C$327</definedName>
    <definedName name="sample_wld_az1_rack5_principal_storage_mask">'Additional Racks'!$C$326</definedName>
    <definedName name="sample_wld_az1_rack5_principal_storage_mtu">'Additional Racks'!$C$324</definedName>
    <definedName name="sample_wld_az1_rack5_principal_storage_network">'Additional Racks'!$C$325</definedName>
    <definedName name="sample_wld_az1_rack5_principal_storage_pool_end_ip">'Additional Racks'!$C$329</definedName>
    <definedName name="sample_wld_az1_rack5_principal_storage_pool_start_ip">'Additional Racks'!$C$328</definedName>
    <definedName name="sample_wld_az1_rack5_principal_storage_vlan">'Additional Racks'!$C$323</definedName>
    <definedName name="sample_wld_az1_rack5_rtep_ip_pool_name">'Additional Racks'!$C$362</definedName>
    <definedName name="sample_wld_az1_rack5_secondary_storage_cidr">Arkham!$B$34</definedName>
    <definedName name="sample_wld_az1_rack5_secondary_storage_gateway_ip">'Dumping Ground'!$C$536</definedName>
    <definedName name="sample_wld_az1_rack5_secondary_storage_mask">'Dumping Ground'!$C$535</definedName>
    <definedName name="sample_wld_az1_rack5_secondary_storage_mtu">'Dumping Ground'!$C$533</definedName>
    <definedName name="sample_wld_az1_rack5_secondary_storage_network">'Dumping Ground'!$C$534</definedName>
    <definedName name="sample_wld_az1_rack5_secondary_storage_pool_end_ip">'Dumping Ground'!$C$538</definedName>
    <definedName name="sample_wld_az1_rack5_secondary_storage_pool_start_ip">'Dumping Ground'!$C$537</definedName>
    <definedName name="sample_wld_az1_rack5_secondary_storage_vlan">'Dumping Ground'!$C$532</definedName>
    <definedName name="sample_wld_az1_rack5_tor1_peer_asn">Arkham!$K$75</definedName>
    <definedName name="sample_wld_az1_rack5_tor1_peer_bgp_password">Arkham!$K$76</definedName>
    <definedName name="sample_wld_az1_rack5_tor1_peer_ip">Arkham!$K$74</definedName>
    <definedName name="sample_wld_az1_rack5_tor2_peer_asn">Arkham!$K$78</definedName>
    <definedName name="sample_wld_az1_rack5_tor2_peer_bgp_password">Arkham!$K$79</definedName>
    <definedName name="sample_wld_az1_rack5_tor2_peer_ip">Arkham!$K$77</definedName>
    <definedName name="sample_wld_az1_rack5_uplink01_gateway_ip">Arkham!$K$62</definedName>
    <definedName name="sample_wld_az1_rack5_uplink01_mask">Arkham!$K$65</definedName>
    <definedName name="sample_wld_az1_rack5_uplink01_mtu">Arkham!$K$68</definedName>
    <definedName name="sample_wld_az1_rack5_uplink01_network">Arkham!$K$59</definedName>
    <definedName name="sample_wld_az1_rack5_uplink01_vlan">Arkham!$K$56</definedName>
    <definedName name="sample_wld_az1_rack5_uplink02_gateway_ip">Arkham!$K$63</definedName>
    <definedName name="sample_wld_az1_rack5_uplink02_mask">Arkham!$K$66</definedName>
    <definedName name="sample_wld_az1_rack5_uplink02_mtu">Arkham!$K$69</definedName>
    <definedName name="sample_wld_az1_rack5_uplink02_network">Arkham!$K$60</definedName>
    <definedName name="sample_wld_az1_rack5_uplink02_vlan">Arkham!$K$57</definedName>
    <definedName name="sample_wld_az1_rack5_vmotion_cidr">Arkham!$B$32</definedName>
    <definedName name="sample_wld_az1_rack5_vmotion_gateway_ip">'Additional Racks'!$C$319</definedName>
    <definedName name="sample_wld_az1_rack5_vmotion_mask">'Additional Racks'!$C$318</definedName>
    <definedName name="sample_wld_az1_rack5_vmotion_mtu">'Additional Racks'!$C$316</definedName>
    <definedName name="sample_wld_az1_rack5_vmotion_network">'Additional Racks'!$C$317</definedName>
    <definedName name="sample_wld_az1_rack5_vmotion_pool_end_ip">'Additional Racks'!$C$321</definedName>
    <definedName name="sample_wld_az1_rack5_vmotion_pool_start_ip">'Additional Racks'!$C$320</definedName>
    <definedName name="sample_wld_az1_rack5_vmotion_vlan">'Additional Racks'!$C$315</definedName>
    <definedName name="sample_wld_az1_rack5_vsan_fault_domain">'Additional Racks'!$C$365</definedName>
    <definedName name="sample_wld_az1_rack6_edge_overlay_gateway_ip">Arkham!$N$64</definedName>
    <definedName name="sample_wld_az1_rack6_edge_overlay_mask">Arkham!$N$67</definedName>
    <definedName name="sample_wld_az1_rack6_edge_overlay_mtu">Arkham!$N$70</definedName>
    <definedName name="sample_wld_az1_rack6_edge_overlay_network">Arkham!$N$61</definedName>
    <definedName name="sample_wld_az1_rack6_edge_overlay_network_pool_name">'Additional Racks'!$C$454</definedName>
    <definedName name="sample_wld_az1_rack6_edge_overlay_pool_end_ip">Arkham!$N$72</definedName>
    <definedName name="sample_wld_az1_rack6_edge_overlay_pool_start_ip">Arkham!$N$71</definedName>
    <definedName name="sample_wld_az1_rack6_edge_overlay_vlan">Arkham!$N$58</definedName>
    <definedName name="sample_wld_az1_rack6_host_hostnames">'Additional Racks'!$C$426:$C$441</definedName>
    <definedName name="sample_wld_az1_rack6_host_mgmt_ips">'Additional Racks'!$C$386:$C$401</definedName>
    <definedName name="sample_wld_az1_rack6_host_overlay_cidr">Arkham!$B$39</definedName>
    <definedName name="sample_wld_az1_rack6_host_overlay_gateway_ip">'Additional Racks'!$C$467</definedName>
    <definedName name="sample_wld_az1_rack6_host_overlay_mask">'Additional Racks'!$C$466</definedName>
    <definedName name="sample_wld_az1_rack6_host_overlay_mtu">'Additional Racks'!$C$464</definedName>
    <definedName name="sample_wld_az1_rack6_host_overlay_network">'Additional Racks'!$C$465</definedName>
    <definedName name="sample_wld_az1_rack6_host_overlay_network_pool_name">'Additional Racks'!$C$452</definedName>
    <definedName name="sample_wld_az1_rack6_host_overlay_network_profile_name">'Additional Racks'!$C$450</definedName>
    <definedName name="sample_wld_az1_rack6_host_overlay_pool_end_ip">'Additional Racks'!$C$469</definedName>
    <definedName name="sample_wld_az1_rack6_host_overlay_pool_start_ip">'Additional Racks'!$C$468</definedName>
    <definedName name="sample_wld_az1_rack6_host_overlay_uplink_profile_name">'Additional Racks'!$C$453</definedName>
    <definedName name="sample_wld_az1_rack6_host_overlay_vlan">'Additional Racks'!$C$463</definedName>
    <definedName name="sample_wld_az1_rack6_host1_fqdn">'Additional Racks'!$C$426</definedName>
    <definedName name="sample_wld_az1_rack6_host1_mgmt_ip">'Additional Racks'!$C$386</definedName>
    <definedName name="sample_wld_az1_rack6_host10_fqdn">'Additional Racks'!$C$435</definedName>
    <definedName name="sample_wld_az1_rack6_host10_mgmt_ip">'Additional Racks'!$C$395</definedName>
    <definedName name="sample_wld_az1_rack6_host11_fqdn">'Additional Racks'!$C$436</definedName>
    <definedName name="sample_wld_az1_rack6_host11_mgmt_ip">'Additional Racks'!$C$396</definedName>
    <definedName name="sample_wld_az1_rack6_host12_fqdn">'Additional Racks'!$C$437</definedName>
    <definedName name="sample_wld_az1_rack6_host12_mgmt_ip">'Additional Racks'!$C$397</definedName>
    <definedName name="sample_wld_az1_rack6_host13_fqdn">'Additional Racks'!$C$438</definedName>
    <definedName name="sample_wld_az1_rack6_host13_mgmt_ip">'Additional Racks'!$C$398</definedName>
    <definedName name="sample_wld_az1_rack6_host14_fqdn">'Additional Racks'!$C$439</definedName>
    <definedName name="sample_wld_az1_rack6_host14_mgmt_ip">'Additional Racks'!$C$399</definedName>
    <definedName name="sample_wld_az1_rack6_host15_fqdn">'Additional Racks'!$C$440</definedName>
    <definedName name="sample_wld_az1_rack6_host15_mgmt_ip">'Additional Racks'!$C$400</definedName>
    <definedName name="sample_wld_az1_rack6_host16_fqdn">'Additional Racks'!$C$441</definedName>
    <definedName name="sample_wld_az1_rack6_host16_mgmt_ip">'Additional Racks'!$C$401</definedName>
    <definedName name="sample_wld_az1_rack6_host2_fqdn">'Additional Racks'!$C$427</definedName>
    <definedName name="sample_wld_az1_rack6_host2_mgmt_ip">'Additional Racks'!$C$387</definedName>
    <definedName name="sample_wld_az1_rack6_host3_fqdn">'Additional Racks'!$C$428</definedName>
    <definedName name="sample_wld_az1_rack6_host3_mgmt_ip">'Additional Racks'!$C$388</definedName>
    <definedName name="sample_wld_az1_rack6_host4_fqdn">'Additional Racks'!$C$429</definedName>
    <definedName name="sample_wld_az1_rack6_host4_mgmt_ip">'Additional Racks'!$C$389</definedName>
    <definedName name="sample_wld_az1_rack6_host5_fqdn">'Additional Racks'!$C$430</definedName>
    <definedName name="sample_wld_az1_rack6_host5_mgmt_ip">'Additional Racks'!$C$390</definedName>
    <definedName name="sample_wld_az1_rack6_host6_fqdn">'Additional Racks'!$C$431</definedName>
    <definedName name="sample_wld_az1_rack6_host6_mgmt_ip">'Additional Racks'!$C$391</definedName>
    <definedName name="sample_wld_az1_rack6_host7_fqdn">'Additional Racks'!$C$432</definedName>
    <definedName name="sample_wld_az1_rack6_host7_mgmt_ip">'Additional Racks'!$C$392</definedName>
    <definedName name="sample_wld_az1_rack6_host8_fqdn">'Additional Racks'!$C$433</definedName>
    <definedName name="sample_wld_az1_rack6_host8_mgmt_ip">'Additional Racks'!$C$393</definedName>
    <definedName name="sample_wld_az1_rack6_host9_fqdn">'Additional Racks'!$C$434</definedName>
    <definedName name="sample_wld_az1_rack6_host9_mgmt_ip">'Additional Racks'!$C$394</definedName>
    <definedName name="sample_wld_az1_rack6_mgmt_cidr">'Additional Racks'!$C$383</definedName>
    <definedName name="sample_wld_az1_rack6_mgmt_gateway_ip">'Additional Racks'!$C$382</definedName>
    <definedName name="sample_wld_az1_rack6_mgmt_mtu">'Additional Racks'!$C$384</definedName>
    <definedName name="sample_wld_az1_rack6_mgmt_vlan">'Additional Racks'!$C$381</definedName>
    <definedName name="sample_wld_az1_rack6_mgmt_vm_cidr">'Value Reference Tables - MR'!$M$274</definedName>
    <definedName name="sample_wld_az1_rack6_mgmt_vm_gateway_ip">'Value Reference Tables - MR'!$O$279</definedName>
    <definedName name="sample_wld_az1_rack6_mgmt_vm_mtu">'Value Reference Tables - MR'!$Q$279</definedName>
    <definedName name="sample_wld_az1_rack6_mgmt_vm_vlan">'Value Reference Tables - MR'!$K$279</definedName>
    <definedName name="sample_wld_az1_rack6_pool_name">'Additional Racks'!$C$406</definedName>
    <definedName name="sample_wld_az1_rack6_principal_storage_cidr">Arkham!$B$37</definedName>
    <definedName name="sample_wld_az1_rack6_principal_storage_gateway_ip">'Additional Racks'!$C$420</definedName>
    <definedName name="sample_wld_az1_rack6_principal_storage_mask">'Additional Racks'!$C$419</definedName>
    <definedName name="sample_wld_az1_rack6_principal_storage_mtu">'Additional Racks'!$C$417</definedName>
    <definedName name="sample_wld_az1_rack6_principal_storage_network">'Additional Racks'!$C$418</definedName>
    <definedName name="sample_wld_az1_rack6_principal_storage_pool_end_ip">'Additional Racks'!$C$422</definedName>
    <definedName name="sample_wld_az1_rack6_principal_storage_pool_start_ip">'Additional Racks'!$C$421</definedName>
    <definedName name="sample_wld_az1_rack6_principal_storage_vlan">'Additional Racks'!$C$416</definedName>
    <definedName name="sample_wld_az1_rack6_rtep_ip_pool_name">'Additional Racks'!$C$455</definedName>
    <definedName name="sample_wld_az1_rack6_secondary_storage_cidr">Arkham!$B$38</definedName>
    <definedName name="sample_wld_az1_rack6_secondary_storage_gateway_ip">'Dumping Ground'!$C$544</definedName>
    <definedName name="sample_wld_az1_rack6_secondary_storage_mask">'Dumping Ground'!$C$543</definedName>
    <definedName name="sample_wld_az1_rack6_secondary_storage_mtu">'Dumping Ground'!$C$541</definedName>
    <definedName name="sample_wld_az1_rack6_secondary_storage_network">'Dumping Ground'!$C$542</definedName>
    <definedName name="sample_wld_az1_rack6_secondary_storage_pool_end_ip">'Dumping Ground'!$C$546</definedName>
    <definedName name="sample_wld_az1_rack6_secondary_storage_pool_start_ip">'Dumping Ground'!$C$545</definedName>
    <definedName name="sample_wld_az1_rack6_secondary_storage_vlan">'Dumping Ground'!$C$540</definedName>
    <definedName name="sample_wld_az1_rack6_tor1_peer_asn">Arkham!$N$75</definedName>
    <definedName name="sample_wld_az1_rack6_tor1_peer_bgp_password">Arkham!$N$76</definedName>
    <definedName name="sample_wld_az1_rack6_tor1_peer_ip">Arkham!$N$74</definedName>
    <definedName name="sample_wld_az1_rack6_tor2_peer_asn">Arkham!$N$78</definedName>
    <definedName name="sample_wld_az1_rack6_tor2_peer_bgp_password">Arkham!$N$79</definedName>
    <definedName name="sample_wld_az1_rack6_tor2_peer_ip">Arkham!$N$77</definedName>
    <definedName name="sample_wld_az1_rack6_uplink01_gateway_ip">Arkham!$N$62</definedName>
    <definedName name="sample_wld_az1_rack6_uplink01_mask">Arkham!$N$65</definedName>
    <definedName name="sample_wld_az1_rack6_uplink01_mtu">Arkham!$N$68</definedName>
    <definedName name="sample_wld_az1_rack6_uplink01_network">Arkham!$N$59</definedName>
    <definedName name="sample_wld_az1_rack6_uplink01_vlan">Arkham!$N$56</definedName>
    <definedName name="sample_wld_az1_rack6_uplink02_gateway_ip">Arkham!$N$63</definedName>
    <definedName name="sample_wld_az1_rack6_uplink02_mask">Arkham!$N$66</definedName>
    <definedName name="sample_wld_az1_rack6_uplink02_mtu">Arkham!$N$69</definedName>
    <definedName name="sample_wld_az1_rack6_uplink02_network">Arkham!$N$60</definedName>
    <definedName name="sample_wld_az1_rack6_uplink02_vlan">Arkham!$N$57</definedName>
    <definedName name="sample_wld_az1_rack6_vmotion_cidr">Arkham!$B$36</definedName>
    <definedName name="sample_wld_az1_rack6_vmotion_gateway_ip">'Additional Racks'!$C$412</definedName>
    <definedName name="sample_wld_az1_rack6_vmotion_mask">'Additional Racks'!$C$411</definedName>
    <definedName name="sample_wld_az1_rack6_vmotion_mtu">'Additional Racks'!$C$409</definedName>
    <definedName name="sample_wld_az1_rack6_vmotion_network">'Additional Racks'!$C$410</definedName>
    <definedName name="sample_wld_az1_rack6_vmotion_pool_end_ip">'Additional Racks'!$C$414</definedName>
    <definedName name="sample_wld_az1_rack6_vmotion_pool_start_ip">'Additional Racks'!$C$413</definedName>
    <definedName name="sample_wld_az1_rack6_vmotion_vlan">'Additional Racks'!$C$408</definedName>
    <definedName name="sample_wld_az1_rack6_vsan_fault_domain">'Additional Racks'!$C$458</definedName>
    <definedName name="sample_wld_az1_rack7_edge_overlay_gateway_ip">Arkham!$Q$64</definedName>
    <definedName name="sample_wld_az1_rack7_edge_overlay_mask">Arkham!$Q$67</definedName>
    <definedName name="sample_wld_az1_rack7_edge_overlay_mtu">Arkham!$Q$70</definedName>
    <definedName name="sample_wld_az1_rack7_edge_overlay_network">Arkham!$Q$61</definedName>
    <definedName name="sample_wld_az1_rack7_edge_overlay_network_pool_name">'Additional Racks'!$C$547</definedName>
    <definedName name="sample_wld_az1_rack7_edge_overlay_pool_end_ip">Arkham!$Q$72</definedName>
    <definedName name="sample_wld_az1_rack7_edge_overlay_pool_start_ip">Arkham!$Q$71</definedName>
    <definedName name="sample_wld_az1_rack7_edge_overlay_vlan">Arkham!$Q$58</definedName>
    <definedName name="sample_wld_az1_rack7_host_hostnames">'Additional Racks'!$C$519:$C$534</definedName>
    <definedName name="sample_wld_az1_rack7_host_mgmt_ips">'Additional Racks'!$C$479:$C$494</definedName>
    <definedName name="sample_wld_az1_rack7_host_overlay_cidr">Arkham!$B$43</definedName>
    <definedName name="sample_wld_az1_rack7_host_overlay_gateway_ip">'Additional Racks'!$C$560</definedName>
    <definedName name="sample_wld_az1_rack7_host_overlay_mask">'Additional Racks'!$C$559</definedName>
    <definedName name="sample_wld_az1_rack7_host_overlay_mtu">'Additional Racks'!$C$557</definedName>
    <definedName name="sample_wld_az1_rack7_host_overlay_network">'Additional Racks'!$C$558</definedName>
    <definedName name="sample_wld_az1_rack7_host_overlay_network_pool_name">'Additional Racks'!$C$545</definedName>
    <definedName name="sample_wld_az1_rack7_host_overlay_network_profile_name">'Additional Racks'!$C$543</definedName>
    <definedName name="sample_wld_az1_rack7_host_overlay_pool_end_ip">'Additional Racks'!$C$562</definedName>
    <definedName name="sample_wld_az1_rack7_host_overlay_pool_start_ip">'Additional Racks'!$C$561</definedName>
    <definedName name="sample_wld_az1_rack7_host_overlay_uplink_profile_name">'Additional Racks'!$C$546</definedName>
    <definedName name="sample_wld_az1_rack7_host_overlay_vlan">'Additional Racks'!$C$556</definedName>
    <definedName name="sample_wld_az1_rack7_host1_fqdn">'Additional Racks'!$C$519</definedName>
    <definedName name="sample_wld_az1_rack7_host1_mgmt_ip">'Additional Racks'!$C$479</definedName>
    <definedName name="sample_wld_az1_rack7_host10_fqdn">'Additional Racks'!$C$528</definedName>
    <definedName name="sample_wld_az1_rack7_host10_mgmt_ip">'Additional Racks'!$C$488</definedName>
    <definedName name="sample_wld_az1_rack7_host11_fqdn">'Additional Racks'!$C$529</definedName>
    <definedName name="sample_wld_az1_rack7_host11_mgmt_ip">'Additional Racks'!$C$489</definedName>
    <definedName name="sample_wld_az1_rack7_host12_fqdn">'Additional Racks'!$C$530</definedName>
    <definedName name="sample_wld_az1_rack7_host12_mgmt_ip">'Additional Racks'!$C$490</definedName>
    <definedName name="sample_wld_az1_rack7_host13_fqdn">'Additional Racks'!$C$531</definedName>
    <definedName name="sample_wld_az1_rack7_host13_mgmt_ip">'Additional Racks'!$C$491</definedName>
    <definedName name="sample_wld_az1_rack7_host14_fqdn">'Additional Racks'!$C$532</definedName>
    <definedName name="sample_wld_az1_rack7_host14_mgmt_ip">'Additional Racks'!$C$492</definedName>
    <definedName name="sample_wld_az1_rack7_host15_fqdn">'Additional Racks'!$C$533</definedName>
    <definedName name="sample_wld_az1_rack7_host15_mgmt_ip">'Additional Racks'!$C$493</definedName>
    <definedName name="sample_wld_az1_rack7_host16_fqdn">'Additional Racks'!$C$534</definedName>
    <definedName name="sample_wld_az1_rack7_host16_mgmt_ip">'Additional Racks'!$C$494</definedName>
    <definedName name="sample_wld_az1_rack7_host2_fqdn">'Additional Racks'!$C$520</definedName>
    <definedName name="sample_wld_az1_rack7_host2_mgmt_ip">'Additional Racks'!$C$480</definedName>
    <definedName name="sample_wld_az1_rack7_host3_fqdn">'Additional Racks'!$C$521</definedName>
    <definedName name="sample_wld_az1_rack7_host3_mgmt_ip">'Additional Racks'!$C$481</definedName>
    <definedName name="sample_wld_az1_rack7_host4_fqdn">'Additional Racks'!$C$522</definedName>
    <definedName name="sample_wld_az1_rack7_host4_mgmt_ip">'Additional Racks'!$C$482</definedName>
    <definedName name="sample_wld_az1_rack7_host5_fqdn">'Additional Racks'!$C$523</definedName>
    <definedName name="sample_wld_az1_rack7_host5_mgmt_ip">'Additional Racks'!$C$483</definedName>
    <definedName name="sample_wld_az1_rack7_host6_fqdn">'Additional Racks'!$C$524</definedName>
    <definedName name="sample_wld_az1_rack7_host6_mgmt_ip">'Additional Racks'!$C$484</definedName>
    <definedName name="sample_wld_az1_rack7_host7_fqdn">'Additional Racks'!$C$525</definedName>
    <definedName name="sample_wld_az1_rack7_host7_mgmt_ip">'Additional Racks'!$C$485</definedName>
    <definedName name="sample_wld_az1_rack7_host8_fqdn">'Additional Racks'!$C$526</definedName>
    <definedName name="sample_wld_az1_rack7_host8_mgmt_ip">'Additional Racks'!$C$486</definedName>
    <definedName name="sample_wld_az1_rack7_host9_fqdn">'Additional Racks'!$C$527</definedName>
    <definedName name="sample_wld_az1_rack7_host9_mgmt_ip">'Additional Racks'!$C$487</definedName>
    <definedName name="sample_wld_az1_rack7_mgmt_cidr">'Additional Racks'!$C$476</definedName>
    <definedName name="sample_wld_az1_rack7_mgmt_gateway_ip">'Additional Racks'!$C$475</definedName>
    <definedName name="sample_wld_az1_rack7_mgmt_mtu">'Additional Racks'!$C$477</definedName>
    <definedName name="sample_wld_az1_rack7_mgmt_vlan">'Additional Racks'!$C$474</definedName>
    <definedName name="sample_wld_az1_rack7_mgmt_vm_cidr">'Value Reference Tables - MR'!$M$275</definedName>
    <definedName name="sample_wld_az1_rack7_mgmt_vm_gateway_ip">'Value Reference Tables - MR'!$O$280</definedName>
    <definedName name="sample_wld_az1_rack7_mgmt_vm_mtu">'Value Reference Tables - MR'!$Q$280</definedName>
    <definedName name="sample_wld_az1_rack7_mgmt_vm_vlan">'Value Reference Tables - MR'!$K$280</definedName>
    <definedName name="sample_wld_az1_rack7_pool_name">'Additional Racks'!$C$499</definedName>
    <definedName name="sample_wld_az1_rack7_principal_storage_cidr">Arkham!$B$41</definedName>
    <definedName name="sample_wld_az1_rack7_principal_storage_gateway_ip">'Additional Racks'!$C$513</definedName>
    <definedName name="sample_wld_az1_rack7_principal_storage_mask">'Additional Racks'!$C$512</definedName>
    <definedName name="sample_wld_az1_rack7_principal_storage_mtu">'Additional Racks'!$C$510</definedName>
    <definedName name="sample_wld_az1_rack7_principal_storage_network">'Additional Racks'!$C$511</definedName>
    <definedName name="sample_wld_az1_rack7_principal_storage_pool_end_ip">'Additional Racks'!$C$515</definedName>
    <definedName name="sample_wld_az1_rack7_principal_storage_pool_start_ip">'Additional Racks'!$C$514</definedName>
    <definedName name="sample_wld_az1_rack7_principal_storage_vlan">'Additional Racks'!$C$509</definedName>
    <definedName name="sample_wld_az1_rack7_rtep_ip_pool_name">'Additional Racks'!$C$548</definedName>
    <definedName name="sample_wld_az1_rack7_secondary_storage_cidr">Arkham!$B$42</definedName>
    <definedName name="sample_wld_az1_rack7_secondary_storage_gateway_ip">'Dumping Ground'!$C$552</definedName>
    <definedName name="sample_wld_az1_rack7_secondary_storage_mask">'Dumping Ground'!$C$551</definedName>
    <definedName name="sample_wld_az1_rack7_secondary_storage_mtu">'Dumping Ground'!$C$549</definedName>
    <definedName name="sample_wld_az1_rack7_secondary_storage_network">'Dumping Ground'!$C$550</definedName>
    <definedName name="sample_wld_az1_rack7_secondary_storage_pool_end_ip">'Dumping Ground'!$C$554</definedName>
    <definedName name="sample_wld_az1_rack7_secondary_storage_pool_start_ip">'Dumping Ground'!$C$553</definedName>
    <definedName name="sample_wld_az1_rack7_secondary_storage_vlan">'Dumping Ground'!$C$548</definedName>
    <definedName name="sample_wld_az1_rack7_tor1_peer_asn">Arkham!$Q$75</definedName>
    <definedName name="sample_wld_az1_rack7_tor1_peer_bgp_password">Arkham!$Q$76</definedName>
    <definedName name="sample_wld_az1_rack7_tor1_peer_ip">Arkham!$Q$74</definedName>
    <definedName name="sample_wld_az1_rack7_tor2_peer_asn">Arkham!$Q$78</definedName>
    <definedName name="sample_wld_az1_rack7_tor2_peer_bgp_password">Arkham!$Q$79</definedName>
    <definedName name="sample_wld_az1_rack7_tor2_peer_ip">Arkham!$Q$77</definedName>
    <definedName name="sample_wld_az1_rack7_uplink01_gateway_ip">Arkham!$Q$62</definedName>
    <definedName name="sample_wld_az1_rack7_uplink01_mask">Arkham!$Q$65</definedName>
    <definedName name="sample_wld_az1_rack7_uplink01_mtu">Arkham!$Q$68</definedName>
    <definedName name="sample_wld_az1_rack7_uplink01_network">Arkham!$Q$59</definedName>
    <definedName name="sample_wld_az1_rack7_uplink01_vlan">Arkham!$Q$56</definedName>
    <definedName name="sample_wld_az1_rack7_uplink02_gateway_ip">Arkham!$Q$63</definedName>
    <definedName name="sample_wld_az1_rack7_uplink02_mask">Arkham!$Q$66</definedName>
    <definedName name="sample_wld_az1_rack7_uplink02_mtu">Arkham!$Q$69</definedName>
    <definedName name="sample_wld_az1_rack7_uplink02_network">Arkham!$Q$60</definedName>
    <definedName name="sample_wld_az1_rack7_uplink02_vlan">Arkham!$Q$57</definedName>
    <definedName name="sample_wld_az1_rack7_vmotion_cidr">Arkham!$B$40</definedName>
    <definedName name="sample_wld_az1_rack7_vmotion_gateway_ip">'Additional Racks'!$C$505</definedName>
    <definedName name="sample_wld_az1_rack7_vmotion_mask">'Additional Racks'!$C$504</definedName>
    <definedName name="sample_wld_az1_rack7_vmotion_mtu">'Additional Racks'!$C$502</definedName>
    <definedName name="sample_wld_az1_rack7_vmotion_network">'Additional Racks'!$C$503</definedName>
    <definedName name="sample_wld_az1_rack7_vmotion_pool_end_ip">'Additional Racks'!$C$507</definedName>
    <definedName name="sample_wld_az1_rack7_vmotion_pool_start_ip">'Additional Racks'!$C$506</definedName>
    <definedName name="sample_wld_az1_rack7_vmotion_vlan">'Additional Racks'!$C$501</definedName>
    <definedName name="sample_wld_az1_rack7_vsan_fault_domain">'Additional Racks'!$C$551</definedName>
    <definedName name="sample_wld_az1_rack8_edge_overlay_gateway_ip">Arkham!$T$64</definedName>
    <definedName name="sample_wld_az1_rack8_edge_overlay_mask">Arkham!$T$67</definedName>
    <definedName name="sample_wld_az1_rack8_edge_overlay_mtu">Arkham!$T$70</definedName>
    <definedName name="sample_wld_az1_rack8_edge_overlay_network">Arkham!$T$61</definedName>
    <definedName name="sample_wld_az1_rack8_edge_overlay_network_pool_name">'Additional Racks'!$C$640</definedName>
    <definedName name="sample_wld_az1_rack8_edge_overlay_pool_end_ip">Arkham!$T$72</definedName>
    <definedName name="sample_wld_az1_rack8_edge_overlay_pool_start_ip">Arkham!$T$71</definedName>
    <definedName name="sample_wld_az1_rack8_edge_overlay_vlan">Arkham!$T$58</definedName>
    <definedName name="sample_wld_az1_rack8_host_hostnames">'Additional Racks'!$C$612:$C$627</definedName>
    <definedName name="sample_wld_az1_rack8_host_mgmt_ips">'Additional Racks'!$C$572:$C$587</definedName>
    <definedName name="sample_wld_az1_rack8_host_overlay_cidr">Arkham!$B$47</definedName>
    <definedName name="sample_wld_az1_rack8_host_overlay_gateway_ip">'Additional Racks'!$C$653</definedName>
    <definedName name="sample_wld_az1_rack8_host_overlay_mask">'Additional Racks'!$C$652</definedName>
    <definedName name="sample_wld_az1_rack8_host_overlay_mtu">'Additional Racks'!$C$650</definedName>
    <definedName name="sample_wld_az1_rack8_host_overlay_network">'Additional Racks'!$C$651</definedName>
    <definedName name="sample_wld_az1_rack8_host_overlay_network_pool_name">'Additional Racks'!$C$638</definedName>
    <definedName name="sample_wld_az1_rack8_host_overlay_network_profile_name">'Additional Racks'!$C$636</definedName>
    <definedName name="sample_wld_az1_rack8_host_overlay_pool_end_ip">'Additional Racks'!$C$655</definedName>
    <definedName name="sample_wld_az1_rack8_host_overlay_pool_start_ip">'Additional Racks'!$C$654</definedName>
    <definedName name="sample_wld_az1_rack8_host_overlay_uplink_profile_name">'Additional Racks'!$C$639</definedName>
    <definedName name="sample_wld_az1_rack8_host_overlay_vlan">'Additional Racks'!$C$649</definedName>
    <definedName name="sample_wld_az1_rack8_host1_fqdn">'Additional Racks'!$C$612</definedName>
    <definedName name="sample_wld_az1_rack8_host1_mgmt_ip">'Additional Racks'!$C$572</definedName>
    <definedName name="sample_wld_az1_rack8_host10_fqdn">'Additional Racks'!$C$621</definedName>
    <definedName name="sample_wld_az1_rack8_host10_mgmt_ip">'Additional Racks'!$C$581</definedName>
    <definedName name="sample_wld_az1_rack8_host11_fqdn">'Additional Racks'!$C$622</definedName>
    <definedName name="sample_wld_az1_rack8_host11_mgmt_ip">'Additional Racks'!$C$582</definedName>
    <definedName name="sample_wld_az1_rack8_host12_fqdn">'Additional Racks'!$C$623</definedName>
    <definedName name="sample_wld_az1_rack8_host12_mgmt_ip">'Additional Racks'!$C$583</definedName>
    <definedName name="sample_wld_az1_rack8_host13_fqdn">'Additional Racks'!$C$624</definedName>
    <definedName name="sample_wld_az1_rack8_host13_mgmt_ip">'Additional Racks'!$C$584</definedName>
    <definedName name="sample_wld_az1_rack8_host14_fqdn">'Additional Racks'!$C$625</definedName>
    <definedName name="sample_wld_az1_rack8_host14_mgmt_ip">'Additional Racks'!$C$585</definedName>
    <definedName name="sample_wld_az1_rack8_host15_fqdn">'Additional Racks'!$C$626</definedName>
    <definedName name="sample_wld_az1_rack8_host15_mgmt_ip">'Additional Racks'!$C$586</definedName>
    <definedName name="sample_wld_az1_rack8_host16_fqdn">'Additional Racks'!$C$627</definedName>
    <definedName name="sample_wld_az1_rack8_host16_mgmt_ip">'Additional Racks'!$C$587</definedName>
    <definedName name="sample_wld_az1_rack8_host2_fqdn">'Additional Racks'!$C$613</definedName>
    <definedName name="sample_wld_az1_rack8_host2_mgmt_ip">'Additional Racks'!$C$573</definedName>
    <definedName name="sample_wld_az1_rack8_host3_fqdn">'Additional Racks'!$C$614</definedName>
    <definedName name="sample_wld_az1_rack8_host3_mgmt_ip">'Additional Racks'!$C$574</definedName>
    <definedName name="sample_wld_az1_rack8_host4_fqdn">'Additional Racks'!$C$615</definedName>
    <definedName name="sample_wld_az1_rack8_host4_mgmt_ip">'Additional Racks'!$C$575</definedName>
    <definedName name="sample_wld_az1_rack8_host5_fqdn">'Additional Racks'!$C$616</definedName>
    <definedName name="sample_wld_az1_rack8_host5_mgmt_ip">'Additional Racks'!$C$576</definedName>
    <definedName name="sample_wld_az1_rack8_host6_fqdn">'Additional Racks'!$C$617</definedName>
    <definedName name="sample_wld_az1_rack8_host6_mgmt_ip">'Additional Racks'!$C$577</definedName>
    <definedName name="sample_wld_az1_rack8_host7_fqdn">'Additional Racks'!$C$618</definedName>
    <definedName name="sample_wld_az1_rack8_host7_mgmt_ip">'Additional Racks'!$C$578</definedName>
    <definedName name="sample_wld_az1_rack8_host8_fqdn">'Additional Racks'!$C$619</definedName>
    <definedName name="sample_wld_az1_rack8_host8_mgmt_ip">'Additional Racks'!$C$579</definedName>
    <definedName name="sample_wld_az1_rack8_host9_fqdn">'Additional Racks'!$C$620</definedName>
    <definedName name="sample_wld_az1_rack8_host9_mgmt_ip">'Additional Racks'!$C$580</definedName>
    <definedName name="sample_wld_az1_rack8_mgmt_cidr">'Additional Racks'!$C$569</definedName>
    <definedName name="sample_wld_az1_rack8_mgmt_gateway_ip">'Additional Racks'!$C$568</definedName>
    <definedName name="sample_wld_az1_rack8_mgmt_mtu">'Additional Racks'!$C$570</definedName>
    <definedName name="sample_wld_az1_rack8_mgmt_vlan">'Additional Racks'!$C$567</definedName>
    <definedName name="sample_wld_az1_rack8_mgmt_vm_cidr">'Value Reference Tables - MR'!$M$276</definedName>
    <definedName name="sample_wld_az1_rack8_mgmt_vm_gateway_ip">'Value Reference Tables - MR'!$O$281</definedName>
    <definedName name="sample_wld_az1_rack8_mgmt_vm_mtu">'Value Reference Tables - MR'!$Q$281</definedName>
    <definedName name="sample_wld_az1_rack8_mgmt_vm_vlan">'Value Reference Tables - MR'!$K$281</definedName>
    <definedName name="sample_wld_az1_rack8_pool_name">'Additional Racks'!$C$592</definedName>
    <definedName name="sample_wld_az1_rack8_principal_storage_cidr">Arkham!$B$45</definedName>
    <definedName name="sample_wld_az1_rack8_principal_storage_gateway_ip">'Additional Racks'!$C$606</definedName>
    <definedName name="sample_wld_az1_rack8_principal_storage_mask">'Additional Racks'!$C$605</definedName>
    <definedName name="sample_wld_az1_rack8_principal_storage_mtu">'Additional Racks'!$C$603</definedName>
    <definedName name="sample_wld_az1_rack8_principal_storage_network">'Additional Racks'!$C$604</definedName>
    <definedName name="sample_wld_az1_rack8_principal_storage_pool_end_ip">'Additional Racks'!$C$608</definedName>
    <definedName name="sample_wld_az1_rack8_principal_storage_pool_start_ip">'Additional Racks'!$C$607</definedName>
    <definedName name="sample_wld_az1_rack8_principal_storage_vlan">'Additional Racks'!$C$602</definedName>
    <definedName name="sample_wld_az1_rack8_rtep_ip_pool_name">'Additional Racks'!$C$641</definedName>
    <definedName name="sample_wld_az1_rack8_secondary_storage_cidr">Arkham!$B$46</definedName>
    <definedName name="sample_wld_az1_rack8_secondary_storage_gateway_ip">'Dumping Ground'!$C$560</definedName>
    <definedName name="sample_wld_az1_rack8_secondary_storage_mask">'Dumping Ground'!$C$559</definedName>
    <definedName name="sample_wld_az1_rack8_secondary_storage_mtu">'Dumping Ground'!$C$557</definedName>
    <definedName name="sample_wld_az1_rack8_secondary_storage_network">'Dumping Ground'!$C$558</definedName>
    <definedName name="sample_wld_az1_rack8_secondary_storage_pool_end_ip">'Dumping Ground'!$C$562</definedName>
    <definedName name="sample_wld_az1_rack8_secondary_storage_pool_start_ip">'Dumping Ground'!$C$561</definedName>
    <definedName name="sample_wld_az1_rack8_secondary_storage_vlan">'Dumping Ground'!$C$556</definedName>
    <definedName name="sample_wld_az1_rack8_tor1_peer_asn">Arkham!$T$75</definedName>
    <definedName name="sample_wld_az1_rack8_tor1_peer_bgp_password">Arkham!$T$76</definedName>
    <definedName name="sample_wld_az1_rack8_tor1_peer_ip">Arkham!$T$74</definedName>
    <definedName name="sample_wld_az1_rack8_tor2_peer_asn">Arkham!$T$78</definedName>
    <definedName name="sample_wld_az1_rack8_tor2_peer_bgp_password">Arkham!$T$79</definedName>
    <definedName name="sample_wld_az1_rack8_tor2_peer_ip">Arkham!$T$77</definedName>
    <definedName name="sample_wld_az1_rack8_uplink01_gateway_ip">Arkham!$T$62</definedName>
    <definedName name="sample_wld_az1_rack8_uplink01_mask">Arkham!$T$65</definedName>
    <definedName name="sample_wld_az1_rack8_uplink01_mtu">Arkham!$T$68</definedName>
    <definedName name="sample_wld_az1_rack8_uplink01_network">Arkham!$T$59</definedName>
    <definedName name="sample_wld_az1_rack8_uplink01_vlan">Arkham!$T$56</definedName>
    <definedName name="sample_wld_az1_rack8_uplink02_gateway_ip">Arkham!$T$63</definedName>
    <definedName name="sample_wld_az1_rack8_uplink02_mask">Arkham!$T$66</definedName>
    <definedName name="sample_wld_az1_rack8_uplink02_mtu">Arkham!$T$69</definedName>
    <definedName name="sample_wld_az1_rack8_uplink02_network">Arkham!$T$60</definedName>
    <definedName name="sample_wld_az1_rack8_uplink02_vlan">Arkham!$T$57</definedName>
    <definedName name="sample_wld_az1_rack8_vmotion_cidr">Arkham!$B$44</definedName>
    <definedName name="sample_wld_az1_rack8_vmotion_gateway_ip">'Additional Racks'!$C$598</definedName>
    <definedName name="sample_wld_az1_rack8_vmotion_mask">'Additional Racks'!$C$597</definedName>
    <definedName name="sample_wld_az1_rack8_vmotion_mtu">'Additional Racks'!$C$595</definedName>
    <definedName name="sample_wld_az1_rack8_vmotion_network">'Additional Racks'!$C$596</definedName>
    <definedName name="sample_wld_az1_rack8_vmotion_pool_end_ip">'Additional Racks'!$C$600</definedName>
    <definedName name="sample_wld_az1_rack8_vmotion_pool_start_ip">'Additional Racks'!$C$599</definedName>
    <definedName name="sample_wld_az1_rack8_vmotion_vlan">'Additional Racks'!$C$594</definedName>
    <definedName name="sample_wld_az1_rack8_vsan_fault_domain">'Additional Racks'!$C$644</definedName>
    <definedName name="sample_wld_az1_rtep_ip_pool_name">'Configure Workload Domain'!$C$539</definedName>
    <definedName name="sample_wld_az1_rtep_overlay_cidr">'Configure Workload Domain'!$C$542</definedName>
    <definedName name="sample_wld_az1_rtep_overlay_gateway_ip">'Configure Workload Domain'!$C$543</definedName>
    <definedName name="sample_wld_az1_rtep_overlay_vlan">'Configure Workload Domain'!$C$572</definedName>
    <definedName name="sample_wld_az1_secondary_storage_gateway_cidr">'Deploy Workload Domain'!$C$110</definedName>
    <definedName name="sample_wld_az1_secondary_storage_mtu">'Deploy Workload Domain'!$C$108</definedName>
    <definedName name="sample_wld_az1_secondary_storage_pool_end_ip">'Deploy Workload Domain'!$C$113</definedName>
    <definedName name="sample_wld_az1_secondary_storage_pool_start_ip">'Deploy Workload Domain'!$C$112</definedName>
    <definedName name="sample_wld_az1_secondary_storage_vlan">'Deploy Workload Domain'!$C$107</definedName>
    <definedName name="sample_wld_az1_storage_cluster_gateway_cidr">'Deploy Workload Domain'!$C$121</definedName>
    <definedName name="sample_wld_az1_storage_cluster_mtu">'Deploy Workload Domain'!$C$119</definedName>
    <definedName name="sample_wld_az1_storage_cluster_pool_end_ip">'Deploy Workload Domain'!$C$124</definedName>
    <definedName name="sample_wld_az1_storage_cluster_pool_start_ip">'Deploy Workload Domain'!$C$123</definedName>
    <definedName name="sample_wld_az1_storage_cluster_vlan">'Deploy Workload Domain'!$C$118</definedName>
    <definedName name="sample_wld_az1_tor1_peer_asn">'Configure Workload Domain'!$C$109</definedName>
    <definedName name="sample_wld_az1_tor1_peer_bgp_password">'Configure Workload Domain'!$C$110</definedName>
    <definedName name="sample_wld_az1_tor1_peer_ip">'Configure Workload Domain'!$C$106</definedName>
    <definedName name="sample_wld_az1_tor2_peer_asn">'Configure Workload Domain'!$C$116</definedName>
    <definedName name="sample_wld_az1_tor2_peer_bgp_password">'Configure Workload Domain'!$C$117</definedName>
    <definedName name="sample_wld_az1_tor2_peer_ip">'Configure Workload Domain'!$C$113</definedName>
    <definedName name="sample_wld_az1_uplink01_cidr">'Configure Workload Domain'!$C$175</definedName>
    <definedName name="sample_wld_az1_uplink01_gateway_ip">'Configure Workload Domain'!$C$174</definedName>
    <definedName name="sample_wld_az1_uplink01_mtu">'Configure Workload Domain'!$C$108</definedName>
    <definedName name="sample_wld_az1_uplink01_vlan">'Configure Workload Domain'!$C$104</definedName>
    <definedName name="sample_wld_az1_uplink02_cidr">'Configure Workload Domain'!$C$179</definedName>
    <definedName name="sample_wld_az1_uplink02_gateway_ip">'Configure Workload Domain'!$C$178</definedName>
    <definedName name="sample_wld_az1_uplink02_mtu">'Configure Workload Domain'!$C$115</definedName>
    <definedName name="sample_wld_az1_uplink02_vlan">'Configure Workload Domain'!$C$111</definedName>
    <definedName name="sample_wld_az1_vmotion_gateway_cidr">'Deploy Workload Domain'!$C$88</definedName>
    <definedName name="sample_wld_az1_vmotion_mtu">'Deploy Workload Domain'!$C$86</definedName>
    <definedName name="sample_wld_az1_vmotion_pool_end_ip">'Deploy Workload Domain'!$C$91</definedName>
    <definedName name="sample_wld_az1_vmotion_pool_start_ip">'Deploy Workload Domain'!$C$90</definedName>
    <definedName name="sample_wld_az1_vmotion_vlan">'Deploy Workload Domain'!$C$85</definedName>
    <definedName name="sample_wld_az1_vrms_cidr">'Dumping Ground'!$C$270</definedName>
    <definedName name="sample_wld_az1_vrms_gateway_ip">'Dumping Ground'!$C$269</definedName>
    <definedName name="sample_wld_az1_vrms_mask">'Dumping Ground'!$E$269</definedName>
    <definedName name="sample_wld_az1_vrms_mtu">'Dumping Ground'!$C$271</definedName>
    <definedName name="sample_wld_az1_vrms_vlan">'On-Premises Ransomware Recovery'!$C$72</definedName>
    <definedName name="sample_wld_az2_host_overlay_cidr">'Configure Workload Domain'!$C$398</definedName>
    <definedName name="sample_wld_az2_host_overlay_gateway_ip">'Configure Workload Domain'!$C$397</definedName>
    <definedName name="sample_wld_az2_host_overlay_mtu">'Configure Workload Domain'!$C$399</definedName>
    <definedName name="sample_wld_az2_host_overlay_network_pool_name">'Configure Workload Domain'!$C$394</definedName>
    <definedName name="sample_wld_az2_host_overlay_network_profile_name">'Configure Workload Domain'!$C$392</definedName>
    <definedName name="sample_wld_az2_host_overlay_pool_end_ip">'Configure Workload Domain'!$C$401</definedName>
    <definedName name="sample_wld_az2_host_overlay_pool_start_ip">'Configure Workload Domain'!$C$400</definedName>
    <definedName name="sample_wld_az2_host_overlay_uplink_profile_name">'Configure Workload Domain'!$C$395</definedName>
    <definedName name="sample_wld_az2_host_overlay_vlan">'Configure Workload Domain'!$C$396</definedName>
    <definedName name="sample_wld_az2_host1_fqdn">'Configure Workload Domain'!$C$305</definedName>
    <definedName name="sample_wld_az2_host1_mgmt_ip">'Configure Workload Domain'!$C$247</definedName>
    <definedName name="sample_wld_az2_host1_sddc_id">'Configure Workload Domain'!$C$376</definedName>
    <definedName name="sample_wld_az2_host1_vrms_ip">'Dumping Ground'!$C$310</definedName>
    <definedName name="sample_wld_az2_host10_fqdn">'Configure Workload Domain'!$C$314</definedName>
    <definedName name="sample_wld_az2_host10_mgmt_ip">'Configure Workload Domain'!$C$256</definedName>
    <definedName name="sample_wld_az2_host10_vrms_ip">'Dumping Ground'!$C$319</definedName>
    <definedName name="sample_wld_az2_host11_fqdn">'Configure Workload Domain'!$C$315</definedName>
    <definedName name="sample_wld_az2_host11_mgmt_ip">'Configure Workload Domain'!$C$257</definedName>
    <definedName name="sample_wld_az2_host11_vrms_ip">'Dumping Ground'!$C$320</definedName>
    <definedName name="sample_wld_az2_host12_fqdn">'Configure Workload Domain'!$C$316</definedName>
    <definedName name="sample_wld_az2_host12_mgmt_ip">'Configure Workload Domain'!$C$258</definedName>
    <definedName name="sample_wld_az2_host12_vrms_ip">'Dumping Ground'!$C$321</definedName>
    <definedName name="sample_wld_az2_host13_fqdn">'Configure Workload Domain'!$C$317</definedName>
    <definedName name="sample_wld_az2_host13_mgmt_ip">'Configure Workload Domain'!$C$259</definedName>
    <definedName name="sample_wld_az2_host13_vrms_ip">'Dumping Ground'!$C$322</definedName>
    <definedName name="sample_wld_az2_host14_fqdn">'Configure Workload Domain'!$C$318</definedName>
    <definedName name="sample_wld_az2_host14_mgmt_ip">'Configure Workload Domain'!$C$260</definedName>
    <definedName name="sample_wld_az2_host14_vrms_ip">'Dumping Ground'!$C$323</definedName>
    <definedName name="sample_wld_az2_host15_fqdn">'Configure Workload Domain'!$C$319</definedName>
    <definedName name="sample_wld_az2_host15_mgmt_ip">'Configure Workload Domain'!$C$261</definedName>
    <definedName name="sample_wld_az2_host15_vrms_ip">'Dumping Ground'!$C$324</definedName>
    <definedName name="sample_wld_az2_host16_fqdn">'Configure Workload Domain'!$C$320</definedName>
    <definedName name="sample_wld_az2_host16_mgmt_ip">'Configure Workload Domain'!$C$262</definedName>
    <definedName name="sample_wld_az2_host16_vrms_ip">'Dumping Ground'!$C$325</definedName>
    <definedName name="sample_wld_az2_host2_fqdn">'Configure Workload Domain'!$C$306</definedName>
    <definedName name="sample_wld_az2_host2_mgmt_ip">'Configure Workload Domain'!$C$248</definedName>
    <definedName name="sample_wld_az2_host2_sddc_id">'Configure Workload Domain'!$C$377</definedName>
    <definedName name="sample_wld_az2_host2_vrms_ip">'Dumping Ground'!$C$311</definedName>
    <definedName name="sample_wld_az2_host3_fqdn">'Configure Workload Domain'!$C$307</definedName>
    <definedName name="sample_wld_az2_host3_mgmt_ip">'Configure Workload Domain'!$C$249</definedName>
    <definedName name="sample_wld_az2_host3_sddc_id">'Configure Workload Domain'!$C$378</definedName>
    <definedName name="sample_wld_az2_host3_vrms_ip">'Dumping Ground'!$C$312</definedName>
    <definedName name="sample_wld_az2_host4_fqdn">'Configure Workload Domain'!$C$308</definedName>
    <definedName name="sample_wld_az2_host4_mgmt_ip">'Configure Workload Domain'!$C$250</definedName>
    <definedName name="sample_wld_az2_host4_sddc_id">'Configure Workload Domain'!$C$379</definedName>
    <definedName name="sample_wld_az2_host4_vrms_ip">'Dumping Ground'!$C$313</definedName>
    <definedName name="sample_wld_az2_host5_fqdn">'Configure Workload Domain'!$C$309</definedName>
    <definedName name="sample_wld_az2_host5_mgmt_ip">'Configure Workload Domain'!$C$251</definedName>
    <definedName name="sample_wld_az2_host5_vrms_ip">'Dumping Ground'!$C$314</definedName>
    <definedName name="sample_wld_az2_host6_fqdn">'Configure Workload Domain'!$C$310</definedName>
    <definedName name="sample_wld_az2_host6_mgmt_ip">'Configure Workload Domain'!$C$252</definedName>
    <definedName name="sample_wld_az2_host6_vrms_ip">'Dumping Ground'!$C$315</definedName>
    <definedName name="sample_wld_az2_host7_fqdn">'Configure Workload Domain'!$C$311</definedName>
    <definedName name="sample_wld_az2_host7_mgmt_ip">'Configure Workload Domain'!$C$253</definedName>
    <definedName name="sample_wld_az2_host7_vrms_ip">'Dumping Ground'!$C$316</definedName>
    <definedName name="sample_wld_az2_host8_fqdn">'Configure Workload Domain'!$C$312</definedName>
    <definedName name="sample_wld_az2_host8_mgmt_ip">'Configure Workload Domain'!$C$254</definedName>
    <definedName name="sample_wld_az2_host8_vrms_ip">'Dumping Ground'!$C$317</definedName>
    <definedName name="sample_wld_az2_host9_fqdn">'Configure Workload Domain'!$C$313</definedName>
    <definedName name="sample_wld_az2_host9_mgmt_ip">'Configure Workload Domain'!$C$255</definedName>
    <definedName name="sample_wld_az2_host9_vrms_ip">'Dumping Ground'!$C$318</definedName>
    <definedName name="sample_wld_az2_mgmt_cidr">'Configure Workload Domain'!$C$244</definedName>
    <definedName name="sample_wld_az2_mgmt_gateway_ip">'Configure Workload Domain'!$C$243</definedName>
    <definedName name="sample_wld_az2_mgmt_mtu">'Configure Workload Domain'!$C$245</definedName>
    <definedName name="sample_wld_az2_mgmt_vlan">'Configure Workload Domain'!$C$242</definedName>
    <definedName name="sample_wld_az2_pool_name">'Configure Workload Domain'!$C$268</definedName>
    <definedName name="sample_wld_az2_principal_storage_gateway_ip">'Configure Workload Domain'!$C$282</definedName>
    <definedName name="sample_wld_az2_principal_storage_mask">'Configure Workload Domain'!$C$281</definedName>
    <definedName name="sample_wld_az2_principal_storage_mtu">'Configure Workload Domain'!$C$279</definedName>
    <definedName name="sample_wld_az2_principal_storage_network">'Configure Workload Domain'!$C$280</definedName>
    <definedName name="sample_wld_az2_principal_storage_pool_end_ip">'Configure Workload Domain'!$C$284</definedName>
    <definedName name="sample_wld_az2_principal_storage_pool_start_ip">'Configure Workload Domain'!$C$283</definedName>
    <definedName name="sample_wld_az2_principal_storage_vlan">'Configure Workload Domain'!$C$278</definedName>
    <definedName name="sample_wld_az2_secondary_storage_gateway_ip">'Configure Workload Domain'!$C$290</definedName>
    <definedName name="sample_wld_az2_secondary_storage_mask">'Configure Workload Domain'!$C$289</definedName>
    <definedName name="sample_wld_az2_secondary_storage_mtu">'Configure Workload Domain'!$C$287</definedName>
    <definedName name="sample_wld_az2_secondary_storage_network">'Configure Workload Domain'!$C$288</definedName>
    <definedName name="sample_wld_az2_secondary_storage_pool_end_ip">'Configure Workload Domain'!$C$292</definedName>
    <definedName name="sample_wld_az2_secondary_storage_pool_start_ip">'Configure Workload Domain'!$C$291</definedName>
    <definedName name="sample_wld_az2_secondary_storage_vlan">'Configure Workload Domain'!$C$286</definedName>
    <definedName name="sample_wld_az2_storage_cluster_gateway_ip">'Configure Workload Domain'!$C$298</definedName>
    <definedName name="sample_wld_az2_storage_cluster_mask">'Configure Workload Domain'!$C$297</definedName>
    <definedName name="sample_wld_az2_storage_cluster_mtu">'Configure Workload Domain'!$C$295</definedName>
    <definedName name="sample_wld_az2_storage_cluster_network">'Configure Workload Domain'!$C$296</definedName>
    <definedName name="sample_wld_az2_storage_cluster_pool_end_ip">'Configure Workload Domain'!$C$300</definedName>
    <definedName name="sample_wld_az2_storage_cluster_pool_start_ip">'Configure Workload Domain'!$C$299</definedName>
    <definedName name="sample_wld_az2_storage_cluster_vlan">'Configure Workload Domain'!$C$294</definedName>
    <definedName name="sample_wld_az2_tor1_peer_asn">'Configure Workload Domain'!$C$419</definedName>
    <definedName name="sample_wld_az2_tor1_peer_bgp_password">'Configure Workload Domain'!$C$422</definedName>
    <definedName name="sample_wld_az2_tor1_peer_ip">'Configure Workload Domain'!$C$418</definedName>
    <definedName name="sample_wld_az2_tor2_peer_asn">'Configure Workload Domain'!$C$424</definedName>
    <definedName name="sample_wld_az2_tor2_peer_bgp_password">'Configure Workload Domain'!$C$427</definedName>
    <definedName name="sample_wld_az2_tor2_peer_ip">'Configure Workload Domain'!$C$423</definedName>
    <definedName name="sample_wld_az2_vmotion_gateway_ip">'Configure Workload Domain'!$C$274</definedName>
    <definedName name="sample_wld_az2_vmotion_mask">'Configure Workload Domain'!$C$273</definedName>
    <definedName name="sample_wld_az2_vmotion_mtu">'Configure Workload Domain'!$C$271</definedName>
    <definedName name="sample_wld_az2_vmotion_network">'Configure Workload Domain'!$C$272</definedName>
    <definedName name="sample_wld_az2_vmotion_pool_end_ip">'Configure Workload Domain'!$C$276</definedName>
    <definedName name="sample_wld_az2_vmotion_pool_start_ip">'Configure Workload Domain'!$C$275</definedName>
    <definedName name="sample_wld_az2_vmotion_vlan">'Configure Workload Domain'!$C$270</definedName>
    <definedName name="sample_wld_bf_nsxt_admin_password">'Deploy Workload Domain'!$C$48</definedName>
    <definedName name="sample_wld_bf_nsxt_audit_password">'Deploy Workload Domain'!$C$50</definedName>
    <definedName name="sample_wld_bf_nsxt_mgra_fqdn">'Deploy Workload Domain'!$C$41</definedName>
    <definedName name="sample_wld_bf_nsxt_mgrb_fqdn">'Deploy Workload Domain'!$C$42</definedName>
    <definedName name="sample_wld_bf_nsxt_mgrc_fqdn">'Deploy Workload Domain'!$C$43</definedName>
    <definedName name="sample_wld_bf_nsxt_root_password">'Deploy Workload Domain'!$C$49</definedName>
    <definedName name="sample_wld_bf_nsxt_vip_fqdn">'Deploy Workload Domain'!$C$44</definedName>
    <definedName name="sample_wld_bf_sddc_domain">'Deploy Workload Domain'!$C$23</definedName>
    <definedName name="sample_wld_bf_vc_fqdn">'Deploy Workload Domain'!$C$29</definedName>
    <definedName name="sample_wld_bf_vc_root_password">'Deploy Workload Domain'!$C$30</definedName>
    <definedName name="sample_wld_bf_vc_sso_password">'Deploy Workload Domain'!$C$32</definedName>
    <definedName name="sample_wld_bf_vc_sso_username">'Deploy Workload Domain'!$C$31</definedName>
    <definedName name="sample_wld_cl01_az1_mgmt_pg">'Deploy Workload Domain'!$C$294</definedName>
    <definedName name="sample_wld_cl01_az1_mgmt_vm_pg">'Deploy Workload Domain'!$C$299</definedName>
    <definedName name="sample_wld_cl01_az1_nsx_uplink_count">'Deploy Workload Domain'!$C$337</definedName>
    <definedName name="sample_wld_cl01_az1_principal_storage_pg">'Deploy Workload Domain'!$C$309</definedName>
    <definedName name="sample_wld_cl01_az1_uplink01_pg">'Configure Workload Domain'!$C$173</definedName>
    <definedName name="sample_wld_cl01_az1_uplink02_pg">'Configure Workload Domain'!$C$177</definedName>
    <definedName name="sample_wld_cl01_az1_vmotion_pg">'Deploy Workload Domain'!$C$304</definedName>
    <definedName name="sample_wld_cl01_az1_vsan_storage_client_pg">'Deploy Workload Domain'!$C$314</definedName>
    <definedName name="sample_wld_cl01_cluster">'Deploy Workload Domain'!$C$177</definedName>
    <definedName name="sample_wld_cl01_cluster_sddc_id">'Configure Workload Domain'!$C$405</definedName>
    <definedName name="sample_wld_cl01_cluster_zn_name">'Deploy Workload Domain'!$C$178</definedName>
    <definedName name="sample_wld_cl01_evc_mode">'Dumping Ground'!$R$7</definedName>
    <definedName name="sample_wld_cl01_image_name">'Deploy Workload Domain'!$C$182</definedName>
    <definedName name="sample_wld_cl01_nfs_datastore_name">'Deploy Workload Domain'!$C$228</definedName>
    <definedName name="sample_wld_cl01_nfs_server_address">'Deploy Workload Domain'!$C$230</definedName>
    <definedName name="sample_wld_cl01_nfs_share_path">'Deploy Workload Domain'!$C$229</definedName>
    <definedName name="sample_wld_cl01_supervisor_control_plane_ip_range">'Deploy Workload Domain'!$C$351</definedName>
    <definedName name="sample_wld_cl01_supervisor_dns">'Deploy Workload Domain'!$C$359</definedName>
    <definedName name="sample_wld_cl01_supervisor_ext_ip_block_gateway_cidr">'Deploy Workload Domain'!$C$205</definedName>
    <definedName name="sample_wld_cl01_supervisor_ext_ip_block_vlan">'Deploy Workload Domain'!$C$204</definedName>
    <definedName name="sample_wld_cl01_supervisor_name">'Deploy Workload Domain'!$C$348</definedName>
    <definedName name="sample_wld_cl01_supervisor_nsx_project">'Deploy Workload Domain'!$C$356</definedName>
    <definedName name="sample_wld_cl01_supervisor_ntp">'Deploy Workload Domain'!$C$360</definedName>
    <definedName name="sample_wld_cl01_supervisor_private_transit_gateway_cidr">'Deploy Workload Domain'!$C$358</definedName>
    <definedName name="sample_wld_cl01_supervisor_service_cidr">'Deploy Workload Domain'!$C$349</definedName>
    <definedName name="sample_wld_cl01_supervisor_vpc_profile">'Deploy Workload Domain'!$C$357</definedName>
    <definedName name="sample_wld_cl01_vds01_lag_name">'Deploy Workload Domain'!$C$264</definedName>
    <definedName name="sample_wld_cl01_vds01_mtu">'Deploy Workload Domain'!$C$262</definedName>
    <definedName name="sample_wld_cl01_vds01_name">'Deploy Workload Domain'!$C$261</definedName>
    <definedName name="sample_wld_cl01_vds01_pnics">'Deploy Workload Domain'!$C$269</definedName>
    <definedName name="sample_wld_cl01_vds01_uplink_count">'Deploy Workload Domain'!$C$268</definedName>
    <definedName name="sample_wld_cl01_vds02_lag_name">'Deploy Workload Domain'!$C$275</definedName>
    <definedName name="sample_wld_cl01_vds02_mtu">'Deploy Workload Domain'!$C$273</definedName>
    <definedName name="sample_wld_cl01_vds02_name">'Deploy Workload Domain'!$C$272</definedName>
    <definedName name="sample_wld_cl01_vds02_pnics">'Deploy Workload Domain'!$C$280</definedName>
    <definedName name="sample_wld_cl01_vds02_uplink_count">'Deploy Workload Domain'!$C$279</definedName>
    <definedName name="sample_wld_cl01_vds03_lag_name">'Deploy Workload Domain'!$C$286</definedName>
    <definedName name="sample_wld_cl01_vds03_mtu">'Deploy Workload Domain'!$C$284</definedName>
    <definedName name="sample_wld_cl01_vds03_name">'Deploy Workload Domain'!$C$283</definedName>
    <definedName name="sample_wld_cl01_vds03_pnics">'Deploy Workload Domain'!$C$291</definedName>
    <definedName name="sample_wld_cl01_vds03_uplink_count">'Deploy Workload Domain'!$C$290</definedName>
    <definedName name="sample_wld_cl01_vmfs_datastore_name">'Deploy Workload Domain'!$C$227</definedName>
    <definedName name="sample_wld_cl01_vsan_datastore">'Deploy Workload Domain'!$C$219</definedName>
    <definedName name="sample_wld_cl01_vsan_dit_rekey_custom_interval">'Deploy Workload Domain'!$C$225</definedName>
    <definedName name="sample_wld_cl01_vsan_dit_rekey_default_interval">'Deploy Workload Domain'!$C$224</definedName>
    <definedName name="sample_wld_datacenter">'Configure Workload Domain'!$C$359</definedName>
    <definedName name="sample_wld_day2_vnaa_cidr">'Configure Workload Domain'!$C$157</definedName>
    <definedName name="sample_wld_day2_vnaa_fqdn">'Configure Workload Domain'!$C$151</definedName>
    <definedName name="sample_wld_day2_vnab_cidr">'Configure Workload Domain'!$C$167</definedName>
    <definedName name="sample_wld_day2_vnab_fqdn">'Configure Workload Domain'!$C$161</definedName>
    <definedName name="sample_wld_ec_mtu">'Configure Workload Domain'!$C$39</definedName>
    <definedName name="sample_wld_ec_name">'Configure Workload Domain'!$C$38</definedName>
    <definedName name="sample_wld_ec_rp_name">'Configure Workload Domain'!$C$44</definedName>
    <definedName name="sample_wld_ec01_en01_host_group_affinity_rule_name">'Configure Workload Domain'!$C$46</definedName>
    <definedName name="sample_wld_ec01_en02_host_group_affinity_rule_name">'Configure Workload Domain'!$C$75</definedName>
    <definedName name="sample_wld_en_asn">'Configure Workload Domain'!$C$102</definedName>
    <definedName name="sample_wld_esx_root_password">'Deploy Workload Domain'!$C$153</definedName>
    <definedName name="sample_wld_esx_root_username">'Deploy Workload Domain'!$C$152</definedName>
    <definedName name="sample_wld_existing_active_nsx_gm">'Configure Workload Domain'!$C$585</definedName>
    <definedName name="sample_wld_existing_cross_instance_t0_name">'Configure Workload Domain'!$C$586</definedName>
    <definedName name="sample_wld_host_overlay_transportzone">'Deploy Workload Domain'!$C$324</definedName>
    <definedName name="sample_wld_nsx_vlan_transport_zone_name">'Deploy Workload Domain'!$C$334</definedName>
    <definedName name="sample_wld_nsxt_en_admin_password">'Configure Workload Domain'!$C$97</definedName>
    <definedName name="sample_wld_nsxt_en_root_password">'Configure Workload Domain'!$C$96</definedName>
    <definedName name="sample_wld_nsxt_federation_global_manager_name">'Configure Workload Domain'!$C$555</definedName>
    <definedName name="sample_wld_nsxt_federation_location_name">'Configure Workload Domain'!$C$566</definedName>
    <definedName name="sample_wld_nsxt_global_mgr_anti_affinity_rule_name">'Configure Workload Domain'!$C$507</definedName>
    <definedName name="sample_wld_nsxt_global_mgr_certificate_id">'Configure Workload Domain'!$C$525</definedName>
    <definedName name="sample_wld_nsxt_global_mgr_cluster_id">'Configure Workload Domain'!$C$489</definedName>
    <definedName name="sample_wld_nsxt_global_mgr_vmca_signed_thumbprint">'Configure Workload Domain'!$C$490</definedName>
    <definedName name="sample_wld_nsxt_global_mgra_fqdn">'Configure Workload Domain'!$C$443</definedName>
    <definedName name="sample_wld_nsxt_global_mgra_hostname">'Configure Workload Domain'!$C$434</definedName>
    <definedName name="sample_wld_nsxt_global_mgra_ip">'Configure Workload Domain'!$C$444</definedName>
    <definedName name="sample_wld_nsxt_global_mgrb_fqdn">'Configure Workload Domain'!$C$460</definedName>
    <definedName name="sample_wld_nsxt_global_mgrb_hostname">'Configure Workload Domain'!$C$451</definedName>
    <definedName name="sample_wld_nsxt_global_mgrb_ip">'Configure Workload Domain'!$C$461</definedName>
    <definedName name="sample_wld_nsxt_global_mgrc_fqdn">'Configure Workload Domain'!$C$477</definedName>
    <definedName name="sample_wld_nsxt_global_mgrc_hostname">'Configure Workload Domain'!$C$468</definedName>
    <definedName name="sample_wld_nsxt_global_mgrc_ip">'Configure Workload Domain'!$C$478</definedName>
    <definedName name="sample_wld_nsxt_gm_admin_password">'Configure Workload Domain'!$C$441</definedName>
    <definedName name="sample_wld_nsxt_gm_audit_password">'Configure Workload Domain'!$C$442</definedName>
    <definedName name="sample_wld_nsxt_gm_fingerprint">'Configure Workload Domain'!$C$553</definedName>
    <definedName name="sample_wld_nsxt_gm_root_password">'Configure Workload Domain'!$C$440</definedName>
    <definedName name="sample_wld_nsxt_gm_vip_fqdn">'Configure Workload Domain'!$C$516</definedName>
    <definedName name="sample_wld_nsxt_gm_vip_ip">'Configure Workload Domain'!$C$515</definedName>
    <definedName name="sample_wld_nsxt_lm_admin_password">'Deploy Workload Domain'!$C$200</definedName>
    <definedName name="sample_wld_nsxt_lm_audit_password">'Deploy Workload Domain'!$C$201</definedName>
    <definedName name="sample_wld_nsxt_lm_fingerprint">'Configure Workload Domain'!$C$564</definedName>
    <definedName name="sample_wld_nsxt_mgra_fqdn">'Deploy Workload Domain'!$C$192</definedName>
    <definedName name="sample_wld_nsxt_mgra_ip">'Deploy Workload Domain'!$C$193</definedName>
    <definedName name="sample_wld_nsxt_mgrb_fqdn">'Deploy Workload Domain'!$C$194</definedName>
    <definedName name="sample_wld_nsxt_mgrb_ip">'Deploy Workload Domain'!$C$195</definedName>
    <definedName name="sample_wld_nsxt_mgrc_fqdn">'Deploy Workload Domain'!$C$196</definedName>
    <definedName name="sample_wld_nsxt_mgrc_ip">'Deploy Workload Domain'!$C$197</definedName>
    <definedName name="sample_wld_nsxt_vip_fqdn">'Deploy Workload Domain'!$C$198</definedName>
    <definedName name="sample_wld_nsxt_vip_ip">'Deploy Workload Domain'!$C$199</definedName>
    <definedName name="sample_wld_nsxt_xreg_t1_name">'Configure Workload Domain'!$C$578</definedName>
    <definedName name="sample_wld_rack2_en_asn">Arkham!$B$73</definedName>
    <definedName name="sample_wld_rack3_en_asn">Arkham!$E$73</definedName>
    <definedName name="sample_wld_rack4_en_asn">Arkham!$H$73</definedName>
    <definedName name="sample_wld_rack5_en_asn">Arkham!$K$73</definedName>
    <definedName name="sample_wld_rack6_en_asn">Arkham!$N$73</definedName>
    <definedName name="sample_wld_rack7_en_asn">Arkham!$Q$73</definedName>
    <definedName name="sample_wld_rack8_en_asn">Arkham!$T$73</definedName>
    <definedName name="sample_wld_rtep_overlay_pool_end_ip">'Configure Workload Domain'!$C$541</definedName>
    <definedName name="sample_wld_rtep_overlay_pool_start_ip">'Configure Workload Domain'!$C$540</definedName>
    <definedName name="sample_wld_rwr_az1_vrms_gateway_ip">'On-Premises Ransomware Recovery'!$C$99</definedName>
    <definedName name="sample_wld_rwr_az1_vrms_gateway_mask">'On-Premises Ransomware Recovery'!$C$82</definedName>
    <definedName name="sample_wld_rwr_cl02_cluster">'On-Premises Ransomware Recovery'!$C$78</definedName>
    <definedName name="sample_wld_rwr_cl02_vds01">'On-Premises Ransomware Recovery'!$C$70</definedName>
    <definedName name="sample_wld_rwr_recovery_site_az1_vrms_cidr">'On-Premises Ransomware Recovery'!$C$100</definedName>
    <definedName name="sample_wld_rwr_recovery_site_nsx_ec_name">'On-Premises Ransomware Recovery'!$C$123</definedName>
    <definedName name="sample_wld_rwr_recovery_site_nsx_ec_t0_name">'On-Premises Ransomware Recovery'!$C$126</definedName>
    <definedName name="sample_wld_rwr_recovery_site_nsx_ec_t1_name">'On-Premises Ransomware Recovery'!$C$125</definedName>
    <definedName name="sample_wld_rwr_recovery_site_nsx_fqdn">'On-Premises Ransomware Recovery'!$C$118</definedName>
    <definedName name="sample_wld_rwr_recovery_site_vc_fqdn">'On-Premises Ransomware Recovery'!$C$153</definedName>
    <definedName name="sample_wld_rwr_recoverysite_fd">'On-Premises Ransomware Recovery'!$C$144</definedName>
    <definedName name="sample_wld_rwr_vc_fqdn">'On-Premises Ransomware Recovery'!$C$42</definedName>
    <definedName name="sample_wld_rwr_vcfops_vlsr_username">'On-Premises Ransomware Recovery'!$C$203</definedName>
    <definedName name="sample_wld_rwr_vcfops_vr_username">'On-Premises Ransomware Recovery'!$C$205</definedName>
    <definedName name="sample_wld_sddc_domain">'Deploy Workload Domain'!$C$160</definedName>
    <definedName name="sample_wld_srm_admin_email">'Dumping Ground'!$C$82</definedName>
    <definedName name="sample_wld_srm_admin_password">'Dumping Ground'!$C$79</definedName>
    <definedName name="sample_wld_srm_database_password">'Dumping Ground'!$C$80</definedName>
    <definedName name="sample_wld_srm_hostname">'Dumping Ground'!$D$12</definedName>
    <definedName name="sample_wld_srm_ip">'Dumping Ground'!$F$12</definedName>
    <definedName name="sample_wld_srm_p12_password">'Dumping Ground'!$C$83</definedName>
    <definedName name="sample_wld_srm_recovery_vcenter_fqdn">'Dumping Ground'!$C$85</definedName>
    <definedName name="sample_wld_srm_recovery_vcenter_password">'Dumping Ground'!$C$87</definedName>
    <definedName name="sample_wld_srm_recovery_vcenter_username">'Dumping Ground'!$C$86</definedName>
    <definedName name="sample_wld_srm_root_password">'Dumping Ground'!$C$78</definedName>
    <definedName name="sample_wld_srm_site_name">'Dumping Ground'!$C$81</definedName>
    <definedName name="sample_wld_srm_sso_domain_membership">'Dumping Ground'!$C$89</definedName>
    <definedName name="sample_wld_srm_vm_folder">'Dumping Ground'!$C$77</definedName>
    <definedName name="sample_wld_sso_domain_name">'Deploy Workload Domain'!$C$171</definedName>
    <definedName name="sample_wld_supvr_api_server_fqdn">'Configure Workload Domain'!$C$216</definedName>
    <definedName name="sample_wld_supvr_cp_storage_policy">'Configure Workload Domain'!$C$193</definedName>
    <definedName name="sample_wld_supvr_ed_storage_policy">'Configure Workload Domain'!$C$194</definedName>
    <definedName name="sample_wld_supvr_ic_storage_policy">'Configure Workload Domain'!$C$195</definedName>
    <definedName name="sample_wld_supvr_ip_address_range">'Configure Workload Domain'!$C$199</definedName>
    <definedName name="sample_wld_supvr_mgmt_dns_server">'Configure Workload Domain'!$C$202</definedName>
    <definedName name="sample_wld_supvr_mgmt_dns_zones">'Configure Workload Domain'!$C$203</definedName>
    <definedName name="sample_wld_supvr_mgmt_ntp_server">'Configure Workload Domain'!$C$204</definedName>
    <definedName name="sample_wld_supvr_name">'Configure Workload Domain'!$C$188</definedName>
    <definedName name="sample_wld_supvr_nsx_project">'Configure Workload Domain'!$C$206</definedName>
    <definedName name="sample_wld_supvr_vpc_connectivity_profile">'Configure Workload Domain'!$C$207</definedName>
    <definedName name="sample_wld_supvr_vpc_ext_ip_blocks_name">'Configure Workload Domain'!$C$208</definedName>
    <definedName name="sample_wld_supvr_vpc_priv_cidr">'Configure Workload Domain'!$C$210</definedName>
    <definedName name="sample_wld_supvr_vpc_priv_ip_blocks_name">'Configure Workload Domain'!$C$209</definedName>
    <definedName name="sample_wld_supvr_vpc_service_cidr">'Configure Workload Domain'!$C$211</definedName>
    <definedName name="sample_wld_supvr_wld_dns_server">'Configure Workload Domain'!$C$212</definedName>
    <definedName name="sample_wld_supvr_wld_ntp_server">'Configure Workload Domain'!$C$213</definedName>
    <definedName name="sample_wld_supvr_zone_name">'Configure Workload Domain'!$C$191</definedName>
    <definedName name="sample_wld_tier0_name">'Configure Workload Domain'!$C$99</definedName>
    <definedName name="sample_wld_vc_fqdn">'Deploy Workload Domain'!$C$169</definedName>
    <definedName name="sample_wld_vc_ip">'Deploy Workload Domain'!$C$393</definedName>
    <definedName name="sample_wld_vcenter_root_password">'Deploy Workload Domain'!$C$170</definedName>
    <definedName name="sample_wld_vlr_admin_password">'On-Premises Ransomware Recovery'!$C$17</definedName>
    <definedName name="sample_wld_vlr_fqdn">'On-Premises Ransomware Recovery'!$C$15</definedName>
    <definedName name="sample_wld_vlr_hostname">'On-Premises Ransomware Recovery'!$C$11</definedName>
    <definedName name="sample_wld_vlr_mgmt_ip">'On-Premises Ransomware Recovery'!$C$23</definedName>
    <definedName name="sample_wld_vlr_replication_user">'On-Premises Ransomware Recovery'!$C$44</definedName>
    <definedName name="sample_wld_vlr_root_password">'On-Premises Ransomware Recovery'!$C$16</definedName>
    <definedName name="sample_wld_vna_rp_name">'Configure Workload Domain'!$C$153</definedName>
    <definedName name="sample_wld_vnaa_fqdn">'Deploy Workload Domain'!$C$207</definedName>
    <definedName name="sample_wld_vnaa_ip">'Deploy Workload Domain'!$C$400</definedName>
    <definedName name="sample_wld_vnab_fqdn">'Deploy Workload Domain'!$C$206</definedName>
    <definedName name="sample_wld_vnab_ip">'Deploy Workload Domain'!$C$401</definedName>
    <definedName name="sample_wld_vpc_ext_ip_blocks_cidr">'Configure Workload Domain'!$C$139</definedName>
    <definedName name="sample_wld_vpc_ext_ip_blocks_excluded_ips">'Configure Workload Domain'!$C$140</definedName>
    <definedName name="sample_wld_vpc_ext_ip_blocks_name">'Configure Workload Domain'!$C$137</definedName>
    <definedName name="sample_wld_vpc_ext_ip_blocks_reserved">'Configure Workload Domain'!$C$141</definedName>
    <definedName name="sample_wld_vpc_ext_ip_blocks_visability">'Configure Workload Domain'!$C$138</definedName>
    <definedName name="sample_wld_vpc_priv_ip_blocks_excluded_ips">'Configure Workload Domain'!$C$145</definedName>
    <definedName name="sample_wld_vpc_priv_ip_blocks_name">'Configure Workload Domain'!$C$142</definedName>
    <definedName name="sample_wld_vpc_priv_ip_blocks_reserved">'Configure Workload Domain'!$C$146</definedName>
    <definedName name="sample_wld_vpc_priv_ip_blocks_visability">'Configure Workload Domain'!$C$143</definedName>
    <definedName name="sample_wld_vpc_transit_gateway_ip_blocks_cidr">'Configure Workload Domain'!$C$144</definedName>
    <definedName name="sample_wld_vpc_vna_cluster_name">'Configure Workload Domain'!$C$148</definedName>
    <definedName name="sample_wld_vrms_admin_email">'Dumping Ground'!$C$73</definedName>
    <definedName name="sample_wld_vrms_admin_password">'Dumping Ground'!$C$71</definedName>
    <definedName name="sample_wld_vrms_hostname">'Dumping Ground'!$D$10</definedName>
    <definedName name="sample_wld_vrms_mgmt_ip">'Dumping Ground'!$F$10</definedName>
    <definedName name="sample_wld_vrms_p12_password">'Dumping Ground'!$C$75</definedName>
    <definedName name="sample_wld_vrms_pg">'Dumping Ground'!$C$74</definedName>
    <definedName name="sample_wld_vrms_recovery_replication_cidr">'Dumping Ground'!$C$88</definedName>
    <definedName name="sample_wld_vrms_root_password">'Dumping Ground'!$C$70</definedName>
    <definedName name="sample_wld_vrms_site_name">'Dumping Ground'!$C$72</definedName>
    <definedName name="sample_wld_vrms_vm_folder">'Dumping Ground'!$C$69</definedName>
    <definedName name="sample_wld_vrms_vrms_ip">'Dumping Ground'!$F$11</definedName>
    <definedName name="sample_wld_witness_cluster">'Configure Workload Domain'!$C$341</definedName>
    <definedName name="sample_wld_witness_dns1_ip">'Configure Workload Domain'!$C$352</definedName>
    <definedName name="sample_wld_witness_dns2_ip">'Configure Workload Domain'!$C$353</definedName>
    <definedName name="sample_wld_witness_fqdn">'Configure Workload Domain'!$C$360</definedName>
    <definedName name="sample_wld_witness_hostname">'Configure Workload Domain'!$C$340</definedName>
    <definedName name="sample_wld_witness_ip">'Configure Workload Domain'!$C$347</definedName>
    <definedName name="sample_wld_witness_mgmt_pg">'Configure Workload Domain'!$C$344</definedName>
    <definedName name="sample_wld_witness_ntp1_server">'Configure Workload Domain'!$C$354</definedName>
    <definedName name="sample_wld_witness_ntp2_server">'Configure Workload Domain'!$C$355</definedName>
    <definedName name="sample_wld_witness_root_password">'Configure Workload Domain'!$C$346</definedName>
    <definedName name="sample_wld_witness_vm_folder">'Configure Workload Domain'!$C$342</definedName>
    <definedName name="sample_wld_witness_vsan_datastore">'Configure Workload Domain'!$C$343</definedName>
    <definedName name="sample_wld_witness_zone_vc_fqdn">'Configure Workload Domain'!$C$338</definedName>
    <definedName name="sample_wld_witness_zone_vc_ip">'Configure Workload Domain'!$C$339</definedName>
    <definedName name="sample_wld_witnessaz_mgmt_cidr">'Configure Workload Domain'!$C$332</definedName>
    <definedName name="sample_wld_witnessaz_mgmt_gateway_ip">'Configure Workload Domain'!$C$331</definedName>
    <definedName name="sample_wld_witnessaz_mgmt_mtu">'Workload Domain As Built'!$C$104</definedName>
    <definedName name="sample_wld_witnessaz_mgmt_vlan">'Configure Workload Domain'!$C$330</definedName>
    <definedName name="sample_xreg_seg01_name">'Configure Management Domain'!$C$601</definedName>
    <definedName name="sample_xreg_vra_admin_password">'Deploy Management Domain'!$K$189</definedName>
    <definedName name="sample_xreg_vra_prefix">'Deploy Management Domain'!$K$191</definedName>
    <definedName name="sample_xreg_vra_virtual_fqdn">'Deploy Management Domain'!$K$187</definedName>
    <definedName name="sample_xreg_vra_virtual_ip">'Deploy Management Domain'!$K$379</definedName>
    <definedName name="sample_xreg_vra_vm_folder">'Dumping Ground'!$C$107</definedName>
    <definedName name="sample_xreg_vrops_admin_password">'Deploy Management Domain'!$K$165</definedName>
    <definedName name="sample_xreg_vrops_collector_fqdn">'Deploy Management Domain'!$K$172</definedName>
    <definedName name="sample_xreg_vrops_collector_ip">'Deploy Management Domain'!$K$375</definedName>
    <definedName name="sample_xreg_vrops_collector_root_password">'Deploy Management Domain'!$K$173</definedName>
    <definedName name="sample_xreg_vrops_nodea_fqdn">'Deploy Management Domain'!$K$162</definedName>
    <definedName name="sample_xreg_vrops_nodea_ip">'Deploy Management Domain'!$K$372</definedName>
    <definedName name="sample_xreg_vrops_nodeb_fqdn">'Deploy Management Domain'!$K$163</definedName>
    <definedName name="sample_xreg_vrops_nodeb_ip">'Deploy Management Domain'!$K$373</definedName>
    <definedName name="sample_xreg_vrops_nodec_fqdn">'Deploy Management Domain'!$K$164</definedName>
    <definedName name="sample_xreg_vrops_nodec_ip">'Deploy Management Domain'!$K$374</definedName>
    <definedName name="sample_xreg_vrops_root_password">'Deploy Management Domain'!$K$166</definedName>
    <definedName name="sample_xreg_vrops_srm_sso_password">'Site Protection &amp; DR'!$C$481</definedName>
    <definedName name="sample_xreg_vrops_srm_sso_username">'Site Protection &amp; DR'!$C$480</definedName>
    <definedName name="sample_xreg_vrops_virtual_fqdn">'Deploy Management Domain'!$K$170</definedName>
    <definedName name="sample_xreg_vrops_virtual_ip">'Deploy Management Domain'!$K$377</definedName>
    <definedName name="sample_xreg_vrops_vm_folder">'Dumping Ground'!$C$106</definedName>
    <definedName name="sample_xreg_vrops_vrms_sso_password">'Site Protection &amp; DR'!$C$479</definedName>
    <definedName name="sample_xreg_vrops_vrms_sso_username">'Site Protection &amp; DR'!$C$478</definedName>
    <definedName name="sample_xreg_wsa_vm_folder">'Dumping Ground'!$C$105</definedName>
    <definedName name="sample_xregion_dns1_ip">Arkham!$B$13</definedName>
    <definedName name="sample_xregion_dns2_ip">Arkham!$B$14</definedName>
    <definedName name="sample_xregion_ntp1_server">Arkham!$B$18</definedName>
    <definedName name="sample_xregion_ntp2_server">Arkham!$B$19</definedName>
    <definedName name="sddc_mgr_admin_local_password">'Value Reference Tables'!$L$28</definedName>
    <definedName name="sddc_mgr_fqdn">'Value Reference Tables'!$C$62</definedName>
    <definedName name="sddc_mgr_hostname">'Value Reference Tables'!$C$43</definedName>
    <definedName name="sddc_mgr_ip">'Value Reference Tables'!$C$15</definedName>
    <definedName name="sddc_mgr_root_password">'Value Reference Tables'!$L$26</definedName>
    <definedName name="sddc_mgr_vcf_password">'Value Reference Tables'!$L$27</definedName>
    <definedName name="sddc_mgr_vcf_username">'Value Reference Tables'!$K$26</definedName>
    <definedName name="sftp_server">'Value Reference Tables'!$L$94</definedName>
    <definedName name="sftp_server_backup_dir">'Value Reference Tables'!$O$49</definedName>
    <definedName name="sftp_server_ip">'Value Reference Tables'!$L$59</definedName>
    <definedName name="sftp_server_passphrase">'Value Reference Tables'!$O$51</definedName>
    <definedName name="sftp_server_port">'Value Reference Tables'!$O$46</definedName>
    <definedName name="sftp_server_protocol">'Value Reference Tables'!$O$47</definedName>
    <definedName name="sftp_server_sshfingerprint">'Value Reference Tables'!$O$50</definedName>
    <definedName name="shared_edge_and_compute">'Static Reference Tables'!$B$612</definedName>
    <definedName name="sizing_advanced_m01_nsxt_appliance_size">'Management Domain Sizing'!$R$28</definedName>
    <definedName name="sizing_advanced_m01_nsxt_model">'Management Domain Sizing'!$R$27</definedName>
    <definedName name="sizing_advanced_m01_vcenter_appliance_size">'Management Domain Sizing'!$R$25</definedName>
    <definedName name="sizing_advanced_m01_vcenter_storage_size_chosen">'Management Domain Sizing'!$R$26</definedName>
    <definedName name="sizing_advanced_mgmt_chosen">'Management Domain Sizing'!$R$24</definedName>
    <definedName name="sizing_advanced_vcfauto_chosen">'Management Domain Sizing'!$R$32</definedName>
    <definedName name="sizing_advanced_vcfops_collector_chosen">'Management Domain Sizing'!$R$31</definedName>
    <definedName name="sizing_advanced_vcfops_model_chosen">'Management Domain Sizing'!$R$29</definedName>
    <definedName name="sizing_advanced_vcfops_size_chosen">'Management Domain Sizing'!$R$30</definedName>
    <definedName name="sizing_cbr_cpu">'Static Reference Tables'!$C$247</definedName>
    <definedName name="sizing_cbr_disk">'Static Reference Tables'!$C$249</definedName>
    <definedName name="sizing_cbr_ram">'Static Reference Tables'!$C$248</definedName>
    <definedName name="sizing_ccm_hcx_cpu">'Static Reference Tables'!$C$251</definedName>
    <definedName name="sizing_ccm_hcx_disk">'Static Reference Tables'!$C$253</definedName>
    <definedName name="sizing_ccm_hcx_ram">'Static Reference Tables'!$C$252</definedName>
    <definedName name="sizing_cpu_oversubscription">'Management Domain Sizing'!$E$15</definedName>
    <definedName name="sizing_disk_groups_per_host">'Management Domain Sizing'!$C$100</definedName>
    <definedName name="sizing_estimated_growth">'Management Domain Sizing'!$E$9</definedName>
    <definedName name="sizing_hrm_hvm_cpu">'Static Reference Tables'!$C$207</definedName>
    <definedName name="sizing_hrm_hvm_disk">'Static Reference Tables'!$C$209</definedName>
    <definedName name="sizing_hrm_hvm_ram">'Static Reference Tables'!$C$208</definedName>
    <definedName name="sizing_inv_cpu">'Static Reference Tables'!$C$219</definedName>
    <definedName name="sizing_inv_platform_node_cpu">'Static Reference Tables'!$C$213</definedName>
    <definedName name="sizing_log_replicas_large">'Static Reference Tables'!$E$516:$E$530</definedName>
    <definedName name="sizing_log_replicas_medium">'Static Reference Tables'!$E$513:$E$529</definedName>
    <definedName name="sizing_log_replicas_small">'Static Reference Tables'!$E$511:$E$529</definedName>
    <definedName name="sizing_m01_included">'Management Domain Sizing'!$C$40</definedName>
    <definedName name="sizing_m01_nsxt_appliance_size">'Management Domain Sizing'!$I$40</definedName>
    <definedName name="sizing_m01_nsxt_edge_size">'Management Domain Sizing'!$L$40</definedName>
    <definedName name="sizing_m01_nsxt_gm_appliance_size">'Management Domain Sizing'!$Q$40</definedName>
    <definedName name="sizing_m01_nsxt_gm_appliance_size_chosen">'Configure Management Domain'!$D$476</definedName>
    <definedName name="sizing_m01_nsxt_model">'Management Domain Sizing'!$H$40</definedName>
    <definedName name="sizing_m01_ssp_chosen">'Management Domain Sizing'!$W$40</definedName>
    <definedName name="sizing_m01_supervisor_mode">'Management Domain Sizing'!$O$40</definedName>
    <definedName name="sizing_m01_supervisor_size">'Management Domain Sizing'!$P$40</definedName>
    <definedName name="sizing_m01_vcenter_appliance_size">'Management Domain Sizing'!$D$40</definedName>
    <definedName name="sizing_m01_vcenter_storage_size_chosen">'Management Domain Sizing'!$F$40</definedName>
    <definedName name="sizing_mgmt_avi_lb_appliance_size">'Management Domain Sizing'!$S$40</definedName>
    <definedName name="sizing_mgmt_cluster_host_core_count">'Management Domain Sizing'!$E$13</definedName>
    <definedName name="sizing_mgmt_cluster_host_ram_count">'Management Domain Sizing'!$E$14</definedName>
    <definedName name="sizing_nsxt_edge_sizing_list">'Static Reference Tables'!$C$21:$C$29</definedName>
    <definedName name="sizing_nsxt_manager_size_list">'Static Reference Tables'!$C$17:$C$20</definedName>
    <definedName name="sizing_ram_oversubscription">'Management Domain Sizing'!$E$16</definedName>
    <definedName name="sizing_sddc_manager_cpu">'Static Reference Tables'!$C$33</definedName>
    <definedName name="sizing_sddc_manager_disk">'Static Reference Tables'!$C$35</definedName>
    <definedName name="sizing_sddc_manager_ram">'Static Reference Tables'!$C$34</definedName>
    <definedName name="sizing_storage_type">'Management Domain Sizing'!$R$13</definedName>
    <definedName name="sizing_table_ssp_lic_cpu">'Static Reference Tables'!$C$310</definedName>
    <definedName name="sizing_table_ssp_lic_disk">'Static Reference Tables'!$C$312</definedName>
    <definedName name="sizing_table_ssp_lic_ram">'Static Reference Tables'!$C$311</definedName>
    <definedName name="sizing_vcenter_appliance_size_list">'Static Reference Tables'!$C$8:$C$12</definedName>
    <definedName name="sizing_vcenter_storage_size_list">'Static Reference Tables'!$C$13:$C$15</definedName>
    <definedName name="sizing_vcf_deployment_model">'Static Reference Tables'!$C$306:$C$308</definedName>
    <definedName name="sizing_vcf_deployment_model_chosen">'Management Domain Sizing'!$E$21</definedName>
    <definedName name="sizing_vcf_deployment_model_small">'Static Reference Tables'!$C$306</definedName>
    <definedName name="sizing_vcf_deployment_size_chosen">'Management Domain Sizing'!$E$22</definedName>
    <definedName name="sizing_vcf_instance_model">'Management Domain Sizing'!$E$20</definedName>
    <definedName name="sizing_vcfauto_chosen">'Management Domain Sizing'!$E$34</definedName>
    <definedName name="sizing_vcfms_chosen">'Management Domain Sizing'!$E$24</definedName>
    <definedName name="sizing_vcfops_ca_chosen">'Management Domain Sizing'!$E$32</definedName>
    <definedName name="sizing_vcfops_collector_chosen">'Management Domain Sizing'!$E$33</definedName>
    <definedName name="sizing_vcfops_ha_chosen">'Management Domain Sizing'!$E$31</definedName>
    <definedName name="sizing_vcfops_logs_chosen">'Management Domain Sizing'!$E$25</definedName>
    <definedName name="sizing_vcfops_logs_replica_count_chosen">'Management Domain Sizing'!$E$26</definedName>
    <definedName name="sizing_vcfops_net_chosen">'Management Domain Sizing'!$E$35</definedName>
    <definedName name="sizing_vcfrtm_chosen">'Management Domain Sizing'!$E$27</definedName>
    <definedName name="sizing_vcfsd_chosen">'Management Domain Sizing'!$E$28</definedName>
    <definedName name="sizing_vcfvidb_chosen">'Management Domain Sizing'!$E$29</definedName>
    <definedName name="sizing_vdefend_licensing_hub_chosen">'Management Domain Sizing'!$E$36</definedName>
    <definedName name="sizing_virtual_machine_overhead">'Management Domain Sizing'!$E$8</definedName>
    <definedName name="sizing_vm_cpu_requirements">'Management Domain Sizing'!$K$32</definedName>
    <definedName name="sizing_vm_ram_requirements">'Management Domain Sizing'!$L$32</definedName>
    <definedName name="sizing_vm_storage_requirements">'Management Domain Sizing'!$M$32</definedName>
    <definedName name="sizing_w01_avi_appliance_size">'Management Domain Sizing'!$U$44</definedName>
    <definedName name="sizing_w01_chosen">'Management Domain Sizing'!$C$44</definedName>
    <definedName name="sizing_w01_gm_chosen">'Management Domain Sizing'!$L$44</definedName>
    <definedName name="sizing_w01_nsxt_appliance_size">'Management Domain Sizing'!$I$44</definedName>
    <definedName name="sizing_w01_nsxt_gm_appliance_size">'Management Domain Sizing'!$M$44</definedName>
    <definedName name="sizing_w01_nsxt_model">'Management Domain Sizing'!$H$44</definedName>
    <definedName name="sizing_w01_spr_chosen">'Management Domain Sizing'!$R$44</definedName>
    <definedName name="sizing_w01_ssp_chosen">'Management Domain Sizing'!$X$44</definedName>
    <definedName name="sizing_w01_vcenter_appliance_size">'Management Domain Sizing'!$D$44</definedName>
    <definedName name="sizing_w01_vcenter_storage_size">'Management Domain Sizing'!$F$44</definedName>
    <definedName name="sizing_w02_avi_appliance_size">'Management Domain Sizing'!$U$45</definedName>
    <definedName name="sizing_w02_chosen">'Management Domain Sizing'!$C$45</definedName>
    <definedName name="sizing_w02_gm_chosen">'Management Domain Sizing'!$L$45</definedName>
    <definedName name="sizing_w02_nsxt_appliance_size">'Management Domain Sizing'!$I$45</definedName>
    <definedName name="sizing_w02_nsxt_gm_appliance_size">'Management Domain Sizing'!$M$45</definedName>
    <definedName name="sizing_w02_nsxt_model">'Management Domain Sizing'!$H$45</definedName>
    <definedName name="sizing_w02_spr_chosen">'Management Domain Sizing'!$R$45</definedName>
    <definedName name="sizing_w02_ssp_chosen">'Management Domain Sizing'!$X$45</definedName>
    <definedName name="sizing_w02_vcenter_appliance_size">'Management Domain Sizing'!$D$45</definedName>
    <definedName name="sizing_w02_vcenter_storage_size">'Management Domain Sizing'!$F$45</definedName>
    <definedName name="sizing_w03_avi_appliance_size">'Management Domain Sizing'!$U$46</definedName>
    <definedName name="sizing_w03_chosen">'Management Domain Sizing'!$C$46</definedName>
    <definedName name="sizing_w03_gm_chosen">'Management Domain Sizing'!$L$46</definedName>
    <definedName name="sizing_w03_nsxt_appliance_size">'Management Domain Sizing'!$I$46</definedName>
    <definedName name="sizing_w03_nsxt_gm_appliance_size">'Management Domain Sizing'!$M$46</definedName>
    <definedName name="sizing_w03_nsxt_model">'Management Domain Sizing'!$H$46</definedName>
    <definedName name="sizing_w03_spr_chosen">'Management Domain Sizing'!$R$46</definedName>
    <definedName name="sizing_w03_ssp_chosen">'Management Domain Sizing'!$X$46</definedName>
    <definedName name="sizing_w03_vcenter_appliance_size">'Management Domain Sizing'!$D$46</definedName>
    <definedName name="sizing_w03_vcenter_storage_size">'Management Domain Sizing'!$F$46</definedName>
    <definedName name="sizing_w04_avi_appliance_size">'Management Domain Sizing'!$U$47</definedName>
    <definedName name="sizing_w04_chosen">'Management Domain Sizing'!$C$47</definedName>
    <definedName name="sizing_w04_gm_chosen">'Management Domain Sizing'!$L$47</definedName>
    <definedName name="sizing_w04_nsxt_appliance_size">'Management Domain Sizing'!$I$47</definedName>
    <definedName name="sizing_w04_nsxt_gm_appliance_size">'Management Domain Sizing'!$M$47</definedName>
    <definedName name="sizing_w04_nsxt_model">'Management Domain Sizing'!$H$47</definedName>
    <definedName name="sizing_w04_spr_chosen">'Management Domain Sizing'!$R$47</definedName>
    <definedName name="sizing_w04_ssp_chosen">'Management Domain Sizing'!$X$47</definedName>
    <definedName name="sizing_w04_vcenter_appliance_size">'Management Domain Sizing'!$D$47</definedName>
    <definedName name="sizing_w04_vcenter_storage_size">'Management Domain Sizing'!$F$47</definedName>
    <definedName name="sizing_w05_avi_appliance_size">'Management Domain Sizing'!$U$48</definedName>
    <definedName name="sizing_w05_chosen">'Management Domain Sizing'!$C$48</definedName>
    <definedName name="sizing_w05_gm_chosen">'Management Domain Sizing'!$L$48</definedName>
    <definedName name="sizing_w05_nsxt_appliance_size">'Management Domain Sizing'!$I$48</definedName>
    <definedName name="sizing_w05_nsxt_gm_appliance_size">'Management Domain Sizing'!$M$48</definedName>
    <definedName name="sizing_w05_nsxt_model">'Management Domain Sizing'!$H$48</definedName>
    <definedName name="sizing_w05_spr_chosen">'Management Domain Sizing'!$R$48</definedName>
    <definedName name="sizing_w05_ssp_chosen">'Management Domain Sizing'!$X$48</definedName>
    <definedName name="sizing_w05_vcenter_appliance_size">'Management Domain Sizing'!$D$48</definedName>
    <definedName name="sizing_w05_vcenter_storage_size">'Management Domain Sizing'!$F$48</definedName>
    <definedName name="sizing_w06_avi_appliance_size">'Management Domain Sizing'!$U$49</definedName>
    <definedName name="sizing_w06_chosen">'Management Domain Sizing'!$C$49</definedName>
    <definedName name="sizing_w06_gm_chosen">'Management Domain Sizing'!$L$49</definedName>
    <definedName name="sizing_w06_nsxt_appliance_size">'Management Domain Sizing'!$I$49</definedName>
    <definedName name="sizing_w06_nsxt_gm_appliance_size">'Management Domain Sizing'!$M$49</definedName>
    <definedName name="sizing_w06_nsxt_model">'Management Domain Sizing'!$H$49</definedName>
    <definedName name="sizing_w06_spr_chosen">'Management Domain Sizing'!$R$49</definedName>
    <definedName name="sizing_w06_ssp_chosen">'Management Domain Sizing'!$X$49</definedName>
    <definedName name="sizing_w06_vcenter_appliance_size">'Management Domain Sizing'!$D$49</definedName>
    <definedName name="sizing_w06_vcenter_storage_size">'Management Domain Sizing'!$F$49</definedName>
    <definedName name="sizing_w07_avi_appliance_size">'Management Domain Sizing'!$U$50</definedName>
    <definedName name="sizing_w07_chosen">'Management Domain Sizing'!$C$50</definedName>
    <definedName name="sizing_w07_gm_chosen">'Management Domain Sizing'!$L$50</definedName>
    <definedName name="sizing_w07_nsxt_appliance_size">'Management Domain Sizing'!$I$50</definedName>
    <definedName name="sizing_w07_nsxt_gm_appliance_size">'Management Domain Sizing'!$M$50</definedName>
    <definedName name="sizing_w07_nsxt_model">'Management Domain Sizing'!$H$50</definedName>
    <definedName name="sizing_w07_spr_chosen">'Management Domain Sizing'!$R$50</definedName>
    <definedName name="sizing_w07_ssp_chosen">'Management Domain Sizing'!$X$50</definedName>
    <definedName name="sizing_w07_vcenter_appliance_size">'Management Domain Sizing'!$D$50</definedName>
    <definedName name="sizing_w07_vcenter_storage_size">'Management Domain Sizing'!$F$50</definedName>
    <definedName name="sizing_w08_avi_appliance_size">'Management Domain Sizing'!$U$51</definedName>
    <definedName name="sizing_w08_chosen">'Management Domain Sizing'!$C$51</definedName>
    <definedName name="sizing_w08_gm_chosen">'Management Domain Sizing'!$L$51</definedName>
    <definedName name="sizing_w08_nsxt_appliance_size">'Management Domain Sizing'!$I$51</definedName>
    <definedName name="sizing_w08_nsxt_gm_appliance_size">'Management Domain Sizing'!$M$51</definedName>
    <definedName name="sizing_w08_nsxt_model">'Management Domain Sizing'!$H$51</definedName>
    <definedName name="sizing_w08_spr_chosen">'Management Domain Sizing'!$R$51</definedName>
    <definedName name="sizing_w08_ssp_chosen">'Management Domain Sizing'!$X$51</definedName>
    <definedName name="sizing_w08_vcenter_appliance_size">'Management Domain Sizing'!$D$51</definedName>
    <definedName name="sizing_w08_vcenter_storage_size">'Management Domain Sizing'!$F$51</definedName>
    <definedName name="sizing_w09_avi_appliance_size">'Management Domain Sizing'!$U$52</definedName>
    <definedName name="sizing_w09_chosen">'Management Domain Sizing'!$C$52</definedName>
    <definedName name="sizing_w09_gm_chosen">'Management Domain Sizing'!$L$52</definedName>
    <definedName name="sizing_w09_nsxt_appliance_size">'Management Domain Sizing'!$I$52</definedName>
    <definedName name="sizing_w09_nsxt_gm_appliance_size">'Management Domain Sizing'!$M$52</definedName>
    <definedName name="sizing_w09_nsxt_model">'Management Domain Sizing'!$H$52</definedName>
    <definedName name="sizing_w09_spr_chosen">'Management Domain Sizing'!$R$52</definedName>
    <definedName name="sizing_w09_ssp_chosen">'Management Domain Sizing'!$X$52</definedName>
    <definedName name="sizing_w09_vcenter_appliance_size">'Management Domain Sizing'!$D$52</definedName>
    <definedName name="sizing_w09_vcenter_storage_size">'Management Domain Sizing'!$F$52</definedName>
    <definedName name="sizing_w10_avi_appliance_size">'Management Domain Sizing'!$U$53</definedName>
    <definedName name="sizing_w10_chosen">'Management Domain Sizing'!$C$53</definedName>
    <definedName name="sizing_w10_gm_chosen">'Management Domain Sizing'!$L$53</definedName>
    <definedName name="sizing_w10_nsxt_appliance_size">'Management Domain Sizing'!$I$53</definedName>
    <definedName name="sizing_w10_nsxt_gm_appliance_size">'Management Domain Sizing'!$M$53</definedName>
    <definedName name="sizing_w10_nsxt_model">'Management Domain Sizing'!$H$53</definedName>
    <definedName name="sizing_w10_spr_chosen">'Management Domain Sizing'!$R$53</definedName>
    <definedName name="sizing_w10_ssp_chosen">'Management Domain Sizing'!$X$53</definedName>
    <definedName name="sizing_w10_vcenter_appliance_size">'Management Domain Sizing'!$D$53</definedName>
    <definedName name="sizing_w10_vcenter_storage_size">'Management Domain Sizing'!$F$53</definedName>
    <definedName name="sizing_w11_avi_appliance_size">'Management Domain Sizing'!$U$54</definedName>
    <definedName name="sizing_w11_chosen">'Management Domain Sizing'!$C$54</definedName>
    <definedName name="sizing_w11_gm_chosen">'Management Domain Sizing'!$L$54</definedName>
    <definedName name="sizing_w11_nsxt_appliance_size">'Management Domain Sizing'!$I$54</definedName>
    <definedName name="sizing_w11_nsxt_gm_appliance_size">'Management Domain Sizing'!$M$54</definedName>
    <definedName name="sizing_w11_nsxt_model">'Management Domain Sizing'!$H$54</definedName>
    <definedName name="sizing_w11_spr_chosen">'Management Domain Sizing'!$R$54</definedName>
    <definedName name="sizing_w11_ssp_chosen">'Management Domain Sizing'!$X$54</definedName>
    <definedName name="sizing_w11_vcenter_appliance_size">'Management Domain Sizing'!$D$54</definedName>
    <definedName name="sizing_w11_vcenter_storage_size">'Management Domain Sizing'!$F$54</definedName>
    <definedName name="sizing_w12_avi_appliance_size">'Management Domain Sizing'!$U$55</definedName>
    <definedName name="sizing_w12_chosen">'Management Domain Sizing'!$C$55</definedName>
    <definedName name="sizing_w12_gm_chosen">'Management Domain Sizing'!$L$55</definedName>
    <definedName name="sizing_w12_nsxt_appliance_size">'Management Domain Sizing'!$I$55</definedName>
    <definedName name="sizing_w12_nsxt_gm_appliance_size">'Management Domain Sizing'!$M$55</definedName>
    <definedName name="sizing_w12_nsxt_model">'Management Domain Sizing'!$H$55</definedName>
    <definedName name="sizing_w12_spr_chosen">'Management Domain Sizing'!$R$55</definedName>
    <definedName name="sizing_w12_ssp_chosen">'Management Domain Sizing'!$X$55</definedName>
    <definedName name="sizing_w12_vcenter_appliance_size">'Management Domain Sizing'!$D$55</definedName>
    <definedName name="sizing_w12_vcenter_storage_size">'Management Domain Sizing'!$F$55</definedName>
    <definedName name="sizing_w13_avi_appliance_size">'Management Domain Sizing'!$U$56</definedName>
    <definedName name="sizing_w13_chosen">'Management Domain Sizing'!$C$56</definedName>
    <definedName name="sizing_w13_gm_chosen">'Management Domain Sizing'!$L$56</definedName>
    <definedName name="sizing_w13_nsxt_appliance_size">'Management Domain Sizing'!$I$56</definedName>
    <definedName name="sizing_w13_nsxt_gm_appliance_size">'Management Domain Sizing'!$M$56</definedName>
    <definedName name="sizing_w13_nsxt_model">'Management Domain Sizing'!$H$56</definedName>
    <definedName name="sizing_w13_spr_chosen">'Management Domain Sizing'!$R$56</definedName>
    <definedName name="sizing_w13_ssp_chosen">'Management Domain Sizing'!$X$56</definedName>
    <definedName name="sizing_w13_vcenter_appliance_size">'Management Domain Sizing'!$D$56</definedName>
    <definedName name="sizing_w13_vcenter_storage_size">'Management Domain Sizing'!$F$56</definedName>
    <definedName name="sizing_w14_avi_appliance_size">'Management Domain Sizing'!$U$57</definedName>
    <definedName name="sizing_w14_chosen">'Management Domain Sizing'!$C$57</definedName>
    <definedName name="sizing_w14_gm_chosen">'Management Domain Sizing'!$L$57</definedName>
    <definedName name="sizing_w14_nsxt_appliance_size">'Management Domain Sizing'!$I$57</definedName>
    <definedName name="sizing_w14_nsxt_gm_appliance_size">'Management Domain Sizing'!$M$57</definedName>
    <definedName name="sizing_w14_nsxt_model">'Management Domain Sizing'!$H$57</definedName>
    <definedName name="sizing_w14_spr_chosen">'Management Domain Sizing'!$R$57</definedName>
    <definedName name="sizing_w14_ssp_chosen">'Management Domain Sizing'!$X$57</definedName>
    <definedName name="sizing_w14_vcenter_appliance_size">'Management Domain Sizing'!$D$57</definedName>
    <definedName name="sizing_w14_vcenter_storage_size">'Management Domain Sizing'!$F$57</definedName>
    <definedName name="sizing_w15_avi_appliance_size">'Management Domain Sizing'!$U$58</definedName>
    <definedName name="sizing_w15_chosen">'Management Domain Sizing'!$C$58</definedName>
    <definedName name="sizing_w15_gm_chosen">'Management Domain Sizing'!$L$58</definedName>
    <definedName name="sizing_w15_nsxt_appliance_size">'Management Domain Sizing'!$I$58</definedName>
    <definedName name="sizing_w15_nsxt_gm_appliance_size">'Management Domain Sizing'!$M$58</definedName>
    <definedName name="sizing_w15_nsxt_model">'Management Domain Sizing'!$H$58</definedName>
    <definedName name="sizing_w15_spr_chosen">'Management Domain Sizing'!$R$58</definedName>
    <definedName name="sizing_w15_ssp_chosen">'Management Domain Sizing'!$X$58</definedName>
    <definedName name="sizing_w15_vcenter_appliance_size">'Management Domain Sizing'!$D$58</definedName>
    <definedName name="sizing_w15_vcenter_storage_size">'Management Domain Sizing'!$F$58</definedName>
    <definedName name="sizing_w16_avi_appliance_size">'Management Domain Sizing'!$U$59</definedName>
    <definedName name="sizing_w16_chosen">'Management Domain Sizing'!$C$59</definedName>
    <definedName name="sizing_w16_gm_chosen">'Management Domain Sizing'!$L$59</definedName>
    <definedName name="sizing_w16_nsxt_appliance_size">'Management Domain Sizing'!$I$59</definedName>
    <definedName name="sizing_w16_nsxt_gm_appliance_size">'Management Domain Sizing'!$M$59</definedName>
    <definedName name="sizing_w16_nsxt_model">'Management Domain Sizing'!$H$59</definedName>
    <definedName name="sizing_w16_spr_chosen">'Management Domain Sizing'!$R$59</definedName>
    <definedName name="sizing_w16_ssp_chosen">'Management Domain Sizing'!$X$59</definedName>
    <definedName name="sizing_w16_vcenter_appliance_size">'Management Domain Sizing'!$D$59</definedName>
    <definedName name="sizing_w16_vcenter_storage_size">'Management Domain Sizing'!$F$59</definedName>
    <definedName name="sizing_w17_avi_appliance_size">'Management Domain Sizing'!$U$60</definedName>
    <definedName name="sizing_w17_chosen">'Management Domain Sizing'!$C$60</definedName>
    <definedName name="sizing_w17_gm_chosen">'Management Domain Sizing'!$L$60</definedName>
    <definedName name="sizing_w17_nsxt_appliance_size">'Management Domain Sizing'!$I$60</definedName>
    <definedName name="sizing_w17_nsxt_gm_appliance_size">'Management Domain Sizing'!$M$60</definedName>
    <definedName name="sizing_w17_nsxt_model">'Management Domain Sizing'!$H$60</definedName>
    <definedName name="sizing_w17_spr_chosen">'Management Domain Sizing'!$R$60</definedName>
    <definedName name="sizing_w17_ssp_chosen">'Management Domain Sizing'!$X$60</definedName>
    <definedName name="sizing_w17_vcenter_appliance_size">'Management Domain Sizing'!$D$60</definedName>
    <definedName name="sizing_w17_vcenter_storage_size">'Management Domain Sizing'!$F$60</definedName>
    <definedName name="sizing_w18_avi_appliance_size">'Management Domain Sizing'!$U$61</definedName>
    <definedName name="sizing_w18_chosen">'Management Domain Sizing'!$C$61</definedName>
    <definedName name="sizing_w18_gm_chosen">'Management Domain Sizing'!$L$61</definedName>
    <definedName name="sizing_w18_nsxt_appliance_size">'Management Domain Sizing'!$I$61</definedName>
    <definedName name="sizing_w18_nsxt_gm_appliance_size">'Management Domain Sizing'!$M$61</definedName>
    <definedName name="sizing_w18_nsxt_model">'Management Domain Sizing'!$H$61</definedName>
    <definedName name="sizing_w18_spr_chosen">'Management Domain Sizing'!$R$61</definedName>
    <definedName name="sizing_w18_ssp_chosen">'Management Domain Sizing'!$X$61</definedName>
    <definedName name="sizing_w18_vcenter_appliance_size">'Management Domain Sizing'!$D$61</definedName>
    <definedName name="sizing_w18_vcenter_storage_size">'Management Domain Sizing'!$F$61</definedName>
    <definedName name="sizing_w19_avi_appliance_size">'Management Domain Sizing'!$U$62</definedName>
    <definedName name="sizing_w19_chosen">'Management Domain Sizing'!$C$62</definedName>
    <definedName name="sizing_w19_gm_chosen">'Management Domain Sizing'!$L$62</definedName>
    <definedName name="sizing_w19_nsxt_appliance_size">'Management Domain Sizing'!$I$62</definedName>
    <definedName name="sizing_w19_nsxt_gm_appliance_size">'Management Domain Sizing'!$M$62</definedName>
    <definedName name="sizing_w19_nsxt_model">'Management Domain Sizing'!$H$62</definedName>
    <definedName name="sizing_w19_spr_chosen">'Management Domain Sizing'!$R$62</definedName>
    <definedName name="sizing_w19_ssp_chosen">'Management Domain Sizing'!$X$62</definedName>
    <definedName name="sizing_w19_vcenter_appliance_size">'Management Domain Sizing'!$D$62</definedName>
    <definedName name="sizing_w19_vcenter_storage_size">'Management Domain Sizing'!$F$62</definedName>
    <definedName name="sizing_w20_avi_appliance_size">'Management Domain Sizing'!$U$63</definedName>
    <definedName name="sizing_w20_chosen">'Management Domain Sizing'!$C$63</definedName>
    <definedName name="sizing_w20_gm_chosen">'Management Domain Sizing'!$L$63</definedName>
    <definedName name="sizing_w20_nsxt_appliance_size">'Management Domain Sizing'!$I$63</definedName>
    <definedName name="sizing_w20_nsxt_gm_appliance_size">'Management Domain Sizing'!$M$63</definedName>
    <definedName name="sizing_w20_nsxt_model">'Management Domain Sizing'!$H$63</definedName>
    <definedName name="sizing_w20_spr_chosen">'Management Domain Sizing'!$R$63</definedName>
    <definedName name="sizing_w20_ssp_chosen">'Management Domain Sizing'!$X$63</definedName>
    <definedName name="sizing_w20_vcenter_appliance_size">'Management Domain Sizing'!$D$63</definedName>
    <definedName name="sizing_w20_vcenter_storage_size">'Management Domain Sizing'!$F$63</definedName>
    <definedName name="sizing_w21_avi_appliance_size">'Management Domain Sizing'!$U$64</definedName>
    <definedName name="sizing_w21_chosen">'Management Domain Sizing'!$C$64</definedName>
    <definedName name="sizing_w21_gm_chosen">'Management Domain Sizing'!$L$64</definedName>
    <definedName name="sizing_w21_nsxt_appliance_size">'Management Domain Sizing'!$I$64</definedName>
    <definedName name="sizing_w21_nsxt_gm_appliance_size">'Management Domain Sizing'!$M$64</definedName>
    <definedName name="sizing_w21_nsxt_model">'Management Domain Sizing'!$H$64</definedName>
    <definedName name="sizing_w21_spr_chosen">'Management Domain Sizing'!$R$64</definedName>
    <definedName name="sizing_w21_ssp_chosen">'Management Domain Sizing'!$X$64</definedName>
    <definedName name="sizing_w21_vcenter_appliance_size">'Management Domain Sizing'!$D$64</definedName>
    <definedName name="sizing_w21_vcenter_storage_size">'Management Domain Sizing'!$F$64</definedName>
    <definedName name="sizing_w22_avi_appliance_size">'Management Domain Sizing'!$U$65</definedName>
    <definedName name="sizing_w22_chosen">'Management Domain Sizing'!$C$65</definedName>
    <definedName name="sizing_w22_gm_chosen">'Management Domain Sizing'!$L$65</definedName>
    <definedName name="sizing_w22_nsxt_appliance_size">'Management Domain Sizing'!$I$65</definedName>
    <definedName name="sizing_w22_nsxt_gm_appliance_size">'Management Domain Sizing'!$M$65</definedName>
    <definedName name="sizing_w22_nsxt_model">'Management Domain Sizing'!$H$65</definedName>
    <definedName name="sizing_w22_spr_chosen">'Management Domain Sizing'!$R$65</definedName>
    <definedName name="sizing_w22_ssp_chosen">'Management Domain Sizing'!$X$65</definedName>
    <definedName name="sizing_w22_vcenter_appliance_size">'Management Domain Sizing'!$D$65</definedName>
    <definedName name="sizing_w22_vcenter_storage_size">'Management Domain Sizing'!$F$65</definedName>
    <definedName name="sizing_w23_avi_appliance_size">'Management Domain Sizing'!$U$66</definedName>
    <definedName name="sizing_w23_chosen">'Management Domain Sizing'!$C$66</definedName>
    <definedName name="sizing_w23_gm_chosen">'Management Domain Sizing'!$L$66</definedName>
    <definedName name="sizing_w23_nsxt_appliance_size">'Management Domain Sizing'!$I$66</definedName>
    <definedName name="sizing_w23_nsxt_gm_appliance_size">'Management Domain Sizing'!$M$66</definedName>
    <definedName name="sizing_w23_nsxt_model">'Management Domain Sizing'!$H$66</definedName>
    <definedName name="sizing_w23_spr_chosen">'Management Domain Sizing'!$R$66</definedName>
    <definedName name="sizing_w23_ssp_chosen">'Management Domain Sizing'!$X$66</definedName>
    <definedName name="sizing_w23_vcenter_appliance_size">'Management Domain Sizing'!$D$66</definedName>
    <definedName name="sizing_w23_vcenter_storage_size">'Management Domain Sizing'!$F$66</definedName>
    <definedName name="sizing_w24_avi_appliance_size">'Management Domain Sizing'!$U$67</definedName>
    <definedName name="sizing_w24_chosen">'Management Domain Sizing'!$C$67</definedName>
    <definedName name="sizing_w24_gm_chosen">'Management Domain Sizing'!$L$67</definedName>
    <definedName name="sizing_w24_nsxt_appliance_size">'Management Domain Sizing'!$I$67</definedName>
    <definedName name="sizing_w24_nsxt_gm_appliance_size">'Management Domain Sizing'!$M$67</definedName>
    <definedName name="sizing_w24_nsxt_model">'Management Domain Sizing'!$H$67</definedName>
    <definedName name="sizing_w24_spr_chosen">'Management Domain Sizing'!$R$67</definedName>
    <definedName name="sizing_w24_ssp_chosen">'Management Domain Sizing'!$X$67</definedName>
    <definedName name="sizing_w24_vcenter_appliance_size">'Management Domain Sizing'!$D$67</definedName>
    <definedName name="sizing_w24_vcenter_storage_size">'Management Domain Sizing'!$F$67</definedName>
    <definedName name="sizing_w25_avi_appliance_size">'Management Domain Sizing'!$U$68</definedName>
    <definedName name="sizing_w25_chosen">'Management Domain Sizing'!$C$68</definedName>
    <definedName name="sizing_w25_gm_chosen">'Management Domain Sizing'!$L$68</definedName>
    <definedName name="sizing_w25_nsxt_appliance_size">'Management Domain Sizing'!$I$68</definedName>
    <definedName name="sizing_w25_nsxt_gm_appliance_size">'Management Domain Sizing'!$M$68</definedName>
    <definedName name="sizing_w25_nsxt_model">'Management Domain Sizing'!$H$68</definedName>
    <definedName name="sizing_w25_spr_chosen">'Management Domain Sizing'!$R$68</definedName>
    <definedName name="sizing_w25_ssp_chosen">'Management Domain Sizing'!$X$68</definedName>
    <definedName name="sizing_w25_vcenter_appliance_size">'Management Domain Sizing'!$D$68</definedName>
    <definedName name="sizing_w25_vcenter_storage_size">'Management Domain Sizing'!$F$68</definedName>
    <definedName name="sizing_w26_avi_appliance_size">'Management Domain Sizing'!$U$69</definedName>
    <definedName name="sizing_w26_chosen">'Management Domain Sizing'!$C$69</definedName>
    <definedName name="sizing_w26_gm_chosen">'Management Domain Sizing'!$L$69</definedName>
    <definedName name="sizing_w26_nsxt_appliance_size">'Management Domain Sizing'!$I$69</definedName>
    <definedName name="sizing_w26_nsxt_gm_appliance_size">'Management Domain Sizing'!$M$69</definedName>
    <definedName name="sizing_w26_nsxt_model">'Management Domain Sizing'!$H$69</definedName>
    <definedName name="sizing_w26_spr_chosen">'Management Domain Sizing'!$R$69</definedName>
    <definedName name="sizing_w26_ssp_chosen">'Management Domain Sizing'!$X$69</definedName>
    <definedName name="sizing_w26_vcenter_appliance_size">'Management Domain Sizing'!$D$69</definedName>
    <definedName name="sizing_w26_vcenter_storage_size">'Management Domain Sizing'!$F$69</definedName>
    <definedName name="sizing_w27_avi_appliance_size">'Management Domain Sizing'!$U$70</definedName>
    <definedName name="sizing_w27_chosen">'Management Domain Sizing'!$C$70</definedName>
    <definedName name="sizing_w27_gm_chosen">'Management Domain Sizing'!$L$70</definedName>
    <definedName name="sizing_w27_nsxt_appliance_size">'Management Domain Sizing'!$I$70</definedName>
    <definedName name="sizing_w27_nsxt_gm_appliance_size">'Management Domain Sizing'!$M$70</definedName>
    <definedName name="sizing_w27_nsxt_model">'Management Domain Sizing'!$H$70</definedName>
    <definedName name="sizing_w27_spr_chosen">'Management Domain Sizing'!$R$70</definedName>
    <definedName name="sizing_w27_ssp_chosen">'Management Domain Sizing'!$X$70</definedName>
    <definedName name="sizing_w27_vcenter_appliance_size">'Management Domain Sizing'!$D$70</definedName>
    <definedName name="sizing_w27_vcenter_storage_size">'Management Domain Sizing'!$F$70</definedName>
    <definedName name="sizing_w28_avi_appliance_size">'Management Domain Sizing'!$U$71</definedName>
    <definedName name="sizing_w28_chosen">'Management Domain Sizing'!$C$71</definedName>
    <definedName name="sizing_w28_gm_chosen">'Management Domain Sizing'!$L$71</definedName>
    <definedName name="sizing_w28_nsxt_appliance_size">'Management Domain Sizing'!$I$71</definedName>
    <definedName name="sizing_w28_nsxt_gm_appliance_size">'Management Domain Sizing'!$M$71</definedName>
    <definedName name="sizing_w28_nsxt_model">'Management Domain Sizing'!$H$71</definedName>
    <definedName name="sizing_w28_spr_chosen">'Management Domain Sizing'!$R$71</definedName>
    <definedName name="sizing_w28_ssp_chosen">'Management Domain Sizing'!$X$71</definedName>
    <definedName name="sizing_w28_vcenter_appliance_size">'Management Domain Sizing'!$D$71</definedName>
    <definedName name="sizing_w28_vcenter_storage_size">'Management Domain Sizing'!$F$71</definedName>
    <definedName name="sizing_w29_avi_appliance_size">'Management Domain Sizing'!$U$72</definedName>
    <definedName name="sizing_w29_chosen">'Management Domain Sizing'!$C$72</definedName>
    <definedName name="sizing_w29_gm_chosen">'Management Domain Sizing'!$L$72</definedName>
    <definedName name="sizing_w29_nsxt_appliance_size">'Management Domain Sizing'!$I$72</definedName>
    <definedName name="sizing_w29_nsxt_gm_appliance_size">'Management Domain Sizing'!$M$72</definedName>
    <definedName name="sizing_w29_nsxt_model">'Management Domain Sizing'!$H$72</definedName>
    <definedName name="sizing_w29_spr_chosen">'Management Domain Sizing'!$R$72</definedName>
    <definedName name="sizing_w29_ssp_chosen">'Management Domain Sizing'!$X$72</definedName>
    <definedName name="sizing_w29_vcenter_appliance_size">'Management Domain Sizing'!$D$72</definedName>
    <definedName name="sizing_w29_vcenter_storage_size">'Management Domain Sizing'!$F$72</definedName>
    <definedName name="sizing_w30_avi_appliance_size">'Management Domain Sizing'!$U$73</definedName>
    <definedName name="sizing_w30_chosen">'Management Domain Sizing'!$C$73</definedName>
    <definedName name="sizing_w30_gm_chosen">'Management Domain Sizing'!$L$73</definedName>
    <definedName name="sizing_w30_nsxt_appliance_size">'Management Domain Sizing'!$I$73</definedName>
    <definedName name="sizing_w30_nsxt_gm_appliance_size">'Management Domain Sizing'!$M$73</definedName>
    <definedName name="sizing_w30_nsxt_model">'Management Domain Sizing'!$H$73</definedName>
    <definedName name="sizing_w30_spr_chosen">'Management Domain Sizing'!$R$73</definedName>
    <definedName name="sizing_w30_ssp_chosen">'Management Domain Sizing'!$X$73</definedName>
    <definedName name="sizing_w30_vcenter_appliance_size">'Management Domain Sizing'!$D$73</definedName>
    <definedName name="sizing_w30_vcenter_storage_size">'Management Domain Sizing'!$F$73</definedName>
    <definedName name="sizing_w31_avi_appliance_size">'Management Domain Sizing'!$U$74</definedName>
    <definedName name="sizing_w31_chosen">'Management Domain Sizing'!$C$74</definedName>
    <definedName name="sizing_w31_gm_chosen">'Management Domain Sizing'!$L$74</definedName>
    <definedName name="sizing_w31_nsxt_appliance_size">'Management Domain Sizing'!$I$74</definedName>
    <definedName name="sizing_w31_nsxt_gm_appliance_size">'Management Domain Sizing'!$M$74</definedName>
    <definedName name="sizing_w31_nsxt_model">'Management Domain Sizing'!$H$74</definedName>
    <definedName name="sizing_w31_spr_chosen">'Management Domain Sizing'!$R$74</definedName>
    <definedName name="sizing_w31_ssp_chosen">'Management Domain Sizing'!$X$74</definedName>
    <definedName name="sizing_w31_vcenter_appliance_size">'Management Domain Sizing'!$D$74</definedName>
    <definedName name="sizing_w31_vcenter_storage_size">'Management Domain Sizing'!$F$74</definedName>
    <definedName name="sizing_w32_avi_appliance_size">'Management Domain Sizing'!$U$75</definedName>
    <definedName name="sizing_w32_chosen">'Management Domain Sizing'!$C$75</definedName>
    <definedName name="sizing_w32_gm_chosen">'Management Domain Sizing'!$L$75</definedName>
    <definedName name="sizing_w32_nsxt_appliance_size">'Management Domain Sizing'!$I$75</definedName>
    <definedName name="sizing_w32_nsxt_gm_appliance_size">'Management Domain Sizing'!$M$75</definedName>
    <definedName name="sizing_w32_nsxt_model">'Management Domain Sizing'!$H$75</definedName>
    <definedName name="sizing_w32_spr_chosen">'Management Domain Sizing'!$R$75</definedName>
    <definedName name="sizing_w32_ssp_chosen">'Management Domain Sizing'!$X$75</definedName>
    <definedName name="sizing_w32_vcenter_appliance_size">'Management Domain Sizing'!$D$75</definedName>
    <definedName name="sizing_w32_vcenter_storage_size">'Management Domain Sizing'!$F$75</definedName>
    <definedName name="sizing_w33_avi_appliance_size">'Management Domain Sizing'!$U$76</definedName>
    <definedName name="sizing_w33_chosen">'Management Domain Sizing'!$C$76</definedName>
    <definedName name="sizing_w33_gm_chosen">'Management Domain Sizing'!$L$76</definedName>
    <definedName name="sizing_w33_nsxt_appliance_size">'Management Domain Sizing'!$I$76</definedName>
    <definedName name="sizing_w33_nsxt_gm_appliance_size">'Management Domain Sizing'!$M$76</definedName>
    <definedName name="sizing_w33_nsxt_model">'Management Domain Sizing'!$H$76</definedName>
    <definedName name="sizing_w33_spr_chosen">'Management Domain Sizing'!$R$76</definedName>
    <definedName name="sizing_w33_ssp_chosen">'Management Domain Sizing'!$X$76</definedName>
    <definedName name="sizing_w33_vcenter_appliance_size">'Management Domain Sizing'!$D$76</definedName>
    <definedName name="sizing_w33_vcenter_storage_size">'Management Domain Sizing'!$F$76</definedName>
    <definedName name="sizing_w34_avi_appliance_size">'Management Domain Sizing'!$U$77</definedName>
    <definedName name="sizing_w34_chosen">'Management Domain Sizing'!$C$77</definedName>
    <definedName name="sizing_w34_gm_chosen">'Management Domain Sizing'!$L$77</definedName>
    <definedName name="sizing_w34_nsxt_appliance_size">'Management Domain Sizing'!$I$77</definedName>
    <definedName name="sizing_w34_nsxt_gm_appliance_size">'Management Domain Sizing'!$M$77</definedName>
    <definedName name="sizing_w34_nsxt_model">'Management Domain Sizing'!$H$77</definedName>
    <definedName name="sizing_w34_spr_chosen">'Management Domain Sizing'!$R$77</definedName>
    <definedName name="sizing_w34_ssp_chosen">'Management Domain Sizing'!$X$77</definedName>
    <definedName name="sizing_w34_vcenter_appliance_size">'Management Domain Sizing'!$D$77</definedName>
    <definedName name="sizing_w34_vcenter_storage_size">'Management Domain Sizing'!$F$77</definedName>
    <definedName name="sizing_w35_avi_appliance_size">'Management Domain Sizing'!$U$78</definedName>
    <definedName name="sizing_w35_chosen">'Management Domain Sizing'!$C$78</definedName>
    <definedName name="sizing_w35_gm_chosen">'Management Domain Sizing'!$L$78</definedName>
    <definedName name="sizing_w35_nsxt_appliance_size">'Management Domain Sizing'!$I$78</definedName>
    <definedName name="sizing_w35_nsxt_gm_appliance_size">'Management Domain Sizing'!$M$78</definedName>
    <definedName name="sizing_w35_nsxt_model">'Management Domain Sizing'!$H$78</definedName>
    <definedName name="sizing_w35_spr_chosen">'Management Domain Sizing'!$R$78</definedName>
    <definedName name="sizing_w35_ssp_chosen">'Management Domain Sizing'!$X$78</definedName>
    <definedName name="sizing_w35_vcenter_appliance_size">'Management Domain Sizing'!$D$78</definedName>
    <definedName name="sizing_w35_vcenter_storage_size">'Management Domain Sizing'!$F$78</definedName>
    <definedName name="sizing_wld_nsxt_gm_appliance_size_chosen">'Configure Workload Domain'!$D$437</definedName>
    <definedName name="smtp_server">'Value Reference Tables'!$L$60</definedName>
    <definedName name="smtp_server_port">'Value Reference Tables'!$L$61</definedName>
    <definedName name="spr_chosen">'Management Domain Sizing'!$B$82</definedName>
    <definedName name="spr_mo_result">'Value Reference Tables'!$AA$48</definedName>
    <definedName name="spr_mw_result">'Value Reference Tables'!$AA$50</definedName>
    <definedName name="spr_result">'Management Domain Sizing'!$I$82</definedName>
    <definedName name="spr_wo_result">'Value Reference Tables'!$AA$49</definedName>
    <definedName name="srm_appliance_size">'Value Reference Tables'!$U$12</definedName>
    <definedName name="sso_default_admin">'Value Reference Tables'!$O$52</definedName>
    <definedName name="storage_autopolicy">'Static Reference Tables'!$B$608</definedName>
    <definedName name="storage_ftt">'Static Reference Tables'!$B$605:$B$607</definedName>
    <definedName name="svc_my_vmware_password">'Value Reference Tables'!$L$29</definedName>
    <definedName name="svc_vcf_bck_password">'Value Reference Tables'!$L$35</definedName>
    <definedName name="svc_vrops_nsx_password">'Value Reference Tables'!$L$80</definedName>
    <definedName name="svc_vrops_vsan_password">'Value Reference Tables'!$L$79</definedName>
    <definedName name="svc_vrops_vsphere_password">'Value Reference Tables'!$L$78</definedName>
    <definedName name="table_avi_lb_cpu">'Static Reference Tables'!$B$255:$C$257</definedName>
    <definedName name="table_avi_lb_disk">'Static Reference Tables'!$B$263:$C$265</definedName>
    <definedName name="table_avi_lb_ram">'Static Reference Tables'!$B$259:$C$261</definedName>
    <definedName name="table_cidr_to_mask">'Static Reference Tables'!$B$498:$C$530</definedName>
    <definedName name="table_fleet_cpu">'Static Reference Tables'!$B$478:$C$481</definedName>
    <definedName name="table_fleet_ram">'Static Reference Tables'!$B$483:$C$486</definedName>
    <definedName name="table_idbroker_cpu">'Static Reference Tables'!$B$418:$C$421</definedName>
    <definedName name="table_idbroker_disk">'Static Reference Tables'!$B$428:$C$431</definedName>
    <definedName name="table_idbroker_ram">'Static Reference Tables'!$B$423:$C$426</definedName>
    <definedName name="table_identity_broker_cpu">'Static Reference Tables'!$B$120:$C$123</definedName>
    <definedName name="table_identity_broker_disk">'Static Reference Tables'!$B$130:$C$133</definedName>
    <definedName name="table_identity_broker_ram">'Static Reference Tables'!$B$125:$C$128</definedName>
    <definedName name="table_logman_worker_cpu">'Static Reference Tables'!$B$378:$C$381</definedName>
    <definedName name="table_logman_worker_ram">'Static Reference Tables'!$B$383:$C$386</definedName>
    <definedName name="table_mask_to_cidr">'Static Reference Tables'!$C$262:$D$524</definedName>
    <definedName name="table_masks">'Static Reference Tables'!$C$498:$C$521</definedName>
    <definedName name="table_nsxt_deployment_model">'Static Reference Tables'!$C$532:$C$534</definedName>
    <definedName name="table_nsxt_deployment_model_dedicated">'Static Reference Tables'!$C$533</definedName>
    <definedName name="table_nsxt_edge_cpu">'Static Reference Tables'!$B$93:$C$100</definedName>
    <definedName name="table_nsxt_edge_disk_gb">'Static Reference Tables'!$B$111:$C$118</definedName>
    <definedName name="table_nsxt_edge_ram">'Static Reference Tables'!$B$102:$C$109</definedName>
    <definedName name="table_nsxt_manager_cpu">'Static Reference Tables'!$B$75:$C$79</definedName>
    <definedName name="table_nsxt_manager_disk_gb">'Static Reference Tables'!$B$87:$C$91</definedName>
    <definedName name="table_nsxt_manager_ram">'Static Reference Tables'!$B$81:$C$85</definedName>
    <definedName name="table_salt_cpu">'Static Reference Tables'!$B$448:$C$451</definedName>
    <definedName name="table_salt_raas_cpu">'Static Reference Tables'!$B$458:$C$461</definedName>
    <definedName name="table_salt_raas_ram">'Static Reference Tables'!$B$463:$C$466</definedName>
    <definedName name="table_salt_ram">'Static Reference Tables'!$B$453:$C$456</definedName>
    <definedName name="table_sddc_lcm_cpu">'Static Reference Tables'!$B$488:$C$491</definedName>
    <definedName name="table_sddc_lcm_ram">'Static Reference Tables'!$B$493:$C$496</definedName>
    <definedName name="table_sizing_vcfms_cpu">'Static Reference Tables'!$B$341:$C$344</definedName>
    <definedName name="table_sizing_vcfms_disk">'Static Reference Tables'!$B$359:$C$362</definedName>
    <definedName name="table_sizing_vcfms_ram">'Static Reference Tables'!$B$350:$C$353</definedName>
    <definedName name="table_software_depot_cpu">'Static Reference Tables'!$B$433:$C$436</definedName>
    <definedName name="table_software_depot_disk">'Static Reference Tables'!$B$443:$C$446</definedName>
    <definedName name="table_software_depot_ram">'Static Reference Tables'!$B$438:$C$441</definedName>
    <definedName name="table_srm_cpu">'Static Reference Tables'!$B$198:$C$199</definedName>
    <definedName name="table_srm_disk">'Static Reference Tables'!$B$204:$C$205</definedName>
    <definedName name="table_srm_ram">'Static Reference Tables'!$B$201:$C$202</definedName>
    <definedName name="table_ssp_controller">'Static Reference Tables'!$B$286:$C$288</definedName>
    <definedName name="table_ssp_cpu">'Static Reference Tables'!$B$270:$C$272</definedName>
    <definedName name="table_ssp_disk">'Static Reference Tables'!$B$278:$C$280</definedName>
    <definedName name="table_ssp_ram">'Static Reference Tables'!$B$274:$C$276</definedName>
    <definedName name="table_ssp_sizes">'Static Reference Tables'!$B$267:$B$269</definedName>
    <definedName name="table_ssp_sspi">'Static Reference Tables'!$B$290:$C$292</definedName>
    <definedName name="table_ssp_sspi_cpu">'Static Reference Tables'!$B$294:$C$296</definedName>
    <definedName name="table_ssp_sspi_disk">'Static Reference Tables'!$B$302:$C$304</definedName>
    <definedName name="table_ssp_sspi_ram">'Static Reference Tables'!$B$298:$C$300</definedName>
    <definedName name="table_ssp_workers">'Static Reference Tables'!$B$282:$C$284</definedName>
    <definedName name="table_supervisor_cpu">'Static Reference Tables'!$B$400:$C$404</definedName>
    <definedName name="table_supervisor_disk">'Static Reference Tables'!$B$412:$C$416</definedName>
    <definedName name="table_supervisor_ram">'Static Reference Tables'!$B$406:$C$410</definedName>
    <definedName name="table_telemetry_cpu">'Static Reference Tables'!$B$468:$C$471</definedName>
    <definedName name="table_telemetry_ram">'Static Reference Tables'!$B$473:$C$476</definedName>
    <definedName name="table_vcenter_appliance_cpu">'Static Reference Tables'!$B$37:$C$41</definedName>
    <definedName name="table_vcenter_appliance_ram">'Static Reference Tables'!$B$43:$C$47</definedName>
    <definedName name="table_vcenter_disk_gb">'Static Reference Tables'!$B$49:$C$73</definedName>
    <definedName name="table_vcf_version5x_mgmt_vlcm_image">'Static Reference Tables'!$B$574</definedName>
    <definedName name="table_vcf_version5x_mgmt_vlcm_type">'Static Reference Tables'!$B$571:$B$572</definedName>
    <definedName name="table_vcf_version5x_mgmt_vsan_type">'Static Reference Tables'!$B$561:$B$562</definedName>
    <definedName name="table_vcf_version5x_wld_storage_type">'Static Reference Tables'!$B$564:$B$568</definedName>
    <definedName name="table_vcf_version9x_cluster_storage_type">'Static Reference Tables'!$C$564:$C$569</definedName>
    <definedName name="table_vcfa_appliance_cpu">'Static Reference Tables'!$B$135:$C$137</definedName>
    <definedName name="table_vcfa_appliance_disk">'Static Reference Tables'!$B$143:$C$145</definedName>
    <definedName name="table_vcfa_appliance_ram">'Static Reference Tables'!$B$139:$C$141</definedName>
    <definedName name="table_vcfms_control_cpu">'Static Reference Tables'!$B$317:$C$320</definedName>
    <definedName name="table_vcfms_control_disk">'Static Reference Tables'!$B$327:$C$330</definedName>
    <definedName name="table_vcfms_control_nodes">'Static Reference Tables'!$B$314:$C$315</definedName>
    <definedName name="table_vcfms_control_ram">'Static Reference Tables'!$B$322:$C$325</definedName>
    <definedName name="table_vcfms_worker_cpu">'Static Reference Tables'!$B$341:$C$348</definedName>
    <definedName name="table_vcfms_worker_disk">'Static Reference Tables'!$B$359:$C$366</definedName>
    <definedName name="table_vcfms_worker_nodes">'Static Reference Tables'!$B$332:$C$339</definedName>
    <definedName name="table_vcfms_worker_ram">'Static Reference Tables'!$B$350:$C$357</definedName>
    <definedName name="table_vcfo_appliance_cpu">'Static Reference Tables'!$B$161:$C$163</definedName>
    <definedName name="table_vcfo_appliance_disk">'Static Reference Tables'!$B$173:$C$175</definedName>
    <definedName name="table_vcfo_appliance_ram">'Static Reference Tables'!$B$167:$C$169</definedName>
    <definedName name="table_vcfo_p_cpu">'Static Reference Tables'!$B$177:$C$179</definedName>
    <definedName name="table_vcfo_p_disk">'Static Reference Tables'!$B$185:$C$187</definedName>
    <definedName name="table_vcfo_p_ram">'Static Reference Tables'!$B$181:$C$183</definedName>
    <definedName name="table_vcfops_appliance_cpu">'Static Reference Tables'!$B$159:$C$163</definedName>
    <definedName name="table_vcfops_appliance_disk">'Static Reference Tables'!$B$171:$C$175</definedName>
    <definedName name="table_vcfops_appliance_ram">'Static Reference Tables'!$B$165:$C$169</definedName>
    <definedName name="table_vcfopsnet_appliance_cpu">'Static Reference Tables'!$B$211:$C$215</definedName>
    <definedName name="table_vcfopsnet_appliance_disk">'Static Reference Tables'!$B$223:$C$227</definedName>
    <definedName name="table_vcfopsnet_appliance_ram">'Static Reference Tables'!$B$217:$C$221</definedName>
    <definedName name="table_vcfopsnet_collector_cpu">'Static Reference Tables'!$B$229:$C$233</definedName>
    <definedName name="table_vcfopsnet_collector_disk">'Static Reference Tables'!$B$241:$C$245</definedName>
    <definedName name="table_vcfopsnet_collector_ram">'Static Reference Tables'!$B$235:$C$239</definedName>
    <definedName name="table_vodap_worker_cpu">'Static Reference Tables'!$B$368:$C$371</definedName>
    <definedName name="table_vodap_worker_ram">'Static Reference Tables'!$B$373:$C$376</definedName>
    <definedName name="table_vrli_appliance_cpu">'Static Reference Tables'!$B$147:$C$149</definedName>
    <definedName name="table_vrli_appliance_disk">'Static Reference Tables'!$B$155:$C$157</definedName>
    <definedName name="table_vrli_appliance_ram">'Static Reference Tables'!$B$151:$C$153</definedName>
    <definedName name="table_vrms_cpu">'Static Reference Tables'!$B$189:$C$190</definedName>
    <definedName name="table_vrms_disk">'Static Reference Tables'!$B$195:$C$196</definedName>
    <definedName name="table_vrms_ram">'Static Reference Tables'!$B$192:$C$193</definedName>
    <definedName name="this_instance">'Value Reference Tables'!$AA$19</definedName>
    <definedName name="user_svc_vcf_bck">'Value Reference Tables'!$O$48</definedName>
    <definedName name="user_svc_vcf_ca_vcf">'Value Reference Tables'!$O$10</definedName>
    <definedName name="user_svc_vrli_wsa">'Value Reference Tables'!$L$74</definedName>
    <definedName name="user_svc_vrops_nsx">'Value Reference Tables'!$L$73</definedName>
    <definedName name="user_svc_vrops_vsan">'Value Reference Tables'!$L$72</definedName>
    <definedName name="user_svc_vrops_vsphere">'Value Reference Tables'!$L$71</definedName>
    <definedName name="valuevx">42.314159</definedName>
    <definedName name="vcenter_root_password">'Value Reference Tables'!$L$14</definedName>
    <definedName name="vcenter_sizing_limits">'Static Reference Tables'!$B$639:$C$644</definedName>
    <definedName name="vcf_automation_additional_vips">'Value Reference Tables'!$L$160</definedName>
    <definedName name="vcf_automation_admin_password">'Value Reference Tables'!$L$150</definedName>
    <definedName name="vcf_automation_admin_password_alias">'Value Reference Tables'!$L$149</definedName>
    <definedName name="vcf_automation_admin_password_description">'Value Reference Tables'!$L$151</definedName>
    <definedName name="vcf_automation_admin_username">'Value Reference Tables'!$L$152</definedName>
    <definedName name="vcf_automation_cert_alias">'Value Reference Tables'!$L$125</definedName>
    <definedName name="vcf_automation_cert_common_name">'Value Reference Tables'!$L$127</definedName>
    <definedName name="vcf_automation_cert_country_code">'Value Reference Tables'!$L$130</definedName>
    <definedName name="vcf_automation_cert_file">'Value Reference Tables'!$L$126</definedName>
    <definedName name="vcf_automation_cert_key_length_chosen">Arkham!$Y$23</definedName>
    <definedName name="vcf_automation_cert_locality">'Value Reference Tables'!$L$131</definedName>
    <definedName name="vcf_automation_cert_organisation">'Value Reference Tables'!$L$128</definedName>
    <definedName name="vcf_automation_cert_state">'Value Reference Tables'!$L$132</definedName>
    <definedName name="vcf_automation_cert_type_chosen">Arkham!$Y$14</definedName>
    <definedName name="vcf_automation_dpg">'Value Reference Tables'!$L$165</definedName>
    <definedName name="vcf_automation_folder">'Value Reference Tables'!$L$144</definedName>
    <definedName name="vcf_automation_gateway_cidr">'Value Reference Tables'!$L$164</definedName>
    <definedName name="vcf_automation_gateway_ip">'Value Reference Tables'!$L$147</definedName>
    <definedName name="vcf_automation_internal_cidr_chosen">'Deploy Fleet Management Day-N'!$D$88</definedName>
    <definedName name="vcf_automation_lb_type_chosen">Arkham!$Y$52</definedName>
    <definedName name="vcf_automation_mask">'Value Reference Tables'!$L$146</definedName>
    <definedName name="vcf_automation_node_prefix_chosen">Arkham!$Y$53</definedName>
    <definedName name="vcf_automation_nodea_ip">'Value Reference Tables'!$L$138</definedName>
    <definedName name="vcf_automation_nodeb_ip">'Value Reference Tables'!$L$139</definedName>
    <definedName name="vcf_automation_nodec_ip">'Value Reference Tables'!$L$140</definedName>
    <definedName name="vcf_automation_noded_ip">'Value Reference Tables'!$L$141</definedName>
    <definedName name="vcf_automation_nodee_ip">'Value Reference Tables'!$L$142</definedName>
    <definedName name="vcf_automation_nodeef_ip">'Value Reference Tables'!$L$143</definedName>
    <definedName name="vcf_automation_ou_cert">'Value Reference Tables'!$L$129</definedName>
    <definedName name="vcf_automation_pool_type_chosen">'Deploy Fleet Management Day-N'!$D$82</definedName>
    <definedName name="vcf_automation_portgroup">'Value Reference Tables'!$L$148</definedName>
    <definedName name="vcf_automation_resource_pool">'Value Reference Tables'!$L$145</definedName>
    <definedName name="vcf_automation_root_password">'Value Reference Tables'!$L$154</definedName>
    <definedName name="vcf_automation_root_password_alias">'Value Reference Tables'!$L$153</definedName>
    <definedName name="vcf_automation_root_password_description">'Value Reference Tables'!$L$155</definedName>
    <definedName name="vcf_automation_root_username">'Value Reference Tables'!$L$156</definedName>
    <definedName name="vcf_automation_runtime_cidr">'Value Reference Tables'!$L$161</definedName>
    <definedName name="vcf_automation_runtime_ips">'Value Reference Tables'!$L$166</definedName>
    <definedName name="vcf_automation_size_chosen">'Deploy Fleet Management Day-N'!$D$79</definedName>
    <definedName name="vcf_automation_sr_fqdn">'Value Reference Tables'!$L$135</definedName>
    <definedName name="vcf_automation_sr_ip">'Value Reference Tables'!$L$137</definedName>
    <definedName name="vcf_automation_time_sync_mode_chosen">Arkham!$Y$36</definedName>
    <definedName name="vcf_automation_type_chosen">'Deploy Fleet Management Day-N'!$D$76</definedName>
    <definedName name="vcf_automation_version">'Value Reference Tables'!$L$122</definedName>
    <definedName name="vcf_automation_vip_fqdn">'Value Reference Tables'!$L$134</definedName>
    <definedName name="vcf_automation_vip_ip">'Value Reference Tables'!$L$136</definedName>
    <definedName name="vcf_granular_option_chosen">'VCF &amp; VVF Planning'!$J$19</definedName>
    <definedName name="vcf_granular_option_result">'VCF &amp; VVF Planning'!$L$19</definedName>
    <definedName name="vcf_installer_fqdn">'Value Reference Tables'!$C$61</definedName>
    <definedName name="vcf_installer_hostname">'Value Reference Tables'!$C$42</definedName>
    <definedName name="vcf_installer_ip">'Value Reference Tables'!$C$14</definedName>
    <definedName name="vcf_instance_name">'Value Reference Tables'!$C$92</definedName>
    <definedName name="vcf_pnp_option_no">'Static Reference Tables'!$E$12</definedName>
    <definedName name="vcf_pnp_option_yes">'Static Reference Tables'!$E$11:$E$12</definedName>
    <definedName name="vcf_pnp_result_exclude">'Static Reference Tables'!$E$8</definedName>
    <definedName name="vcf_pnp_result_excluded">'Static Reference Tables'!$F$8</definedName>
    <definedName name="vcf_pnp_result_include">'Static Reference Tables'!$E$7:$E$8</definedName>
    <definedName name="vcf_pnp_result_included">'Static Reference Tables'!$F$7</definedName>
    <definedName name="vcf_version">'VCF &amp; VVF Planning'!$J$11</definedName>
    <definedName name="vcf_version_chosen">'VCF &amp; VVF Planning'!$J$16</definedName>
    <definedName name="vcf_version_result">'VCF &amp; VVF Planning'!$L$16</definedName>
    <definedName name="vcf_vi_isolated_domain_count">'Value Reference Tables'!$AA$60</definedName>
    <definedName name="vcf_vi_wld_domain_count">'Value Reference Tables'!$AA$59</definedName>
    <definedName name="vcf_vidm_size_chosen">'Deploy Fleet Management Day-N'!$D$99</definedName>
    <definedName name="vcfms_system_password">'Value Reference Tables'!$C$214</definedName>
    <definedName name="vi_only_viable">'Value Reference Tables'!$AA$58</definedName>
    <definedName name="VMware_Cloud_Foundation">'Static Reference Tables'!$F$11:$F$12</definedName>
    <definedName name="VMware_vSphere_Foundation">'Static Reference Tables'!$I$11</definedName>
    <definedName name="vrms_appliance_size">'Value Reference Tables'!$U$11</definedName>
    <definedName name="vrslcm_xreg_vm_folder">'Dumping Ground'!$D$104</definedName>
    <definedName name="vs_dr_site_pair">'Site Protection &amp; DR'!$D$235</definedName>
    <definedName name="vsphere_8u1_evc_table">'Static Reference Tables'!$B$536:$B$559</definedName>
    <definedName name="vvf_mgmt_cl01_vds_standard_preconfigured_profiles">'Static Reference Tables'!$D$657:$D$659</definedName>
    <definedName name="vvs_dr_dns1_ip">'Value Reference Tables'!$O$91</definedName>
    <definedName name="vvs_dr_dns2_ip">'Value Reference Tables'!$O$92</definedName>
    <definedName name="vvs_dr_flt_auto_fqdn">'Value Reference Tables'!$O$104</definedName>
    <definedName name="vvs_dr_flt_fleet_manager_fqdn">'Value Reference Tables'!$O$94</definedName>
    <definedName name="vvs_dr_flt_fleet_manager_hostname">'Value Reference Tables'!$O$109</definedName>
    <definedName name="vvs_dr_flt_logs_nodea_fqdn">'Value Reference Tables'!$O$98</definedName>
    <definedName name="vvs_dr_flt_logs_nodea_hostname">'Value Reference Tables'!$O$113</definedName>
    <definedName name="vvs_dr_flt_logs_nodeb_fqdn">'Value Reference Tables'!$O$99</definedName>
    <definedName name="vvs_dr_flt_logs_nodeb_hostname">'Value Reference Tables'!$O$114</definedName>
    <definedName name="vvs_dr_flt_logs_nodec_fqdn">'Value Reference Tables'!$O$100</definedName>
    <definedName name="vvs_dr_flt_logs_nodec_hostname">'Value Reference Tables'!$O$115</definedName>
    <definedName name="vvs_dr_flt_net_nodea_fqdn">'Value Reference Tables'!$O$101</definedName>
    <definedName name="vvs_dr_flt_net_nodea_hostname">'Value Reference Tables'!$O$116</definedName>
    <definedName name="vvs_dr_flt_net_nodeb_fqdn">'Value Reference Tables'!$O$102</definedName>
    <definedName name="vvs_dr_flt_net_nodeb_hostname">'Value Reference Tables'!$O$117</definedName>
    <definedName name="vvs_dr_flt_net_nodec_fqdn">'Value Reference Tables'!$O$103</definedName>
    <definedName name="vvs_dr_flt_net_nodec_hostname">'Value Reference Tables'!$O$118</definedName>
    <definedName name="vvs_dr_flt_ops_nodea_fqdn">'Value Reference Tables'!$O$95</definedName>
    <definedName name="vvs_dr_flt_ops_nodea_hostname">'Value Reference Tables'!$O$110</definedName>
    <definedName name="vvs_dr_flt_ops_nodeb_fqdn">'Value Reference Tables'!$O$96</definedName>
    <definedName name="vvs_dr_flt_ops_nodeb_hostname">'Value Reference Tables'!$O$111</definedName>
    <definedName name="vvs_dr_flt_ops_nodec_fqdn">'Value Reference Tables'!$O$97</definedName>
    <definedName name="vvs_dr_flt_ops_nodec_hostname">'Value Reference Tables'!$O$112</definedName>
    <definedName name="vvs_dr_mgmt_az1_mgmt_vm_pg">'Value Reference Tables'!$C$284</definedName>
    <definedName name="vvs_dr_mgmt_cl01_cluster">'Value Reference Tables'!$O$106</definedName>
    <definedName name="vvs_dr_mgmt_cl01_datastore">'Value Reference Tables'!$O$119</definedName>
    <definedName name="vvs_dr_mgmt_vc_fqdn">'Value Reference Tables'!$O$105</definedName>
    <definedName name="vvs_dr_ntp1_server">'Value Reference Tables'!$O$90</definedName>
    <definedName name="vvs_dr_parent_dns_zone">'Value Reference Tables'!$O$93</definedName>
    <definedName name="vvs_dr_sso_domain">'Value Reference Tables'!$O$108</definedName>
    <definedName name="vvs_dr_vr_password">'Value Reference Tables'!$O$127</definedName>
    <definedName name="vvs_dr_vr_username">'Value Reference Tables'!$O$126</definedName>
    <definedName name="vvs_mgmt_dr_vlr_fqdn">'Value Reference Tables'!$O$107</definedName>
    <definedName name="vvs_mgmt_dr_vlr_hostname">'Value Reference Tables'!$R$67</definedName>
    <definedName name="witness_dns_zone">'Value Reference Tables'!$L$67</definedName>
    <definedName name="witness_dns1_ip">'Value Reference Tables'!$L$54</definedName>
    <definedName name="witness_dns2_ip">'Value Reference Tables'!$L$55</definedName>
    <definedName name="witness_ntp1_server">'Value Reference Tables'!$L$48</definedName>
    <definedName name="witness_ntp2_server">'Value Reference Tables'!$L$49</definedName>
    <definedName name="wld_administrator_vsphere_local_password">'Value Reference Tables'!$C$215</definedName>
    <definedName name="wld_avi_loadbalancer_chosen">'Configure Workload Domain'!$B$14</definedName>
    <definedName name="wld_avi_loadbalancer_result">'Configure Workload Domain'!$D$14</definedName>
    <definedName name="wld_avilb_cluster_formfactor_chosen">'Configure Workload Domain'!$D$224</definedName>
    <definedName name="wld_avilb_cluster_name">'Value Reference Tables'!$O$70</definedName>
    <definedName name="wld_avilb_cluster_version">'Value Reference Tables'!$O$71</definedName>
    <definedName name="wld_avilb_fqdn">'Value Reference Tables'!$F$56</definedName>
    <definedName name="wld_avilb_ha_chosen">'Configure Workload Domain'!$D$228</definedName>
    <definedName name="wld_avilb_hostname">'Value Reference Tables'!$F$41</definedName>
    <definedName name="wld_avilb_ip">'Value Reference Tables'!$F$23</definedName>
    <definedName name="wld_avilb_mgra_ip">'Value Reference Tables'!$F$24</definedName>
    <definedName name="wld_avilb_mgrb_ip">'Value Reference Tables'!$F$25</definedName>
    <definedName name="wld_avilb_mgrc_ip">'Value Reference Tables'!$F$26</definedName>
    <definedName name="wld_avilb_root_password">'Value Reference Tables'!$L$33</definedName>
    <definedName name="wld_avilb_vcfops_password">'Value Reference Tables'!$L$34</definedName>
    <definedName name="wld_az1_dtgw_gateway_cidr">'Value Reference Tables'!$F$216</definedName>
    <definedName name="wld_az1_dtgw_vlan">'Value Reference Tables'!$F$215</definedName>
    <definedName name="wld_az1_ec01_password_creation_chosen">'Configure Workload Domain'!$D$95</definedName>
    <definedName name="wld_az1_edge_overlay_cidr">'Value Reference Tables - MR'!$I$32</definedName>
    <definedName name="wld_az1_edge_overlay_gateway_ip">'Value Reference Tables - MR'!$I$94</definedName>
    <definedName name="wld_az1_edge_overlay_mask">'Value Reference Tables - MR'!$I$62</definedName>
    <definedName name="wld_az1_edge_overlay_mtu">'Value Reference Tables - MR'!$I$78</definedName>
    <definedName name="wld_az1_edge_overlay_network">'Value Reference Tables - MR'!$I$47</definedName>
    <definedName name="wld_az1_edge_overlay_network_pool_name">'Value Reference Tables - MR'!$I$188</definedName>
    <definedName name="wld_az1_edge_overlay_pg">'Value Reference Tables - MR'!$I$133</definedName>
    <definedName name="wld_az1_edge_overlay_pool_end_ip">'Value Reference Tables - MR'!$I$176</definedName>
    <definedName name="wld_az1_edge_overlay_pool_start_ip">'Value Reference Tables - MR'!$I$175</definedName>
    <definedName name="wld_az1_edge_overlay_vlan">'Value Reference Tables - MR'!$I$17</definedName>
    <definedName name="wld_az1_en1_edge_overlay_interface_ip_1_ip">'Value Reference Tables - MR'!$I$277</definedName>
    <definedName name="wld_az1_en1_edge_overlay_interface_ip_2_ip">'Value Reference Tables - MR'!$I$278</definedName>
    <definedName name="wld_az1_en1_edge_overlay_network_ip_allocation_chosen">'Configure Workload Domain'!$D$61</definedName>
    <definedName name="wld_az1_en1_eth0_uplink0">'Value Reference Tables'!$C$226</definedName>
    <definedName name="wld_az1_en1_eth0_uplink1">'Value Reference Tables'!$C$227</definedName>
    <definedName name="wld_az1_en1_eth1_uplink0">'Value Reference Tables'!$C$228</definedName>
    <definedName name="wld_az1_en1_eth1_uplink1">'Value Reference Tables'!$C$229</definedName>
    <definedName name="wld_az1_en1_fqdn">'Value Reference Tables'!$F$54</definedName>
    <definedName name="wld_az1_en1_hostname">'Value Reference Tables - MR'!$I$271</definedName>
    <definedName name="wld_az1_en1_ip_allocation_chosen">'Configure Workload Domain'!$D$49</definedName>
    <definedName name="wld_az1_en1_mgmt_cidr">'Value Reference Tables - MR'!$I$274</definedName>
    <definedName name="wld_az1_en1_mgmt_ip">'Value Reference Tables - MR'!$I$273</definedName>
    <definedName name="wld_az1_en1_uplink_ip_assignment_chosen">'Configure Workload Domain'!$D$60</definedName>
    <definedName name="wld_az1_en1_uplink01_interface_cidr">'Value Reference Tables - MR'!$I$275</definedName>
    <definedName name="wld_az1_en1_uplink02_interface_cidr">'Value Reference Tables - MR'!$I$276</definedName>
    <definedName name="wld_az1_en2_edge_overlay_interface_ip_1_ip">'Value Reference Tables - MR'!$I$288</definedName>
    <definedName name="wld_az1_en2_edge_overlay_interface_ip_2_ip">'Value Reference Tables - MR'!$I$289</definedName>
    <definedName name="wld_az1_en2_eth0_uplink0">'Value Reference Tables'!$C$230</definedName>
    <definedName name="wld_az1_en2_eth0_uplink1">'Value Reference Tables'!$C$231</definedName>
    <definedName name="wld_az1_en2_eth1_uplink0">'Value Reference Tables'!$C$232</definedName>
    <definedName name="wld_az1_en2_eth1_uplink1">'Value Reference Tables'!$C$233</definedName>
    <definedName name="wld_az1_en2_fqdn">'Value Reference Tables'!$F$55</definedName>
    <definedName name="wld_az1_en2_hostname">'Value Reference Tables - MR'!$I$282</definedName>
    <definedName name="wld_az1_en2_ip_allocation_chosen">'Configure Workload Domain'!$D$77</definedName>
    <definedName name="wld_az1_en2_mgmt_cidr">'Value Reference Tables - MR'!$I$285</definedName>
    <definedName name="wld_az1_en2_mgmt_ip">'Value Reference Tables - MR'!$I$284</definedName>
    <definedName name="wld_az1_en2_uplink01_interface_cidr">'Value Reference Tables - MR'!$I$286</definedName>
    <definedName name="wld_az1_en2_uplink02_interface_cidr">'Value Reference Tables - MR'!$I$287</definedName>
    <definedName name="wld_az1_host_fqdns">'Value Reference Tables - MR'!$I$253:$I$268</definedName>
    <definedName name="wld_az1_host_hostnames">'Value Reference Tables - MR'!$I$234:$I$249</definedName>
    <definedName name="wld_az1_host_mgmt_ips">'Value Reference Tables - MR'!$I$199:$I$214</definedName>
    <definedName name="wld_az1_host_overlay_cidr">'Value Reference Tables - MR'!$I$27</definedName>
    <definedName name="wld_az1_host_overlay_gateway_ip">'Value Reference Tables - MR'!$I$89</definedName>
    <definedName name="wld_az1_host_overlay_mask">'Value Reference Tables - MR'!$I$57</definedName>
    <definedName name="wld_az1_host_overlay_mtu">'Value Reference Tables - MR'!$I$73</definedName>
    <definedName name="wld_az1_host_overlay_network">'Value Reference Tables - MR'!$I$42</definedName>
    <definedName name="wld_az1_host_overlay_network_pool_description">'Value Reference Tables - MR'!$I$184</definedName>
    <definedName name="wld_az1_host_overlay_network_pool_name">'Value Reference Tables - MR'!$I$185</definedName>
    <definedName name="wld_az1_host_overlay_network_profile_name">'Value Reference Tables - MR'!$I$183</definedName>
    <definedName name="wld_az1_host_overlay_new_pool_chosen">'Deploy Workload Domain'!$D$327</definedName>
    <definedName name="wld_az1_host_overlay_pg">'Value Reference Tables - MR'!$I$129</definedName>
    <definedName name="wld_az1_host_overlay_pool_end_ip">'Value Reference Tables - MR'!$I$170</definedName>
    <definedName name="wld_az1_host_overlay_pool_start_ip">'Value Reference Tables - MR'!$I$169</definedName>
    <definedName name="wld_az1_host_overlay_transport_zone">'Value Reference Tables - MR'!$I$186</definedName>
    <definedName name="wld_az1_host_overlay_uplink_profile_name">'Value Reference Tables - MR'!$I$187</definedName>
    <definedName name="wld_az1_host_overlay_vlan">'Value Reference Tables - MR'!$I$12</definedName>
    <definedName name="wld_az1_host1_fqdn">'Value Reference Tables - MR'!$I$253</definedName>
    <definedName name="wld_az1_host1_hostname">'Value Reference Tables - MR'!$I$234</definedName>
    <definedName name="wld_az1_host1_mgmt_ip">'Value Reference Tables - MR'!$I$199</definedName>
    <definedName name="wld_az1_host1_vrms_ip">'Value Reference Tables - MR'!$I$215</definedName>
    <definedName name="wld_az1_host10_fqdn">'Value Reference Tables - MR'!$I$262</definedName>
    <definedName name="wld_az1_host10_hostname">'Value Reference Tables - MR'!$I$243</definedName>
    <definedName name="wld_az1_host10_mgmt_ip">'Value Reference Tables - MR'!$I$208</definedName>
    <definedName name="wld_az1_host10_vrms_ip">'Value Reference Tables - MR'!$I$224</definedName>
    <definedName name="wld_az1_host11_fqdn">'Value Reference Tables - MR'!$I$263</definedName>
    <definedName name="wld_az1_host11_hostname">'Value Reference Tables - MR'!$I$244</definedName>
    <definedName name="wld_az1_host11_mgmt_ip">'Value Reference Tables - MR'!$I$209</definedName>
    <definedName name="wld_az1_host11_vrms_ip">'Value Reference Tables - MR'!$I$225</definedName>
    <definedName name="wld_az1_host12_fqdn">'Value Reference Tables - MR'!$I$264</definedName>
    <definedName name="wld_az1_host12_hostname">'Value Reference Tables - MR'!$I$245</definedName>
    <definedName name="wld_az1_host12_mgmt_ip">'Value Reference Tables - MR'!$I$210</definedName>
    <definedName name="wld_az1_host12_vrms_ip">'Value Reference Tables - MR'!$I$226</definedName>
    <definedName name="wld_az1_host13_fqdn">'Value Reference Tables - MR'!$I$265</definedName>
    <definedName name="wld_az1_host13_hostname">'Value Reference Tables - MR'!$I$246</definedName>
    <definedName name="wld_az1_host13_mgmt_ip">'Value Reference Tables - MR'!$I$211</definedName>
    <definedName name="wld_az1_host13_vrms_ip">'Value Reference Tables - MR'!$I$227</definedName>
    <definedName name="wld_az1_host14_fqdn">'Value Reference Tables - MR'!$I$266</definedName>
    <definedName name="wld_az1_host14_hostname">'Value Reference Tables - MR'!$I$247</definedName>
    <definedName name="wld_az1_host14_mgmt_ip">'Value Reference Tables - MR'!$I$212</definedName>
    <definedName name="wld_az1_host14_vrms_ip">'Value Reference Tables - MR'!$I$228</definedName>
    <definedName name="wld_az1_host15_fqdn">'Value Reference Tables - MR'!$I$267</definedName>
    <definedName name="wld_az1_host15_hostname">'Value Reference Tables - MR'!$I$248</definedName>
    <definedName name="wld_az1_host15_mgmt_ip">'Value Reference Tables - MR'!$I$213</definedName>
    <definedName name="wld_az1_host15_vrms_ip">'Value Reference Tables - MR'!$I$229</definedName>
    <definedName name="wld_az1_host16_fqdn">'Value Reference Tables - MR'!$I$268</definedName>
    <definedName name="wld_az1_host16_hostname">'Value Reference Tables - MR'!$I$249</definedName>
    <definedName name="wld_az1_host16_mgmt_ip">'Value Reference Tables - MR'!$I$214</definedName>
    <definedName name="wld_az1_host16_vrms_ip">'Value Reference Tables - MR'!$I$230</definedName>
    <definedName name="wld_az1_host2_fqdn">'Value Reference Tables - MR'!$I$254</definedName>
    <definedName name="wld_az1_host2_hostname">'Value Reference Tables - MR'!$I$235</definedName>
    <definedName name="wld_az1_host2_mgmt_ip">'Value Reference Tables - MR'!$I$200</definedName>
    <definedName name="wld_az1_host2_vrms_ip">'Value Reference Tables - MR'!$I$216</definedName>
    <definedName name="wld_az1_host3_fqdn">'Value Reference Tables - MR'!$I$255</definedName>
    <definedName name="wld_az1_host3_hostname">'Value Reference Tables - MR'!$I$236</definedName>
    <definedName name="wld_az1_host3_mgmt_ip">'Value Reference Tables - MR'!$I$201</definedName>
    <definedName name="wld_az1_host3_vrms_ip">'Value Reference Tables - MR'!$I$217</definedName>
    <definedName name="wld_az1_host4_fqdn">'Value Reference Tables - MR'!$I$256</definedName>
    <definedName name="wld_az1_host4_hostname">'Value Reference Tables - MR'!$I$237</definedName>
    <definedName name="wld_az1_host4_mgmt_ip">'Value Reference Tables - MR'!$I$202</definedName>
    <definedName name="wld_az1_host4_vrms_ip">'Value Reference Tables - MR'!$I$218</definedName>
    <definedName name="wld_az1_host5_fqdn">'Value Reference Tables - MR'!$I$257</definedName>
    <definedName name="wld_az1_host5_hostname">'Value Reference Tables - MR'!$I$238</definedName>
    <definedName name="wld_az1_host5_mgmt_ip">'Value Reference Tables - MR'!$I$203</definedName>
    <definedName name="wld_az1_host5_vrms_ip">'Value Reference Tables - MR'!$I$219</definedName>
    <definedName name="wld_az1_host6_fqdn">'Value Reference Tables - MR'!$I$258</definedName>
    <definedName name="wld_az1_host6_hostname">'Value Reference Tables - MR'!$I$239</definedName>
    <definedName name="wld_az1_host6_mgmt_ip">'Value Reference Tables - MR'!$I$204</definedName>
    <definedName name="wld_az1_host6_vrms_ip">'Value Reference Tables - MR'!$I$220</definedName>
    <definedName name="wld_az1_host7_fqdn">'Value Reference Tables - MR'!$I$259</definedName>
    <definedName name="wld_az1_host7_hostname">'Value Reference Tables - MR'!$I$240</definedName>
    <definedName name="wld_az1_host7_mgmt_ip">'Value Reference Tables - MR'!$I$205</definedName>
    <definedName name="wld_az1_host7_vrms_ip">'Value Reference Tables - MR'!$I$221</definedName>
    <definedName name="wld_az1_host8_fqdn">'Value Reference Tables - MR'!$I$260</definedName>
    <definedName name="wld_az1_host8_hostname">'Value Reference Tables - MR'!$I$241</definedName>
    <definedName name="wld_az1_host8_mgmt_ip">'Value Reference Tables - MR'!$I$206</definedName>
    <definedName name="wld_az1_host8_vrms_ip">'Value Reference Tables - MR'!$I$222</definedName>
    <definedName name="wld_az1_host9_fqdn">'Value Reference Tables - MR'!$I$261</definedName>
    <definedName name="wld_az1_host9_hostname">'Value Reference Tables - MR'!$I$242</definedName>
    <definedName name="wld_az1_host9_mgmt_ip">'Value Reference Tables - MR'!$I$207</definedName>
    <definedName name="wld_az1_host9_vrms_ip">'Value Reference Tables - MR'!$I$223</definedName>
    <definedName name="wld_az1_mgmt_cidr">'Value Reference Tables - MR'!$I$24</definedName>
    <definedName name="wld_az1_mgmt_gateway_cidr">'Value Reference Tables - MR'!$I$101</definedName>
    <definedName name="wld_az1_mgmt_gateway_ip">'Value Reference Tables - MR'!$I$86</definedName>
    <definedName name="wld_az1_mgmt_mask">'Value Reference Tables - MR'!$I$54</definedName>
    <definedName name="wld_az1_mgmt_mtu">'Value Reference Tables - MR'!$I$70</definedName>
    <definedName name="wld_az1_mgmt_network">'Value Reference Tables - MR'!$I$39</definedName>
    <definedName name="wld_az1_mgmt_vlan">'Value Reference Tables - MR'!$I$9</definedName>
    <definedName name="wld_az1_mgmt_vm_cidr">'Value Reference Tables - MR'!$I$23</definedName>
    <definedName name="wld_az1_mgmt_vm_gateway_cidr">'Value Reference Tables - MR'!$I$100</definedName>
    <definedName name="wld_az1_mgmt_vm_gateway_ip">'Value Reference Tables - MR'!$I$85</definedName>
    <definedName name="wld_az1_mgmt_vm_mask">'Value Reference Tables - MR'!$I$53</definedName>
    <definedName name="wld_az1_mgmt_vm_mtu">'Value Reference Tables - MR'!$I$69</definedName>
    <definedName name="wld_az1_mgmt_vm_network">'Value Reference Tables - MR'!$I$38</definedName>
    <definedName name="wld_az1_mgmt_vm_vlan">'Value Reference Tables - MR'!$I$8</definedName>
    <definedName name="wld_az1_nsx_uplink1_active_chosen">'Deploy Workload Domain'!$D$342</definedName>
    <definedName name="wld_az1_nsx_uplink2_active_chosen">'Deploy Workload Domain'!$D$343</definedName>
    <definedName name="wld_az1_pool_name">'Value Reference Tables - MR'!$I$182</definedName>
    <definedName name="wld_az1_principal_storage_cidr">'Value Reference Tables - MR'!$I$26</definedName>
    <definedName name="wld_az1_principal_storage_gateway_cidr">'Value Reference Tables - MR'!$I$103</definedName>
    <definedName name="wld_az1_principal_storage_gateway_ip">'Value Reference Tables - MR'!$I$88</definedName>
    <definedName name="wld_az1_principal_storage_ip_assignment_chosen">'Deploy Workload Domain'!$D$98</definedName>
    <definedName name="wld_az1_principal_storage_ip_scheme_chosen">'Deploy Workload Domain'!$D$95</definedName>
    <definedName name="wld_az1_principal_storage_mask">'Value Reference Tables - MR'!$I$56</definedName>
    <definedName name="wld_az1_principal_storage_mtu">'Value Reference Tables - MR'!$I$72</definedName>
    <definedName name="wld_az1_principal_storage_network">'Value Reference Tables - MR'!$I$41</definedName>
    <definedName name="wld_az1_principal_storage_pool_end_ip">'Value Reference Tables - MR'!$I$168</definedName>
    <definedName name="wld_az1_principal_storage_pool_start_ip">'Value Reference Tables - MR'!$I$167</definedName>
    <definedName name="wld_az1_principal_storage_vlan">'Value Reference Tables - MR'!$I$11</definedName>
    <definedName name="wld_az1_rack2_edge_overlay_cidr">'Value Reference Tables - MR'!$L$32</definedName>
    <definedName name="wld_az1_rack2_edge_overlay_gateway_cidr">'Value Reference Tables - MR'!$L$109:$L$110</definedName>
    <definedName name="wld_az1_rack2_edge_overlay_gateway_ip">'Value Reference Tables - MR'!$L$94</definedName>
    <definedName name="wld_az1_rack2_edge_overlay_mask">'Value Reference Tables - MR'!$L$62</definedName>
    <definedName name="wld_az1_rack2_edge_overlay_mtu">'Value Reference Tables - MR'!$L$78</definedName>
    <definedName name="wld_az1_rack2_edge_overlay_network">'Value Reference Tables - MR'!$L$47</definedName>
    <definedName name="wld_az1_rack2_edge_overlay_network_pool_name">'Value Reference Tables - MR'!$L$188</definedName>
    <definedName name="wld_az1_rack2_edge_overlay_pool_end_ip">'Value Reference Tables - MR'!$L$176</definedName>
    <definedName name="wld_az1_rack2_edge_overlay_pool_start_ip">'Value Reference Tables - MR'!$L$175</definedName>
    <definedName name="wld_az1_rack2_edge_overlay_vlan">'Value Reference Tables - MR'!$L$17</definedName>
    <definedName name="wld_az1_rack2_en1_edge_overlay_interface_ip_1_ip">'Value Reference Tables - MR'!$L$260</definedName>
    <definedName name="wld_az1_rack2_en1_edge_overlay_interface_ip_2_ip">'Value Reference Tables - MR'!$L$261</definedName>
    <definedName name="wld_az1_rack2_en1_fqdn">'Value Reference Tables - MR'!$L$256</definedName>
    <definedName name="wld_az1_rack2_en1_hostname">'Value Reference Tables - MR'!$L$255</definedName>
    <definedName name="wld_az1_rack2_en1_mgmt_ip">'Value Reference Tables - MR'!$L$257</definedName>
    <definedName name="wld_az1_rack2_en1_uplink01_interface_ip">'Value Reference Tables - MR'!$L$258</definedName>
    <definedName name="wld_az1_rack2_en1_uplink02_interface_ip">'Value Reference Tables - MR'!$L$259</definedName>
    <definedName name="wld_az1_rack2_en2_fqdn">'Value Reference Tables - MR'!$L$266</definedName>
    <definedName name="wld_az1_rack2_en2_hostname">'Value Reference Tables - MR'!$L$265</definedName>
    <definedName name="wld_az1_rack2_en2_mgmt_ip">'Value Reference Tables - MR'!$L$267</definedName>
    <definedName name="wld_az1_rack2_en2_uplink01_interface_ip">'Value Reference Tables - MR'!$L$268</definedName>
    <definedName name="wld_az1_rack2_en2_uplink02_interface_ip">'Value Reference Tables - MR'!$L$269</definedName>
    <definedName name="wld_az1_rack2_host_fqdns">'Value Reference Tables - MR'!$L$237:$L$252</definedName>
    <definedName name="wld_az1_rack2_host_hostnames">'Value Reference Tables - MR'!$L$218:$L$233</definedName>
    <definedName name="wld_az1_rack2_host_mgmt_ips">'Value Reference Tables - MR'!$L$199:$L$214</definedName>
    <definedName name="wld_az1_rack2_host_overlay_cidr">'Value Reference Tables - MR'!$L$27</definedName>
    <definedName name="wld_az1_rack2_host_overlay_gateway_cidr">'Value Reference Tables - MR'!$L$104</definedName>
    <definedName name="wld_az1_rack2_host_overlay_gateway_ip">'Value Reference Tables - MR'!$L$89</definedName>
    <definedName name="wld_az1_rack2_host_overlay_mask">'Value Reference Tables - MR'!$L$57</definedName>
    <definedName name="wld_az1_rack2_host_overlay_mtu">'Value Reference Tables - MR'!$L$73</definedName>
    <definedName name="wld_az1_rack2_host_overlay_network">'Value Reference Tables - MR'!$L$42</definedName>
    <definedName name="wld_az1_rack2_host_overlay_network_pool_name">'Value Reference Tables - MR'!$L$185</definedName>
    <definedName name="wld_az1_rack2_host_overlay_network_profile_name">'Value Reference Tables - MR'!$L$183</definedName>
    <definedName name="wld_az1_rack2_host_overlay_new_pool_chosen">'Additional Racks'!$D$79</definedName>
    <definedName name="wld_az1_rack2_host_overlay_pool_end_ip">'Value Reference Tables - MR'!$L$170</definedName>
    <definedName name="wld_az1_rack2_host_overlay_pool_start_ip">'Value Reference Tables - MR'!$L$169</definedName>
    <definedName name="wld_az1_rack2_host_overlay_uplink_profile_name">'Value Reference Tables - MR'!$L$187</definedName>
    <definedName name="wld_az1_rack2_host_overlay_vlan">'Value Reference Tables - MR'!$L$12</definedName>
    <definedName name="wld_az1_rack2_host1_fqdn">'Value Reference Tables - MR'!$L$237</definedName>
    <definedName name="wld_az1_rack2_host1_hostname">'Value Reference Tables - MR'!$L$218</definedName>
    <definedName name="wld_az1_rack2_host1_mgmt_ip">'Value Reference Tables - MR'!$L$199</definedName>
    <definedName name="wld_az1_rack2_host10_fqdn">'Value Reference Tables - MR'!$L$246</definedName>
    <definedName name="wld_az1_rack2_host10_hostname">'Value Reference Tables - MR'!$L$227</definedName>
    <definedName name="wld_az1_rack2_host10_mgmt_ip">'Value Reference Tables - MR'!$L$208</definedName>
    <definedName name="wld_az1_rack2_host11_fqdn">'Value Reference Tables - MR'!$L$247</definedName>
    <definedName name="wld_az1_rack2_host11_hostname">'Value Reference Tables - MR'!$L$228</definedName>
    <definedName name="wld_az1_rack2_host11_mgmt_ip">'Value Reference Tables - MR'!$L$209</definedName>
    <definedName name="wld_az1_rack2_host12_fqdn">'Value Reference Tables - MR'!$L$248</definedName>
    <definedName name="wld_az1_rack2_host12_hostname">'Value Reference Tables - MR'!$L$229</definedName>
    <definedName name="wld_az1_rack2_host12_mgmt_ip">'Value Reference Tables - MR'!$L$210</definedName>
    <definedName name="wld_az1_rack2_host13_fqdn">'Value Reference Tables - MR'!$L$249</definedName>
    <definedName name="wld_az1_rack2_host13_hostname">'Value Reference Tables - MR'!$L$230</definedName>
    <definedName name="wld_az1_rack2_host13_mgmt_ip">'Value Reference Tables - MR'!$L$211</definedName>
    <definedName name="wld_az1_rack2_host14_fqdn">'Value Reference Tables - MR'!$L$250</definedName>
    <definedName name="wld_az1_rack2_host14_hostname">'Value Reference Tables - MR'!$L$231</definedName>
    <definedName name="wld_az1_rack2_host14_mgmt_ip">'Value Reference Tables - MR'!$L$212</definedName>
    <definedName name="wld_az1_rack2_host15_fqdn">'Value Reference Tables - MR'!$L$251</definedName>
    <definedName name="wld_az1_rack2_host15_hostname">'Value Reference Tables - MR'!$L$232</definedName>
    <definedName name="wld_az1_rack2_host15_mgmt_ip">'Value Reference Tables - MR'!$L$213</definedName>
    <definedName name="wld_az1_rack2_host16_fqdn">'Value Reference Tables - MR'!$L$252</definedName>
    <definedName name="wld_az1_rack2_host16_hostname">'Value Reference Tables - MR'!$L$233</definedName>
    <definedName name="wld_az1_rack2_host16_mgmt_ip">'Value Reference Tables - MR'!$L$214</definedName>
    <definedName name="wld_az1_rack2_host2_fqdn">'Value Reference Tables - MR'!$L$238</definedName>
    <definedName name="wld_az1_rack2_host2_hostname">'Value Reference Tables - MR'!$L$219</definedName>
    <definedName name="wld_az1_rack2_host2_mgmt_ip">'Value Reference Tables - MR'!$L$200</definedName>
    <definedName name="wld_az1_rack2_host3_fqdn">'Value Reference Tables - MR'!$L$239</definedName>
    <definedName name="wld_az1_rack2_host3_hostname">'Value Reference Tables - MR'!$L$220</definedName>
    <definedName name="wld_az1_rack2_host3_mgmt_ip">'Value Reference Tables - MR'!$L$201</definedName>
    <definedName name="wld_az1_rack2_host4_fqdn">'Value Reference Tables - MR'!$L$240</definedName>
    <definedName name="wld_az1_rack2_host4_hostname">'Value Reference Tables - MR'!$L$221</definedName>
    <definedName name="wld_az1_rack2_host4_mgmt_ip">'Value Reference Tables - MR'!$L$202</definedName>
    <definedName name="wld_az1_rack2_host5_fqdn">'Value Reference Tables - MR'!$L$241</definedName>
    <definedName name="wld_az1_rack2_host5_hostname">'Value Reference Tables - MR'!$L$222</definedName>
    <definedName name="wld_az1_rack2_host5_mgmt_ip">'Value Reference Tables - MR'!$L$203</definedName>
    <definedName name="wld_az1_rack2_host6_fqdn">'Value Reference Tables - MR'!$L$242</definedName>
    <definedName name="wld_az1_rack2_host6_hostname">'Value Reference Tables - MR'!$L$223</definedName>
    <definedName name="wld_az1_rack2_host6_mgmt_ip">'Value Reference Tables - MR'!$L$204</definedName>
    <definedName name="wld_az1_rack2_host7_fqdn">'Value Reference Tables - MR'!$L$243</definedName>
    <definedName name="wld_az1_rack2_host7_hostname">'Value Reference Tables - MR'!$L$224</definedName>
    <definedName name="wld_az1_rack2_host7_mgmt_ip">'Value Reference Tables - MR'!$L$205</definedName>
    <definedName name="wld_az1_rack2_host8_fqdn">'Value Reference Tables - MR'!$L$244</definedName>
    <definedName name="wld_az1_rack2_host8_hostname">'Value Reference Tables - MR'!$L$225</definedName>
    <definedName name="wld_az1_rack2_host8_mgmt_ip">'Value Reference Tables - MR'!$L$206</definedName>
    <definedName name="wld_az1_rack2_host9_fqdn">'Value Reference Tables - MR'!$L$245</definedName>
    <definedName name="wld_az1_rack2_host9_hostname">'Value Reference Tables - MR'!$L$226</definedName>
    <definedName name="wld_az1_rack2_host9_mgmt_ip">'Value Reference Tables - MR'!$L$207</definedName>
    <definedName name="wld_az1_rack2_mgmt_cidr">'Value Reference Tables - MR'!$L$24</definedName>
    <definedName name="wld_az1_rack2_mgmt_gateway_cidr">'Value Reference Tables - MR'!$L$101</definedName>
    <definedName name="wld_az1_rack2_mgmt_gateway_ip">'Value Reference Tables - MR'!$L$86</definedName>
    <definedName name="wld_az1_rack2_mgmt_mask">'Value Reference Tables - MR'!$L$195</definedName>
    <definedName name="wld_az1_rack2_mgmt_mtu">'Value Reference Tables - MR'!$L$70</definedName>
    <definedName name="wld_az1_rack2_mgmt_network">'Value Reference Tables - MR'!$L$39</definedName>
    <definedName name="wld_az1_rack2_mgmt_pg">'Value Reference Tables - MR'!$L$126</definedName>
    <definedName name="wld_az1_rack2_mgmt_vlan">'Value Reference Tables - MR'!$L$9</definedName>
    <definedName name="wld_az1_rack2_mgmt_vm_cidr">'Value Reference Tables - MR'!$L$23</definedName>
    <definedName name="wld_az1_rack2_mgmt_vm_gateway_ip">'Value Reference Tables - MR'!$L$85</definedName>
    <definedName name="wld_az1_rack2_mgmt_vm_mask">'Value Reference Tables - MR'!$L$194</definedName>
    <definedName name="wld_az1_rack2_mgmt_vm_mtu">'Value Reference Tables - MR'!$L$69</definedName>
    <definedName name="wld_az1_rack2_mgmt_vm_pg">'Value Reference Tables - MR'!$L$125</definedName>
    <definedName name="wld_az1_rack2_mgmt_vm_vlan">'Value Reference Tables - MR'!$L$8</definedName>
    <definedName name="wld_az1_rack2_pool_name">'Value Reference Tables - MR'!$L$182</definedName>
    <definedName name="wld_az1_rack2_principal_storage_cidr">'Value Reference Tables - MR'!$L$26</definedName>
    <definedName name="wld_az1_rack2_principal_storage_gateway_cidr">'Value Reference Tables - MR'!$L$103</definedName>
    <definedName name="wld_az1_rack2_principal_storage_gateway_ip">'Value Reference Tables - MR'!$L$88</definedName>
    <definedName name="wld_az1_rack2_principal_storage_mask">'Value Reference Tables - MR'!$L$56</definedName>
    <definedName name="wld_az1_rack2_principal_storage_mtu">'Value Reference Tables - MR'!$L$72</definedName>
    <definedName name="wld_az1_rack2_principal_storage_network">'Value Reference Tables - MR'!$L$41</definedName>
    <definedName name="wld_az1_rack2_principal_storage_pg">'Value Reference Tables - MR'!$L$128</definedName>
    <definedName name="wld_az1_rack2_principal_storage_pool_end_ip">'Value Reference Tables - MR'!$L$168</definedName>
    <definedName name="wld_az1_rack2_principal_storage_pool_start_ip">'Value Reference Tables - MR'!$L$167</definedName>
    <definedName name="wld_az1_rack2_principal_storage_vlan">'Value Reference Tables - MR'!$L$11</definedName>
    <definedName name="wld_az1_rack2_reuse_vcf_networkpool_chosen">'Additional Racks'!$D$33</definedName>
    <definedName name="wld_az1_rack2_rtep_ip_pool_name">'Value Reference Tables - MR'!$L$189</definedName>
    <definedName name="wld_az1_rack2_rtep_overlay_cidr">'Value Reference Tables - MR'!$L$33</definedName>
    <definedName name="wld_az1_rack2_rtep_overlay_gateway_ip">'Value Reference Tables - MR'!$L$95</definedName>
    <definedName name="wld_az1_rack2_rtep_overlay_mtu">'Value Reference Tables - MR'!$L$79</definedName>
    <definedName name="wld_az1_rack2_rtep_overlay_pool_end_ip">'Value Reference Tables - MR'!$L$178</definedName>
    <definedName name="wld_az1_rack2_rtep_overlay_pool_start_ip">'Value Reference Tables - MR'!$L$177</definedName>
    <definedName name="wld_az1_rack2_rtep_overlay_vlan">'Value Reference Tables - MR'!$L$18</definedName>
    <definedName name="wld_az1_rack2_secondary_storage_cidr">'Value Reference Tables - MR'!$L$28</definedName>
    <definedName name="wld_az1_rack2_secondary_storage_gateway_cidr">'Value Reference Tables - MR'!$L$105</definedName>
    <definedName name="wld_az1_rack2_secondary_storage_gateway_ip">'Value Reference Tables - MR'!$L$90</definedName>
    <definedName name="wld_az1_rack2_secondary_storage_mask">'Value Reference Tables - MR'!$L$58</definedName>
    <definedName name="wld_az1_rack2_secondary_storage_mtu">'Value Reference Tables - MR'!$L$74</definedName>
    <definedName name="wld_az1_rack2_secondary_storage_network">'Value Reference Tables - MR'!$L$44</definedName>
    <definedName name="wld_az1_rack2_secondary_storage_pool_end_ip">'Value Reference Tables - MR'!$L$172</definedName>
    <definedName name="wld_az1_rack2_secondary_storage_pool_start_ip">'Value Reference Tables - MR'!$L$171</definedName>
    <definedName name="wld_az1_rack2_secondary_storage_vlan">'Value Reference Tables - MR'!$L$13</definedName>
    <definedName name="wld_az1_rack2_tor1_peer_asn">'Value Reference Tables - MR'!$L$117</definedName>
    <definedName name="wld_az1_rack2_tor1_peer_bgp_password">'Value Reference Tables - MR'!$L$118</definedName>
    <definedName name="wld_az1_rack2_tor1_peer_ip">'Value Reference Tables - MR'!$L$116</definedName>
    <definedName name="wld_az1_rack2_tor2_peer_asn">'Value Reference Tables - MR'!$L$120</definedName>
    <definedName name="wld_az1_rack2_tor2_peer_bgp_password">'Value Reference Tables - MR'!$L$121</definedName>
    <definedName name="wld_az1_rack2_tor2_peer_ip">'Value Reference Tables - MR'!$L$119</definedName>
    <definedName name="wld_az1_rack2_uplink01_cidr">'Value Reference Tables - MR'!$L$30</definedName>
    <definedName name="wld_az1_rack2_uplink01_gateway_cidr">'Value Reference Tables - MR'!$L$107</definedName>
    <definedName name="wld_az1_rack2_uplink01_gateway_ip">'Value Reference Tables - MR'!$L$92</definedName>
    <definedName name="wld_az1_rack2_uplink01_mask">'Value Reference Tables - MR'!$L$60</definedName>
    <definedName name="wld_az1_rack2_uplink01_mtu">'Value Reference Tables - MR'!$L$76</definedName>
    <definedName name="wld_az1_rack2_uplink01_network">'Value Reference Tables - MR'!$L$45</definedName>
    <definedName name="wld_az1_rack2_uplink01_pg">'Value Reference Tables - MR'!$L$129</definedName>
    <definedName name="wld_az1_rack2_uplink01_vlan">'Value Reference Tables - MR'!$L$15</definedName>
    <definedName name="wld_az1_rack2_uplink02_cidr">'Value Reference Tables - MR'!$L$31</definedName>
    <definedName name="wld_az1_rack2_uplink02_gateway_cidr">'Value Reference Tables - MR'!$L$108</definedName>
    <definedName name="wld_az1_rack2_uplink02_gateway_ip">'Value Reference Tables - MR'!$L$93</definedName>
    <definedName name="wld_az1_rack2_uplink02_mask">'Value Reference Tables - MR'!$L$61</definedName>
    <definedName name="wld_az1_rack2_uplink02_mtu">'Value Reference Tables - MR'!$L$77</definedName>
    <definedName name="wld_az1_rack2_uplink02_network">'Value Reference Tables - MR'!$L$46</definedName>
    <definedName name="wld_az1_rack2_uplink02_pg">'Value Reference Tables - MR'!$L$130</definedName>
    <definedName name="wld_az1_rack2_uplink02_vlan">'Value Reference Tables - MR'!$L$16</definedName>
    <definedName name="wld_az1_rack2_vmotion_cidr">'Value Reference Tables - MR'!$L$25</definedName>
    <definedName name="wld_az1_rack2_vmotion_gateway_cidr">'Value Reference Tables - MR'!$L$102</definedName>
    <definedName name="wld_az1_rack2_vmotion_gateway_ip">'Value Reference Tables - MR'!$L$87</definedName>
    <definedName name="wld_az1_rack2_vmotion_mask">'Value Reference Tables - MR'!$L$55</definedName>
    <definedName name="wld_az1_rack2_vmotion_mtu">'Value Reference Tables - MR'!$L$71</definedName>
    <definedName name="wld_az1_rack2_vmotion_network">'Value Reference Tables - MR'!$L$40</definedName>
    <definedName name="wld_az1_rack2_vmotion_pg">'Value Reference Tables - MR'!$L$127</definedName>
    <definedName name="wld_az1_rack2_vmotion_pool_end_ip">'Value Reference Tables - MR'!$L$166</definedName>
    <definedName name="wld_az1_rack2_vmotion_pool_start_ip">'Value Reference Tables - MR'!$L$165</definedName>
    <definedName name="wld_az1_rack2_vmotion_vlan">'Value Reference Tables - MR'!$L$10</definedName>
    <definedName name="wld_az1_rack2_vrms_cidr">'Value Reference Tables - MR'!$L$34</definedName>
    <definedName name="wld_az1_rack2_vrms_gateway_ip">'Value Reference Tables - MR'!$L$96</definedName>
    <definedName name="wld_az1_rack2_vrms_mtu">'Value Reference Tables - MR'!$L$80</definedName>
    <definedName name="wld_az1_rack2_vrms_vlan">'Value Reference Tables - MR'!$L$19</definedName>
    <definedName name="wld_az1_rack2_vsan_fault_domain">'Value Reference Tables - MR'!$L$190</definedName>
    <definedName name="wld_az1_rack3_edge_overlay_cidr">'Value Reference Tables - MR'!$O$32</definedName>
    <definedName name="wld_az1_rack3_edge_overlay_gateway_cidr">'Value Reference Tables - MR'!$O$109</definedName>
    <definedName name="wld_az1_rack3_edge_overlay_gateway_ip">'Value Reference Tables - MR'!$O$94</definedName>
    <definedName name="wld_az1_rack3_edge_overlay_mask">'Value Reference Tables - MR'!$O$62</definedName>
    <definedName name="wld_az1_rack3_edge_overlay_mtu">'Value Reference Tables - MR'!$O$78</definedName>
    <definedName name="wld_az1_rack3_edge_overlay_network">'Value Reference Tables - MR'!$O$47</definedName>
    <definedName name="wld_az1_rack3_edge_overlay_network_pool_name">'Value Reference Tables - MR'!$O$188</definedName>
    <definedName name="wld_az1_rack3_edge_overlay_pool_end_ip">'Value Reference Tables - MR'!$O$176</definedName>
    <definedName name="wld_az1_rack3_edge_overlay_pool_start_ip">'Value Reference Tables - MR'!$O$175</definedName>
    <definedName name="wld_az1_rack3_edge_overlay_vlan">'Value Reference Tables - MR'!$O$17</definedName>
    <definedName name="wld_az1_rack3_en1_edge_overlay_interface_ip_1_ip">'Value Reference Tables - MR'!$O$260</definedName>
    <definedName name="wld_az1_rack3_en1_edge_overlay_interface_ip_2_ip">'Value Reference Tables - MR'!$O$261</definedName>
    <definedName name="wld_az1_rack3_en1_fqdn">'Value Reference Tables - MR'!$O$256</definedName>
    <definedName name="wld_az1_rack3_en1_hostname">'Value Reference Tables - MR'!$O$255</definedName>
    <definedName name="wld_az1_rack3_en1_mgmt_ip">'Value Reference Tables - MR'!$O$257</definedName>
    <definedName name="wld_az1_rack3_en1_uplink01_interface_ip">'Value Reference Tables - MR'!$O$258</definedName>
    <definedName name="wld_az1_rack3_en1_uplink02_interface_ip">'Value Reference Tables - MR'!$O$259</definedName>
    <definedName name="wld_az1_rack3_en2_fqdn">'Value Reference Tables - MR'!$O$266</definedName>
    <definedName name="wld_az1_rack3_en2_hostname">'Value Reference Tables - MR'!$O$265</definedName>
    <definedName name="wld_az1_rack3_en2_mgmt_ip">'Value Reference Tables - MR'!$O$267</definedName>
    <definedName name="wld_az1_rack3_en2_uplink01_interface_ip">'Value Reference Tables - MR'!$O$268</definedName>
    <definedName name="wld_az1_rack3_en2_uplink02_interface_ip">'Value Reference Tables - MR'!$O$269</definedName>
    <definedName name="wld_az1_rack3_host_fqdns">'Value Reference Tables - MR'!$O$237:$O$252</definedName>
    <definedName name="wld_az1_rack3_host_hostnames">'Value Reference Tables - MR'!$O$218:$O$233</definedName>
    <definedName name="wld_az1_rack3_host_mgmt_ips">'Value Reference Tables - MR'!$O$199:$O$214</definedName>
    <definedName name="wld_az1_rack3_host_overlay_cidr">'Value Reference Tables - MR'!$O$27</definedName>
    <definedName name="wld_az1_rack3_host_overlay_gateway_cidr">'Value Reference Tables - MR'!$O$104</definedName>
    <definedName name="wld_az1_rack3_host_overlay_gateway_ip">'Value Reference Tables - MR'!$O$89</definedName>
    <definedName name="wld_az1_rack3_host_overlay_mask">'Value Reference Tables - MR'!$O$57</definedName>
    <definedName name="wld_az1_rack3_host_overlay_mtu">'Value Reference Tables - MR'!$O$73</definedName>
    <definedName name="wld_az1_rack3_host_overlay_network">'Value Reference Tables - MR'!$O$42</definedName>
    <definedName name="wld_az1_rack3_host_overlay_network_pool_name">'Value Reference Tables - MR'!$O$185</definedName>
    <definedName name="wld_az1_rack3_host_overlay_network_profile_name">'Value Reference Tables - MR'!$O$183</definedName>
    <definedName name="wld_az1_rack3_host_overlay_new_pool_chosen">'Additional Racks'!$D$172</definedName>
    <definedName name="wld_az1_rack3_host_overlay_pool_end_ip">'Value Reference Tables - MR'!$O$170</definedName>
    <definedName name="wld_az1_rack3_host_overlay_pool_start_ip">'Value Reference Tables - MR'!$O$169</definedName>
    <definedName name="wld_az1_rack3_host_overlay_uplink_profile_name">'Value Reference Tables - MR'!$O$187</definedName>
    <definedName name="wld_az1_rack3_host_overlay_vlan">'Value Reference Tables - MR'!$O$12</definedName>
    <definedName name="wld_az1_rack3_host1_fqdn">'Value Reference Tables - MR'!$O$237</definedName>
    <definedName name="wld_az1_rack3_host1_hostname">'Value Reference Tables - MR'!$O$218</definedName>
    <definedName name="wld_az1_rack3_host1_mgmt_ip">'Value Reference Tables - MR'!$O$199</definedName>
    <definedName name="wld_az1_rack3_host10_fqdn">'Value Reference Tables - MR'!$O$246</definedName>
    <definedName name="wld_az1_rack3_host10_hostname">'Value Reference Tables - MR'!$O$227</definedName>
    <definedName name="wld_az1_rack3_host10_mgmt_ip">'Value Reference Tables - MR'!$O$208</definedName>
    <definedName name="wld_az1_rack3_host11_fqdn">'Value Reference Tables - MR'!$O$247</definedName>
    <definedName name="wld_az1_rack3_host11_hostname">'Value Reference Tables - MR'!$O$228</definedName>
    <definedName name="wld_az1_rack3_host11_mgmt_ip">'Value Reference Tables - MR'!$O$209</definedName>
    <definedName name="wld_az1_rack3_host12_fqdn">'Value Reference Tables - MR'!$O$248</definedName>
    <definedName name="wld_az1_rack3_host12_hostname">'Value Reference Tables - MR'!$O$229</definedName>
    <definedName name="wld_az1_rack3_host12_mgmt_ip">'Value Reference Tables - MR'!$O$210</definedName>
    <definedName name="wld_az1_rack3_host13_fqdn">'Value Reference Tables - MR'!$O$249</definedName>
    <definedName name="wld_az1_rack3_host13_hostname">'Value Reference Tables - MR'!$O$230</definedName>
    <definedName name="wld_az1_rack3_host13_mgmt_ip">'Value Reference Tables - MR'!$O$211</definedName>
    <definedName name="wld_az1_rack3_host14_fqdn">'Value Reference Tables - MR'!$O$250</definedName>
    <definedName name="wld_az1_rack3_host14_hostname">'Value Reference Tables - MR'!$O$231</definedName>
    <definedName name="wld_az1_rack3_host14_mgmt_ip">'Value Reference Tables - MR'!$O$212</definedName>
    <definedName name="wld_az1_rack3_host15_fqdn">'Value Reference Tables - MR'!$O$251</definedName>
    <definedName name="wld_az1_rack3_host15_hostname">'Value Reference Tables - MR'!$O$232</definedName>
    <definedName name="wld_az1_rack3_host15_mgmt_ip">'Value Reference Tables - MR'!$O$213</definedName>
    <definedName name="wld_az1_rack3_host16_fqdn">'Value Reference Tables - MR'!$O$252</definedName>
    <definedName name="wld_az1_rack3_host16_hostname">'Value Reference Tables - MR'!$O$233</definedName>
    <definedName name="wld_az1_rack3_host16_mgmt_ip">'Value Reference Tables - MR'!$O$214</definedName>
    <definedName name="wld_az1_rack3_host2_fqdn">'Value Reference Tables - MR'!$O$238</definedName>
    <definedName name="wld_az1_rack3_host2_hostname">'Value Reference Tables - MR'!$O$219</definedName>
    <definedName name="wld_az1_rack3_host2_mgmt_ip">'Value Reference Tables - MR'!$O$200</definedName>
    <definedName name="wld_az1_rack3_host3_fqdn">'Value Reference Tables - MR'!$O$239</definedName>
    <definedName name="wld_az1_rack3_host3_hostname">'Value Reference Tables - MR'!$O$220</definedName>
    <definedName name="wld_az1_rack3_host3_mgmt_ip">'Value Reference Tables - MR'!$O$201</definedName>
    <definedName name="wld_az1_rack3_host4_fqdn">'Value Reference Tables - MR'!$O$240</definedName>
    <definedName name="wld_az1_rack3_host4_hostname">'Value Reference Tables - MR'!$O$221</definedName>
    <definedName name="wld_az1_rack3_host4_mgmt_ip">'Value Reference Tables - MR'!$O$202</definedName>
    <definedName name="wld_az1_rack3_host5_fqdn">'Value Reference Tables - MR'!$O$241</definedName>
    <definedName name="wld_az1_rack3_host5_hostname">'Value Reference Tables - MR'!$O$222</definedName>
    <definedName name="wld_az1_rack3_host5_mgmt_ip">'Value Reference Tables - MR'!$O$203</definedName>
    <definedName name="wld_az1_rack3_host6_fqdn">'Value Reference Tables - MR'!$O$242</definedName>
    <definedName name="wld_az1_rack3_host6_hostname">'Value Reference Tables - MR'!$O$223</definedName>
    <definedName name="wld_az1_rack3_host6_mgmt_ip">'Value Reference Tables - MR'!$O$204</definedName>
    <definedName name="wld_az1_rack3_host7_fqdn">'Value Reference Tables - MR'!$O$243</definedName>
    <definedName name="wld_az1_rack3_host7_hostname">'Value Reference Tables - MR'!$O$224</definedName>
    <definedName name="wld_az1_rack3_host7_mgmt_ip">'Value Reference Tables - MR'!$O$205</definedName>
    <definedName name="wld_az1_rack3_host8_fqdn">'Value Reference Tables - MR'!$O$244</definedName>
    <definedName name="wld_az1_rack3_host8_hostname">'Value Reference Tables - MR'!$O$225</definedName>
    <definedName name="wld_az1_rack3_host8_mgmt_ip">'Value Reference Tables - MR'!$O$206</definedName>
    <definedName name="wld_az1_rack3_host9_fqdn">'Value Reference Tables - MR'!$O$245</definedName>
    <definedName name="wld_az1_rack3_host9_hostname">'Value Reference Tables - MR'!$O$226</definedName>
    <definedName name="wld_az1_rack3_host9_mgmt_ip">'Value Reference Tables - MR'!$O$207</definedName>
    <definedName name="wld_az1_rack3_mgmt_cidr">'Value Reference Tables - MR'!$O$24</definedName>
    <definedName name="wld_az1_rack3_mgmt_gateway_cidr">'Value Reference Tables - MR'!$O$101</definedName>
    <definedName name="wld_az1_rack3_mgmt_gateway_ip">'Value Reference Tables - MR'!$O$86</definedName>
    <definedName name="wld_az1_rack3_mgmt_mask">'Value Reference Tables - MR'!$O$195</definedName>
    <definedName name="wld_az1_rack3_mgmt_mtu">'Value Reference Tables - MR'!$O$70</definedName>
    <definedName name="wld_az1_rack3_mgmt_network">'Value Reference Tables - MR'!$O$39</definedName>
    <definedName name="wld_az1_rack3_mgmt_pg">'Value Reference Tables - MR'!$O$126</definedName>
    <definedName name="wld_az1_rack3_mgmt_vlan">'Value Reference Tables - MR'!$O$9</definedName>
    <definedName name="wld_az1_rack3_mgmt_vm_cidr">'Value Reference Tables - MR'!$O$23</definedName>
    <definedName name="wld_az1_rack3_mgmt_vm_gateway_cidr">'Value Reference Tables - MR'!$O$100</definedName>
    <definedName name="wld_az1_rack3_mgmt_vm_gateway_ip">'Value Reference Tables - MR'!$O$85</definedName>
    <definedName name="wld_az1_rack3_mgmt_vm_mask">'Value Reference Tables - MR'!$O$194</definedName>
    <definedName name="wld_az1_rack3_mgmt_vm_mtu">'Value Reference Tables - MR'!$O$69</definedName>
    <definedName name="wld_az1_rack3_mgmt_vm_pg">'Value Reference Tables - MR'!$O$125</definedName>
    <definedName name="wld_az1_rack3_mgmt_vm_vlan">'Value Reference Tables - MR'!$O$8</definedName>
    <definedName name="wld_az1_rack3_pool_name">'Value Reference Tables - MR'!$O$182</definedName>
    <definedName name="wld_az1_rack3_principal_storage_cidr">'Value Reference Tables - MR'!$O$26</definedName>
    <definedName name="wld_az1_rack3_principal_storage_gateway_cidr">'Value Reference Tables - MR'!$O$103</definedName>
    <definedName name="wld_az1_rack3_principal_storage_gateway_ip">'Value Reference Tables - MR'!$O$88</definedName>
    <definedName name="wld_az1_rack3_principal_storage_mask">'Value Reference Tables - MR'!$O$56</definedName>
    <definedName name="wld_az1_rack3_principal_storage_mtu">'Value Reference Tables - MR'!$O$72</definedName>
    <definedName name="wld_az1_rack3_principal_storage_network">'Value Reference Tables - MR'!$O$41</definedName>
    <definedName name="wld_az1_rack3_principal_storage_pool_end_ip">'Value Reference Tables - MR'!$O$168</definedName>
    <definedName name="wld_az1_rack3_principal_storage_pool_start_ip">'Value Reference Tables - MR'!$O$167</definedName>
    <definedName name="wld_az1_rack3_principal_storage_vlan">'Value Reference Tables - MR'!$O$11</definedName>
    <definedName name="wld_az1_rack3_reuse_vcf_networkpool_chosen">'Additional Racks'!$D$126</definedName>
    <definedName name="wld_az1_rack3_rtep_ip_pool_name">'Value Reference Tables - MR'!$O$189</definedName>
    <definedName name="wld_az1_rack3_rtep_overlay_cidr">'Value Reference Tables - MR'!$O$33</definedName>
    <definedName name="wld_az1_rack3_rtep_overlay_gateway_ip">'Value Reference Tables - MR'!$O$95</definedName>
    <definedName name="wld_az1_rack3_rtep_overlay_mtu">'Value Reference Tables - MR'!$O$79</definedName>
    <definedName name="wld_az1_rack3_rtep_overlay_pool_end_ip">'Value Reference Tables - MR'!$O$178</definedName>
    <definedName name="wld_az1_rack3_rtep_overlay_pool_start_ip">'Value Reference Tables - MR'!$O$177</definedName>
    <definedName name="wld_az1_rack3_rtep_overlay_vlan">'Value Reference Tables - MR'!$O$18</definedName>
    <definedName name="wld_az1_rack3_secondary_storage_cidr">'Value Reference Tables - MR'!$O$28</definedName>
    <definedName name="wld_az1_rack3_secondary_storage_gateway_cidr">'Value Reference Tables - MR'!$O$105</definedName>
    <definedName name="wld_az1_rack3_secondary_storage_gateway_ip">'Value Reference Tables - MR'!$O$90</definedName>
    <definedName name="wld_az1_rack3_secondary_storage_mask">'Value Reference Tables - MR'!$O$58</definedName>
    <definedName name="wld_az1_rack3_secondary_storage_mtu">'Value Reference Tables - MR'!$O$74</definedName>
    <definedName name="wld_az1_rack3_secondary_storage_network">'Value Reference Tables - MR'!$O$44</definedName>
    <definedName name="wld_az1_rack3_secondary_storage_pool_end_ip">'Value Reference Tables - MR'!$O$172</definedName>
    <definedName name="wld_az1_rack3_secondary_storage_pool_start_ip">'Value Reference Tables - MR'!$O$171</definedName>
    <definedName name="wld_az1_rack3_secondary_storage_vlan">'Value Reference Tables - MR'!$O$13</definedName>
    <definedName name="wld_az1_rack3_tor1_peer_asn">'Value Reference Tables - MR'!$O$117</definedName>
    <definedName name="wld_az1_rack3_tor1_peer_bgp_password">'Value Reference Tables - MR'!$O$118</definedName>
    <definedName name="wld_az1_rack3_tor1_peer_ip">'Value Reference Tables - MR'!$O$116</definedName>
    <definedName name="wld_az1_rack3_tor2_peer_asn">'Value Reference Tables - MR'!$O$120</definedName>
    <definedName name="wld_az1_rack3_tor2_peer_bgp_password">'Value Reference Tables - MR'!$O$121</definedName>
    <definedName name="wld_az1_rack3_tor2_peer_ip">'Value Reference Tables - MR'!$O$119</definedName>
    <definedName name="wld_az1_rack3_uplink01_cidr">'Value Reference Tables - MR'!$O$30</definedName>
    <definedName name="wld_az1_rack3_uplink01_gateway_cidr">'Value Reference Tables - MR'!$O$107</definedName>
    <definedName name="wld_az1_rack3_uplink01_gateway_ip">'Value Reference Tables - MR'!$O$92</definedName>
    <definedName name="wld_az1_rack3_uplink01_mask">'Value Reference Tables - MR'!$O$60</definedName>
    <definedName name="wld_az1_rack3_uplink01_mtu">'Value Reference Tables - MR'!$O$76</definedName>
    <definedName name="wld_az1_rack3_uplink01_network">'Value Reference Tables - MR'!$O$45</definedName>
    <definedName name="wld_az1_rack3_uplink01_pg">'Value Reference Tables - MR'!$O$129</definedName>
    <definedName name="wld_az1_rack3_uplink01_vlan">'Value Reference Tables - MR'!$O$15</definedName>
    <definedName name="wld_az1_rack3_uplink02_cidr">'Value Reference Tables - MR'!$O$31</definedName>
    <definedName name="wld_az1_rack3_uplink02_gateway_cidr">'Value Reference Tables - MR'!$O$108</definedName>
    <definedName name="wld_az1_rack3_uplink02_gateway_ip">'Value Reference Tables - MR'!$O$93</definedName>
    <definedName name="wld_az1_rack3_uplink02_mask">'Value Reference Tables - MR'!$O$61</definedName>
    <definedName name="wld_az1_rack3_uplink02_mtu">'Value Reference Tables - MR'!$O$77</definedName>
    <definedName name="wld_az1_rack3_uplink02_network">'Value Reference Tables - MR'!$O$46</definedName>
    <definedName name="wld_az1_rack3_uplink02_pg">'Value Reference Tables - MR'!$O$130</definedName>
    <definedName name="wld_az1_rack3_uplink02_vlan">'Value Reference Tables - MR'!$O$16</definedName>
    <definedName name="wld_az1_rack3_vmotion_cidr">'Value Reference Tables - MR'!$O$25</definedName>
    <definedName name="wld_az1_rack3_vmotion_gateway_cidr">'Value Reference Tables - MR'!$O$102</definedName>
    <definedName name="wld_az1_rack3_vmotion_gateway_ip">'Value Reference Tables - MR'!$O$87</definedName>
    <definedName name="wld_az1_rack3_vmotion_mask">'Value Reference Tables - MR'!$O$55</definedName>
    <definedName name="wld_az1_rack3_vmotion_mtu">'Value Reference Tables - MR'!$O$71</definedName>
    <definedName name="wld_az1_rack3_vmotion_network">'Value Reference Tables - MR'!$O$40</definedName>
    <definedName name="wld_az1_rack3_vmotion_pg">'Value Reference Tables - MR'!$O$127</definedName>
    <definedName name="wld_az1_rack3_vmotion_pool_end_ip">'Value Reference Tables - MR'!$O$166</definedName>
    <definedName name="wld_az1_rack3_vmotion_pool_start_ip">'Value Reference Tables - MR'!$O$165</definedName>
    <definedName name="wld_az1_rack3_vmotion_vlan">'Value Reference Tables - MR'!$O$10</definedName>
    <definedName name="wld_az1_rack3_vrms_cidr">'Value Reference Tables - MR'!$O$34</definedName>
    <definedName name="wld_az1_rack3_vrms_gateway_ip">'Value Reference Tables - MR'!$O$96</definedName>
    <definedName name="wld_az1_rack3_vrms_mtu">'Value Reference Tables - MR'!$O$80</definedName>
    <definedName name="wld_az1_rack3_vrms_vlan">'Value Reference Tables - MR'!$O$19</definedName>
    <definedName name="wld_az1_rack3_vsan_fault_domain">'Value Reference Tables - MR'!$O$190</definedName>
    <definedName name="wld_az1_rack4_edge_overlay_cidr">'Value Reference Tables - MR'!$R$32</definedName>
    <definedName name="wld_az1_rack4_edge_overlay_gateway_ip">'Value Reference Tables - MR'!$R$94</definedName>
    <definedName name="wld_az1_rack4_edge_overlay_mask">'Value Reference Tables - MR'!$R$62</definedName>
    <definedName name="wld_az1_rack4_edge_overlay_mtu">'Value Reference Tables - MR'!$R$78</definedName>
    <definedName name="wld_az1_rack4_edge_overlay_network">'Value Reference Tables - MR'!$R$47</definedName>
    <definedName name="wld_az1_rack4_edge_overlay_network_pool_name">'Value Reference Tables - MR'!$R$188</definedName>
    <definedName name="wld_az1_rack4_edge_overlay_pool_end_ip">'Value Reference Tables - MR'!$R$176</definedName>
    <definedName name="wld_az1_rack4_edge_overlay_pool_start_ip">'Value Reference Tables - MR'!$R$175</definedName>
    <definedName name="wld_az1_rack4_edge_overlay_vlan">'Value Reference Tables - MR'!$R$17</definedName>
    <definedName name="wld_az1_rack4_en1_edge_overlay_interface_ip_1_ip">'Value Reference Tables - MR'!$R$260</definedName>
    <definedName name="wld_az1_rack4_en1_edge_overlay_interface_ip_2_ip">'Value Reference Tables - MR'!$R$261</definedName>
    <definedName name="wld_az1_rack4_en1_fqdn">'Value Reference Tables - MR'!$R$256</definedName>
    <definedName name="wld_az1_rack4_en1_hostname">'Value Reference Tables - MR'!$R$255</definedName>
    <definedName name="wld_az1_rack4_en1_mgmt_ip">'Value Reference Tables - MR'!$R$257</definedName>
    <definedName name="wld_az1_rack4_en1_uplink01_interface_ip">'Value Reference Tables - MR'!$R$258</definedName>
    <definedName name="wld_az1_rack4_en1_uplink02_interface_ip">'Value Reference Tables - MR'!$R$259</definedName>
    <definedName name="wld_az1_rack4_en2_fqdn">'Value Reference Tables - MR'!$R$266</definedName>
    <definedName name="wld_az1_rack4_en2_hostname">'Value Reference Tables - MR'!$R$265</definedName>
    <definedName name="wld_az1_rack4_en2_mgmt_ip">'Value Reference Tables - MR'!$R$267</definedName>
    <definedName name="wld_az1_rack4_en2_uplink01_interface_ip">'Value Reference Tables - MR'!$R$268</definedName>
    <definedName name="wld_az1_rack4_en2_uplink02_interface_ip">'Value Reference Tables - MR'!$R$269</definedName>
    <definedName name="wld_az1_rack4_host_fqdns">'Value Reference Tables - MR'!$R$237:$R$252</definedName>
    <definedName name="wld_az1_rack4_host_hostnames">'Value Reference Tables - MR'!$R$218:$R$233</definedName>
    <definedName name="wld_az1_rack4_host_mgmt_ips">'Value Reference Tables - MR'!$R$199:$R$214</definedName>
    <definedName name="wld_az1_rack4_host_overlay_cidr">'Value Reference Tables - MR'!$R$27</definedName>
    <definedName name="wld_az1_rack4_host_overlay_gateway_cidr">'Value Reference Tables - MR'!$R$104</definedName>
    <definedName name="wld_az1_rack4_host_overlay_gateway_ip">'Value Reference Tables - MR'!$R$89</definedName>
    <definedName name="wld_az1_rack4_host_overlay_mask">'Value Reference Tables - MR'!$R$57</definedName>
    <definedName name="wld_az1_rack4_host_overlay_mtu">'Value Reference Tables - MR'!$R$73</definedName>
    <definedName name="wld_az1_rack4_host_overlay_network">'Value Reference Tables - MR'!$R$42</definedName>
    <definedName name="wld_az1_rack4_host_overlay_network_pool_name">'Value Reference Tables - MR'!$R$185</definedName>
    <definedName name="wld_az1_rack4_host_overlay_network_profile_name">'Value Reference Tables - MR'!$R$183</definedName>
    <definedName name="wld_az1_rack4_host_overlay_new_pool_chosen">'Additional Racks'!$D$265</definedName>
    <definedName name="wld_az1_rack4_host_overlay_pool_end_ip">'Value Reference Tables - MR'!$R$170</definedName>
    <definedName name="wld_az1_rack4_host_overlay_pool_start_ip">'Value Reference Tables - MR'!$R$169</definedName>
    <definedName name="wld_az1_rack4_host_overlay_uplink_profile_name">'Value Reference Tables - MR'!$R$187</definedName>
    <definedName name="wld_az1_rack4_host_overlay_vlan">'Value Reference Tables - MR'!$R$12</definedName>
    <definedName name="wld_az1_rack4_host1_fqdn">'Value Reference Tables - MR'!$R$237</definedName>
    <definedName name="wld_az1_rack4_host1_hostname">'Value Reference Tables - MR'!$R$218</definedName>
    <definedName name="wld_az1_rack4_host1_mgmt_ip">'Value Reference Tables - MR'!$R$199</definedName>
    <definedName name="wld_az1_rack4_host10_fqdn">'Value Reference Tables - MR'!$R$246</definedName>
    <definedName name="wld_az1_rack4_host10_hostname">'Value Reference Tables - MR'!$R$227</definedName>
    <definedName name="wld_az1_rack4_host10_mgmt_ip">'Value Reference Tables - MR'!$R$208</definedName>
    <definedName name="wld_az1_rack4_host11_fqdn">'Value Reference Tables - MR'!$R$247</definedName>
    <definedName name="wld_az1_rack4_host11_hostname">'Value Reference Tables - MR'!$R$228</definedName>
    <definedName name="wld_az1_rack4_host11_mgmt_ip">'Value Reference Tables - MR'!$R$209</definedName>
    <definedName name="wld_az1_rack4_host12_fqdn">'Value Reference Tables - MR'!$R$248</definedName>
    <definedName name="wld_az1_rack4_host12_hostname">'Value Reference Tables - MR'!$R$229</definedName>
    <definedName name="wld_az1_rack4_host12_mgmt_ip">'Value Reference Tables - MR'!$R$210</definedName>
    <definedName name="wld_az1_rack4_host13_fqdn">'Value Reference Tables - MR'!$R$249</definedName>
    <definedName name="wld_az1_rack4_host13_hostname">'Value Reference Tables - MR'!$R$230</definedName>
    <definedName name="wld_az1_rack4_host13_mgmt_ip">'Value Reference Tables - MR'!$R$211</definedName>
    <definedName name="wld_az1_rack4_host14_fqdn">'Value Reference Tables - MR'!$R$250</definedName>
    <definedName name="wld_az1_rack4_host14_hostname">'Value Reference Tables - MR'!$R$231</definedName>
    <definedName name="wld_az1_rack4_host14_mgmt_ip">'Value Reference Tables - MR'!$R$212</definedName>
    <definedName name="wld_az1_rack4_host15_fqdn">'Value Reference Tables - MR'!$R$251</definedName>
    <definedName name="wld_az1_rack4_host15_hostname">'Value Reference Tables - MR'!$R$232</definedName>
    <definedName name="wld_az1_rack4_host15_mgmt_ip">'Value Reference Tables - MR'!$R$213</definedName>
    <definedName name="wld_az1_rack4_host16_fqdn">'Value Reference Tables - MR'!$R$252</definedName>
    <definedName name="wld_az1_rack4_host16_hostname">'Value Reference Tables - MR'!$R$233</definedName>
    <definedName name="wld_az1_rack4_host16_mgmt_ip">'Value Reference Tables - MR'!$R$214</definedName>
    <definedName name="wld_az1_rack4_host2_fqdn">'Value Reference Tables - MR'!$R$238</definedName>
    <definedName name="wld_az1_rack4_host2_hostname">'Value Reference Tables - MR'!$R$219</definedName>
    <definedName name="wld_az1_rack4_host2_mgmt_ip">'Value Reference Tables - MR'!$R$200</definedName>
    <definedName name="wld_az1_rack4_host3_fqdn">'Value Reference Tables - MR'!$R$239</definedName>
    <definedName name="wld_az1_rack4_host3_hostname">'Value Reference Tables - MR'!$R$220</definedName>
    <definedName name="wld_az1_rack4_host3_mgmt_ip">'Value Reference Tables - MR'!$R$201</definedName>
    <definedName name="wld_az1_rack4_host4_fqdn">'Value Reference Tables - MR'!$R$240</definedName>
    <definedName name="wld_az1_rack4_host4_hostname">'Value Reference Tables - MR'!$R$221</definedName>
    <definedName name="wld_az1_rack4_host4_mgmt_ip">'Value Reference Tables - MR'!$R$202</definedName>
    <definedName name="wld_az1_rack4_host5_fqdn">'Value Reference Tables - MR'!$R$241</definedName>
    <definedName name="wld_az1_rack4_host5_hostname">'Value Reference Tables - MR'!$R$222</definedName>
    <definedName name="wld_az1_rack4_host5_mgmt_ip">'Value Reference Tables - MR'!$R$203</definedName>
    <definedName name="wld_az1_rack4_host6_fqdn">'Value Reference Tables - MR'!$R$242</definedName>
    <definedName name="wld_az1_rack4_host6_hostname">'Value Reference Tables - MR'!$R$223</definedName>
    <definedName name="wld_az1_rack4_host6_mgmt_ip">'Value Reference Tables - MR'!$R$204</definedName>
    <definedName name="wld_az1_rack4_host7_fqdn">'Value Reference Tables - MR'!$R$243</definedName>
    <definedName name="wld_az1_rack4_host7_hostname">'Value Reference Tables - MR'!$R$224</definedName>
    <definedName name="wld_az1_rack4_host7_mgmt_ip">'Value Reference Tables - MR'!$R$205</definedName>
    <definedName name="wld_az1_rack4_host8_fqdn">'Value Reference Tables - MR'!$R$244</definedName>
    <definedName name="wld_az1_rack4_host8_hostname">'Value Reference Tables - MR'!$R$225</definedName>
    <definedName name="wld_az1_rack4_host8_mgmt_ip">'Value Reference Tables - MR'!$R$206</definedName>
    <definedName name="wld_az1_rack4_host9_fqdn">'Value Reference Tables - MR'!$R$245</definedName>
    <definedName name="wld_az1_rack4_host9_hostname">'Value Reference Tables - MR'!$R$226</definedName>
    <definedName name="wld_az1_rack4_host9_mgmt_ip">'Value Reference Tables - MR'!$R$207</definedName>
    <definedName name="wld_az1_rack4_mgmt_cidr">'Value Reference Tables - MR'!$R$24</definedName>
    <definedName name="wld_az1_rack4_mgmt_gateway_cidr">'Value Reference Tables - MR'!$R$101</definedName>
    <definedName name="wld_az1_rack4_mgmt_gateway_ip">'Value Reference Tables - MR'!$R$86</definedName>
    <definedName name="wld_az1_rack4_mgmt_mask">'Value Reference Tables - MR'!$R$195</definedName>
    <definedName name="wld_az1_rack4_mgmt_mtu">'Value Reference Tables - MR'!$R$70</definedName>
    <definedName name="wld_az1_rack4_mgmt_network">'Value Reference Tables - MR'!$R$39</definedName>
    <definedName name="wld_az1_rack4_mgmt_pg">'Value Reference Tables - MR'!$R$126</definedName>
    <definedName name="wld_az1_rack4_mgmt_vlan">'Value Reference Tables - MR'!$R$9</definedName>
    <definedName name="wld_az1_rack4_mgmt_vm_cidr">'Value Reference Tables - MR'!$R$23</definedName>
    <definedName name="wld_az1_rack4_mgmt_vm_gateway_cidr">'Value Reference Tables - MR'!$R$100</definedName>
    <definedName name="wld_az1_rack4_mgmt_vm_gateway_ip">'Value Reference Tables - MR'!$R$85</definedName>
    <definedName name="wld_az1_rack4_mgmt_vm_mask">'Value Reference Tables - MR'!$R$194</definedName>
    <definedName name="wld_az1_rack4_mgmt_vm_mtu">'Value Reference Tables - MR'!$R$69</definedName>
    <definedName name="wld_az1_rack4_mgmt_vm_pg">'Value Reference Tables - MR'!$R$125</definedName>
    <definedName name="wld_az1_rack4_mgmt_vm_vlan">'Value Reference Tables - MR'!$R$8</definedName>
    <definedName name="wld_az1_rack4_pool_name">'Value Reference Tables - MR'!$R$182</definedName>
    <definedName name="wld_az1_rack4_principal_storage_cidr">'Value Reference Tables - MR'!$R$26</definedName>
    <definedName name="wld_az1_rack4_principal_storage_gateway_cidr">'Value Reference Tables - MR'!$R$103</definedName>
    <definedName name="wld_az1_rack4_principal_storage_gateway_ip">'Value Reference Tables - MR'!$R$88</definedName>
    <definedName name="wld_az1_rack4_principal_storage_mask">'Value Reference Tables - MR'!$R$56</definedName>
    <definedName name="wld_az1_rack4_principal_storage_mtu">'Value Reference Tables - MR'!$R$72</definedName>
    <definedName name="wld_az1_rack4_principal_storage_network">'Value Reference Tables - MR'!$R$41</definedName>
    <definedName name="wld_az1_rack4_principal_storage_pg">'Value Reference Tables - MR'!$R$128</definedName>
    <definedName name="wld_az1_rack4_principal_storage_pool_end_ip">'Value Reference Tables - MR'!$R$168</definedName>
    <definedName name="wld_az1_rack4_principal_storage_pool_start_ip">'Value Reference Tables - MR'!$R$167</definedName>
    <definedName name="wld_az1_rack4_principal_storage_vlan">'Value Reference Tables - MR'!$R$11</definedName>
    <definedName name="wld_az1_rack4_reuse_vcf_networkpool_chosen">'Additional Racks'!$D$219</definedName>
    <definedName name="wld_az1_rack4_rtep_ip_pool_name">'Value Reference Tables - MR'!$R$189</definedName>
    <definedName name="wld_az1_rack4_rtep_overlay_cidr">'Value Reference Tables - MR'!$R$33</definedName>
    <definedName name="wld_az1_rack4_rtep_overlay_gateway_ip">'Value Reference Tables - MR'!$R$95</definedName>
    <definedName name="wld_az1_rack4_rtep_overlay_mtu">'Value Reference Tables - MR'!$R$79</definedName>
    <definedName name="wld_az1_rack4_rtep_overlay_pool_end_ip">'Value Reference Tables - MR'!$R$178</definedName>
    <definedName name="wld_az1_rack4_rtep_overlay_pool_start_ip">'Value Reference Tables - MR'!$R$177</definedName>
    <definedName name="wld_az1_rack4_rtep_overlay_vlan">'Value Reference Tables - MR'!$R$18</definedName>
    <definedName name="wld_az1_rack4_secondary_storage_cidr">'Value Reference Tables - MR'!$R$28</definedName>
    <definedName name="wld_az1_rack4_secondary_storage_gateway_cidr">'Value Reference Tables - MR'!$R$105</definedName>
    <definedName name="wld_az1_rack4_secondary_storage_gateway_ip">'Value Reference Tables - MR'!$R$90</definedName>
    <definedName name="wld_az1_rack4_secondary_storage_mask">'Value Reference Tables - MR'!$R$58</definedName>
    <definedName name="wld_az1_rack4_secondary_storage_mtu">'Value Reference Tables - MR'!$R$74</definedName>
    <definedName name="wld_az1_rack4_secondary_storage_network">'Value Reference Tables - MR'!$R$44</definedName>
    <definedName name="wld_az1_rack4_secondary_storage_pool_end_ip">'Value Reference Tables - MR'!$R$172</definedName>
    <definedName name="wld_az1_rack4_secondary_storage_pool_start_ip">'Value Reference Tables - MR'!$R$171</definedName>
    <definedName name="wld_az1_rack4_secondary_storage_vlan">'Value Reference Tables - MR'!$R$13</definedName>
    <definedName name="wld_az1_rack4_tor1_peer_asn">'Value Reference Tables - MR'!$R$117</definedName>
    <definedName name="wld_az1_rack4_tor1_peer_bgp_password">'Value Reference Tables - MR'!$R$118</definedName>
    <definedName name="wld_az1_rack4_tor1_peer_ip">'Value Reference Tables - MR'!$R$116</definedName>
    <definedName name="wld_az1_rack4_tor2_peer_asn">'Value Reference Tables - MR'!$R$120</definedName>
    <definedName name="wld_az1_rack4_tor2_peer_bgp_password">'Value Reference Tables - MR'!$R$121</definedName>
    <definedName name="wld_az1_rack4_tor2_peer_ip">'Value Reference Tables - MR'!$R$119</definedName>
    <definedName name="wld_az1_rack4_uplink01_cidr">'Value Reference Tables - MR'!$R$30</definedName>
    <definedName name="wld_az1_rack4_uplink01_gateway_cidr">'Value Reference Tables - MR'!$R$107</definedName>
    <definedName name="wld_az1_rack4_uplink01_gateway_ip">'Value Reference Tables - MR'!$R$92</definedName>
    <definedName name="wld_az1_rack4_uplink01_mask">'Value Reference Tables - MR'!$R$60</definedName>
    <definedName name="wld_az1_rack4_uplink01_mtu">'Value Reference Tables - MR'!$R$76</definedName>
    <definedName name="wld_az1_rack4_uplink01_network">'Value Reference Tables - MR'!$R$45</definedName>
    <definedName name="wld_az1_rack4_uplink01_pg">'Value Reference Tables - MR'!$R$129</definedName>
    <definedName name="wld_az1_rack4_uplink01_vlan">'Value Reference Tables - MR'!$R$15</definedName>
    <definedName name="wld_az1_rack4_uplink02_cidr">'Value Reference Tables - MR'!$R$31</definedName>
    <definedName name="wld_az1_rack4_uplink02_gateway_cidr">'Value Reference Tables - MR'!$R$108</definedName>
    <definedName name="wld_az1_rack4_uplink02_gateway_ip">'Value Reference Tables - MR'!$R$93</definedName>
    <definedName name="wld_az1_rack4_uplink02_mask">'Value Reference Tables - MR'!$R$61</definedName>
    <definedName name="wld_az1_rack4_uplink02_mtu">'Value Reference Tables - MR'!$R$77</definedName>
    <definedName name="wld_az1_rack4_uplink02_network">'Value Reference Tables - MR'!$R$46</definedName>
    <definedName name="wld_az1_rack4_uplink02_pg">'Value Reference Tables - MR'!$R$130</definedName>
    <definedName name="wld_az1_rack4_uplink02_vlan">'Value Reference Tables - MR'!$R$16</definedName>
    <definedName name="wld_az1_rack4_vmotion_cidr">'Value Reference Tables - MR'!$R$25</definedName>
    <definedName name="wld_az1_rack4_vmotion_gateway_cidr">'Value Reference Tables - MR'!$R$102</definedName>
    <definedName name="wld_az1_rack4_vmotion_gateway_ip">'Value Reference Tables - MR'!$R$87</definedName>
    <definedName name="wld_az1_rack4_vmotion_mask">'Value Reference Tables - MR'!$R$55</definedName>
    <definedName name="wld_az1_rack4_vmotion_mtu">'Value Reference Tables - MR'!$R$71</definedName>
    <definedName name="wld_az1_rack4_vmotion_network">'Value Reference Tables - MR'!$R$40</definedName>
    <definedName name="wld_az1_rack4_vmotion_pg">'Value Reference Tables - MR'!$R$127</definedName>
    <definedName name="wld_az1_rack4_vmotion_pool_end_ip">'Value Reference Tables - MR'!$R$166</definedName>
    <definedName name="wld_az1_rack4_vmotion_pool_start_ip">'Value Reference Tables - MR'!$R$165</definedName>
    <definedName name="wld_az1_rack4_vmotion_vlan">'Value Reference Tables - MR'!$R$10</definedName>
    <definedName name="wld_az1_rack4_vrms_cidr">'Value Reference Tables - MR'!$R$34</definedName>
    <definedName name="wld_az1_rack4_vrms_gateway_ip">'Value Reference Tables - MR'!$R$96</definedName>
    <definedName name="wld_az1_rack4_vrms_mtu">'Value Reference Tables - MR'!$R$80</definedName>
    <definedName name="wld_az1_rack4_vrms_vlan">'Value Reference Tables - MR'!$R$19</definedName>
    <definedName name="wld_az1_rack4_vsan_fault_domain">'Value Reference Tables - MR'!$R$190</definedName>
    <definedName name="wld_az1_rack5_edge_overlay_cidr">'Value Reference Tables - MR'!$U$32</definedName>
    <definedName name="wld_az1_rack5_edge_overlay_gateway_cidr">'Value Reference Tables - MR'!$U$109</definedName>
    <definedName name="wld_az1_rack5_edge_overlay_gateway_ip">'Value Reference Tables - MR'!$U$94</definedName>
    <definedName name="wld_az1_rack5_edge_overlay_mask">'Value Reference Tables - MR'!$U$62</definedName>
    <definedName name="wld_az1_rack5_edge_overlay_mtu">'Value Reference Tables - MR'!$U$78</definedName>
    <definedName name="wld_az1_rack5_edge_overlay_network">'Value Reference Tables - MR'!$U$47</definedName>
    <definedName name="wld_az1_rack5_edge_overlay_network_pool_name">'Value Reference Tables - MR'!$U$188</definedName>
    <definedName name="wld_az1_rack5_edge_overlay_pool_end_ip">'Value Reference Tables - MR'!$U$176</definedName>
    <definedName name="wld_az1_rack5_edge_overlay_pool_start_ip">'Value Reference Tables - MR'!$U$175</definedName>
    <definedName name="wld_az1_rack5_edge_overlay_vlan">'Value Reference Tables - MR'!$U$17</definedName>
    <definedName name="wld_az1_rack5_en1_edge_overlay_interface_ip_1_ip">'Value Reference Tables - MR'!$U$260</definedName>
    <definedName name="wld_az1_rack5_en1_edge_overlay_interface_ip_2_ip">'Value Reference Tables - MR'!$U$261</definedName>
    <definedName name="wld_az1_rack5_en1_fqdn">'Value Reference Tables - MR'!$U$256</definedName>
    <definedName name="wld_az1_rack5_en1_hostname">'Value Reference Tables - MR'!$U$255</definedName>
    <definedName name="wld_az1_rack5_en1_mgmt_ip">'Value Reference Tables - MR'!$U$257</definedName>
    <definedName name="wld_az1_rack5_en1_uplink01_interface_ip">'Value Reference Tables - MR'!$U$258</definedName>
    <definedName name="wld_az1_rack5_en1_uplink02_interface_ip">'Value Reference Tables - MR'!$U$259</definedName>
    <definedName name="wld_az1_rack5_en2_fqdn">'Value Reference Tables - MR'!$U$266</definedName>
    <definedName name="wld_az1_rack5_en2_hostname">'Value Reference Tables - MR'!$U$265</definedName>
    <definedName name="wld_az1_rack5_en2_mgmt_ip">'Value Reference Tables - MR'!$U$267</definedName>
    <definedName name="wld_az1_rack5_en2_uplink01_interface_ip">'Value Reference Tables - MR'!$U$268</definedName>
    <definedName name="wld_az1_rack5_en2_uplink02_interface_ip">'Value Reference Tables - MR'!$U$269</definedName>
    <definedName name="wld_az1_rack5_host_fqdns">'Value Reference Tables - MR'!$U$237:$U$252</definedName>
    <definedName name="wld_az1_rack5_host_hostnames">'Value Reference Tables - MR'!$U$218:$U$233</definedName>
    <definedName name="wld_az1_rack5_host_mgmt_ips">'Value Reference Tables - MR'!$U$199:$U$214</definedName>
    <definedName name="wld_az1_rack5_host_overlay_cidr">'Value Reference Tables - MR'!$U$27</definedName>
    <definedName name="wld_az1_rack5_host_overlay_gateway_cidr">'Value Reference Tables - MR'!$U$104</definedName>
    <definedName name="wld_az1_rack5_host_overlay_gateway_ip">'Value Reference Tables - MR'!$U$89</definedName>
    <definedName name="wld_az1_rack5_host_overlay_mask">'Value Reference Tables - MR'!$U$57</definedName>
    <definedName name="wld_az1_rack5_host_overlay_mtu">'Value Reference Tables - MR'!$U$73</definedName>
    <definedName name="wld_az1_rack5_host_overlay_network">'Value Reference Tables - MR'!$U$42</definedName>
    <definedName name="wld_az1_rack5_host_overlay_network_pool_name">'Value Reference Tables - MR'!$U$185</definedName>
    <definedName name="wld_az1_rack5_host_overlay_network_profile_name">'Value Reference Tables - MR'!$U$183</definedName>
    <definedName name="wld_az1_rack5_host_overlay_new_pool_chosen">'Additional Racks'!$D$358</definedName>
    <definedName name="wld_az1_rack5_host_overlay_pool_end_ip">'Value Reference Tables - MR'!$U$170</definedName>
    <definedName name="wld_az1_rack5_host_overlay_pool_start_ip">'Value Reference Tables - MR'!$U$169</definedName>
    <definedName name="wld_az1_rack5_host_overlay_uplink_profile_name">'Value Reference Tables - MR'!$U$187</definedName>
    <definedName name="wld_az1_rack5_host_overlay_vlan">'Value Reference Tables - MR'!$U$12</definedName>
    <definedName name="wld_az1_rack5_host1_fqdn">'Value Reference Tables - MR'!$U$237</definedName>
    <definedName name="wld_az1_rack5_host1_hostname">'Value Reference Tables - MR'!$U$218</definedName>
    <definedName name="wld_az1_rack5_host1_mgmt_ip">'Value Reference Tables - MR'!$U$199</definedName>
    <definedName name="wld_az1_rack5_host10_fqdn">'Value Reference Tables - MR'!$U$246</definedName>
    <definedName name="wld_az1_rack5_host10_hostname">'Value Reference Tables - MR'!$U$227</definedName>
    <definedName name="wld_az1_rack5_host10_mgmt_ip">'Value Reference Tables - MR'!$U$208</definedName>
    <definedName name="wld_az1_rack5_host11_fqdn">'Value Reference Tables - MR'!$U$247</definedName>
    <definedName name="wld_az1_rack5_host11_hostname">'Value Reference Tables - MR'!$U$228</definedName>
    <definedName name="wld_az1_rack5_host11_mgmt_ip">'Value Reference Tables - MR'!$U$209</definedName>
    <definedName name="wld_az1_rack5_host12_fqdn">'Value Reference Tables - MR'!$U$248</definedName>
    <definedName name="wld_az1_rack5_host12_hostname">'Value Reference Tables - MR'!$U$229</definedName>
    <definedName name="wld_az1_rack5_host12_mgmt_ip">'Value Reference Tables - MR'!$U$210</definedName>
    <definedName name="wld_az1_rack5_host13_fqdn">'Value Reference Tables - MR'!$U$249</definedName>
    <definedName name="wld_az1_rack5_host13_hostname">'Value Reference Tables - MR'!$U$230</definedName>
    <definedName name="wld_az1_rack5_host13_mgmt_ip">'Value Reference Tables - MR'!$U$211</definedName>
    <definedName name="wld_az1_rack5_host14_fqdn">'Value Reference Tables - MR'!$U$250</definedName>
    <definedName name="wld_az1_rack5_host14_hostname">'Value Reference Tables - MR'!$U$231</definedName>
    <definedName name="wld_az1_rack5_host14_mgmt_ip">'Value Reference Tables - MR'!$U$212</definedName>
    <definedName name="wld_az1_rack5_host15_fqdn">'Value Reference Tables - MR'!$U$251</definedName>
    <definedName name="wld_az1_rack5_host15_hostname">'Value Reference Tables - MR'!$U$232</definedName>
    <definedName name="wld_az1_rack5_host15_mgmt_ip">'Value Reference Tables - MR'!$U$213</definedName>
    <definedName name="wld_az1_rack5_host16_fqdn">'Value Reference Tables - MR'!$U$252</definedName>
    <definedName name="wld_az1_rack5_host16_hostname">'Value Reference Tables - MR'!$U$233</definedName>
    <definedName name="wld_az1_rack5_host16_mgmt_ip">'Value Reference Tables - MR'!$U$214</definedName>
    <definedName name="wld_az1_rack5_host2_fqdn">'Value Reference Tables - MR'!$U$238</definedName>
    <definedName name="wld_az1_rack5_host2_hostname">'Value Reference Tables - MR'!$U$219</definedName>
    <definedName name="wld_az1_rack5_host2_mgmt_ip">'Value Reference Tables - MR'!$U$200</definedName>
    <definedName name="wld_az1_rack5_host3_fqdn">'Value Reference Tables - MR'!$U$239</definedName>
    <definedName name="wld_az1_rack5_host3_hostname">'Value Reference Tables - MR'!$U$220</definedName>
    <definedName name="wld_az1_rack5_host3_mgmt_ip">'Value Reference Tables - MR'!$U$201</definedName>
    <definedName name="wld_az1_rack5_host4_fqdn">'Value Reference Tables - MR'!$U$240</definedName>
    <definedName name="wld_az1_rack5_host4_hostname">'Value Reference Tables - MR'!$U$221</definedName>
    <definedName name="wld_az1_rack5_host4_mgmt_ip">'Value Reference Tables - MR'!$U$202</definedName>
    <definedName name="wld_az1_rack5_host5_fqdn">'Value Reference Tables - MR'!$U$241</definedName>
    <definedName name="wld_az1_rack5_host5_hostname">'Value Reference Tables - MR'!$U$222</definedName>
    <definedName name="wld_az1_rack5_host5_mgmt_ip">'Value Reference Tables - MR'!$U$203</definedName>
    <definedName name="wld_az1_rack5_host6_fqdn">'Value Reference Tables - MR'!$U$242</definedName>
    <definedName name="wld_az1_rack5_host6_hostname">'Value Reference Tables - MR'!$U$223</definedName>
    <definedName name="wld_az1_rack5_host6_mgmt_ip">'Value Reference Tables - MR'!$U$204</definedName>
    <definedName name="wld_az1_rack5_host7_fqdn">'Value Reference Tables - MR'!$U$243</definedName>
    <definedName name="wld_az1_rack5_host7_hostname">'Value Reference Tables - MR'!$U$224</definedName>
    <definedName name="wld_az1_rack5_host7_mgmt_ip">'Value Reference Tables - MR'!$U$205</definedName>
    <definedName name="wld_az1_rack5_host8_fqdn">'Value Reference Tables - MR'!$U$244</definedName>
    <definedName name="wld_az1_rack5_host8_hostname">'Value Reference Tables - MR'!$U$225</definedName>
    <definedName name="wld_az1_rack5_host8_mgmt_ip">'Value Reference Tables - MR'!$U$206</definedName>
    <definedName name="wld_az1_rack5_host9_fqdn">'Value Reference Tables - MR'!$U$245</definedName>
    <definedName name="wld_az1_rack5_host9_hostname">'Value Reference Tables - MR'!$U$226</definedName>
    <definedName name="wld_az1_rack5_host9_mgmt_ip">'Value Reference Tables - MR'!$U$207</definedName>
    <definedName name="wld_az1_rack5_mgmt_cidr">'Value Reference Tables - MR'!$U$24</definedName>
    <definedName name="wld_az1_rack5_mgmt_gateway_cidr">'Value Reference Tables - MR'!$U$101</definedName>
    <definedName name="wld_az1_rack5_mgmt_gateway_ip">'Value Reference Tables - MR'!$U$86</definedName>
    <definedName name="wld_az1_rack5_mgmt_mask">'Value Reference Tables - MR'!$U$195</definedName>
    <definedName name="wld_az1_rack5_mgmt_mtu">'Value Reference Tables - MR'!$U$70</definedName>
    <definedName name="wld_az1_rack5_mgmt_network">'Value Reference Tables - MR'!$U$39</definedName>
    <definedName name="wld_az1_rack5_mgmt_pg">'Value Reference Tables - MR'!$U$126</definedName>
    <definedName name="wld_az1_rack5_mgmt_vlan">'Value Reference Tables - MR'!$U$9</definedName>
    <definedName name="wld_az1_rack5_mgmt_vm_cidr">'Value Reference Tables - MR'!$U$23</definedName>
    <definedName name="wld_az1_rack5_mgmt_vm_gateway_cidr">'Value Reference Tables - MR'!$U$100</definedName>
    <definedName name="wld_az1_rack5_mgmt_vm_gateway_ip">'Value Reference Tables - MR'!$U$85</definedName>
    <definedName name="wld_az1_rack5_mgmt_vm_mask">'Value Reference Tables - MR'!$U$194</definedName>
    <definedName name="wld_az1_rack5_mgmt_vm_mtu">'Value Reference Tables - MR'!$U$69</definedName>
    <definedName name="wld_az1_rack5_mgmt_vm_pg">'Value Reference Tables - MR'!$U$125</definedName>
    <definedName name="wld_az1_rack5_mgmt_vm_vlan">'Value Reference Tables - MR'!$U$8</definedName>
    <definedName name="wld_az1_rack5_pool_name">'Value Reference Tables - MR'!$U$182</definedName>
    <definedName name="wld_az1_rack5_principal_storage_cidr">'Value Reference Tables - MR'!$U$26</definedName>
    <definedName name="wld_az1_rack5_principal_storage_gateway_cidr">'Value Reference Tables - MR'!$U$103</definedName>
    <definedName name="wld_az1_rack5_principal_storage_gateway_ip">'Value Reference Tables - MR'!$U$88</definedName>
    <definedName name="wld_az1_rack5_principal_storage_mask">'Value Reference Tables - MR'!$U$56</definedName>
    <definedName name="wld_az1_rack5_principal_storage_mtu">'Value Reference Tables - MR'!$U$72</definedName>
    <definedName name="wld_az1_rack5_principal_storage_network">'Value Reference Tables - MR'!$U$41</definedName>
    <definedName name="wld_az1_rack5_principal_storage_pg">'Value Reference Tables - MR'!$U$128</definedName>
    <definedName name="wld_az1_rack5_principal_storage_pool_end_ip">'Value Reference Tables - MR'!$U$168</definedName>
    <definedName name="wld_az1_rack5_principal_storage_pool_start_ip">'Value Reference Tables - MR'!$U$167</definedName>
    <definedName name="wld_az1_rack5_principal_storage_vlan">'Value Reference Tables - MR'!$U$11</definedName>
    <definedName name="wld_az1_rack5_reuse_vcf_networkpool_chosen">'Additional Racks'!$D$312</definedName>
    <definedName name="wld_az1_rack5_rtep_ip_pool_name">'Value Reference Tables - MR'!$U$189</definedName>
    <definedName name="wld_az1_rack5_rtep_overlay_cidr">'Value Reference Tables - MR'!$U$33</definedName>
    <definedName name="wld_az1_rack5_rtep_overlay_gateway_ip">'Value Reference Tables - MR'!$U$95</definedName>
    <definedName name="wld_az1_rack5_rtep_overlay_mtu">'Value Reference Tables - MR'!$U$79</definedName>
    <definedName name="wld_az1_rack5_rtep_overlay_pool_end_ip">'Value Reference Tables - MR'!$U$178</definedName>
    <definedName name="wld_az1_rack5_rtep_overlay_pool_start_ip">'Value Reference Tables - MR'!$U$177</definedName>
    <definedName name="wld_az1_rack5_rtep_overlay_vlan">'Value Reference Tables - MR'!$U$18</definedName>
    <definedName name="wld_az1_rack5_secondary_storage_cidr">'Value Reference Tables - MR'!$U$28</definedName>
    <definedName name="wld_az1_rack5_secondary_storage_gateway_cidr">'Value Reference Tables - MR'!$U$105</definedName>
    <definedName name="wld_az1_rack5_secondary_storage_gateway_ip">'Value Reference Tables - MR'!$U$90</definedName>
    <definedName name="wld_az1_rack5_secondary_storage_mask">'Value Reference Tables - MR'!$U$58</definedName>
    <definedName name="wld_az1_rack5_secondary_storage_mtu">'Value Reference Tables - MR'!$U$74</definedName>
    <definedName name="wld_az1_rack5_secondary_storage_network">'Value Reference Tables - MR'!$U$44</definedName>
    <definedName name="wld_az1_rack5_secondary_storage_pool_end_ip">'Value Reference Tables - MR'!$U$172</definedName>
    <definedName name="wld_az1_rack5_secondary_storage_pool_start_ip">'Value Reference Tables - MR'!$U$171</definedName>
    <definedName name="wld_az1_rack5_secondary_storage_vlan">'Value Reference Tables - MR'!$U$13</definedName>
    <definedName name="wld_az1_rack5_tor1_peer_asn">'Value Reference Tables - MR'!$U$117</definedName>
    <definedName name="wld_az1_rack5_tor1_peer_bgp_password">'Value Reference Tables - MR'!$U$118</definedName>
    <definedName name="wld_az1_rack5_tor1_peer_ip">'Value Reference Tables - MR'!$U$116</definedName>
    <definedName name="wld_az1_rack5_tor2_peer_asn">'Value Reference Tables - MR'!$U$120</definedName>
    <definedName name="wld_az1_rack5_tor2_peer_bgp_password">'Value Reference Tables - MR'!$U$121</definedName>
    <definedName name="wld_az1_rack5_tor2_peer_ip">'Value Reference Tables - MR'!$U$119</definedName>
    <definedName name="wld_az1_rack5_uplink01_cidr">'Value Reference Tables - MR'!$U$30</definedName>
    <definedName name="wld_az1_rack5_uplink01_gateway_cidr">'Value Reference Tables - MR'!$U$107</definedName>
    <definedName name="wld_az1_rack5_uplink01_gateway_ip">'Value Reference Tables - MR'!$U$92</definedName>
    <definedName name="wld_az1_rack5_uplink01_mask">'Value Reference Tables - MR'!$U$60</definedName>
    <definedName name="wld_az1_rack5_uplink01_mtu">'Value Reference Tables - MR'!$U$76</definedName>
    <definedName name="wld_az1_rack5_uplink01_network">'Value Reference Tables - MR'!$U$45</definedName>
    <definedName name="wld_az1_rack5_uplink01_pg">'Value Reference Tables - MR'!$U$129</definedName>
    <definedName name="wld_az1_rack5_uplink01_vlan">'Value Reference Tables - MR'!$U$15</definedName>
    <definedName name="wld_az1_rack5_uplink02_cidr">'Value Reference Tables - MR'!$U$31</definedName>
    <definedName name="wld_az1_rack5_uplink02_gateway_cidr">'Value Reference Tables - MR'!$U$108</definedName>
    <definedName name="wld_az1_rack5_uplink02_gateway_ip">'Value Reference Tables - MR'!$U$93</definedName>
    <definedName name="wld_az1_rack5_uplink02_mask">'Value Reference Tables - MR'!$U$61</definedName>
    <definedName name="wld_az1_rack5_uplink02_mtu">'Value Reference Tables - MR'!$U$77</definedName>
    <definedName name="wld_az1_rack5_uplink02_network">'Value Reference Tables - MR'!$U$46</definedName>
    <definedName name="wld_az1_rack5_uplink02_pg">'Value Reference Tables - MR'!$U$130</definedName>
    <definedName name="wld_az1_rack5_uplink02_vlan">'Value Reference Tables - MR'!$U$16</definedName>
    <definedName name="wld_az1_rack5_vmotion_cidr">'Value Reference Tables - MR'!$U$25</definedName>
    <definedName name="wld_az1_rack5_vmotion_gateway_cidr">'Value Reference Tables - MR'!$U$102</definedName>
    <definedName name="wld_az1_rack5_vmotion_gateway_ip">'Value Reference Tables - MR'!$U$87</definedName>
    <definedName name="wld_az1_rack5_vmotion_mask">'Value Reference Tables - MR'!$U$55</definedName>
    <definedName name="wld_az1_rack5_vmotion_mtu">'Value Reference Tables - MR'!$U$71</definedName>
    <definedName name="wld_az1_rack5_vmotion_network">'Value Reference Tables - MR'!$U$40</definedName>
    <definedName name="wld_az1_rack5_vmotion_pg">'Value Reference Tables - MR'!$U$127</definedName>
    <definedName name="wld_az1_rack5_vmotion_pool_end_ip">'Value Reference Tables - MR'!$U$166</definedName>
    <definedName name="wld_az1_rack5_vmotion_pool_start_ip">'Value Reference Tables - MR'!$U$165</definedName>
    <definedName name="wld_az1_rack5_vmotion_vlan">'Value Reference Tables - MR'!$U$10</definedName>
    <definedName name="wld_az1_rack5_vrms_cidr">'Value Reference Tables - MR'!$U$34</definedName>
    <definedName name="wld_az1_rack5_vrms_gateway_ip">'Value Reference Tables - MR'!$U$96</definedName>
    <definedName name="wld_az1_rack5_vrms_mtu">'Value Reference Tables - MR'!$U$80</definedName>
    <definedName name="wld_az1_rack5_vrms_vlan">'Value Reference Tables - MR'!$U$19</definedName>
    <definedName name="wld_az1_rack5_vsan_fault_domain">'Value Reference Tables - MR'!$U$190</definedName>
    <definedName name="wld_az1_rack6_edge_overlay_cidr">'Value Reference Tables - MR'!$X$32</definedName>
    <definedName name="wld_az1_rack6_edge_overlay_gateway_cidr">'Value Reference Tables - MR'!$X$109</definedName>
    <definedName name="wld_az1_rack6_edge_overlay_gateway_ip">'Value Reference Tables - MR'!$X$94</definedName>
    <definedName name="wld_az1_rack6_edge_overlay_mask">'Value Reference Tables - MR'!$X$62</definedName>
    <definedName name="wld_az1_rack6_edge_overlay_mtu">'Value Reference Tables - MR'!$X$78</definedName>
    <definedName name="wld_az1_rack6_edge_overlay_network">'Value Reference Tables - MR'!$X$47</definedName>
    <definedName name="wld_az1_rack6_edge_overlay_network_pool_name">'Value Reference Tables - MR'!$X$188</definedName>
    <definedName name="wld_az1_rack6_edge_overlay_pool_end_ip">'Value Reference Tables - MR'!$X$176</definedName>
    <definedName name="wld_az1_rack6_edge_overlay_pool_start_ip">'Value Reference Tables - MR'!$X$175</definedName>
    <definedName name="wld_az1_rack6_edge_overlay_vlan">'Value Reference Tables - MR'!$X$17</definedName>
    <definedName name="wld_az1_rack6_en1_edge_overlay_interface_ip_1_ip">'Value Reference Tables - MR'!$X$260</definedName>
    <definedName name="wld_az1_rack6_en1_edge_overlay_interface_ip_2_ip">'Value Reference Tables - MR'!$X$261</definedName>
    <definedName name="wld_az1_rack6_en1_fqdn">'Value Reference Tables - MR'!$X$256</definedName>
    <definedName name="wld_az1_rack6_en1_hostname">'Value Reference Tables - MR'!$X$255</definedName>
    <definedName name="wld_az1_rack6_en1_mgmt_ip">'Value Reference Tables - MR'!$X$257</definedName>
    <definedName name="wld_az1_rack6_en1_uplink01_interface_ip">'Value Reference Tables - MR'!$X$258</definedName>
    <definedName name="wld_az1_rack6_en1_uplink02_interface_ip">'Value Reference Tables - MR'!$X$259</definedName>
    <definedName name="wld_az1_rack6_en2_fqdn">'Value Reference Tables - MR'!$X$266</definedName>
    <definedName name="wld_az1_rack6_en2_hostname">'Value Reference Tables - MR'!$X$265</definedName>
    <definedName name="wld_az1_rack6_en2_mgmt_ip">'Value Reference Tables - MR'!$X$267</definedName>
    <definedName name="wld_az1_rack6_en2_uplink01_interface_ip">'Value Reference Tables - MR'!$X$268</definedName>
    <definedName name="wld_az1_rack6_en2_uplink02_interface_ip">'Value Reference Tables - MR'!$X$269</definedName>
    <definedName name="wld_az1_rack6_host_fqdns">'Value Reference Tables - MR'!$X$237:$X$252</definedName>
    <definedName name="wld_az1_rack6_host_hostnames">'Value Reference Tables - MR'!$X$218:$X$233</definedName>
    <definedName name="wld_az1_rack6_host_mgmt_ips">'Value Reference Tables - MR'!$X$199:$X$214</definedName>
    <definedName name="wld_az1_rack6_host_overlay_cidr">'Value Reference Tables - MR'!$X$27</definedName>
    <definedName name="wld_az1_rack6_host_overlay_gateway_cidr">'Value Reference Tables - MR'!$X$104</definedName>
    <definedName name="wld_az1_rack6_host_overlay_gateway_ip">'Value Reference Tables - MR'!$X$89</definedName>
    <definedName name="wld_az1_rack6_host_overlay_mask">'Value Reference Tables - MR'!$X$57</definedName>
    <definedName name="wld_az1_rack6_host_overlay_mtu">'Value Reference Tables - MR'!$X$73</definedName>
    <definedName name="wld_az1_rack6_host_overlay_network">'Value Reference Tables - MR'!$X$42</definedName>
    <definedName name="wld_az1_rack6_host_overlay_network_pool_name">'Value Reference Tables - MR'!$X$185</definedName>
    <definedName name="wld_az1_rack6_host_overlay_network_profile_name">'Value Reference Tables - MR'!$X$183</definedName>
    <definedName name="wld_az1_rack6_host_overlay_new_pool_chosen">'Additional Racks'!$D$451</definedName>
    <definedName name="wld_az1_rack6_host_overlay_pool_end_ip">'Value Reference Tables - MR'!$X$170</definedName>
    <definedName name="wld_az1_rack6_host_overlay_pool_start_ip">'Value Reference Tables - MR'!$X$169</definedName>
    <definedName name="wld_az1_rack6_host_overlay_uplink_profile_name">'Value Reference Tables - MR'!$X$187</definedName>
    <definedName name="wld_az1_rack6_host_overlay_vlan">'Value Reference Tables - MR'!$X$12</definedName>
    <definedName name="wld_az1_rack6_host1_fqdn">'Value Reference Tables - MR'!$X$237</definedName>
    <definedName name="wld_az1_rack6_host1_hostname">'Value Reference Tables - MR'!$X$218</definedName>
    <definedName name="wld_az1_rack6_host1_mgmt_ip">'Value Reference Tables - MR'!$X$199</definedName>
    <definedName name="wld_az1_rack6_host10_fqdn">'Value Reference Tables - MR'!$X$246</definedName>
    <definedName name="wld_az1_rack6_host10_hostname">'Value Reference Tables - MR'!$X$227</definedName>
    <definedName name="wld_az1_rack6_host10_mgmt_ip">'Value Reference Tables - MR'!$X$208</definedName>
    <definedName name="wld_az1_rack6_host11_fqdn">'Value Reference Tables - MR'!$X$247</definedName>
    <definedName name="wld_az1_rack6_host11_hostname">'Value Reference Tables - MR'!$X$228</definedName>
    <definedName name="wld_az1_rack6_host11_mgmt_ip">'Value Reference Tables - MR'!$X$209</definedName>
    <definedName name="wld_az1_rack6_host12_fqdn">'Value Reference Tables - MR'!$X$248</definedName>
    <definedName name="wld_az1_rack6_host12_hostname">'Value Reference Tables - MR'!$X$229</definedName>
    <definedName name="wld_az1_rack6_host12_mgmt_ip">'Value Reference Tables - MR'!$X$210</definedName>
    <definedName name="wld_az1_rack6_host13_fqdn">'Value Reference Tables - MR'!$X$249</definedName>
    <definedName name="wld_az1_rack6_host13_hostname">'Value Reference Tables - MR'!$X$230</definedName>
    <definedName name="wld_az1_rack6_host13_mgmt_ip">'Value Reference Tables - MR'!$X$211</definedName>
    <definedName name="wld_az1_rack6_host14_fqdn">'Value Reference Tables - MR'!$X$250</definedName>
    <definedName name="wld_az1_rack6_host14_hostname">'Value Reference Tables - MR'!$X$231</definedName>
    <definedName name="wld_az1_rack6_host14_mgmt_ip">'Value Reference Tables - MR'!$X$212</definedName>
    <definedName name="wld_az1_rack6_host15_fqdn">'Value Reference Tables - MR'!$X$251</definedName>
    <definedName name="wld_az1_rack6_host15_hostname">'Value Reference Tables - MR'!$X$232</definedName>
    <definedName name="wld_az1_rack6_host15_mgmt_ip">'Value Reference Tables - MR'!$X$213</definedName>
    <definedName name="wld_az1_rack6_host16_fqdn">'Value Reference Tables - MR'!$X$252</definedName>
    <definedName name="wld_az1_rack6_host16_hostname">'Value Reference Tables - MR'!$X$233</definedName>
    <definedName name="wld_az1_rack6_host16_mgmt_ip">'Value Reference Tables - MR'!$X$214</definedName>
    <definedName name="wld_az1_rack6_host2_fqdn">'Value Reference Tables - MR'!$X$238</definedName>
    <definedName name="wld_az1_rack6_host2_hostname">'Value Reference Tables - MR'!$X$219</definedName>
    <definedName name="wld_az1_rack6_host2_mgmt_ip">'Value Reference Tables - MR'!$X$200</definedName>
    <definedName name="wld_az1_rack6_host3_fqdn">'Value Reference Tables - MR'!$X$239</definedName>
    <definedName name="wld_az1_rack6_host3_hostname">'Value Reference Tables - MR'!$X$220</definedName>
    <definedName name="wld_az1_rack6_host3_mgmt_ip">'Value Reference Tables - MR'!$X$201</definedName>
    <definedName name="wld_az1_rack6_host4_fqdn">'Value Reference Tables - MR'!$X$240</definedName>
    <definedName name="wld_az1_rack6_host4_hostname">'Value Reference Tables - MR'!$X$221</definedName>
    <definedName name="wld_az1_rack6_host4_mgmt_ip">'Value Reference Tables - MR'!$X$202</definedName>
    <definedName name="wld_az1_rack6_host5_fqdn">'Value Reference Tables - MR'!$X$241</definedName>
    <definedName name="wld_az1_rack6_host5_hostname">'Value Reference Tables - MR'!$X$222</definedName>
    <definedName name="wld_az1_rack6_host5_mgmt_ip">'Value Reference Tables - MR'!$X$203</definedName>
    <definedName name="wld_az1_rack6_host6_fqdn">'Value Reference Tables - MR'!$X$242</definedName>
    <definedName name="wld_az1_rack6_host6_hostname">'Value Reference Tables - MR'!$X$223</definedName>
    <definedName name="wld_az1_rack6_host6_mgmt_ip">'Value Reference Tables - MR'!$X$204</definedName>
    <definedName name="wld_az1_rack6_host7_fqdn">'Value Reference Tables - MR'!$X$243</definedName>
    <definedName name="wld_az1_rack6_host7_hostname">'Value Reference Tables - MR'!$X$224</definedName>
    <definedName name="wld_az1_rack6_host7_mgmt_ip">'Value Reference Tables - MR'!$X$205</definedName>
    <definedName name="wld_az1_rack6_host8_fqdn">'Value Reference Tables - MR'!$X$244</definedName>
    <definedName name="wld_az1_rack6_host8_hostname">'Value Reference Tables - MR'!$X$225</definedName>
    <definedName name="wld_az1_rack6_host8_mgmt_ip">'Value Reference Tables - MR'!$X$206</definedName>
    <definedName name="wld_az1_rack6_host9_fqdn">'Value Reference Tables - MR'!$X$245</definedName>
    <definedName name="wld_az1_rack6_host9_hostname">'Value Reference Tables - MR'!$X$226</definedName>
    <definedName name="wld_az1_rack6_host9_mgmt_ip">'Value Reference Tables - MR'!$X$207</definedName>
    <definedName name="wld_az1_rack6_mgmt_cidr">'Value Reference Tables - MR'!$X$24</definedName>
    <definedName name="wld_az1_rack6_mgmt_gateway_cidr">'Value Reference Tables - MR'!$X$101</definedName>
    <definedName name="wld_az1_rack6_mgmt_gateway_ip">'Value Reference Tables - MR'!$X$86</definedName>
    <definedName name="wld_az1_rack6_mgmt_mask">'Value Reference Tables - MR'!$X$195</definedName>
    <definedName name="wld_az1_rack6_mgmt_mtu">'Value Reference Tables - MR'!$X$70</definedName>
    <definedName name="wld_az1_rack6_mgmt_network">'Value Reference Tables - MR'!$X$39</definedName>
    <definedName name="wld_az1_rack6_mgmt_pg">'Value Reference Tables - MR'!$X$126</definedName>
    <definedName name="wld_az1_rack6_mgmt_vlan">'Value Reference Tables - MR'!$X$9</definedName>
    <definedName name="wld_az1_rack6_mgmt_vm_cidr">'Value Reference Tables - MR'!$X$23</definedName>
    <definedName name="wld_az1_rack6_mgmt_vm_gateway_cidr">'Value Reference Tables - MR'!$X$100</definedName>
    <definedName name="wld_az1_rack6_mgmt_vm_gateway_ip">'Value Reference Tables - MR'!$X$85</definedName>
    <definedName name="wld_az1_rack6_mgmt_vm_mask">'Value Reference Tables - MR'!$X$194</definedName>
    <definedName name="wld_az1_rack6_mgmt_vm_mtu">'Value Reference Tables - MR'!$X$69</definedName>
    <definedName name="wld_az1_rack6_mgmt_vm_pg">'Value Reference Tables - MR'!$X$125</definedName>
    <definedName name="wld_az1_rack6_mgmt_vm_vlan">'Value Reference Tables - MR'!$X$8</definedName>
    <definedName name="wld_az1_rack6_pool_name">'Value Reference Tables - MR'!$X$182</definedName>
    <definedName name="wld_az1_rack6_principal_storage_cidr">'Value Reference Tables - MR'!$X$26</definedName>
    <definedName name="wld_az1_rack6_principal_storage_gateway_cidr">'Value Reference Tables - MR'!$X$103</definedName>
    <definedName name="wld_az1_rack6_principal_storage_gateway_ip">'Value Reference Tables - MR'!$X$88</definedName>
    <definedName name="wld_az1_rack6_principal_storage_mask">'Value Reference Tables - MR'!$X$56</definedName>
    <definedName name="wld_az1_rack6_principal_storage_mtu">'Value Reference Tables - MR'!$X$72</definedName>
    <definedName name="wld_az1_rack6_principal_storage_network">'Value Reference Tables - MR'!$X$41</definedName>
    <definedName name="wld_az1_rack6_principal_storage_pg">'Value Reference Tables - MR'!$X$128</definedName>
    <definedName name="wld_az1_rack6_principal_storage_pool_end_ip">'Value Reference Tables - MR'!$X$168</definedName>
    <definedName name="wld_az1_rack6_principal_storage_pool_start_ip">'Value Reference Tables - MR'!$X$167</definedName>
    <definedName name="wld_az1_rack6_principal_storage_vlan">'Value Reference Tables - MR'!$X$11</definedName>
    <definedName name="wld_az1_rack6_reuse_vcf_networkpool_chosen">'Additional Racks'!$D$405</definedName>
    <definedName name="wld_az1_rack6_rtep_ip_pool_name">'Value Reference Tables - MR'!$X$189</definedName>
    <definedName name="wld_az1_rack6_rtep_overlay_cidr">'Value Reference Tables - MR'!$X$33</definedName>
    <definedName name="wld_az1_rack6_rtep_overlay_gateway_ip">'Value Reference Tables - MR'!$X$95</definedName>
    <definedName name="wld_az1_rack6_rtep_overlay_mtu">'Value Reference Tables - MR'!$X$79</definedName>
    <definedName name="wld_az1_rack6_rtep_overlay_pool_end_ip">'Value Reference Tables - MR'!$X$178</definedName>
    <definedName name="wld_az1_rack6_rtep_overlay_pool_start_ip">'Value Reference Tables - MR'!$X$177</definedName>
    <definedName name="wld_az1_rack6_rtep_overlay_vlan">'Value Reference Tables - MR'!$X$18</definedName>
    <definedName name="wld_az1_rack6_secondary_storage_cidr">'Value Reference Tables - MR'!$X$28</definedName>
    <definedName name="wld_az1_rack6_secondary_storage_gateway_cidr">'Value Reference Tables - MR'!$X$105</definedName>
    <definedName name="wld_az1_rack6_secondary_storage_gateway_ip">'Value Reference Tables - MR'!$X$90</definedName>
    <definedName name="wld_az1_rack6_secondary_storage_mask">'Value Reference Tables - MR'!$X$58</definedName>
    <definedName name="wld_az1_rack6_secondary_storage_mtu">'Value Reference Tables - MR'!$X$74</definedName>
    <definedName name="wld_az1_rack6_secondary_storage_network">'Value Reference Tables - MR'!$X$44</definedName>
    <definedName name="wld_az1_rack6_secondary_storage_pool_end_ip">'Value Reference Tables - MR'!$X$172</definedName>
    <definedName name="wld_az1_rack6_secondary_storage_pool_start_ip">'Value Reference Tables - MR'!$X$171</definedName>
    <definedName name="wld_az1_rack6_secondary_storage_vlan">'Value Reference Tables - MR'!$X$13</definedName>
    <definedName name="wld_az1_rack6_tor1_peer_asn">'Value Reference Tables - MR'!$X$117</definedName>
    <definedName name="wld_az1_rack6_tor1_peer_bgp_password">'Value Reference Tables - MR'!$X$118</definedName>
    <definedName name="wld_az1_rack6_tor1_peer_ip">'Value Reference Tables - MR'!$X$116</definedName>
    <definedName name="wld_az1_rack6_tor2_peer_asn">'Value Reference Tables - MR'!$X$120</definedName>
    <definedName name="wld_az1_rack6_tor2_peer_bgp_password">'Value Reference Tables - MR'!$X$121</definedName>
    <definedName name="wld_az1_rack6_tor2_peer_ip">'Value Reference Tables - MR'!$X$119</definedName>
    <definedName name="wld_az1_rack6_uplink01_cidr">'Value Reference Tables - MR'!$X$30</definedName>
    <definedName name="wld_az1_rack6_uplink01_gateway_cidr">'Value Reference Tables - MR'!$X$107</definedName>
    <definedName name="wld_az1_rack6_uplink01_gateway_ip">'Value Reference Tables - MR'!$X$92</definedName>
    <definedName name="wld_az1_rack6_uplink01_mask">'Value Reference Tables - MR'!$X$60</definedName>
    <definedName name="wld_az1_rack6_uplink01_mtu">'Value Reference Tables - MR'!$X$76</definedName>
    <definedName name="wld_az1_rack6_uplink01_network">'Value Reference Tables - MR'!$X$45</definedName>
    <definedName name="wld_az1_rack6_uplink01_pg">'Value Reference Tables - MR'!$X$129</definedName>
    <definedName name="wld_az1_rack6_uplink01_vlan">'Value Reference Tables - MR'!$X$15</definedName>
    <definedName name="wld_az1_rack6_uplink02_cidr">'Value Reference Tables - MR'!$X$31</definedName>
    <definedName name="wld_az1_rack6_uplink02_gateway_cidr">'Value Reference Tables - MR'!$X$108</definedName>
    <definedName name="wld_az1_rack6_uplink02_gateway_ip">'Value Reference Tables - MR'!$X$93</definedName>
    <definedName name="wld_az1_rack6_uplink02_mask">'Value Reference Tables - MR'!$X$61</definedName>
    <definedName name="wld_az1_rack6_uplink02_mtu">'Value Reference Tables - MR'!$X$77</definedName>
    <definedName name="wld_az1_rack6_uplink02_network">'Value Reference Tables - MR'!$X$46</definedName>
    <definedName name="wld_az1_rack6_uplink02_pg">'Value Reference Tables - MR'!$X$130</definedName>
    <definedName name="wld_az1_rack6_uplink02_vlan">'Value Reference Tables - MR'!$X$16</definedName>
    <definedName name="wld_az1_rack6_vmotion_cidr">'Value Reference Tables - MR'!$X$25</definedName>
    <definedName name="wld_az1_rack6_vmotion_gateway_cidr">'Value Reference Tables - MR'!$X$102</definedName>
    <definedName name="wld_az1_rack6_vmotion_gateway_ip">'Value Reference Tables - MR'!$X$87</definedName>
    <definedName name="wld_az1_rack6_vmotion_mask">'Value Reference Tables - MR'!$X$55</definedName>
    <definedName name="wld_az1_rack6_vmotion_mtu">'Value Reference Tables - MR'!$X$71</definedName>
    <definedName name="wld_az1_rack6_vmotion_network">'Value Reference Tables - MR'!$X$40</definedName>
    <definedName name="wld_az1_rack6_vmotion_pg">'Value Reference Tables - MR'!$X$127</definedName>
    <definedName name="wld_az1_rack6_vmotion_pool_end_ip">'Value Reference Tables - MR'!$X$166</definedName>
    <definedName name="wld_az1_rack6_vmotion_pool_start_ip">'Value Reference Tables - MR'!$X$165</definedName>
    <definedName name="wld_az1_rack6_vmotion_vlan">'Value Reference Tables - MR'!$X$10</definedName>
    <definedName name="wld_az1_rack6_vrms_cidr">'Value Reference Tables - MR'!$X$34</definedName>
    <definedName name="wld_az1_rack6_vrms_gateway_ip">'Value Reference Tables - MR'!$X$96</definedName>
    <definedName name="wld_az1_rack6_vrms_mtu">'Value Reference Tables - MR'!$X$80</definedName>
    <definedName name="wld_az1_rack6_vrms_vlan">'Value Reference Tables - MR'!$X$19</definedName>
    <definedName name="wld_az1_rack6_vsan_fault_domain">'Value Reference Tables - MR'!$X$190</definedName>
    <definedName name="wld_az1_rack7_edge_overlay_cidr">'Value Reference Tables - MR'!$AA$32</definedName>
    <definedName name="wld_az1_rack7_edge_overlay_gateway_cidr">'Value Reference Tables - MR'!$AA$109</definedName>
    <definedName name="wld_az1_rack7_edge_overlay_gateway_ip">'Value Reference Tables - MR'!$AA$94</definedName>
    <definedName name="wld_az1_rack7_edge_overlay_mask">'Value Reference Tables - MR'!$AA$62</definedName>
    <definedName name="wld_az1_rack7_edge_overlay_mtu">'Value Reference Tables - MR'!$AA$78</definedName>
    <definedName name="wld_az1_rack7_edge_overlay_network">'Value Reference Tables - MR'!$AA$47</definedName>
    <definedName name="wld_az1_rack7_edge_overlay_network_pool_name">'Value Reference Tables - MR'!$AA$188</definedName>
    <definedName name="wld_az1_rack7_edge_overlay_pool_end_ip">'Value Reference Tables - MR'!$AA$176</definedName>
    <definedName name="wld_az1_rack7_edge_overlay_pool_start_ip">'Value Reference Tables - MR'!$AA$175</definedName>
    <definedName name="wld_az1_rack7_edge_overlay_vlan">'Value Reference Tables - MR'!$AA$17</definedName>
    <definedName name="wld_az1_rack7_en1_edge_overlay_interface_ip_1_ip">'Value Reference Tables - MR'!$AA$260</definedName>
    <definedName name="wld_az1_rack7_en1_edge_overlay_interface_ip_2_ip">'Value Reference Tables - MR'!$AA$261</definedName>
    <definedName name="wld_az1_rack7_en1_fqdn">'Value Reference Tables - MR'!$AA$256</definedName>
    <definedName name="wld_az1_rack7_en1_hostname">'Value Reference Tables - MR'!$AA$255</definedName>
    <definedName name="wld_az1_rack7_en1_mgmt_ip">'Value Reference Tables - MR'!$AA$257</definedName>
    <definedName name="wld_az1_rack7_en1_uplink01_interface_ip">'Value Reference Tables - MR'!$AA$258</definedName>
    <definedName name="wld_az1_rack7_en1_uplink02_interface_ip">'Value Reference Tables - MR'!$AA$259</definedName>
    <definedName name="wld_az1_rack7_en2_fqdn">'Value Reference Tables - MR'!$AA$266</definedName>
    <definedName name="wld_az1_rack7_en2_hostname">'Value Reference Tables - MR'!$AA$265</definedName>
    <definedName name="wld_az1_rack7_en2_mgmt_ip">'Value Reference Tables - MR'!$AA$267</definedName>
    <definedName name="wld_az1_rack7_en2_uplink01_interface_ip">'Value Reference Tables - MR'!$AA$268</definedName>
    <definedName name="wld_az1_rack7_en2_uplink02_interface_ip">'Value Reference Tables - MR'!$AA$269</definedName>
    <definedName name="wld_az1_rack7_host_fqdns">'Value Reference Tables - MR'!$AA$237:$AA$252</definedName>
    <definedName name="wld_az1_rack7_host_hostnames">'Value Reference Tables - MR'!$AA$218:$AA$233</definedName>
    <definedName name="wld_az1_rack7_host_mgmt_ips">'Value Reference Tables - MR'!$AA$199:$AA$214</definedName>
    <definedName name="wld_az1_rack7_host_overlay_cidr">'Value Reference Tables - MR'!$AA$27</definedName>
    <definedName name="wld_az1_rack7_host_overlay_gateway_cidr">'Value Reference Tables - MR'!$AA$104</definedName>
    <definedName name="wld_az1_rack7_host_overlay_gateway_ip">'Value Reference Tables - MR'!$AA$89</definedName>
    <definedName name="wld_az1_rack7_host_overlay_mask">'Value Reference Tables - MR'!$AA$57</definedName>
    <definedName name="wld_az1_rack7_host_overlay_mtu">'Value Reference Tables - MR'!$AA$73</definedName>
    <definedName name="wld_az1_rack7_host_overlay_network">'Value Reference Tables - MR'!$AA$42</definedName>
    <definedName name="wld_az1_rack7_host_overlay_network_pool_name">'Value Reference Tables - MR'!$AA$185</definedName>
    <definedName name="wld_az1_rack7_host_overlay_network_profile_name">'Value Reference Tables - MR'!$AA$183</definedName>
    <definedName name="wld_az1_rack7_host_overlay_new_pool_chosen">'Additional Racks'!$D$544</definedName>
    <definedName name="wld_az1_rack7_host_overlay_pool_end_ip">'Value Reference Tables - MR'!$AA$170</definedName>
    <definedName name="wld_az1_rack7_host_overlay_pool_start_ip">'Value Reference Tables - MR'!$AA$169</definedName>
    <definedName name="wld_az1_rack7_host_overlay_uplink_profile_name">'Value Reference Tables - MR'!$AA$187</definedName>
    <definedName name="wld_az1_rack7_host_overlay_vlan">'Value Reference Tables - MR'!$AA$12</definedName>
    <definedName name="wld_az1_rack7_host1_fqdn">'Value Reference Tables - MR'!$AA$237</definedName>
    <definedName name="wld_az1_rack7_host1_hostname">'Value Reference Tables - MR'!$AA$218</definedName>
    <definedName name="wld_az1_rack7_host1_mgmt_ip">'Value Reference Tables - MR'!$AA$199</definedName>
    <definedName name="wld_az1_rack7_host10_fqdn">'Value Reference Tables - MR'!$AA$246</definedName>
    <definedName name="wld_az1_rack7_host10_hostname">'Value Reference Tables - MR'!$AA$227</definedName>
    <definedName name="wld_az1_rack7_host10_mgmt_ip">'Value Reference Tables - MR'!$AA$208</definedName>
    <definedName name="wld_az1_rack7_host11_fqdn">'Value Reference Tables - MR'!$AA$247</definedName>
    <definedName name="wld_az1_rack7_host11_hostname">'Value Reference Tables - MR'!$AA$228</definedName>
    <definedName name="wld_az1_rack7_host11_mgmt_ip">'Value Reference Tables - MR'!$AA$209</definedName>
    <definedName name="wld_az1_rack7_host12_fqdn">'Value Reference Tables - MR'!$AA$248</definedName>
    <definedName name="wld_az1_rack7_host12_hostname">'Value Reference Tables - MR'!$AA$229</definedName>
    <definedName name="wld_az1_rack7_host12_mgmt_ip">'Value Reference Tables - MR'!$AA$210</definedName>
    <definedName name="wld_az1_rack7_host13_fqdn">'Value Reference Tables - MR'!$AA$249</definedName>
    <definedName name="wld_az1_rack7_host13_hostname">'Value Reference Tables - MR'!$AA$230</definedName>
    <definedName name="wld_az1_rack7_host13_mgmt_ip">'Value Reference Tables - MR'!$AA$211</definedName>
    <definedName name="wld_az1_rack7_host14_fqdn">'Value Reference Tables - MR'!$AA$250</definedName>
    <definedName name="wld_az1_rack7_host14_hostname">'Value Reference Tables - MR'!$AA$231</definedName>
    <definedName name="wld_az1_rack7_host14_mgmt_ip">'Value Reference Tables - MR'!$AA$212</definedName>
    <definedName name="wld_az1_rack7_host15_fqdn">'Value Reference Tables - MR'!$AA$251</definedName>
    <definedName name="wld_az1_rack7_host15_hostname">'Value Reference Tables - MR'!$AA$232</definedName>
    <definedName name="wld_az1_rack7_host15_mgmt_ip">'Value Reference Tables - MR'!$AA$213</definedName>
    <definedName name="wld_az1_rack7_host16_fqdn">'Value Reference Tables - MR'!$AA$252</definedName>
    <definedName name="wld_az1_rack7_host16_hostname">'Value Reference Tables - MR'!$AA$233</definedName>
    <definedName name="wld_az1_rack7_host16_mgmt_ip">'Value Reference Tables - MR'!$AA$214</definedName>
    <definedName name="wld_az1_rack7_host2_fqdn">'Value Reference Tables - MR'!$AA$238</definedName>
    <definedName name="wld_az1_rack7_host2_hostname">'Value Reference Tables - MR'!$AA$219</definedName>
    <definedName name="wld_az1_rack7_host2_mgmt_ip">'Value Reference Tables - MR'!$AA$200</definedName>
    <definedName name="wld_az1_rack7_host3_fqdn">'Value Reference Tables - MR'!$AA$239</definedName>
    <definedName name="wld_az1_rack7_host3_hostname">'Value Reference Tables - MR'!$AA$220</definedName>
    <definedName name="wld_az1_rack7_host3_mgmt_ip">'Value Reference Tables - MR'!$AA$201</definedName>
    <definedName name="wld_az1_rack7_host4_fqdn">'Value Reference Tables - MR'!$AA$240</definedName>
    <definedName name="wld_az1_rack7_host4_hostname">'Value Reference Tables - MR'!$AA$221</definedName>
    <definedName name="wld_az1_rack7_host4_mgmt_ip">'Value Reference Tables - MR'!$AA$202</definedName>
    <definedName name="wld_az1_rack7_host5_fqdn">'Value Reference Tables - MR'!$AA$241</definedName>
    <definedName name="wld_az1_rack7_host5_hostname">'Value Reference Tables - MR'!$AA$222</definedName>
    <definedName name="wld_az1_rack7_host5_mgmt_ip">'Value Reference Tables - MR'!$AA$203</definedName>
    <definedName name="wld_az1_rack7_host6_fqdn">'Value Reference Tables - MR'!$AA$242</definedName>
    <definedName name="wld_az1_rack7_host6_hostname">'Value Reference Tables - MR'!$AA$223</definedName>
    <definedName name="wld_az1_rack7_host6_mgmt_ip">'Value Reference Tables - MR'!$AA$204</definedName>
    <definedName name="wld_az1_rack7_host7_fqdn">'Value Reference Tables - MR'!$AA$243</definedName>
    <definedName name="wld_az1_rack7_host7_hostname">'Value Reference Tables - MR'!$AA$224</definedName>
    <definedName name="wld_az1_rack7_host7_mgmt_ip">'Value Reference Tables - MR'!$AA$205</definedName>
    <definedName name="wld_az1_rack7_host8_fqdn">'Value Reference Tables - MR'!$AA$244</definedName>
    <definedName name="wld_az1_rack7_host8_hostname">'Value Reference Tables - MR'!$AA$225</definedName>
    <definedName name="wld_az1_rack7_host8_mgmt_ip">'Value Reference Tables - MR'!$AA$206</definedName>
    <definedName name="wld_az1_rack7_host9_fqdn">'Value Reference Tables - MR'!$AA$245</definedName>
    <definedName name="wld_az1_rack7_host9_hostname">'Value Reference Tables - MR'!$AA$226</definedName>
    <definedName name="wld_az1_rack7_host9_mgmt_ip">'Value Reference Tables - MR'!$AA$207</definedName>
    <definedName name="wld_az1_rack7_mgmt_cidr">'Value Reference Tables - MR'!$AA$24</definedName>
    <definedName name="wld_az1_rack7_mgmt_gateway_cidr">'Value Reference Tables - MR'!$AA$101</definedName>
    <definedName name="wld_az1_rack7_mgmt_gateway_ip">'Value Reference Tables - MR'!$AA$86</definedName>
    <definedName name="wld_az1_rack7_mgmt_mask">'Value Reference Tables - MR'!$AA$195</definedName>
    <definedName name="wld_az1_rack7_mgmt_mtu">'Value Reference Tables - MR'!$AA$70</definedName>
    <definedName name="wld_az1_rack7_mgmt_network">'Value Reference Tables - MR'!$AA$39</definedName>
    <definedName name="wld_az1_rack7_mgmt_pg">'Value Reference Tables - MR'!$AA$126</definedName>
    <definedName name="wld_az1_rack7_mgmt_vlan">'Value Reference Tables - MR'!$AA$9</definedName>
    <definedName name="wld_az1_rack7_mgmt_vm_cidr">'Value Reference Tables - MR'!$AA$23</definedName>
    <definedName name="wld_az1_rack7_mgmt_vm_gateway_cidr">'Value Reference Tables - MR'!$AA$100</definedName>
    <definedName name="wld_az1_rack7_mgmt_vm_gateway_ip">'Value Reference Tables - MR'!$AA$85</definedName>
    <definedName name="wld_az1_rack7_mgmt_vm_mask">'Value Reference Tables - MR'!$AA$194</definedName>
    <definedName name="wld_az1_rack7_mgmt_vm_mtu">'Value Reference Tables - MR'!$AA$69</definedName>
    <definedName name="wld_az1_rack7_mgmt_vm_pg">'Value Reference Tables - MR'!$AA$125</definedName>
    <definedName name="wld_az1_rack7_mgmt_vm_vlan">'Value Reference Tables - MR'!$AA$8</definedName>
    <definedName name="wld_az1_rack7_pool_name">'Value Reference Tables - MR'!$AA$182</definedName>
    <definedName name="wld_az1_rack7_principal_storage_cidr">'Value Reference Tables - MR'!$AA$26</definedName>
    <definedName name="wld_az1_rack7_principal_storage_gateway_cidr">'Value Reference Tables - MR'!$AA$103</definedName>
    <definedName name="wld_az1_rack7_principal_storage_gateway_ip">'Value Reference Tables - MR'!$AA$88</definedName>
    <definedName name="wld_az1_rack7_principal_storage_mask">'Value Reference Tables - MR'!$AA$56</definedName>
    <definedName name="wld_az1_rack7_principal_storage_mtu">'Value Reference Tables - MR'!$AA$72</definedName>
    <definedName name="wld_az1_rack7_principal_storage_network">'Value Reference Tables - MR'!$AA$41</definedName>
    <definedName name="wld_az1_rack7_principal_storage_pg">'Value Reference Tables - MR'!$AA$128</definedName>
    <definedName name="wld_az1_rack7_principal_storage_pool_end_ip">'Value Reference Tables - MR'!$AA$168</definedName>
    <definedName name="wld_az1_rack7_principal_storage_pool_start_ip">'Value Reference Tables - MR'!$AA$167</definedName>
    <definedName name="wld_az1_rack7_principal_storage_vlan">'Value Reference Tables - MR'!$AA$11</definedName>
    <definedName name="wld_az1_rack7_reuse_vcf_networkpool_chosen">'Additional Racks'!$D$498</definedName>
    <definedName name="wld_az1_rack7_rtep_ip_pool_name">'Value Reference Tables - MR'!$AA$189</definedName>
    <definedName name="wld_az1_rack7_rtep_overlay_cidr">'Value Reference Tables - MR'!$AA$33</definedName>
    <definedName name="wld_az1_rack7_rtep_overlay_gateway_ip">'Value Reference Tables - MR'!$AA$95</definedName>
    <definedName name="wld_az1_rack7_rtep_overlay_mtu">'Value Reference Tables - MR'!$AA$79</definedName>
    <definedName name="wld_az1_rack7_rtep_overlay_pool_end_ip">'Value Reference Tables - MR'!$AA$178</definedName>
    <definedName name="wld_az1_rack7_rtep_overlay_pool_start_ip">'Value Reference Tables - MR'!$AA$177</definedName>
    <definedName name="wld_az1_rack7_rtep_overlay_vlan">'Value Reference Tables - MR'!$AA$18</definedName>
    <definedName name="wld_az1_rack7_secondary_storage_cidr">'Value Reference Tables - MR'!$AA$28</definedName>
    <definedName name="wld_az1_rack7_secondary_storage_gateway_cidr">'Value Reference Tables - MR'!$AA$105</definedName>
    <definedName name="wld_az1_rack7_secondary_storage_gateway_ip">'Value Reference Tables - MR'!$AA$90</definedName>
    <definedName name="wld_az1_rack7_secondary_storage_mask">'Value Reference Tables - MR'!$AA$58</definedName>
    <definedName name="wld_az1_rack7_secondary_storage_mtu">'Value Reference Tables - MR'!$AA$74</definedName>
    <definedName name="wld_az1_rack7_secondary_storage_network">'Value Reference Tables - MR'!$AA$44</definedName>
    <definedName name="wld_az1_rack7_secondary_storage_pool_end_ip">'Value Reference Tables - MR'!$AA$172</definedName>
    <definedName name="wld_az1_rack7_secondary_storage_pool_start_ip">'Value Reference Tables - MR'!$AA$171</definedName>
    <definedName name="wld_az1_rack7_secondary_storage_vlan">'Value Reference Tables - MR'!$AA$13</definedName>
    <definedName name="wld_az1_rack7_tor1_peer_asn">'Value Reference Tables - MR'!$AA$117</definedName>
    <definedName name="wld_az1_rack7_tor1_peer_bgp_password">'Value Reference Tables - MR'!$AA$118</definedName>
    <definedName name="wld_az1_rack7_tor1_peer_ip">'Value Reference Tables - MR'!$AA$116</definedName>
    <definedName name="wld_az1_rack7_tor2_peer_asn">'Value Reference Tables - MR'!$AA$120</definedName>
    <definedName name="wld_az1_rack7_tor2_peer_bgp_password">'Value Reference Tables - MR'!$AA$121</definedName>
    <definedName name="wld_az1_rack7_tor2_peer_ip">'Value Reference Tables - MR'!$AA$119</definedName>
    <definedName name="wld_az1_rack7_uplink01_cidr">'Value Reference Tables - MR'!$AA$30</definedName>
    <definedName name="wld_az1_rack7_uplink01_gateway_cidr">'Value Reference Tables - MR'!$AA$107</definedName>
    <definedName name="wld_az1_rack7_uplink01_gateway_ip">'Value Reference Tables - MR'!$AA$92</definedName>
    <definedName name="wld_az1_rack7_uplink01_mask">'Value Reference Tables - MR'!$AA$60</definedName>
    <definedName name="wld_az1_rack7_uplink01_mtu">'Value Reference Tables - MR'!$AA$76</definedName>
    <definedName name="wld_az1_rack7_uplink01_network">'Value Reference Tables - MR'!$AA$45</definedName>
    <definedName name="wld_az1_rack7_uplink01_pg">'Value Reference Tables - MR'!$AA$129</definedName>
    <definedName name="wld_az1_rack7_uplink01_vlan">'Value Reference Tables - MR'!$AA$15</definedName>
    <definedName name="wld_az1_rack7_uplink02_cidr">'Value Reference Tables - MR'!$AA$31</definedName>
    <definedName name="wld_az1_rack7_uplink02_gateway_cidr">'Value Reference Tables - MR'!$AA$108</definedName>
    <definedName name="wld_az1_rack7_uplink02_gateway_ip">'Value Reference Tables - MR'!$AA$93</definedName>
    <definedName name="wld_az1_rack7_uplink02_mask">'Value Reference Tables - MR'!$AA$61</definedName>
    <definedName name="wld_az1_rack7_uplink02_mtu">'Value Reference Tables - MR'!$AA$77</definedName>
    <definedName name="wld_az1_rack7_uplink02_network">'Value Reference Tables - MR'!$AA$46</definedName>
    <definedName name="wld_az1_rack7_uplink02_pg">'Value Reference Tables - MR'!$AA$130</definedName>
    <definedName name="wld_az1_rack7_uplink02_vlan">'Value Reference Tables - MR'!$AA$16</definedName>
    <definedName name="wld_az1_rack7_vmotion_cidr">'Value Reference Tables - MR'!$AA$25</definedName>
    <definedName name="wld_az1_rack7_vmotion_gateway_cidr">'Value Reference Tables - MR'!$AA$102</definedName>
    <definedName name="wld_az1_rack7_vmotion_gateway_ip">'Value Reference Tables - MR'!$AA$87</definedName>
    <definedName name="wld_az1_rack7_vmotion_mask">'Value Reference Tables - MR'!$AA$55</definedName>
    <definedName name="wld_az1_rack7_vmotion_mtu">'Value Reference Tables - MR'!$AA$71</definedName>
    <definedName name="wld_az1_rack7_vmotion_network">'Value Reference Tables - MR'!$AA$40</definedName>
    <definedName name="wld_az1_rack7_vmotion_pg">'Value Reference Tables - MR'!$AA$127</definedName>
    <definedName name="wld_az1_rack7_vmotion_pool_end_ip">'Value Reference Tables - MR'!$AA$166</definedName>
    <definedName name="wld_az1_rack7_vmotion_pool_start_ip">'Value Reference Tables - MR'!$AA$165</definedName>
    <definedName name="wld_az1_rack7_vmotion_vlan">'Value Reference Tables - MR'!$AA$10</definedName>
    <definedName name="wld_az1_rack7_vrms_cidr">'Value Reference Tables - MR'!$AA$34</definedName>
    <definedName name="wld_az1_rack7_vrms_gateway_ip">'Value Reference Tables - MR'!$AA$96</definedName>
    <definedName name="wld_az1_rack7_vrms_mtu">'Value Reference Tables - MR'!$AA$80</definedName>
    <definedName name="wld_az1_rack7_vrms_vlan">'Value Reference Tables - MR'!$AA$19</definedName>
    <definedName name="wld_az1_rack7_vsan_fault_domain">'Value Reference Tables - MR'!$AA$190</definedName>
    <definedName name="wld_az1_rack8_edge_overlay_cidr">'Value Reference Tables - MR'!$AD$32</definedName>
    <definedName name="wld_az1_rack8_edge_overlay_gateway_cidr">'Value Reference Tables - MR'!$AD$109</definedName>
    <definedName name="wld_az1_rack8_edge_overlay_gateway_ip">'Value Reference Tables - MR'!$AD$94</definedName>
    <definedName name="wld_az1_rack8_edge_overlay_mask">'Value Reference Tables - MR'!$AD$62</definedName>
    <definedName name="wld_az1_rack8_edge_overlay_mtu">'Value Reference Tables - MR'!$AD$78</definedName>
    <definedName name="wld_az1_rack8_edge_overlay_network">'Value Reference Tables - MR'!$AD$47</definedName>
    <definedName name="wld_az1_rack8_edge_overlay_network_pool_name">'Value Reference Tables - MR'!$AD$188</definedName>
    <definedName name="wld_az1_rack8_edge_overlay_pool_end_ip">'Value Reference Tables - MR'!$AD$176</definedName>
    <definedName name="wld_az1_rack8_edge_overlay_pool_start_ip">'Value Reference Tables - MR'!$AD$175</definedName>
    <definedName name="wld_az1_rack8_edge_overlay_vlan">'Value Reference Tables - MR'!$AD$17</definedName>
    <definedName name="wld_az1_rack8_en1_edge_overlay_interface_ip_1_ip">'Value Reference Tables - MR'!$AD$260</definedName>
    <definedName name="wld_az1_rack8_en1_edge_overlay_interface_ip_2_ip">'Value Reference Tables - MR'!$AD$261</definedName>
    <definedName name="wld_az1_rack8_en1_fqdn">'Value Reference Tables - MR'!$AD$256</definedName>
    <definedName name="wld_az1_rack8_en1_hostname">'Value Reference Tables - MR'!$AD$255</definedName>
    <definedName name="wld_az1_rack8_en1_mgmt_ip">'Value Reference Tables - MR'!$AD$257</definedName>
    <definedName name="wld_az1_rack8_en1_uplink01_interface_ip">'Value Reference Tables - MR'!$AD$258</definedName>
    <definedName name="wld_az1_rack8_en1_uplink02_interface_ip">'Value Reference Tables - MR'!$AD$259</definedName>
    <definedName name="wld_az1_rack8_en2_fqdn">'Value Reference Tables - MR'!$AD$266</definedName>
    <definedName name="wld_az1_rack8_en2_hostname">'Value Reference Tables - MR'!$AD$265</definedName>
    <definedName name="wld_az1_rack8_en2_mgmt_ip">'Value Reference Tables - MR'!$AD$267</definedName>
    <definedName name="wld_az1_rack8_en2_uplink01_interface_ip">'Value Reference Tables - MR'!$AD$268</definedName>
    <definedName name="wld_az1_rack8_en2_uplink02_interface_ip">'Value Reference Tables - MR'!$AD$269</definedName>
    <definedName name="wld_az1_rack8_host_fqdns">'Value Reference Tables - MR'!$AD$237:$AD$252</definedName>
    <definedName name="wld_az1_rack8_host_hostnames">'Value Reference Tables - MR'!$AD$218:$AD$233</definedName>
    <definedName name="wld_az1_rack8_host_mgmt_ips">'Value Reference Tables - MR'!$AD$199:$AD$214</definedName>
    <definedName name="wld_az1_rack8_host_overlay_cidr">'Value Reference Tables - MR'!$AD$27</definedName>
    <definedName name="wld_az1_rack8_host_overlay_gateway_cidr">'Value Reference Tables - MR'!$AD$104</definedName>
    <definedName name="wld_az1_rack8_host_overlay_gateway_ip">'Value Reference Tables - MR'!$AD$89</definedName>
    <definedName name="wld_az1_rack8_host_overlay_mask">'Value Reference Tables - MR'!$AD$57</definedName>
    <definedName name="wld_az1_rack8_host_overlay_mtu">'Value Reference Tables - MR'!$AD$73</definedName>
    <definedName name="wld_az1_rack8_host_overlay_network">'Value Reference Tables - MR'!$AD$42</definedName>
    <definedName name="wld_az1_rack8_host_overlay_network_pool_name">'Value Reference Tables - MR'!$AD$185</definedName>
    <definedName name="wld_az1_rack8_host_overlay_network_profile_name">'Value Reference Tables - MR'!$AD$183</definedName>
    <definedName name="wld_az1_rack8_host_overlay_new_pool_chosen">'Additional Racks'!$D$637</definedName>
    <definedName name="wld_az1_rack8_host_overlay_pool_end_ip">'Value Reference Tables - MR'!$AD$170</definedName>
    <definedName name="wld_az1_rack8_host_overlay_pool_start_ip">'Value Reference Tables - MR'!$AD$169</definedName>
    <definedName name="wld_az1_rack8_host_overlay_uplink_profile_name">'Value Reference Tables - MR'!$AD$187</definedName>
    <definedName name="wld_az1_rack8_host_overlay_vlan">'Value Reference Tables - MR'!$AD$12</definedName>
    <definedName name="wld_az1_rack8_host1_fqdn">'Value Reference Tables - MR'!$AD$237</definedName>
    <definedName name="wld_az1_rack8_host1_hostname">'Value Reference Tables - MR'!$AD$218</definedName>
    <definedName name="wld_az1_rack8_host1_mgmt_ip">'Value Reference Tables - MR'!$AD$199</definedName>
    <definedName name="wld_az1_rack8_host10_fqdn">'Value Reference Tables - MR'!$AD$246</definedName>
    <definedName name="wld_az1_rack8_host10_hostname">'Value Reference Tables - MR'!$AD$227</definedName>
    <definedName name="wld_az1_rack8_host10_mgmt_ip">'Value Reference Tables - MR'!$AD$208</definedName>
    <definedName name="wld_az1_rack8_host11_fqdn">'Value Reference Tables - MR'!$AD$247</definedName>
    <definedName name="wld_az1_rack8_host11_hostname">'Value Reference Tables - MR'!$AD$228</definedName>
    <definedName name="wld_az1_rack8_host11_mgmt_ip">'Value Reference Tables - MR'!$AD$209</definedName>
    <definedName name="wld_az1_rack8_host12_fqdn">'Value Reference Tables - MR'!$AD$248</definedName>
    <definedName name="wld_az1_rack8_host12_hostname">'Value Reference Tables - MR'!$AD$229</definedName>
    <definedName name="wld_az1_rack8_host12_mgmt_ip">'Value Reference Tables - MR'!$AD$210</definedName>
    <definedName name="wld_az1_rack8_host13_fqdn">'Value Reference Tables - MR'!$AD$249</definedName>
    <definedName name="wld_az1_rack8_host13_hostname">'Value Reference Tables - MR'!$AD$230</definedName>
    <definedName name="wld_az1_rack8_host13_mgmt_ip">'Value Reference Tables - MR'!$AD$211</definedName>
    <definedName name="wld_az1_rack8_host14_fqdn">'Value Reference Tables - MR'!$AD$250</definedName>
    <definedName name="wld_az1_rack8_host14_hostname">'Value Reference Tables - MR'!$AD$231</definedName>
    <definedName name="wld_az1_rack8_host14_mgmt_ip">'Value Reference Tables - MR'!$AD$212</definedName>
    <definedName name="wld_az1_rack8_host15_fqdn">'Value Reference Tables - MR'!$AD$251</definedName>
    <definedName name="wld_az1_rack8_host15_hostname">'Value Reference Tables - MR'!$AD$232</definedName>
    <definedName name="wld_az1_rack8_host15_mgmt_ip">'Value Reference Tables - MR'!$AD$213</definedName>
    <definedName name="wld_az1_rack8_host16_fqdn">'Value Reference Tables - MR'!$AD$252</definedName>
    <definedName name="wld_az1_rack8_host16_hostname">'Value Reference Tables - MR'!$AD$233</definedName>
    <definedName name="wld_az1_rack8_host16_mgmt_ip">'Value Reference Tables - MR'!$AD$214</definedName>
    <definedName name="wld_az1_rack8_host2_fqdn">'Value Reference Tables - MR'!$AD$238</definedName>
    <definedName name="wld_az1_rack8_host2_hostname">'Value Reference Tables - MR'!$AD$219</definedName>
    <definedName name="wld_az1_rack8_host2_mgmt_ip">'Value Reference Tables - MR'!$AD$200</definedName>
    <definedName name="wld_az1_rack8_host3_fqdn">'Value Reference Tables - MR'!$AD$239</definedName>
    <definedName name="wld_az1_rack8_host3_hostname">'Value Reference Tables - MR'!$AD$220</definedName>
    <definedName name="wld_az1_rack8_host3_mgmt_ip">'Value Reference Tables - MR'!$AD$201</definedName>
    <definedName name="wld_az1_rack8_host4_fqdn">'Value Reference Tables - MR'!$AD$240</definedName>
    <definedName name="wld_az1_rack8_host4_hostname">'Value Reference Tables - MR'!$AD$221</definedName>
    <definedName name="wld_az1_rack8_host4_mgmt_ip">'Value Reference Tables - MR'!$AD$202</definedName>
    <definedName name="wld_az1_rack8_host5_fqdn">'Value Reference Tables - MR'!$AD$241</definedName>
    <definedName name="wld_az1_rack8_host5_hostname">'Value Reference Tables - MR'!$AD$222</definedName>
    <definedName name="wld_az1_rack8_host5_mgmt_ip">'Value Reference Tables - MR'!$AD$203</definedName>
    <definedName name="wld_az1_rack8_host6_fqdn">'Value Reference Tables - MR'!$AD$242</definedName>
    <definedName name="wld_az1_rack8_host6_hostname">'Value Reference Tables - MR'!$AD$223</definedName>
    <definedName name="wld_az1_rack8_host6_mgmt_ip">'Value Reference Tables - MR'!$AD$204</definedName>
    <definedName name="wld_az1_rack8_host7_fqdn">'Value Reference Tables - MR'!$AD$243</definedName>
    <definedName name="wld_az1_rack8_host7_hostname">'Value Reference Tables - MR'!$AD$224</definedName>
    <definedName name="wld_az1_rack8_host7_mgmt_ip">'Value Reference Tables - MR'!$AD$205</definedName>
    <definedName name="wld_az1_rack8_host8_fqdn">'Value Reference Tables - MR'!$AD$244</definedName>
    <definedName name="wld_az1_rack8_host8_hostname">'Value Reference Tables - MR'!$AD$225</definedName>
    <definedName name="wld_az1_rack8_host8_mgmt_ip">'Value Reference Tables - MR'!$AD$206</definedName>
    <definedName name="wld_az1_rack8_host9_fqdn">'Value Reference Tables - MR'!$AD$245</definedName>
    <definedName name="wld_az1_rack8_host9_hostname">'Value Reference Tables - MR'!$AD$226</definedName>
    <definedName name="wld_az1_rack8_host9_mgmt_ip">'Value Reference Tables - MR'!$AD$207</definedName>
    <definedName name="wld_az1_rack8_mgmt_cidr">'Value Reference Tables - MR'!$AD$24</definedName>
    <definedName name="wld_az1_rack8_mgmt_gateway_cidr">'Value Reference Tables - MR'!$AD$101</definedName>
    <definedName name="wld_az1_rack8_mgmt_gateway_ip">'Value Reference Tables - MR'!$AD$86</definedName>
    <definedName name="wld_az1_rack8_mgmt_mask">'Value Reference Tables - MR'!$AD$195</definedName>
    <definedName name="wld_az1_rack8_mgmt_mtu">'Value Reference Tables - MR'!$AD$70</definedName>
    <definedName name="wld_az1_rack8_mgmt_network">'Value Reference Tables - MR'!$AD$39</definedName>
    <definedName name="wld_az1_rack8_mgmt_pg">'Value Reference Tables - MR'!$AD$126</definedName>
    <definedName name="wld_az1_rack8_mgmt_vlan">'Value Reference Tables - MR'!$AD$9</definedName>
    <definedName name="wld_az1_rack8_mgmt_vm_cidr">'Value Reference Tables - MR'!$AD$23</definedName>
    <definedName name="wld_az1_rack8_mgmt_vm_gateway_cidr">'Value Reference Tables - MR'!$AD$100</definedName>
    <definedName name="wld_az1_rack8_mgmt_vm_gateway_ip">'Value Reference Tables - MR'!$AD$85</definedName>
    <definedName name="wld_az1_rack8_mgmt_vm_mask">'Value Reference Tables - MR'!$AD$194</definedName>
    <definedName name="wld_az1_rack8_mgmt_vm_mtu">'Value Reference Tables - MR'!$AD$69</definedName>
    <definedName name="wld_az1_rack8_mgmt_vm_pg">'Value Reference Tables - MR'!$AD$125</definedName>
    <definedName name="wld_az1_rack8_mgmt_vm_vlan">'Value Reference Tables - MR'!$AD$8</definedName>
    <definedName name="wld_az1_rack8_pool_name">'Value Reference Tables - MR'!$AD$182</definedName>
    <definedName name="wld_az1_rack8_principal_storage_cidr">'Value Reference Tables - MR'!$AD$26</definedName>
    <definedName name="wld_az1_rack8_principal_storage_gateway_cidr">'Value Reference Tables - MR'!$AD$103</definedName>
    <definedName name="wld_az1_rack8_principal_storage_gateway_ip">'Value Reference Tables - MR'!$AD$88</definedName>
    <definedName name="wld_az1_rack8_principal_storage_mask">'Value Reference Tables - MR'!$AD$56</definedName>
    <definedName name="wld_az1_rack8_principal_storage_mtu">'Value Reference Tables - MR'!$AD$72</definedName>
    <definedName name="wld_az1_rack8_principal_storage_network">'Value Reference Tables - MR'!$AD$41</definedName>
    <definedName name="wld_az1_rack8_principal_storage_pg">'Value Reference Tables - MR'!$AD$128</definedName>
    <definedName name="wld_az1_rack8_principal_storage_pool_end_ip">'Value Reference Tables - MR'!$AD$168</definedName>
    <definedName name="wld_az1_rack8_principal_storage_pool_start_ip">'Value Reference Tables - MR'!$AD$167</definedName>
    <definedName name="wld_az1_rack8_principal_storage_vlan">'Value Reference Tables - MR'!$AD$11</definedName>
    <definedName name="wld_az1_rack8_reuse_vcf_networkpool_chosen">'Additional Racks'!$D$591</definedName>
    <definedName name="wld_az1_rack8_rtep_ip_pool_name">'Value Reference Tables - MR'!$AD$189</definedName>
    <definedName name="wld_az1_rack8_rtep_overlay_cidr">'Value Reference Tables - MR'!$AD$33</definedName>
    <definedName name="wld_az1_rack8_rtep_overlay_gateway_ip">'Value Reference Tables - MR'!$AD$95</definedName>
    <definedName name="wld_az1_rack8_rtep_overlay_mtu">'Value Reference Tables - MR'!$AD$79</definedName>
    <definedName name="wld_az1_rack8_rtep_overlay_pool_end_ip">'Value Reference Tables - MR'!$AD$178</definedName>
    <definedName name="wld_az1_rack8_rtep_overlay_pool_start_ip">'Value Reference Tables - MR'!$AD$177</definedName>
    <definedName name="wld_az1_rack8_rtep_overlay_vlan">'Value Reference Tables - MR'!$AD$18</definedName>
    <definedName name="wld_az1_rack8_secondary_storage_cidr">'Value Reference Tables - MR'!$AD$28</definedName>
    <definedName name="wld_az1_rack8_secondary_storage_gateway_cidr">'Value Reference Tables - MR'!$AD$105</definedName>
    <definedName name="wld_az1_rack8_secondary_storage_gateway_ip">'Value Reference Tables - MR'!$AD$90</definedName>
    <definedName name="wld_az1_rack8_secondary_storage_mask">'Value Reference Tables - MR'!$AD$58</definedName>
    <definedName name="wld_az1_rack8_secondary_storage_mtu">'Value Reference Tables - MR'!$AD$74</definedName>
    <definedName name="wld_az1_rack8_secondary_storage_network">'Value Reference Tables - MR'!$AD$44</definedName>
    <definedName name="wld_az1_rack8_secondary_storage_pool_end_ip">'Value Reference Tables - MR'!$AD$172</definedName>
    <definedName name="wld_az1_rack8_secondary_storage_pool_start_ip">'Value Reference Tables - MR'!$AD$171</definedName>
    <definedName name="wld_az1_rack8_secondary_storage_vlan">'Value Reference Tables - MR'!$AD$13</definedName>
    <definedName name="wld_az1_rack8_tor1_peer_asn">'Value Reference Tables - MR'!$AD$117</definedName>
    <definedName name="wld_az1_rack8_tor1_peer_bgp_password">'Value Reference Tables - MR'!$AD$118</definedName>
    <definedName name="wld_az1_rack8_tor1_peer_ip">'Value Reference Tables - MR'!$AD$116</definedName>
    <definedName name="wld_az1_rack8_tor2_peer_asn">'Value Reference Tables - MR'!$AD$120</definedName>
    <definedName name="wld_az1_rack8_tor2_peer_bgp_password">'Value Reference Tables - MR'!$AD$121</definedName>
    <definedName name="wld_az1_rack8_tor2_peer_ip">'Value Reference Tables - MR'!$AD$119</definedName>
    <definedName name="wld_az1_rack8_uplink01_cidr">'Value Reference Tables - MR'!$AD$30</definedName>
    <definedName name="wld_az1_rack8_uplink01_gateway_cidr">'Value Reference Tables - MR'!$AD$107</definedName>
    <definedName name="wld_az1_rack8_uplink01_gateway_ip">'Value Reference Tables - MR'!$AD$92</definedName>
    <definedName name="wld_az1_rack8_uplink01_mask">'Value Reference Tables - MR'!$AD$60</definedName>
    <definedName name="wld_az1_rack8_uplink01_mtu">'Value Reference Tables - MR'!$AD$76</definedName>
    <definedName name="wld_az1_rack8_uplink01_network">'Value Reference Tables - MR'!$AD$45</definedName>
    <definedName name="wld_az1_rack8_uplink01_pg">'Value Reference Tables - MR'!$AD$129</definedName>
    <definedName name="wld_az1_rack8_uplink01_vlan">'Value Reference Tables - MR'!$AD$15</definedName>
    <definedName name="wld_az1_rack8_uplink02_cidr">'Value Reference Tables - MR'!$AD$31</definedName>
    <definedName name="wld_az1_rack8_uplink02_gateway_cidr">'Value Reference Tables - MR'!$AD$108</definedName>
    <definedName name="wld_az1_rack8_uplink02_gateway_ip">'Value Reference Tables - MR'!$AD$93</definedName>
    <definedName name="wld_az1_rack8_uplink02_mask">'Value Reference Tables - MR'!$AD$61</definedName>
    <definedName name="wld_az1_rack8_uplink02_mtu">'Value Reference Tables - MR'!$AD$77</definedName>
    <definedName name="wld_az1_rack8_uplink02_network">'Value Reference Tables - MR'!$AD$46</definedName>
    <definedName name="wld_az1_rack8_uplink02_pg">'Value Reference Tables - MR'!$AD$130</definedName>
    <definedName name="wld_az1_rack8_uplink02_vlan">'Value Reference Tables - MR'!$AD$16</definedName>
    <definedName name="wld_az1_rack8_vmotion_cidr">'Value Reference Tables - MR'!$AD$25</definedName>
    <definedName name="wld_az1_rack8_vmotion_gateway_cidr">'Value Reference Tables - MR'!$AD$102</definedName>
    <definedName name="wld_az1_rack8_vmotion_gateway_ip">'Value Reference Tables - MR'!$AD$87</definedName>
    <definedName name="wld_az1_rack8_vmotion_mask">'Value Reference Tables - MR'!$AD$55</definedName>
    <definedName name="wld_az1_rack8_vmotion_mtu">'Value Reference Tables - MR'!$AD$71</definedName>
    <definedName name="wld_az1_rack8_vmotion_network">'Value Reference Tables - MR'!$AD$40</definedName>
    <definedName name="wld_az1_rack8_vmotion_pg">'Value Reference Tables - MR'!$AD$127</definedName>
    <definedName name="wld_az1_rack8_vmotion_pool_end_ip">'Value Reference Tables - MR'!$AD$166</definedName>
    <definedName name="wld_az1_rack8_vmotion_pool_start_ip">'Value Reference Tables - MR'!$AD$165</definedName>
    <definedName name="wld_az1_rack8_vmotion_vlan">'Value Reference Tables - MR'!$AD$10</definedName>
    <definedName name="wld_az1_rack8_vrms_cidr">'Value Reference Tables - MR'!$AD$34</definedName>
    <definedName name="wld_az1_rack8_vrms_gateway_ip">'Value Reference Tables - MR'!$AD$96</definedName>
    <definedName name="wld_az1_rack8_vrms_mtu">'Value Reference Tables - MR'!$AD$80</definedName>
    <definedName name="wld_az1_rack8_vrms_vlan">'Value Reference Tables - MR'!$AD$19</definedName>
    <definedName name="wld_az1_rack8_vsan_fault_domain">'Value Reference Tables - MR'!$AD$190</definedName>
    <definedName name="wld_az1_reuse_vcf_networkpool_chosen">'Deploy Workload Domain'!$B$15</definedName>
    <definedName name="wld_az1_reuse_vcf_networkpool_result">'Deploy Workload Domain'!$D$15</definedName>
    <definedName name="wld_az1_rtep_ip_pool_name">'Value Reference Tables - MR'!$I$189</definedName>
    <definedName name="wld_az1_rtep_overlay_cidr">'Value Reference Tables - MR'!$I$33</definedName>
    <definedName name="wld_az1_rtep_overlay_gateway_ip">'Value Reference Tables - MR'!$I$95</definedName>
    <definedName name="wld_az1_rtep_overlay_mtu">'Value Reference Tables - MR'!$I$79</definedName>
    <definedName name="wld_az1_rtep_overlay_network">'Value Reference Tables - MR'!$I$48</definedName>
    <definedName name="wld_az1_rtep_overlay_pg">'Value Reference Tables - MR'!$I$134</definedName>
    <definedName name="wld_az1_rtep_overlay_vlan">'Value Reference Tables - MR'!$I$18</definedName>
    <definedName name="wld_az1_secondary_storage_cidr">'Value Reference Tables - MR'!$I$28</definedName>
    <definedName name="wld_az1_secondary_storage_gateway_cidr">'Value Reference Tables - MR'!$I$105</definedName>
    <definedName name="wld_az1_secondary_storage_gateway_ip">'Value Reference Tables - MR'!$I$90</definedName>
    <definedName name="wld_az1_secondary_storage_ip_assignment_chosen">'Deploy Workload Domain'!$D$109</definedName>
    <definedName name="wld_az1_secondary_storage_ip_scheme_chosen">'Deploy Workload Domain'!$D$106</definedName>
    <definedName name="wld_az1_secondary_storage_mask">'Value Reference Tables - MR'!$I$58</definedName>
    <definedName name="wld_az1_secondary_storage_mtu">'Value Reference Tables - MR'!$I$74</definedName>
    <definedName name="wld_az1_secondary_storage_network">'Value Reference Tables - MR'!$I$43</definedName>
    <definedName name="wld_az1_secondary_storage_pool_end_ip">'Value Reference Tables - MR'!$I$172</definedName>
    <definedName name="wld_az1_secondary_storage_pool_start_ip">'Value Reference Tables - MR'!$I$171</definedName>
    <definedName name="wld_az1_secondary_storage_vlan">'Value Reference Tables - MR'!$I$13</definedName>
    <definedName name="wld_az1_storage_cluster_cidr">'Value Reference Tables - MR'!$I$29</definedName>
    <definedName name="wld_az1_storage_cluster_gateway_cidr">'Value Reference Tables - MR'!$I$106</definedName>
    <definedName name="wld_az1_storage_cluster_gateway_ip">'Value Reference Tables - MR'!$I$91</definedName>
    <definedName name="wld_az1_storage_cluster_ip_assignment_chosen">'Deploy Workload Domain'!$D$120</definedName>
    <definedName name="wld_az1_storage_cluster_ip_scheme_chosen">'Deploy Workload Domain'!$D$117</definedName>
    <definedName name="wld_az1_storage_cluster_mask">'Value Reference Tables - MR'!$I$59</definedName>
    <definedName name="wld_az1_storage_cluster_mtu">'Value Reference Tables - MR'!$I$75</definedName>
    <definedName name="wld_az1_storage_cluster_network">'Value Reference Tables - MR'!$I$44</definedName>
    <definedName name="wld_az1_storage_cluster_pool_end_ip">'Value Reference Tables - MR'!$I$174</definedName>
    <definedName name="wld_az1_storage_cluster_pool_start_ip">'Value Reference Tables - MR'!$I$173</definedName>
    <definedName name="wld_az1_storage_cluster_vlan">'Value Reference Tables - MR'!$I$14</definedName>
    <definedName name="wld_az1_tor1_peer_asn">'Value Reference Tables - MR'!$I$117</definedName>
    <definedName name="wld_az1_tor1_peer_bgp_password">'Value Reference Tables - MR'!$I$118</definedName>
    <definedName name="wld_az1_tor1_peer_ip">'Value Reference Tables - MR'!$I$116</definedName>
    <definedName name="wld_az1_tor2_peer_asn">'Value Reference Tables - MR'!$I$120</definedName>
    <definedName name="wld_az1_tor2_peer_bgp_password">'Value Reference Tables - MR'!$I$121</definedName>
    <definedName name="wld_az1_tor2_peer_ip">'Value Reference Tables - MR'!$I$119</definedName>
    <definedName name="wld_az1_uplink01_cidr">'Value Reference Tables - MR'!$I$30</definedName>
    <definedName name="wld_az1_uplink01_gateway_ip">'Value Reference Tables - MR'!$I$92</definedName>
    <definedName name="wld_az1_uplink01_mask">'Value Reference Tables - MR'!$I$60</definedName>
    <definedName name="wld_az1_uplink01_mtu">'Value Reference Tables - MR'!$I$76</definedName>
    <definedName name="wld_az1_uplink01_network">'Value Reference Tables - MR'!$I$45</definedName>
    <definedName name="wld_az1_uplink01_vlan">'Value Reference Tables - MR'!$I$15</definedName>
    <definedName name="wld_az1_uplink02_cidr">'Value Reference Tables - MR'!$I$31</definedName>
    <definedName name="wld_az1_uplink02_gateway_ip">'Value Reference Tables - MR'!$I$93</definedName>
    <definedName name="wld_az1_uplink02_mask">'Value Reference Tables - MR'!$I$61</definedName>
    <definedName name="wld_az1_uplink02_mtu">'Value Reference Tables - MR'!$I$77</definedName>
    <definedName name="wld_az1_uplink02_network">'Value Reference Tables - MR'!$I$46</definedName>
    <definedName name="wld_az1_uplink02_vlan">'Value Reference Tables - MR'!$I$16</definedName>
    <definedName name="wld_az1_vm_cidr">'Value Reference Tables'!$AD$32</definedName>
    <definedName name="wld_az1_vm_gateway_ip">'Value Reference Tables'!$AD$36</definedName>
    <definedName name="wld_az1_vm_mtu">'Value Reference Tables'!$AD$41</definedName>
    <definedName name="wld_az1_vm_vlan">'Value Reference Tables'!$AD$24</definedName>
    <definedName name="wld_az1_vmotion_cidr">'Value Reference Tables - MR'!$I$25</definedName>
    <definedName name="wld_az1_vmotion_gateway_cidr">'Value Reference Tables - MR'!$I$102</definedName>
    <definedName name="wld_az1_vmotion_gateway_ip">'Value Reference Tables - MR'!$I$87</definedName>
    <definedName name="wld_az1_vmotion_ip_assignment_chosen">'Deploy Workload Domain'!$D$87</definedName>
    <definedName name="wld_az1_vmotion_ip_scheme_chosen">'Deploy Workload Domain'!$D$84</definedName>
    <definedName name="wld_az1_vmotion_mask">'Value Reference Tables - MR'!$I$55</definedName>
    <definedName name="wld_az1_vmotion_mtu">'Value Reference Tables - MR'!$I$71</definedName>
    <definedName name="wld_az1_vmotion_network">'Value Reference Tables - MR'!$I$40</definedName>
    <definedName name="wld_az1_vmotion_pool_end_ip">'Value Reference Tables - MR'!$I$166</definedName>
    <definedName name="wld_az1_vmotion_pool_start_ip">'Value Reference Tables - MR'!$I$165</definedName>
    <definedName name="wld_az1_vmotion_vlan">'Value Reference Tables - MR'!$I$10</definedName>
    <definedName name="wld_az1_vrms_cidr">'Value Reference Tables - MR'!$I$34</definedName>
    <definedName name="wld_az1_vrms_gateway_ip">'Value Reference Tables - MR'!$I$96</definedName>
    <definedName name="wld_az1_vrms_mtu">'Value Reference Tables - MR'!$I$80</definedName>
    <definedName name="wld_az1_vrms_network">'Value Reference Tables - MR'!$I$49</definedName>
    <definedName name="wld_az1_vrms_vlan">'Value Reference Tables - MR'!$I$19</definedName>
    <definedName name="wld_az2_edge_overlay_cidr">'Value Reference Tables - MR'!$I$318</definedName>
    <definedName name="wld_az2_edge_overlay_gateway_ip">'Value Reference Tables - MR'!$I$363</definedName>
    <definedName name="wld_az2_edge_overlay_mask">'Value Reference Tables - MR'!$I$348</definedName>
    <definedName name="wld_az2_edge_overlay_mtu">'Value Reference Tables - MR'!$I$378</definedName>
    <definedName name="wld_az2_edge_overlay_network">'Value Reference Tables - MR'!$I$333</definedName>
    <definedName name="wld_az2_edge_overlay_pg">'Value Reference Tables - MR'!$I$402</definedName>
    <definedName name="wld_az2_edge_overlay_vlan">'Value Reference Tables - MR'!$I$303</definedName>
    <definedName name="wld_az2_host_fqdns">'Value Reference Tables - MR'!$I$483:$I$498</definedName>
    <definedName name="wld_az2_host_hostnames">'Value Reference Tables - MR'!$I$464:$I$479</definedName>
    <definedName name="wld_az2_host_mgmt_ips">'Value Reference Tables - MR'!$I$429:$I$444</definedName>
    <definedName name="wld_az2_host_overlay_cidr">'Value Reference Tables - MR'!$I$313</definedName>
    <definedName name="wld_az2_host_overlay_gateway_ip">'Value Reference Tables - MR'!$I$358</definedName>
    <definedName name="wld_az2_host_overlay_mask">'Value Reference Tables - MR'!$I$343</definedName>
    <definedName name="wld_az2_host_overlay_mtu">'Value Reference Tables - MR'!$I$373</definedName>
    <definedName name="wld_az2_host_overlay_network">'Value Reference Tables - MR'!$I$328</definedName>
    <definedName name="wld_az2_host_overlay_network_pool_name">'Value Reference Tables - MR'!$I$424</definedName>
    <definedName name="wld_az2_host_overlay_network_profile_name">'Value Reference Tables - MR'!$I$423</definedName>
    <definedName name="wld_az2_host_overlay_new_pool_chosen">'Configure Workload Domain'!$D$393</definedName>
    <definedName name="wld_az2_host_overlay_pg">'Value Reference Tables - MR'!$I$398</definedName>
    <definedName name="wld_az2_host_overlay_pool_end_ip">'Value Reference Tables - MR'!$I$412</definedName>
    <definedName name="wld_az2_host_overlay_pool_name">'Value Reference Tables'!$F$120</definedName>
    <definedName name="wld_az2_host_overlay_pool_start_ip">'Value Reference Tables - MR'!$I$411</definedName>
    <definedName name="wld_az2_host_overlay_uplink_profile_name">'Value Reference Tables - MR'!$I$425</definedName>
    <definedName name="wld_az2_host_overlay_vlan">'Value Reference Tables - MR'!$I$298</definedName>
    <definedName name="wld_az2_host_vrms_ips">'Value Reference Tables - MR'!$I$445:$I$460</definedName>
    <definedName name="wld_az2_host1_fqdn">'Value Reference Tables - MR'!$I$483</definedName>
    <definedName name="wld_az2_host1_hostname">'Value Reference Tables - MR'!$I$464</definedName>
    <definedName name="wld_az2_host1_mgmt_ip">'Value Reference Tables - MR'!$I$429</definedName>
    <definedName name="wld_az2_host1_sddc_id">'Value Reference Tables'!$F$115</definedName>
    <definedName name="wld_az2_host1_vrms_ip">'Value Reference Tables - MR'!$I$445</definedName>
    <definedName name="wld_az2_host10_fqdn">'Value Reference Tables - MR'!$I$492</definedName>
    <definedName name="wld_az2_host10_hostname">'Value Reference Tables - MR'!$I$473</definedName>
    <definedName name="wld_az2_host10_mgmt_ip">'Value Reference Tables - MR'!$I$438</definedName>
    <definedName name="wld_az2_host10_vrms_ip">'Value Reference Tables - MR'!$I$454</definedName>
    <definedName name="wld_az2_host11_fqdn">'Value Reference Tables - MR'!$I$493</definedName>
    <definedName name="wld_az2_host11_hostname">'Value Reference Tables - MR'!$I$474</definedName>
    <definedName name="wld_az2_host11_mgmt_ip">'Value Reference Tables - MR'!$I$439</definedName>
    <definedName name="wld_az2_host11_vrms_ip">'Value Reference Tables - MR'!$I$455</definedName>
    <definedName name="wld_az2_host12_fqdn">'Value Reference Tables - MR'!$I$494</definedName>
    <definedName name="wld_az2_host12_hostname">'Value Reference Tables - MR'!$I$475</definedName>
    <definedName name="wld_az2_host12_mgmt_ip">'Value Reference Tables - MR'!$I$440</definedName>
    <definedName name="wld_az2_host12_vrms_ip">'Value Reference Tables - MR'!$I$456</definedName>
    <definedName name="wld_az2_host13_fqdn">'Value Reference Tables - MR'!$I$495</definedName>
    <definedName name="wld_az2_host13_hostname">'Value Reference Tables - MR'!$I$476</definedName>
    <definedName name="wld_az2_host13_mgmt_ip">'Value Reference Tables - MR'!$I$441</definedName>
    <definedName name="wld_az2_host13_vrms_ip">'Value Reference Tables - MR'!$I$457</definedName>
    <definedName name="wld_az2_host14_fqdn">'Value Reference Tables - MR'!$I$496</definedName>
    <definedName name="wld_az2_host14_hostname">'Value Reference Tables - MR'!$I$477</definedName>
    <definedName name="wld_az2_host14_mgmt_ip">'Value Reference Tables - MR'!$I$442</definedName>
    <definedName name="wld_az2_host14_vrms_ip">'Value Reference Tables - MR'!$I$458</definedName>
    <definedName name="wld_az2_host15_fqdn">'Value Reference Tables - MR'!$I$497</definedName>
    <definedName name="wld_az2_host15_hostname">'Value Reference Tables - MR'!$I$478</definedName>
    <definedName name="wld_az2_host15_mgmt_ip">'Value Reference Tables - MR'!$I$443</definedName>
    <definedName name="wld_az2_host15_vrms_ip">'Value Reference Tables - MR'!$I$459</definedName>
    <definedName name="wld_az2_host16_fqdn">'Value Reference Tables - MR'!$I$498</definedName>
    <definedName name="wld_az2_host16_hostname">'Value Reference Tables - MR'!$I$479</definedName>
    <definedName name="wld_az2_host16_mgmt_ip">'Value Reference Tables - MR'!$I$444</definedName>
    <definedName name="wld_az2_host16_vrms_ip">'Value Reference Tables - MR'!$I$460</definedName>
    <definedName name="wld_az2_host2_fqdn">'Value Reference Tables - MR'!$I$484</definedName>
    <definedName name="wld_az2_host2_hostname">'Value Reference Tables - MR'!$I$465</definedName>
    <definedName name="wld_az2_host2_mgmt_ip">'Value Reference Tables - MR'!$I$430</definedName>
    <definedName name="wld_az2_host2_sddc_id">'Value Reference Tables'!$F$116</definedName>
    <definedName name="wld_az2_host2_vrms_ip">'Value Reference Tables - MR'!$I$446</definedName>
    <definedName name="wld_az2_host3_fqdn">'Value Reference Tables - MR'!$I$485</definedName>
    <definedName name="wld_az2_host3_hostname">'Value Reference Tables - MR'!$I$466</definedName>
    <definedName name="wld_az2_host3_mgmt_ip">'Value Reference Tables - MR'!$I$431</definedName>
    <definedName name="wld_az2_host3_sddc_id">'Value Reference Tables'!$F$117</definedName>
    <definedName name="wld_az2_host3_vrms_ip">'Value Reference Tables - MR'!$I$447</definedName>
    <definedName name="wld_az2_host4_fqdn">'Value Reference Tables - MR'!$I$486</definedName>
    <definedName name="wld_az2_host4_hostname">'Value Reference Tables - MR'!$I$467</definedName>
    <definedName name="wld_az2_host4_mgmt_ip">'Value Reference Tables - MR'!$I$432</definedName>
    <definedName name="wld_az2_host4_sddc_id">'Value Reference Tables'!$F$118</definedName>
    <definedName name="wld_az2_host4_vrms_ip">'Value Reference Tables - MR'!$I$448</definedName>
    <definedName name="wld_az2_host5_fqdn">'Value Reference Tables - MR'!$I$487</definedName>
    <definedName name="wld_az2_host5_hostname">'Value Reference Tables - MR'!$I$468</definedName>
    <definedName name="wld_az2_host5_mgmt_ip">'Value Reference Tables - MR'!$I$433</definedName>
    <definedName name="wld_az2_host5_vrms_ip">'Value Reference Tables - MR'!$I$449</definedName>
    <definedName name="wld_az2_host6_fqdn">'Value Reference Tables - MR'!$I$488</definedName>
    <definedName name="wld_az2_host6_hostname">'Value Reference Tables - MR'!$I$469</definedName>
    <definedName name="wld_az2_host6_mgmt_ip">'Value Reference Tables - MR'!$I$434</definedName>
    <definedName name="wld_az2_host6_vrms_ip">'Value Reference Tables - MR'!$I$450</definedName>
    <definedName name="wld_az2_host7_fqdn">'Value Reference Tables - MR'!$I$489</definedName>
    <definedName name="wld_az2_host7_hostname">'Value Reference Tables - MR'!$I$470</definedName>
    <definedName name="wld_az2_host7_mgmt_ip">'Value Reference Tables - MR'!$I$435</definedName>
    <definedName name="wld_az2_host7_vrms_ip">'Value Reference Tables - MR'!$I$451</definedName>
    <definedName name="wld_az2_host8_fqdn">'Value Reference Tables - MR'!$I$490</definedName>
    <definedName name="wld_az2_host8_hostname">'Value Reference Tables - MR'!$I$471</definedName>
    <definedName name="wld_az2_host8_mgmt_ip">'Value Reference Tables - MR'!$I$436</definedName>
    <definedName name="wld_az2_host8_vrms_ip">'Value Reference Tables - MR'!$I$452</definedName>
    <definedName name="wld_az2_host9_fqdn">'Value Reference Tables - MR'!$I$491</definedName>
    <definedName name="wld_az2_host9_hostname">'Value Reference Tables - MR'!$I$472</definedName>
    <definedName name="wld_az2_host9_mgmt_ip">'Value Reference Tables - MR'!$I$437</definedName>
    <definedName name="wld_az2_host9_vrms_ip">'Value Reference Tables - MR'!$I$453</definedName>
    <definedName name="wld_az2_mgmt_cidr">'Value Reference Tables - MR'!$I$310</definedName>
    <definedName name="wld_az2_mgmt_gateway_ip">'Value Reference Tables - MR'!$I$355</definedName>
    <definedName name="wld_az2_mgmt_mask">'Value Reference Tables - MR'!$I$340</definedName>
    <definedName name="wld_az2_mgmt_mtu">'Value Reference Tables - MR'!$I$370</definedName>
    <definedName name="wld_az2_mgmt_network">'Value Reference Tables - MR'!$I$325</definedName>
    <definedName name="wld_az2_mgmt_vlan">'Value Reference Tables - MR'!$I$295</definedName>
    <definedName name="wld_az2_pool_name">'Value Reference Tables - MR'!$I$422</definedName>
    <definedName name="wld_az2_principal_storage_cidr">'Value Reference Tables - MR'!$I$312</definedName>
    <definedName name="wld_az2_principal_storage_gateway_ip">'Value Reference Tables - MR'!$I$357</definedName>
    <definedName name="wld_az2_principal_storage_mask">'Value Reference Tables - MR'!$I$342</definedName>
    <definedName name="wld_az2_principal_storage_mtu">'Value Reference Tables - MR'!$I$372</definedName>
    <definedName name="wld_az2_principal_storage_network">'Value Reference Tables - MR'!$I$327</definedName>
    <definedName name="wld_az2_principal_storage_pool_end_ip">'Value Reference Tables - MR'!$I$410</definedName>
    <definedName name="wld_az2_principal_storage_pool_start_ip">'Value Reference Tables - MR'!$I$409</definedName>
    <definedName name="wld_az2_principal_storage_vlan">'Value Reference Tables - MR'!$I$297</definedName>
    <definedName name="wld_az2_reuse_vcf_networkpool_chosen">'Configure Workload Domain'!$D$267</definedName>
    <definedName name="wld_az2_rtep_overlay_cidr">'Value Reference Tables - MR'!$I$319</definedName>
    <definedName name="wld_az2_rtep_overlay_gateway_ip">'Value Reference Tables - MR'!$I$364</definedName>
    <definedName name="wld_az2_rtep_overlay_mask">'Value Reference Tables - MR'!$I$349</definedName>
    <definedName name="wld_az2_rtep_overlay_mtu">'Value Reference Tables - MR'!$I$379</definedName>
    <definedName name="wld_az2_rtep_overlay_network">'Value Reference Tables - MR'!$I$334</definedName>
    <definedName name="wld_az2_rtep_overlay_pg">'Value Reference Tables - MR'!$I$403</definedName>
    <definedName name="wld_az2_rtep_overlay_vlan">'Value Reference Tables - MR'!$I$304</definedName>
    <definedName name="wld_az2_secondary_storage_cidr">'Value Reference Tables - MR'!$I$314</definedName>
    <definedName name="wld_az2_secondary_storage_gateway_ip">'Value Reference Tables'!$AE$37</definedName>
    <definedName name="wld_az2_secondary_storage_mask">'Value Reference Tables - MR'!$I$344</definedName>
    <definedName name="wld_az2_secondary_storage_mtu">'Value Reference Tables - MR'!$I$374</definedName>
    <definedName name="wld_az2_secondary_storage_network">'Value Reference Tables - MR'!$I$329</definedName>
    <definedName name="wld_az2_secondary_storage_pool_end_ip">'Value Reference Tables - MR'!$I$414</definedName>
    <definedName name="wld_az2_secondary_storage_pool_start_ip">'Value Reference Tables - MR'!$I$413</definedName>
    <definedName name="wld_az2_secondary_storage_vlan">'Value Reference Tables - MR'!$I$299</definedName>
    <definedName name="wld_az2_storage_cluster_gateway_ip">'Value Reference Tables - MR'!$I$360</definedName>
    <definedName name="wld_az2_storage_cluster_mask">'Value Reference Tables - MR'!$I$345</definedName>
    <definedName name="wld_az2_storage_cluster_mtu">'Value Reference Tables - MR'!$I$375</definedName>
    <definedName name="wld_az2_storage_cluster_network">'Value Reference Tables - MR'!$I$330</definedName>
    <definedName name="wld_az2_storage_cluster_pool_end_ip">'Value Reference Tables - MR'!$I$416</definedName>
    <definedName name="wld_az2_storage_cluster_pool_start_ip">'Value Reference Tables - MR'!$I$415</definedName>
    <definedName name="wld_az2_storage_cluster_vlan">'Value Reference Tables - MR'!$I$300</definedName>
    <definedName name="wld_az2_tor1_peer_asn">'Value Reference Tables - MR'!$I$386</definedName>
    <definedName name="wld_az2_tor1_peer_bgp_password">'Value Reference Tables - MR'!$I$387</definedName>
    <definedName name="wld_az2_tor1_peer_ip">'Value Reference Tables - MR'!$I$385</definedName>
    <definedName name="wld_az2_tor2_peer_asn">'Value Reference Tables - MR'!$I$389</definedName>
    <definedName name="wld_az2_tor2_peer_bgp_password">'Value Reference Tables - MR'!$I$390</definedName>
    <definedName name="wld_az2_tor2_peer_ip">'Value Reference Tables - MR'!$I$388</definedName>
    <definedName name="wld_az2_uplink01_cidr">'Value Reference Tables - MR'!$I$316</definedName>
    <definedName name="wld_az2_uplink01_gateway_ip">'Value Reference Tables - MR'!$I$361</definedName>
    <definedName name="wld_az2_uplink01_mask">'Value Reference Tables - MR'!$I$346</definedName>
    <definedName name="wld_az2_uplink01_mtu">'Value Reference Tables - MR'!$I$376</definedName>
    <definedName name="wld_az2_uplink01_network">'Value Reference Tables - MR'!$I$331</definedName>
    <definedName name="wld_az2_uplink01_vlan">'Value Reference Tables - MR'!$I$301</definedName>
    <definedName name="wld_az2_uplink02_cidr">'Value Reference Tables - MR'!$I$317</definedName>
    <definedName name="wld_az2_uplink02_gateway_ip">'Value Reference Tables - MR'!$I$362</definedName>
    <definedName name="wld_az2_uplink02_mask">'Value Reference Tables - MR'!$I$347</definedName>
    <definedName name="wld_az2_uplink02_mtu">'Value Reference Tables - MR'!$I$377</definedName>
    <definedName name="wld_az2_uplink02_network">'Value Reference Tables - MR'!$I$332</definedName>
    <definedName name="wld_az2_uplink02_vlan">'Value Reference Tables - MR'!$I$302</definedName>
    <definedName name="wld_az2_vm_cidr">'Value Reference Tables'!$AE$32</definedName>
    <definedName name="wld_az2_vm_gateway_ip">'Value Reference Tables'!$AE$36</definedName>
    <definedName name="wld_az2_vm_mtu">'Value Reference Tables'!$AE$41</definedName>
    <definedName name="wld_az2_vm_vlan">'Value Reference Tables'!$AE$24</definedName>
    <definedName name="wld_az2_vmotion_cidr">'Value Reference Tables - MR'!$I$311</definedName>
    <definedName name="wld_az2_vmotion_gateway_ip">'Value Reference Tables - MR'!$I$356</definedName>
    <definedName name="wld_az2_vmotion_mask">'Value Reference Tables - MR'!$I$341</definedName>
    <definedName name="wld_az2_vmotion_mtu">'Value Reference Tables - MR'!$I$371</definedName>
    <definedName name="wld_az2_vmotion_network">'Value Reference Tables - MR'!$I$326</definedName>
    <definedName name="wld_az2_vmotion_pool_end_ip">'Value Reference Tables - MR'!$I$408</definedName>
    <definedName name="wld_az2_vmotion_pool_start_ip">'Value Reference Tables - MR'!$I$407</definedName>
    <definedName name="wld_az2_vmotion_vlan">'Value Reference Tables - MR'!$I$296</definedName>
    <definedName name="wld_az2_vrms_cidr">'Value Reference Tables - MR'!$I$320</definedName>
    <definedName name="wld_az2_vrms_gateway_ip">'Value Reference Tables - MR'!$I$365</definedName>
    <definedName name="wld_az2_vrms_mask">'Value Reference Tables - MR'!$I$350</definedName>
    <definedName name="wld_az2_vrms_mtu">'Value Reference Tables - MR'!$I$380</definedName>
    <definedName name="wld_az2_vrms_network">'Value Reference Tables - MR'!$I$335</definedName>
    <definedName name="wld_az2_vrms_vlan">'Value Reference Tables - MR'!$I$305</definedName>
    <definedName name="wld_bf_nsx_appliance_size_chosen">'Deploy Workload Domain'!$D$40</definedName>
    <definedName name="wld_bf_nsx_create_passwords_chosen">'Deploy Workload Domain'!$D$47</definedName>
    <definedName name="wld_bf_nsx_existing_chosen">'Deploy Workload Domain'!$D$33</definedName>
    <definedName name="wld_bf_nsx_ha_mode_chosen">'Deploy Workload Domain'!$D$39</definedName>
    <definedName name="wld_bf_nsx_join_manager_chosen">'Deploy Workload Domain'!$D$38</definedName>
    <definedName name="wld_bf_nsxt_admin_password">'Value Reference Tables'!$I$193</definedName>
    <definedName name="wld_bf_nsxt_audit_password">'Value Reference Tables'!$I$195</definedName>
    <definedName name="wld_bf_nsxt_configure_overlay_on_mgmt_pg_chosen">'Deploy Workload Domain'!$D$46</definedName>
    <definedName name="wld_bf_nsxt_enable_edge_sync_chosen">'Deploy Workload Domain'!$D$45</definedName>
    <definedName name="wld_bf_nsxt_mgra_fqdn">'Value Reference Tables'!$I$186</definedName>
    <definedName name="wld_bf_nsxt_mgrb_fqdn">'Value Reference Tables'!$I$187</definedName>
    <definedName name="wld_bf_nsxt_mgrc_fqdn">'Value Reference Tables'!$I$188</definedName>
    <definedName name="wld_bf_nsxt_root_password">'Value Reference Tables'!$I$194</definedName>
    <definedName name="wld_bf_nsxt_vip_fqdn">'Value Reference Tables'!$I$189</definedName>
    <definedName name="wld_bf_sddc_domain">'Value Reference Tables'!$I$196</definedName>
    <definedName name="wld_bf_vc_fqdn">'Value Reference Tables'!$I$178</definedName>
    <definedName name="wld_bf_vc_root_password">'Value Reference Tables'!$I$179</definedName>
    <definedName name="wld_bf_vc_sso_password">'Value Reference Tables'!$I$181</definedName>
    <definedName name="wld_bf_vc_sso_username">'Value Reference Tables'!$I$180</definedName>
    <definedName name="wld_bf_vcenter_type_chosen">'Deploy Workload Domain'!$D$28</definedName>
    <definedName name="wld_bgp_chosen">'Configure Workload Domain'!$B$12</definedName>
    <definedName name="wld_bgp_result">'Configure Workload Domain'!$D$12</definedName>
    <definedName name="wld_centralized_connectivity_chosen">'Deploy Workload Domain'!$D$203</definedName>
    <definedName name="wld_cl01_az1_mgmt_lbt_chosen">'Deploy Workload Domain'!$D$295</definedName>
    <definedName name="wld_cl01_az1_mgmt_pg">'Value Reference Tables - MR'!$I$126</definedName>
    <definedName name="wld_cl01_az1_mgmt_uplink1_chosen">'Deploy Workload Domain'!$D$296</definedName>
    <definedName name="wld_cl01_az1_mgmt_uplink2_chosen">'Deploy Workload Domain'!$D$297</definedName>
    <definedName name="wld_cl01_az1_mgmt_vm_lbt_chosen">'Deploy Workload Domain'!$D$300</definedName>
    <definedName name="wld_cl01_az1_mgmt_vm_pg">'Value Reference Tables - MR'!$I$125</definedName>
    <definedName name="wld_cl01_az1_mgmt_vm_uplink1_chosen">'Deploy Workload Domain'!$D$301</definedName>
    <definedName name="wld_cl01_az1_mgmt_vm_uplink2_chosen">'Deploy Workload Domain'!$D$302</definedName>
    <definedName name="wld_cl01_az1_nsx_lbt_chosen">'Deploy Workload Domain'!$D$341</definedName>
    <definedName name="wld_cl01_az1_nsx_uplink_count">'Value Reference Tables'!$F$175</definedName>
    <definedName name="wld_cl01_az1_nsx_uplink1_chosen">'Deploy Workload Domain'!$D$338</definedName>
    <definedName name="wld_cl01_az1_nsx_uplink2_chosen">'Deploy Workload Domain'!$D$339</definedName>
    <definedName name="wld_cl01_az1_principal_storage_pg">'Value Reference Tables - MR'!$I$128</definedName>
    <definedName name="wld_cl01_az1_uplink01_pg">'Value Reference Tables - MR'!$I$131</definedName>
    <definedName name="wld_cl01_az1_uplink02_pg">'Value Reference Tables - MR'!$I$132</definedName>
    <definedName name="wld_cl01_az1_vm_pg">'Value Reference Tables'!$AD$28</definedName>
    <definedName name="wld_cl01_az1_vmotion_lbt_chosen">'Deploy Workload Domain'!$D$305</definedName>
    <definedName name="wld_cl01_az1_vmotion_pg">'Value Reference Tables - MR'!$I$127</definedName>
    <definedName name="wld_cl01_az1_vmotion_uplink1_chosen">'Deploy Workload Domain'!$D$306</definedName>
    <definedName name="wld_cl01_az1_vmotion_uplink2_chosen">'Deploy Workload Domain'!$D$307</definedName>
    <definedName name="wld_cl01_az1_vsan_lbt_chosen">'Deploy Workload Domain'!$D$310</definedName>
    <definedName name="wld_cl01_az1_vsan_storage_client_lbt_chosen">'Deploy Workload Domain'!$D$315</definedName>
    <definedName name="wld_cl01_az1_vsan_storage_client_pg">'Value Reference Tables - MR'!$I$135</definedName>
    <definedName name="wld_cl01_az1_vsan_storage_client_uplink1_chosen">'Deploy Workload Domain'!$D$316</definedName>
    <definedName name="wld_cl01_az1_vsan_storage_client_uplink2_chosen">'Deploy Workload Domain'!$D$317</definedName>
    <definedName name="wld_cl01_az1_vsan_uplink1_chosen">'Deploy Workload Domain'!$D$311</definedName>
    <definedName name="wld_cl01_az1_vsan_uplink2_chosen">'Deploy Workload Domain'!$D$312</definedName>
    <definedName name="wld_cl01_az2_mgmt_pg">'Value Reference Tables - MR'!$I$395</definedName>
    <definedName name="wld_cl01_az2_principal_storage_pg">'Value Reference Tables - MR'!$I$397</definedName>
    <definedName name="wld_cl01_az2_uplink01_pg">'Value Reference Tables - MR'!$I$400</definedName>
    <definedName name="wld_cl01_az2_uplink02_pg">'Value Reference Tables - MR'!$I$401</definedName>
    <definedName name="wld_cl01_az2_vm_pg">'Value Reference Tables'!$AE$28</definedName>
    <definedName name="wld_cl01_az2_vmotion_pg">'Value Reference Tables - MR'!$I$396</definedName>
    <definedName name="wld_cl01_cluster">'Value Reference Tables'!$F$67</definedName>
    <definedName name="wld_cl01_cluster_sddc_id">'Value Reference Tables'!$O$64</definedName>
    <definedName name="wld_cl01_cluster_zn_name">'Value Reference Tables'!$F$182</definedName>
    <definedName name="wld_cl01_evc_mode">'Value Reference Tables'!$F$68</definedName>
    <definedName name="wld_cl01_image_name">'Value Reference Tables'!$F$150</definedName>
    <definedName name="wld_cl01_nfs_datastore_name">'Value Reference Tables'!$F$104</definedName>
    <definedName name="wld_cl01_nfs_server_address">'Value Reference Tables'!$F$106</definedName>
    <definedName name="wld_cl01_nfs_share_path">'Value Reference Tables'!$F$105</definedName>
    <definedName name="wld_cl01_nsxt_deployent_type_chosen">'Deploy Workload Domain'!$D$187</definedName>
    <definedName name="wld_cl01_supervisor_control_plane_ip_range">'Value Reference Tables'!$F$183</definedName>
    <definedName name="wld_cl01_supervisor_dns">'Value Reference Tables'!$F$184</definedName>
    <definedName name="wld_cl01_supervisor_ext_ip_block_gateway_cidr">'Value Reference Tables'!$F$188</definedName>
    <definedName name="wld_cl01_supervisor_ext_ip_block_vlan">'Value Reference Tables'!$F$189</definedName>
    <definedName name="wld_cl01_supervisor_name">'Value Reference Tables'!$F$185</definedName>
    <definedName name="wld_cl01_supervisor_nsx_project">'Value Reference Tables'!$F$186</definedName>
    <definedName name="wld_cl01_supervisor_ntp">'Value Reference Tables'!$F$187</definedName>
    <definedName name="wld_cl01_supervisor_private_transit_gateway_cidr">'Value Reference Tables'!$F$190</definedName>
    <definedName name="wld_cl01_supervisor_service_cidr">'Value Reference Tables'!$F$191</definedName>
    <definedName name="wld_cl01_supervisor_use_mgmt_vmk_chosen">'Deploy Workload Domain'!$D$350</definedName>
    <definedName name="wld_cl01_supervisor_vpc_profile">'Value Reference Tables'!$F$193</definedName>
    <definedName name="wld_cl01_vds_copy_profile_chosen">'Deploy Workload Domain'!$D$256</definedName>
    <definedName name="wld_cl01_vds_name">'Value Reference Tables'!$O$65</definedName>
    <definedName name="wld_cl01_vds_profile_chosen">'Deploy Workload Domain'!$D$255</definedName>
    <definedName name="wld_cl01_vds_standard_preconfigured_profiles">'Static Reference Tables'!$C$657:$C$661</definedName>
    <definedName name="wld_cl01_vds_vsanmax_preconfigured_profiles">'Static Reference Tables'!$B$657:$B$658</definedName>
    <definedName name="wld_cl01_vds01_lacp_mode_chosen">'Deploy Workload Domain'!$D$265</definedName>
    <definedName name="wld_cl01_vds01_lacp_timeout_chosen">'Deploy Workload Domain'!$D$267</definedName>
    <definedName name="wld_cl01_vds01_lag_lbt_chosen">'Deploy Workload Domain'!$D$266</definedName>
    <definedName name="wld_cl01_vds01_lag_name">'Value Reference Tables'!$F$80</definedName>
    <definedName name="wld_cl01_vds01_link_type_chosen">'Deploy Workload Domain'!$D$263</definedName>
    <definedName name="wld_cl01_vds01_mtu">'Value Reference Tables'!$F$77</definedName>
    <definedName name="wld_cl01_vds01_name">'Value Reference Tables'!$F$74</definedName>
    <definedName name="wld_cl01_vds01_pnics">'Value Reference Tables'!$F$75</definedName>
    <definedName name="wld_cl01_vds01_traffic_type">'Value Reference Tables'!$F$79</definedName>
    <definedName name="wld_cl01_vds01_uplink_count">'Value Reference Tables'!$F$76</definedName>
    <definedName name="wld_cl01_vds02_lacp_mode_chosen">'Deploy Workload Domain'!$D$276</definedName>
    <definedName name="wld_cl01_vds02_lacp_timeout_chosen">'Deploy Workload Domain'!$D$278</definedName>
    <definedName name="wld_cl01_vds02_lag_lbt_chosen">'Deploy Workload Domain'!$D$277</definedName>
    <definedName name="wld_cl01_vds02_lag_name">'Value Reference Tables'!$F$88</definedName>
    <definedName name="wld_cl01_vds02_link_type_chosen">'Deploy Workload Domain'!$D$274</definedName>
    <definedName name="wld_cl01_vds02_mtu">'Value Reference Tables'!$F$85</definedName>
    <definedName name="wld_cl01_vds02_name">'Value Reference Tables'!$F$82</definedName>
    <definedName name="wld_cl01_vds02_pnics">'Value Reference Tables'!$F$83</definedName>
    <definedName name="wld_cl01_vds02_traffic_type">'Value Reference Tables'!$F$87</definedName>
    <definedName name="wld_cl01_vds02_uplink_count">'Value Reference Tables'!$F$84</definedName>
    <definedName name="wld_cl01_vds03_lacp_mode_chosen">'Deploy Workload Domain'!$D$287</definedName>
    <definedName name="wld_cl01_vds03_lacp_timeout_chosen">'Deploy Workload Domain'!$D$289</definedName>
    <definedName name="wld_cl01_vds03_lag_lbt_chosen">'Deploy Workload Domain'!$D$288</definedName>
    <definedName name="wld_cl01_vds03_lag_name">'Value Reference Tables'!$F$96</definedName>
    <definedName name="wld_cl01_vds03_link_type_chosen">'Deploy Workload Domain'!$D$285</definedName>
    <definedName name="wld_cl01_vds03_mtu">'Value Reference Tables'!$F$91</definedName>
    <definedName name="wld_cl01_vds03_name">'Value Reference Tables'!$F$90</definedName>
    <definedName name="wld_cl01_vds03_pnics">'Value Reference Tables'!$F$92</definedName>
    <definedName name="wld_cl01_vds03_traffic_type">'Value Reference Tables'!$F$95</definedName>
    <definedName name="wld_cl01_vds03_uplink_count">'Value Reference Tables'!$F$93</definedName>
    <definedName name="wld_cl01_vmfs_datastore_name">'Value Reference Tables'!$F$103</definedName>
    <definedName name="wld_cl01_vsan_client_network">'Deploy Workload Domain'!$D$220</definedName>
    <definedName name="wld_cl01_vsan_datastore">'Value Reference Tables'!$F$100</definedName>
    <definedName name="wld_cl01_vsan_dedupe_compression_chosen">'Deploy Workload Domain'!$D$226</definedName>
    <definedName name="wld_cl01_vsan_dit_chosen">'Deploy Workload Domain'!$D$222</definedName>
    <definedName name="wld_cl01_vsan_dit_rekey_custom_interval">'Value Reference Tables'!$O$135</definedName>
    <definedName name="wld_cl01_vsan_dit_rekey_default_interval">'Value Reference Tables'!$O$136</definedName>
    <definedName name="wld_cl01_vsan_dit_rekey_result">Arkham!$X$80</definedName>
    <definedName name="wld_cl01_vsan_dit_rekey_type_chosen">'Deploy Workload Domain'!$D$223</definedName>
    <definedName name="wld_cl01_vsan_ftt_chosen">'Deploy Workload Domain'!$D$221</definedName>
    <definedName name="wld_cluster_compute_edge">'Static Reference Tables'!$B$610:$B$611</definedName>
    <definedName name="wld_cluster_compute_only">'Static Reference Tables'!$B$610</definedName>
    <definedName name="wld_cluster_edge">'Static Reference Tables'!$B$611</definedName>
    <definedName name="wld_compute_hosts_per_rack">'Value Reference Tables'!$F$8</definedName>
    <definedName name="wld_compute_hosts_per_rack_chosen">'Deploy Workload Domain'!$B$11</definedName>
    <definedName name="wld_compute_hosts_per_rack_result">'Deploy Workload Domain'!$D$11</definedName>
    <definedName name="wld_compute_total_number_hosts">'Value Reference Tables'!$F$9</definedName>
    <definedName name="wld_datacenter">'Value Reference Tables'!$O$85</definedName>
    <definedName name="wld_day2_vnaa_fqdn">'Value Reference Tables'!$C$287</definedName>
    <definedName name="wld_day2_vnab_fqdn">'Value Reference Tables'!$C$288</definedName>
    <definedName name="wld_dedicated_edge_cluster_chosen_exclude">'Static Reference Tables'!$B$615</definedName>
    <definedName name="wld_dedicated_edge_cluster_chosen_include">'Static Reference Tables'!$B$614:$B$615</definedName>
    <definedName name="wld_domain_chosen">'Deploy Workload Domain'!$B$10</definedName>
    <definedName name="wld_domain_deployment_dual_stack_chosen">'Deploy Workload Domain'!$D$163</definedName>
    <definedName name="wld_domain_deployment_type">'Deploy Workload Domain'!$D$161</definedName>
    <definedName name="wld_domain_number_chosen">'Value Reference Tables'!$F$7</definedName>
    <definedName name="wld_domain_password_creation_chosen">'Deploy Workload Domain'!$D$164</definedName>
    <definedName name="wld_domain_result">'Deploy Workload Domain'!$D$10</definedName>
    <definedName name="wld_dpg_separation_chosen">'Deploy Workload Domain'!$B$13</definedName>
    <definedName name="wld_dpg_separation_result">'Deploy Workload Domain'!$D$13</definedName>
    <definedName name="wld_ec_api_chosen">'Configure Workload Domain'!$D$171</definedName>
    <definedName name="wld_ec_formfactor_chosen">'Configure Workload Domain'!$D$40</definedName>
    <definedName name="wld_ec_gateway_type">'Value Reference Tables'!$F$155</definedName>
    <definedName name="wld_ec_ip_assignment_chosen">'Configure Workload Domain'!$D$48</definedName>
    <definedName name="wld_ec_mtu">'Value Reference Tables'!$F$194</definedName>
    <definedName name="wld_ec_name">'Value Reference Tables'!$O$66</definedName>
    <definedName name="wld_ec_rp_name">'Value Reference Tables'!$F$156</definedName>
    <definedName name="wld_ec01_en01_host_group_affinity_rule_name">'Value Reference Tables'!$F$158</definedName>
    <definedName name="wld_ec01_en02_host_group_affinity_rule_name">'Value Reference Tables'!$F$159</definedName>
    <definedName name="wld_ec01_host_group_affinity_rule_chosen">'Configure Workload Domain'!$D$45</definedName>
    <definedName name="wld_ec01_use_host_overlay_chosen">'Configure Workload Domain'!$D$53</definedName>
    <definedName name="wld_en_asn">'Value Reference Tables - MR'!$I$115</definedName>
    <definedName name="wld_en01_bfd_chosen">'Configure Workload Domain'!$D$107</definedName>
    <definedName name="wld_en02_bfd_chosen">'Configure Workload Domain'!$D$122</definedName>
    <definedName name="wld_esx_root_password">'Value Reference Tables'!$C$209</definedName>
    <definedName name="wld_esx_root_username">'Value Reference Tables'!$L$41</definedName>
    <definedName name="wld_esxi_external_certs_chosen">'Deploy Workload Domain'!$B$17</definedName>
    <definedName name="wld_esxi_external_certs_result">'Deploy Workload Domain'!$D$17</definedName>
    <definedName name="wld_existing_active_nsx_gm">'Value Reference Tables'!$O$82</definedName>
    <definedName name="wld_existing_cross_instance_t0_name">'Value Reference Tables'!$O$83</definedName>
    <definedName name="wld_gateway_routing_type_chosen">'Configure Workload Domain'!$D$101</definedName>
    <definedName name="wld_host_overlay_addressing_chosen">'Deploy Workload Domain'!$D$326</definedName>
    <definedName name="wld_iaas_chosen">'Deploy Workload Domain'!$B$18</definedName>
    <definedName name="wld_iaas_result">'Deploy Workload Domain'!$D$18</definedName>
    <definedName name="wld_iaas_service_chosen">'Value Reference Tables'!$F$170</definedName>
    <definedName name="wld_multi_rack_count_chosen">'Deploy Workload Domain'!$B$12</definedName>
    <definedName name="wld_multi_rack_count_result">'Deploy Workload Domain'!$D$12</definedName>
    <definedName name="wld_multirack_calc">'Value Reference Tables'!$E$10</definedName>
    <definedName name="wld_multirack_result">'Value Reference Tables'!$F$10</definedName>
    <definedName name="wld_nsx_default_operation_mode_chosen">'Deploy Workload Domain'!$D$319</definedName>
    <definedName name="wld_nsx_ha_mode_chosen">'Deploy Workload Domain'!$D$190</definedName>
    <definedName name="wld_nsx_operation_mode_chosen">'Deploy Workload Domain'!$D$320</definedName>
    <definedName name="wld_nsx_overlay_transport_zone_chosen">'Deploy Workload Domain'!$D$321</definedName>
    <definedName name="wld_nsx_vlan_transport_zone_chosen">'Deploy Workload Domain'!$D$322</definedName>
    <definedName name="wld_nsx_vlan_transport_zone_name">'Value Reference Tables'!$F$176</definedName>
    <definedName name="wld_nsx_vpc_type_chosen">'Deploy Workload Domain'!$D$202</definedName>
    <definedName name="wld_nsxt_appliance_size_chosen">'Deploy Workload Domain'!$D$191</definedName>
    <definedName name="wld_nsxt_en_admin_password">'Value Reference Tables'!$F$195</definedName>
    <definedName name="wld_nsxt_en_root_password">'Value Reference Tables'!$F$196</definedName>
    <definedName name="wld_nsxt_federation_chosen">'Configure Workload Domain'!$B$16</definedName>
    <definedName name="wld_nsxt_federation_global_manager_name">'Value Reference Tables'!$O$77</definedName>
    <definedName name="wld_nsxt_federation_location_name">'Value Reference Tables'!$O$78</definedName>
    <definedName name="wld_nsxt_federation_result">'Configure Workload Domain'!$D$16</definedName>
    <definedName name="wld_nsxt_global_mgr_anti_affinity_rule_name">'Value Reference Tables'!$O$74</definedName>
    <definedName name="wld_nsxt_global_mgr_certificate_id">'Value Reference Tables'!$O$75</definedName>
    <definedName name="wld_nsxt_global_mgr_cluster_id">'Value Reference Tables'!$O$73</definedName>
    <definedName name="wld_nsxt_global_mgr_vmca_signed_thumbprint">'Value Reference Tables'!$O$72</definedName>
    <definedName name="wld_nsxt_global_mgra_fqdn">'Value Reference Tables'!$F$51</definedName>
    <definedName name="wld_nsxt_global_mgra_hostname">'Value Reference Tables'!$F$38</definedName>
    <definedName name="wld_nsxt_global_mgra_ip">'Value Reference Tables'!$F$20</definedName>
    <definedName name="wld_nsxt_global_mgrb_fqdn">'Value Reference Tables'!$F$52</definedName>
    <definedName name="wld_nsxt_global_mgrb_hostname">'Value Reference Tables'!$F$39</definedName>
    <definedName name="wld_nsxt_global_mgrb_ip">'Value Reference Tables'!$F$21</definedName>
    <definedName name="wld_nsxt_global_mgrc_fqdn">'Value Reference Tables'!$F$53</definedName>
    <definedName name="wld_nsxt_global_mgrc_hostname">'Value Reference Tables'!$F$40</definedName>
    <definedName name="wld_nsxt_global_mgrc_ip">'Value Reference Tables'!$F$22</definedName>
    <definedName name="wld_nsxt_gm_admin_password">'Value Reference Tables'!$L$24</definedName>
    <definedName name="wld_nsxt_gm_audit_password">'Value Reference Tables'!$L$25</definedName>
    <definedName name="wld_nsxt_gm_fingerprint">'Value Reference Tables'!$O$80</definedName>
    <definedName name="wld_nsxt_gm_hostname">'Value Reference Tables'!$F$37</definedName>
    <definedName name="wld_nsxt_gm_root_password">'Value Reference Tables'!$L$23</definedName>
    <definedName name="wld_nsxt_gm_vip_fqdn">'Value Reference Tables'!$F$50</definedName>
    <definedName name="wld_nsxt_gm_vip_ip">'Value Reference Tables'!$F$19</definedName>
    <definedName name="wld_nsxt_hostname">'Value Reference Tables'!$F$33</definedName>
    <definedName name="wld_nsxt_lm_admin_password">'Value Reference Tables'!$F$153</definedName>
    <definedName name="wld_nsxt_lm_audit_password">'Value Reference Tables'!$F$152</definedName>
    <definedName name="wld_nsxt_lm_fingerprint">'Value Reference Tables'!$O$79</definedName>
    <definedName name="wld_nsxt_mgra_fqdn">'Value Reference Tables'!$F$47</definedName>
    <definedName name="wld_nsxt_mgra_hostname">'Value Reference Tables'!$F$34</definedName>
    <definedName name="wld_nsxt_mgra_ip">'Value Reference Tables'!$F$16</definedName>
    <definedName name="wld_nsxt_mgrb_fqdn">'Value Reference Tables'!$F$48</definedName>
    <definedName name="wld_nsxt_mgrb_hostname">'Value Reference Tables'!$F$35</definedName>
    <definedName name="wld_nsxt_mgrb_ip">'Value Reference Tables'!$F$17</definedName>
    <definedName name="wld_nsxt_mgrc_fqdn">'Value Reference Tables'!$F$49</definedName>
    <definedName name="wld_nsxt_mgrc_hostname">'Value Reference Tables'!$F$36</definedName>
    <definedName name="wld_nsxt_mgrc_ip">'Value Reference Tables'!$F$18</definedName>
    <definedName name="wld_nsxt_vip_fqdn">'Value Reference Tables'!$F$46</definedName>
    <definedName name="wld_nsxt_vip_ip">'Value Reference Tables'!$F$15</definedName>
    <definedName name="wld_nsxt_xreg_t1_name">'Value Reference Tables'!$O$81</definedName>
    <definedName name="wld_principal_storage_chosen">'Deploy Workload Domain'!$B$14</definedName>
    <definedName name="wld_principal_storage_result">'Deploy Workload Domain'!$D$14</definedName>
    <definedName name="wld_rack2_en_asn">'Value Reference Tables - MR'!$L$115</definedName>
    <definedName name="wld_rack3_en_asn">'Value Reference Tables - MR'!$O$115</definedName>
    <definedName name="wld_rack4_en_asn">'Value Reference Tables - MR'!$R$115</definedName>
    <definedName name="wld_rack5_en_asn">'Value Reference Tables - MR'!$U$115</definedName>
    <definedName name="wld_rack6_en_asn">'Value Reference Tables - MR'!$X$115</definedName>
    <definedName name="wld_rack7_en_asn">'Value Reference Tables - MR'!$AA$115</definedName>
    <definedName name="wld_rack8_en_asn">'Value Reference Tables - MR'!$AD$115</definedName>
    <definedName name="wld_rtep_ip_pool_name">'Value Reference Tables'!$O$76</definedName>
    <definedName name="wld_rtep_overlay_pool_end_ip">'Value Reference Tables - MR'!$I$178</definedName>
    <definedName name="wld_rtep_overlay_pool_start_ip">'Value Reference Tables - MR'!$I$177</definedName>
    <definedName name="wld_rwr_az1_vrms_gateway_ip">'Value Reference Tables'!$U$97</definedName>
    <definedName name="wld_rwr_az1_vrms_gateway_mask">'Value Reference Tables'!$U$99</definedName>
    <definedName name="wld_rwr_cl02_cluster">'Value Reference Tables'!$U$86</definedName>
    <definedName name="wld_rwr_recovery_site_az1_vrms_cidr">'Value Reference Tables'!$U$98</definedName>
    <definedName name="wld_rwr_recovery_site_vc_fqdn">'Value Reference Tables'!$U$93</definedName>
    <definedName name="wld_rwr_recoverysite_fd">'Value Reference Tables'!$U$95</definedName>
    <definedName name="wld_rwr_recoverysite_prefix">'Value Reference Tables'!$U$96</definedName>
    <definedName name="wld_rwr_vc_fqdn">'Value Reference Tables'!$U$83</definedName>
    <definedName name="wld_rwr_vcfops_vlsr_username">'Value Reference Tables'!$U$101</definedName>
    <definedName name="wld_rwr_vcfops_vr_username">'Value Reference Tables'!$U$102</definedName>
    <definedName name="wld_sddc_domain">'Value Reference Tables'!$O$63</definedName>
    <definedName name="wld_secondary_storage_chosen">'Deploy Workload Domain'!$B$16</definedName>
    <definedName name="wld_secondary_storage_result">'Deploy Workload Domain'!$D$16</definedName>
    <definedName name="wld_signed_certs_chosen">'Configure Workload Domain'!$B$11</definedName>
    <definedName name="wld_signed_certs_result">'Configure Workload Domain'!$D$11</definedName>
    <definedName name="wld_srm_admin_email">'Value Reference Tables'!$U$71</definedName>
    <definedName name="wld_srm_admin_password">'Value Reference Tables'!$U$68</definedName>
    <definedName name="wld_srm_database_password">'Value Reference Tables'!$U$69</definedName>
    <definedName name="wld_srm_fqdn">'Value Reference Tables'!$R$81</definedName>
    <definedName name="wld_srm_hostname">'Value Reference Tables'!$R$72</definedName>
    <definedName name="wld_srm_ip">'Value Reference Tables'!$R$62</definedName>
    <definedName name="wld_srm_p12_password">'Value Reference Tables'!$U$72</definedName>
    <definedName name="wld_srm_recovery_vcenter_fqdn">'Value Reference Tables'!$U$74</definedName>
    <definedName name="wld_srm_recovery_vcenter_password">'Value Reference Tables'!$U$76</definedName>
    <definedName name="wld_srm_recovery_vcenter_username">'Value Reference Tables'!$U$75</definedName>
    <definedName name="wld_srm_root_password">'Value Reference Tables'!$U$67</definedName>
    <definedName name="wld_srm_site_name">'Value Reference Tables'!$U$70</definedName>
    <definedName name="wld_srm_sso_domain_membership">'Value Reference Tables'!$U$78</definedName>
    <definedName name="wld_srm_vm_folder">'Value Reference Tables'!$U$66</definedName>
    <definedName name="wld_srm_vm_size">'Value Reference Tables'!$U$73</definedName>
    <definedName name="wld_sso_domain_administrator">'Value Reference Tables'!$F$149</definedName>
    <definedName name="wld_sso_domain_administrator_password">'Value Reference Tables'!$F$148</definedName>
    <definedName name="wld_sso_domain_name">'Value Reference Tables'!$F$147</definedName>
    <definedName name="wld_stretched_cluster_chosen">'Configure Workload Domain'!$B$15</definedName>
    <definedName name="wld_stretched_cluster_result">'Configure Workload Domain'!$D$15</definedName>
    <definedName name="wld_supervisor_chosen">'Configure Workload Domain'!$B$13</definedName>
    <definedName name="wld_supervisor_result">'Configure Workload Domain'!$D$13</definedName>
    <definedName name="wld_supvr_api_server_fqdn">'Value Reference Tables'!$F$236</definedName>
    <definedName name="wld_supvr_cp_storage_policy">'Value Reference Tables'!$F$221</definedName>
    <definedName name="wld_supvr_ctrl_plane_ha_chosen">'Configure Workload Domain'!$D$189</definedName>
    <definedName name="wld_supvr_ctrl_plane_size_chosen">'Configure Workload Domain'!$D$215</definedName>
    <definedName name="wld_supvr_ed_storage_policy">'Value Reference Tables'!$F$222</definedName>
    <definedName name="wld_supvr_ic_storage_policy">'Value Reference Tables'!$F$223</definedName>
    <definedName name="wld_supvr_ip_address_range">'Value Reference Tables'!$F$224</definedName>
    <definedName name="wld_supvr_ip_mode_chosen">'Configure Workload Domain'!$D$197</definedName>
    <definedName name="wld_supvr_location_chosen">'Configure Workload Domain'!$D$187</definedName>
    <definedName name="wld_supvr_mgmt_dns_server">'Value Reference Tables'!$F$225</definedName>
    <definedName name="wld_supvr_mgmt_dns_zones">'Value Reference Tables'!$F$226</definedName>
    <definedName name="wld_supvr_mgmt_ntp_server">'Value Reference Tables'!$F$227</definedName>
    <definedName name="wld_supvr_name">'Value Reference Tables'!$F$219</definedName>
    <definedName name="wld_supvr_networking_stack_chosen">'Configure Workload Domain'!$D$185</definedName>
    <definedName name="wld_supvr_nsx_project">'Value Reference Tables'!$F$228</definedName>
    <definedName name="wld_supvr_vpc_connectivity_profile">'Value Reference Tables'!$F$229</definedName>
    <definedName name="wld_supvr_vpc_ext_ip_blocks_name">'Value Reference Tables'!$F$230</definedName>
    <definedName name="wld_supvr_vpc_priv_cidr">'Value Reference Tables'!$F$232</definedName>
    <definedName name="wld_supvr_vpc_priv_ip_blocks_name">'Value Reference Tables'!$F$231</definedName>
    <definedName name="wld_supvr_vpc_service_cidr">'Value Reference Tables'!$F$233</definedName>
    <definedName name="wld_supvr_wld_dns_server">'Value Reference Tables'!$F$234</definedName>
    <definedName name="wld_supvr_wld_ntp_server">'Value Reference Tables'!$F$235</definedName>
    <definedName name="wld_supvr_zone_name">'Value Reference Tables'!$F$220</definedName>
    <definedName name="wld_tier0_ha_chosen">'Configure Workload Domain'!$D$100</definedName>
    <definedName name="wld_tier0_name">'Value Reference Tables'!$O$68</definedName>
    <definedName name="wld_vc_fqdn">'Value Reference Tables'!$F$45</definedName>
    <definedName name="wld_vc_hostname">'Value Reference Tables'!$F$32</definedName>
    <definedName name="wld_vc_ip">'Value Reference Tables'!$F$14</definedName>
    <definedName name="wld_vcenter_root_password">'Value Reference Tables'!$C$210</definedName>
    <definedName name="wld_vlr_fqdn">'Value Reference Tables'!$U$85</definedName>
    <definedName name="wld_vlr_hostname">'Value Reference Tables'!$U$84</definedName>
    <definedName name="wld_vlr_replication_user">'Value Reference Tables'!$U$89</definedName>
    <definedName name="wld_vna_esx_vmk_chosen">'Deploy Workload Domain'!$D$208</definedName>
    <definedName name="wld_vna_ip_assignment_address_type_chosen">'Configure Workload Domain'!$D$155</definedName>
    <definedName name="wld_vna_ip_assignment_chosen">'Configure Workload Domain'!$D$156</definedName>
    <definedName name="wld_vna_rp_name">'Value Reference Tables'!$F$214</definedName>
    <definedName name="wld_vnaa_fqdn">'Value Reference Tables'!$F$210</definedName>
    <definedName name="wld_vnaa_ip">'Value Reference Tables'!$F$27</definedName>
    <definedName name="wld_vnab_fqdn">'Value Reference Tables'!$F$211</definedName>
    <definedName name="wld_vnab_ip">'Value Reference Tables'!$F$28</definedName>
    <definedName name="wld_vpc_ext_ip_blocks_cidr">'Value Reference Tables'!$F$201</definedName>
    <definedName name="wld_vpc_ext_ip_blocks_excluded_ips">'Value Reference Tables'!$F$202</definedName>
    <definedName name="wld_vpc_ext_ip_blocks_name">'Value Reference Tables'!$F$199</definedName>
    <definedName name="wld_vpc_ext_ip_blocks_reserved">'Value Reference Tables'!$F$203</definedName>
    <definedName name="wld_vpc_ext_ip_blocks_visability">'Value Reference Tables'!$F$200</definedName>
    <definedName name="wld_vpc_priv_ip_blocks_excluded_ips">'Value Reference Tables'!$F$207</definedName>
    <definedName name="wld_vpc_priv_ip_blocks_name">'Value Reference Tables'!$F$204</definedName>
    <definedName name="wld_vpc_priv_ip_blocks_reserved">'Value Reference Tables'!$F$208</definedName>
    <definedName name="wld_vpc_priv_ip_blocks_visability">'Value Reference Tables'!$F$205</definedName>
    <definedName name="wld_vpc_transit_gateway_ip_blocks_cidr">'Value Reference Tables'!$F$206</definedName>
    <definedName name="wld_vpc_vna_cluster_name">'Value Reference Tables'!$F$209</definedName>
    <definedName name="wld_vpc_vna_cluster_size_chosen">'Configure Workload Domain'!$D$149</definedName>
    <definedName name="wld_vrms_admin_email">'Value Reference Tables'!$U$63</definedName>
    <definedName name="wld_vrms_admin_password">'Value Reference Tables'!$U$61</definedName>
    <definedName name="wld_vrms_fqdn">'Value Reference Tables'!$R$80</definedName>
    <definedName name="wld_vrms_hostname">'Value Reference Tables'!$R$71</definedName>
    <definedName name="wld_vrms_mask">'Value Reference Tables'!$AA$15</definedName>
    <definedName name="wld_vrms_mgmt_ip">'Value Reference Tables'!$R$60</definedName>
    <definedName name="wld_vrms_p12_password">'Value Reference Tables'!$U$65</definedName>
    <definedName name="wld_vrms_pg">'Value Reference Tables'!$U$64</definedName>
    <definedName name="wld_vrms_recovery_replication_cidr">'Value Reference Tables'!$U$77</definedName>
    <definedName name="wld_vrms_root_password">'Value Reference Tables'!$U$60</definedName>
    <definedName name="wld_vrms_site_name">'Value Reference Tables'!$U$62</definedName>
    <definedName name="wld_vrms_vm_folder">'Value Reference Tables'!$U$59</definedName>
    <definedName name="wld_vrms_vrms_ip">'Value Reference Tables'!$R$61</definedName>
    <definedName name="wld_vsan_esa_hcl_check_chosen">'Deploy Workload Domain'!$D$150</definedName>
    <definedName name="wld_vsan_type">'Value Reference Tables'!$F$173</definedName>
    <definedName name="wld_vsan_type_chosen">'Configure Workload Domain'!$D$322</definedName>
    <definedName name="wld_witness_az_mgmt_mask">'Value Reference Tables'!$AA$12</definedName>
    <definedName name="wld_witness_cluster">'Value Reference Tables'!$F$125</definedName>
    <definedName name="wld_witness_dns1_ip">'Value Reference Tables'!$F$127</definedName>
    <definedName name="wld_witness_dns2_ip">'Value Reference Tables'!$F$128</definedName>
    <definedName name="wld_witness_fqdn">'Value Reference Tables'!$F$63</definedName>
    <definedName name="wld_witness_hostname">'Value Reference Tables'!$F$111</definedName>
    <definedName name="wld_witness_ip">'Value Reference Tables'!$F$136</definedName>
    <definedName name="wld_witness_mgmt_ip">'Value Reference Tables'!$F$135</definedName>
    <definedName name="wld_witness_mgmt_pg">'Value Reference Tables'!$X$32</definedName>
    <definedName name="wld_witness_ntp1_server">'Value Reference Tables'!$F$129</definedName>
    <definedName name="wld_witness_ntp2_server">'Value Reference Tables'!$F$130</definedName>
    <definedName name="wld_witness_root_password">'Value Reference Tables'!$L$37</definedName>
    <definedName name="wld_witness_vc_fqdn">'Value Reference Tables'!$F$62</definedName>
    <definedName name="wld_witness_vm_folder">'Value Reference Tables'!$F$126</definedName>
    <definedName name="wld_witness_vsan_datastore">'Value Reference Tables'!$F$124</definedName>
    <definedName name="wld_witness_zone_vc_fqdn">'Value Reference Tables'!$F$137</definedName>
    <definedName name="wld_witness_zone_vc_hostname">'Value Reference Tables'!$F$110</definedName>
    <definedName name="wld_witness_zone_vc_ip">'Value Reference Tables'!$F$134</definedName>
    <definedName name="wld_witnessaz_gateway_ip">'Value Reference Tables'!$X$40</definedName>
    <definedName name="wld_witnessaz_mgmt_cidr">'Value Reference Tables'!$F$138</definedName>
    <definedName name="wld_witnessaz_mgmt_gateway_ip">'Value Reference Tables'!$F$139</definedName>
    <definedName name="wld_witnessaz_mgmt_mask">'Value Reference Tables'!$F$141</definedName>
    <definedName name="wld_witnessaz_mgmt_mtu">'Value Reference Tables'!$X$44</definedName>
    <definedName name="wld_witnessaz_mgmt_network">'Value Reference Tables'!$F$140</definedName>
    <definedName name="wld_witnessaz_mgmt_vlan">'Value Reference Tables'!$X$28</definedName>
    <definedName name="workload_descriptor">'Value Reference Tables'!$AA$21</definedName>
    <definedName name="xreg_vra_admin_password">'Value Reference Tables'!$C$211</definedName>
    <definedName name="xreg_vra_k8s_cluster_cidr_chosen">'Deploy Management Domain'!$L$190</definedName>
    <definedName name="xreg_vra_nodea_ip">'Value Reference Tables'!$R$9</definedName>
    <definedName name="xreg_vra_nodeb_ip">'Value Reference Tables'!$R$10</definedName>
    <definedName name="xreg_vra_nodec_ip">'Value Reference Tables'!$R$11</definedName>
    <definedName name="xreg_vra_noded_ip">'Value Reference Tables'!$R$12</definedName>
    <definedName name="xreg_vra_nodee_ip">'Value Reference Tables'!$R$13</definedName>
    <definedName name="xreg_vra_nodef_ip">'Value Reference Tables'!$R$14</definedName>
    <definedName name="xreg_vra_prefix">'Value Reference Tables'!$R$16</definedName>
    <definedName name="xreg_vra_virtual_fqdn">'Value Reference Tables'!$R$24</definedName>
    <definedName name="xreg_vra_virtual_hostname">'Value Reference Tables'!$R$20</definedName>
    <definedName name="xreg_vra_virtual_ip">'Value Reference Tables'!$R$8</definedName>
    <definedName name="xreg_vra_vm_folder">'Dumping Ground'!$D$107</definedName>
    <definedName name="xreg_vrops_admin_password">'Value Reference Tables'!$C$212</definedName>
    <definedName name="xreg_vrops_collector_fqdn">'Value Reference Tables'!$R$49</definedName>
    <definedName name="xreg_vrops_collector_hostname">'Value Reference Tables'!$R$41</definedName>
    <definedName name="xreg_vrops_collector_ip">'Value Reference Tables'!$F$142</definedName>
    <definedName name="xreg_vrops_collector_root_password">'Value Reference Tables'!$L$40</definedName>
    <definedName name="xreg_vrops_nodea_fqdn">'Value Reference Tables'!$R$46</definedName>
    <definedName name="xreg_vrops_nodea_hostname">'Value Reference Tables'!$R$38</definedName>
    <definedName name="xreg_vrops_nodea_ip">'Value Reference Tables'!$R$30</definedName>
    <definedName name="xreg_vrops_nodeb_fqdn">'Value Reference Tables'!$R$47</definedName>
    <definedName name="xreg_vrops_nodeb_hostname">'Value Reference Tables'!$R$39</definedName>
    <definedName name="xreg_vrops_nodeb_ip">'Value Reference Tables'!$R$31</definedName>
    <definedName name="xreg_vrops_nodec_fqdn">'Value Reference Tables'!$R$48</definedName>
    <definedName name="xreg_vrops_nodec_hostname">'Value Reference Tables'!$R$40</definedName>
    <definedName name="xreg_vrops_nodec_ip">'Value Reference Tables'!$R$32</definedName>
    <definedName name="xreg_vrops_root_password">'Value Reference Tables'!$C$213</definedName>
    <definedName name="xreg_vrops_srm_sso_password">'Value Reference Tables'!$U$16</definedName>
    <definedName name="xreg_vrops_srm_sso_username">'Value Reference Tables'!$U$15</definedName>
    <definedName name="xreg_vrops_virtual_fqdn">'Value Reference Tables'!$R$45</definedName>
    <definedName name="xreg_vrops_virtual_hostname">'Value Reference Tables'!$R$37</definedName>
    <definedName name="xreg_vrops_virtual_ip">'Value Reference Tables'!$R$29</definedName>
    <definedName name="xreg_vrops_vm_folder">'Dumping Ground'!$D$106</definedName>
    <definedName name="xreg_vrops_vrms_sso_password">'Value Reference Tables'!$U$14</definedName>
    <definedName name="xreg_vrops_vrms_sso_username">'Value Reference Tables'!$U$13</definedName>
    <definedName name="xreg_wsa_vm_folder">'Dumping Ground'!$D$105</definedName>
    <definedName name="xregion_dns1_ip">'Value Reference Tables'!$L$52</definedName>
    <definedName name="xregion_dns2_ip">'Value Reference Tables'!$L$53</definedName>
    <definedName name="xregion_ntp1_server">'Value Reference Tables'!$L$47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18" l="1"/>
  <c r="C353" i="65"/>
  <c r="C209" i="65" l="1"/>
  <c r="C210" i="65"/>
  <c r="C204" i="65"/>
  <c r="C134" i="109"/>
  <c r="L32" i="63"/>
  <c r="L34" i="63"/>
  <c r="L33" i="63"/>
  <c r="F188" i="63" l="1" a="1"/>
  <c r="F188" i="63" s="1"/>
  <c r="F189" i="63" a="1"/>
  <c r="F189" i="63" s="1"/>
  <c r="E326" i="65"/>
  <c r="E327" i="65"/>
  <c r="E333" i="65"/>
  <c r="E332" i="65"/>
  <c r="E331" i="65"/>
  <c r="E330" i="65"/>
  <c r="E329" i="65"/>
  <c r="E328" i="65"/>
  <c r="E325" i="65"/>
  <c r="L166" i="63"/>
  <c r="L165" i="63"/>
  <c r="L164" i="63"/>
  <c r="E58" i="118"/>
  <c r="F31" i="113"/>
  <c r="E31" i="113"/>
  <c r="D31" i="113"/>
  <c r="C9" i="113"/>
  <c r="C31" i="113"/>
  <c r="X76" i="123"/>
  <c r="X75" i="123"/>
  <c r="X74" i="123"/>
  <c r="E71" i="118"/>
  <c r="E70" i="118"/>
  <c r="E59" i="118"/>
  <c r="E47" i="118"/>
  <c r="E38" i="118"/>
  <c r="E34" i="118"/>
  <c r="E50" i="118"/>
  <c r="E49" i="118"/>
  <c r="E48" i="118"/>
  <c r="E30" i="118"/>
  <c r="E29" i="118"/>
  <c r="F265" i="63" a="1"/>
  <c r="F265" i="63" s="1"/>
  <c r="F264" i="63"/>
  <c r="M25" i="54"/>
  <c r="F25" i="113" s="1"/>
  <c r="L25" i="54"/>
  <c r="E25" i="113" s="1"/>
  <c r="K25" i="54"/>
  <c r="D25" i="113" s="1"/>
  <c r="L117" i="63" l="1"/>
  <c r="L116" i="63"/>
  <c r="L115" i="63"/>
  <c r="L114" i="63"/>
  <c r="Y78" i="54"/>
  <c r="Y77" i="54"/>
  <c r="Y76" i="54"/>
  <c r="Y75" i="54"/>
  <c r="Y74" i="54"/>
  <c r="Y73" i="54"/>
  <c r="Y72" i="54"/>
  <c r="Y71" i="54"/>
  <c r="Y70" i="54"/>
  <c r="Y69" i="54"/>
  <c r="Y68" i="54"/>
  <c r="Y67" i="54"/>
  <c r="Y66" i="54"/>
  <c r="Y65" i="54"/>
  <c r="Y64" i="54"/>
  <c r="Y63" i="54"/>
  <c r="Y62" i="54"/>
  <c r="Y61" i="54"/>
  <c r="Y60" i="54"/>
  <c r="Y59" i="54"/>
  <c r="Y58" i="54"/>
  <c r="Y57" i="54"/>
  <c r="Y56" i="54"/>
  <c r="Y55" i="54"/>
  <c r="Y54" i="54"/>
  <c r="Y53" i="54"/>
  <c r="Y52" i="54"/>
  <c r="Y51" i="54"/>
  <c r="M21" i="54" a="1"/>
  <c r="M21" i="54" s="1"/>
  <c r="F21" i="113" s="1"/>
  <c r="L21" i="54" a="1"/>
  <c r="L21" i="54" s="1"/>
  <c r="E21" i="113" s="1"/>
  <c r="K21" i="54" a="1"/>
  <c r="K21" i="54" s="1"/>
  <c r="D21" i="113" s="1"/>
  <c r="J21" i="54" a="1"/>
  <c r="J21" i="54" s="1"/>
  <c r="C21" i="113" s="1"/>
  <c r="L15" i="54"/>
  <c r="E15" i="113" s="1"/>
  <c r="M15" i="54"/>
  <c r="F15" i="113" s="1"/>
  <c r="J15" i="54"/>
  <c r="C15" i="113" s="1"/>
  <c r="Y50" i="54"/>
  <c r="Y49" i="54"/>
  <c r="Y48" i="54"/>
  <c r="Y47" i="54"/>
  <c r="Y46" i="54"/>
  <c r="Y45" i="54"/>
  <c r="Y44" i="54"/>
  <c r="J17" i="54"/>
  <c r="C17" i="113" s="1"/>
  <c r="J27" i="54"/>
  <c r="C27" i="113" s="1"/>
  <c r="K191" i="62"/>
  <c r="R16" i="63"/>
  <c r="C289" i="63" l="1"/>
  <c r="M33" i="62" l="1"/>
  <c r="M32" i="62"/>
  <c r="C200" i="63"/>
  <c r="C194" i="63"/>
  <c r="C193" i="63"/>
  <c r="C188" i="63"/>
  <c r="C187" i="63"/>
  <c r="C186" i="63"/>
  <c r="C185" i="63"/>
  <c r="C184" i="63"/>
  <c r="C183" i="63"/>
  <c r="C178" i="63"/>
  <c r="F135" i="63"/>
  <c r="F134" i="63"/>
  <c r="F125" i="63"/>
  <c r="F124" i="63"/>
  <c r="F120" i="63"/>
  <c r="F118" i="63"/>
  <c r="F117" i="63"/>
  <c r="F116" i="63"/>
  <c r="F115" i="63"/>
  <c r="F110" i="63"/>
  <c r="O82" i="63"/>
  <c r="O81" i="63"/>
  <c r="O80" i="63"/>
  <c r="O79" i="63"/>
  <c r="O78" i="63"/>
  <c r="O75" i="63"/>
  <c r="O74" i="63"/>
  <c r="O68" i="63"/>
  <c r="F67" i="63"/>
  <c r="O66" i="63"/>
  <c r="O65" i="63"/>
  <c r="O64" i="63"/>
  <c r="L61" i="63"/>
  <c r="L60" i="63"/>
  <c r="L59" i="63"/>
  <c r="L58" i="63"/>
  <c r="L57" i="63"/>
  <c r="L56" i="63"/>
  <c r="L55" i="63"/>
  <c r="O51" i="63"/>
  <c r="L54" i="63"/>
  <c r="O50" i="63"/>
  <c r="L53" i="63"/>
  <c r="O49" i="63"/>
  <c r="L52" i="63"/>
  <c r="O48" i="63"/>
  <c r="O47" i="63"/>
  <c r="O46" i="63"/>
  <c r="L49" i="63"/>
  <c r="O45" i="63"/>
  <c r="L48" i="63"/>
  <c r="O44" i="63"/>
  <c r="O43" i="63"/>
  <c r="O42" i="63"/>
  <c r="O40" i="63"/>
  <c r="O39" i="63"/>
  <c r="O38" i="63"/>
  <c r="AE37" i="63"/>
  <c r="O37" i="63"/>
  <c r="X32" i="63"/>
  <c r="O27" i="63"/>
  <c r="O26" i="63"/>
  <c r="O25" i="63"/>
  <c r="C25" i="63"/>
  <c r="O24" i="63"/>
  <c r="C24" i="63"/>
  <c r="O23" i="63"/>
  <c r="F23" i="63"/>
  <c r="C23" i="63"/>
  <c r="O22" i="63"/>
  <c r="F22" i="63"/>
  <c r="C22" i="63"/>
  <c r="O21" i="63"/>
  <c r="F21" i="63"/>
  <c r="C21" i="63"/>
  <c r="F20" i="63"/>
  <c r="F19" i="63"/>
  <c r="O17" i="63"/>
  <c r="C16" i="63"/>
  <c r="O15" i="63"/>
  <c r="C15" i="63"/>
  <c r="O10" i="63"/>
  <c r="R8" i="63"/>
  <c r="I460" i="87"/>
  <c r="I459" i="87"/>
  <c r="I458" i="87"/>
  <c r="I457" i="87"/>
  <c r="I456" i="87"/>
  <c r="I455" i="87"/>
  <c r="I454" i="87"/>
  <c r="I453" i="87"/>
  <c r="I452" i="87"/>
  <c r="F452" i="87"/>
  <c r="I451" i="87"/>
  <c r="F451" i="87"/>
  <c r="I450" i="87"/>
  <c r="F450" i="87"/>
  <c r="I449" i="87"/>
  <c r="F449" i="87"/>
  <c r="I448" i="87"/>
  <c r="F448" i="87"/>
  <c r="I447" i="87"/>
  <c r="F447" i="87"/>
  <c r="I446" i="87"/>
  <c r="F446" i="87"/>
  <c r="I445" i="87"/>
  <c r="F445" i="87"/>
  <c r="I444" i="87"/>
  <c r="F444" i="87"/>
  <c r="I443" i="87"/>
  <c r="F443" i="87"/>
  <c r="I442" i="87"/>
  <c r="F442" i="87"/>
  <c r="I441" i="87"/>
  <c r="F441" i="87"/>
  <c r="I440" i="87"/>
  <c r="F440" i="87"/>
  <c r="I439" i="87"/>
  <c r="F439" i="87"/>
  <c r="I438" i="87"/>
  <c r="F438" i="87"/>
  <c r="I437" i="87"/>
  <c r="F437" i="87"/>
  <c r="I436" i="87"/>
  <c r="I435" i="87"/>
  <c r="I434" i="87"/>
  <c r="I433" i="87"/>
  <c r="I432" i="87"/>
  <c r="I431" i="87"/>
  <c r="I430" i="87"/>
  <c r="I429" i="87"/>
  <c r="I412" i="87"/>
  <c r="I411" i="87"/>
  <c r="F406" i="87"/>
  <c r="F405" i="87"/>
  <c r="F404" i="87"/>
  <c r="F403" i="87"/>
  <c r="F402" i="87"/>
  <c r="F401" i="87"/>
  <c r="I390" i="87"/>
  <c r="I389" i="87"/>
  <c r="I388" i="87"/>
  <c r="I387" i="87"/>
  <c r="I386" i="87"/>
  <c r="I385" i="87"/>
  <c r="F384" i="87"/>
  <c r="F383" i="87"/>
  <c r="F382" i="87"/>
  <c r="F380" i="87"/>
  <c r="F379" i="87"/>
  <c r="I374" i="87"/>
  <c r="I370" i="87"/>
  <c r="F367" i="87"/>
  <c r="F366" i="87"/>
  <c r="F365" i="87"/>
  <c r="I355" i="87"/>
  <c r="F354" i="87"/>
  <c r="F353" i="87"/>
  <c r="F351" i="87"/>
  <c r="I310" i="87"/>
  <c r="F309" i="87"/>
  <c r="I299" i="87"/>
  <c r="I298" i="87"/>
  <c r="F298" i="87"/>
  <c r="F297" i="87"/>
  <c r="F296" i="87"/>
  <c r="I295" i="87"/>
  <c r="F295" i="87"/>
  <c r="I289" i="87"/>
  <c r="F289" i="87"/>
  <c r="I288" i="87"/>
  <c r="F288" i="87"/>
  <c r="I287" i="87"/>
  <c r="F287" i="87"/>
  <c r="I286" i="87"/>
  <c r="F286" i="87"/>
  <c r="I285" i="87"/>
  <c r="F285" i="87"/>
  <c r="I278" i="87"/>
  <c r="F278" i="87"/>
  <c r="I277" i="87"/>
  <c r="F277" i="87"/>
  <c r="I276" i="87"/>
  <c r="F276" i="87"/>
  <c r="I275" i="87"/>
  <c r="F275" i="87"/>
  <c r="I274" i="87"/>
  <c r="F274" i="87"/>
  <c r="C288" i="63"/>
  <c r="C287" i="63"/>
  <c r="C284" i="63"/>
  <c r="L143" i="63"/>
  <c r="L142" i="63"/>
  <c r="C283" i="63"/>
  <c r="C282" i="63"/>
  <c r="C281" i="63"/>
  <c r="C280" i="63"/>
  <c r="C279" i="63"/>
  <c r="C278" i="63"/>
  <c r="C277" i="63"/>
  <c r="C276" i="63"/>
  <c r="F185" i="87"/>
  <c r="F184" i="87"/>
  <c r="C17" i="63"/>
  <c r="C20" i="63"/>
  <c r="C19" i="63"/>
  <c r="C18" i="63"/>
  <c r="C98" i="63"/>
  <c r="F8" i="87"/>
  <c r="O63" i="63"/>
  <c r="F15" i="63"/>
  <c r="F18" i="63"/>
  <c r="F17" i="63"/>
  <c r="F16" i="63"/>
  <c r="F106" i="63"/>
  <c r="F105" i="63"/>
  <c r="F104" i="63"/>
  <c r="I184" i="87"/>
  <c r="I287" i="63"/>
  <c r="I273" i="63"/>
  <c r="C36" i="63"/>
  <c r="C38" i="63"/>
  <c r="C37" i="63"/>
  <c r="C35" i="63"/>
  <c r="C344" i="56" l="1"/>
  <c r="C342" i="56"/>
  <c r="C351" i="56"/>
  <c r="C350" i="56"/>
  <c r="C398" i="56"/>
  <c r="D398" i="56"/>
  <c r="D217" i="65"/>
  <c r="C8" i="113"/>
  <c r="X71" i="123"/>
  <c r="X70" i="123"/>
  <c r="X69" i="123"/>
  <c r="I101" i="63" l="1"/>
  <c r="I100" i="63"/>
  <c r="X81" i="123" s="1" a="1"/>
  <c r="X81" i="123" s="1"/>
  <c r="B138" i="115"/>
  <c r="D136" i="115"/>
  <c r="D135" i="115"/>
  <c r="O136" i="63"/>
  <c r="X80" i="123" s="1"/>
  <c r="O135" i="63"/>
  <c r="J25" i="54" l="1"/>
  <c r="C25" i="113" s="1"/>
  <c r="J24" i="54"/>
  <c r="C24" i="113" s="1"/>
  <c r="C393" i="56"/>
  <c r="D394" i="56"/>
  <c r="D393" i="56"/>
  <c r="G35" i="54"/>
  <c r="E396" i="56"/>
  <c r="D396" i="56"/>
  <c r="C396" i="56"/>
  <c r="E395" i="56"/>
  <c r="D395" i="56"/>
  <c r="C395" i="56"/>
  <c r="E154" i="118"/>
  <c r="E137" i="118"/>
  <c r="J28" i="54"/>
  <c r="C28" i="113" s="1"/>
  <c r="E8" i="118"/>
  <c r="J13" i="54"/>
  <c r="C13" i="113" s="1"/>
  <c r="O33" i="54"/>
  <c r="O34" i="54"/>
  <c r="O35" i="54"/>
  <c r="O36" i="54"/>
  <c r="K328" i="62"/>
  <c r="N286" i="62"/>
  <c r="M53" i="62"/>
  <c r="K326" i="62"/>
  <c r="K325" i="62"/>
  <c r="X66" i="123"/>
  <c r="X67" i="123"/>
  <c r="X65" i="123"/>
  <c r="C394" i="56"/>
  <c r="E394" i="56"/>
  <c r="E393" i="56"/>
  <c r="C341" i="56"/>
  <c r="C343" i="56"/>
  <c r="C353" i="56"/>
  <c r="C352" i="56"/>
  <c r="D391" i="56" l="1"/>
  <c r="D389" i="56" s="1"/>
  <c r="D390" i="56"/>
  <c r="D388" i="56" s="1"/>
  <c r="L24" i="54"/>
  <c r="E24" i="113" s="1"/>
  <c r="M13" i="54"/>
  <c r="F13" i="113" s="1"/>
  <c r="C390" i="56"/>
  <c r="C391" i="56"/>
  <c r="C388" i="56"/>
  <c r="C389" i="56"/>
  <c r="M23" i="54"/>
  <c r="F23" i="113" s="1"/>
  <c r="K13" i="54"/>
  <c r="D13" i="113" s="1"/>
  <c r="L13" i="54"/>
  <c r="E13" i="113" s="1"/>
  <c r="K24" i="54"/>
  <c r="D24" i="113" s="1"/>
  <c r="E389" i="56" l="1"/>
  <c r="J23" i="54"/>
  <c r="C23" i="113" s="1"/>
  <c r="E388" i="56"/>
  <c r="L23" i="54" l="1"/>
  <c r="E23" i="113" s="1"/>
  <c r="K23" i="54"/>
  <c r="D23" i="113" s="1"/>
  <c r="M40" i="62" l="1"/>
  <c r="F40" i="54" l="1"/>
  <c r="J26" i="54" l="1"/>
  <c r="C26" i="113" s="1"/>
  <c r="M26" i="54" l="1"/>
  <c r="F26" i="113" s="1"/>
  <c r="K26" i="54"/>
  <c r="D26" i="113" s="1"/>
  <c r="L26" i="54"/>
  <c r="E26" i="113" s="1"/>
  <c r="O134" i="63"/>
  <c r="X79" i="123" s="1"/>
  <c r="O133" i="63"/>
  <c r="F216" i="63" l="1"/>
  <c r="F215" i="63"/>
  <c r="G36" i="54" l="1"/>
  <c r="K89" i="54"/>
  <c r="F271" i="63" l="1"/>
  <c r="F270" i="63"/>
  <c r="M17" i="54" l="1"/>
  <c r="F17" i="113" s="1"/>
  <c r="L17" i="54"/>
  <c r="E17" i="113" s="1"/>
  <c r="K17" i="54"/>
  <c r="D17" i="113" s="1"/>
  <c r="C139" i="109" l="1"/>
  <c r="C196" i="108"/>
  <c r="E9" i="118" l="1"/>
  <c r="L163" i="63" l="1"/>
  <c r="L162" i="63"/>
  <c r="C71" i="118"/>
  <c r="E68" i="118" l="1"/>
  <c r="E67" i="118"/>
  <c r="F267" i="63"/>
  <c r="F266" i="63"/>
  <c r="F262" i="63"/>
  <c r="F263" i="63"/>
  <c r="F269" i="63"/>
  <c r="F268" i="63"/>
  <c r="E64" i="118" l="1"/>
  <c r="E66" i="118"/>
  <c r="C64" i="118"/>
  <c r="C66" i="118"/>
  <c r="M122" i="62" l="1"/>
  <c r="F206" i="63" l="1"/>
  <c r="G89" i="54"/>
  <c r="J20" i="54"/>
  <c r="C20" i="113" s="1"/>
  <c r="M20" i="54"/>
  <c r="F20" i="113" s="1"/>
  <c r="L20" i="54"/>
  <c r="E20" i="113" s="1"/>
  <c r="K20" i="54"/>
  <c r="D20" i="113" s="1"/>
  <c r="B666" i="56"/>
  <c r="M19" i="54" s="1"/>
  <c r="F19" i="113" s="1"/>
  <c r="B665" i="56"/>
  <c r="L19" i="54" s="1"/>
  <c r="E19" i="113" s="1"/>
  <c r="B664" i="56"/>
  <c r="K19" i="54" s="1"/>
  <c r="D19" i="113" s="1"/>
  <c r="B667" i="56"/>
  <c r="J19" i="54" s="1"/>
  <c r="C19" i="113" s="1"/>
  <c r="M18" i="54"/>
  <c r="F18" i="113" s="1"/>
  <c r="L18" i="54"/>
  <c r="E18" i="113" s="1"/>
  <c r="K18" i="54"/>
  <c r="D18" i="113" s="1"/>
  <c r="J18" i="54"/>
  <c r="C18" i="113" s="1"/>
  <c r="Z78" i="54"/>
  <c r="Z77" i="54"/>
  <c r="Z76" i="54"/>
  <c r="Z75" i="54"/>
  <c r="Z74" i="54"/>
  <c r="Z73" i="54"/>
  <c r="Z72" i="54"/>
  <c r="Z71" i="54"/>
  <c r="Z70" i="54"/>
  <c r="Z69" i="54"/>
  <c r="Z68" i="54"/>
  <c r="Z67" i="54"/>
  <c r="Z54" i="54"/>
  <c r="V78" i="54"/>
  <c r="V77" i="54"/>
  <c r="V76" i="54"/>
  <c r="V75" i="54"/>
  <c r="V74" i="54"/>
  <c r="V73" i="54"/>
  <c r="V72" i="54"/>
  <c r="V71" i="54"/>
  <c r="V70" i="54"/>
  <c r="V69" i="54"/>
  <c r="V68" i="54"/>
  <c r="S78" i="54"/>
  <c r="S77" i="54"/>
  <c r="S76" i="54"/>
  <c r="S75" i="54"/>
  <c r="S74" i="54"/>
  <c r="S73" i="54"/>
  <c r="S72" i="54"/>
  <c r="S71" i="54"/>
  <c r="S70" i="54"/>
  <c r="S69" i="54"/>
  <c r="S68" i="54"/>
  <c r="N78" i="54"/>
  <c r="N77" i="54"/>
  <c r="N76" i="54"/>
  <c r="N75" i="54"/>
  <c r="N74" i="54"/>
  <c r="N73" i="54"/>
  <c r="N72" i="54"/>
  <c r="N71" i="54"/>
  <c r="N70" i="54"/>
  <c r="N69" i="54"/>
  <c r="N68" i="54"/>
  <c r="G68" i="54"/>
  <c r="J68" i="54"/>
  <c r="J78" i="54"/>
  <c r="J77" i="54"/>
  <c r="J76" i="54"/>
  <c r="J75" i="54"/>
  <c r="J74" i="54"/>
  <c r="J73" i="54"/>
  <c r="J72" i="54"/>
  <c r="J71" i="54"/>
  <c r="J70" i="54"/>
  <c r="J69" i="54"/>
  <c r="G78" i="54"/>
  <c r="G77" i="54"/>
  <c r="G76" i="54"/>
  <c r="G75" i="54"/>
  <c r="G74" i="54"/>
  <c r="G73" i="54"/>
  <c r="G72" i="54"/>
  <c r="G71" i="54"/>
  <c r="G70" i="54"/>
  <c r="G69" i="54"/>
  <c r="E78" i="54"/>
  <c r="E77" i="54"/>
  <c r="E76" i="54"/>
  <c r="E75" i="54"/>
  <c r="E74" i="54"/>
  <c r="E73" i="54"/>
  <c r="E72" i="54"/>
  <c r="E71" i="54"/>
  <c r="E70" i="54"/>
  <c r="E69" i="54"/>
  <c r="E68" i="54"/>
  <c r="M27" i="54"/>
  <c r="F27" i="113" s="1"/>
  <c r="H40" i="54"/>
  <c r="I40" i="54"/>
  <c r="D40" i="54"/>
  <c r="M16" i="54" l="1" a="1"/>
  <c r="M16" i="54" s="1"/>
  <c r="F16" i="113" s="1"/>
  <c r="L16" i="54" a="1"/>
  <c r="L16" i="54" s="1"/>
  <c r="E16" i="113" s="1"/>
  <c r="K16" i="54" a="1"/>
  <c r="K16" i="54" s="1"/>
  <c r="D16" i="113" s="1"/>
  <c r="J16" i="54" a="1"/>
  <c r="J16" i="54" s="1"/>
  <c r="C16" i="113" s="1"/>
  <c r="X40" i="54"/>
  <c r="K15" i="54"/>
  <c r="D15" i="113" s="1"/>
  <c r="J10" i="54"/>
  <c r="C10" i="113" s="1"/>
  <c r="M24" i="54"/>
  <c r="F24" i="113" s="1"/>
  <c r="K27" i="54"/>
  <c r="D27" i="113" s="1"/>
  <c r="L27" i="54"/>
  <c r="E27" i="113" s="1"/>
  <c r="M10" i="54"/>
  <c r="F10" i="113" s="1"/>
  <c r="K10" i="54"/>
  <c r="D10" i="113" s="1"/>
  <c r="L10" i="54"/>
  <c r="E10" i="113" s="1"/>
  <c r="M323" i="62" l="1"/>
  <c r="M326" i="62"/>
  <c r="M321" i="62"/>
  <c r="X68" i="123"/>
  <c r="K323" i="62"/>
  <c r="K321" i="62"/>
  <c r="F352" i="87" l="1"/>
  <c r="C148" i="63" l="1"/>
  <c r="I329" i="87"/>
  <c r="E292" i="65"/>
  <c r="E281" i="65"/>
  <c r="E38" i="65"/>
  <c r="E23" i="65"/>
  <c r="E28" i="65"/>
  <c r="M117" i="62"/>
  <c r="M125" i="62"/>
  <c r="M124" i="62"/>
  <c r="M144" i="62"/>
  <c r="M143" i="62"/>
  <c r="M136" i="62"/>
  <c r="M135" i="62"/>
  <c r="M120" i="62"/>
  <c r="M115" i="62"/>
  <c r="M110" i="62"/>
  <c r="M187" i="62" l="1"/>
  <c r="AA50" i="63" l="1"/>
  <c r="F274" i="63" l="1"/>
  <c r="F275" i="63"/>
  <c r="F276" i="63"/>
  <c r="D86" i="127" s="1"/>
  <c r="F277" i="63"/>
  <c r="F278" i="63"/>
  <c r="D73" i="127" s="1"/>
  <c r="F279" i="63"/>
  <c r="D117" i="127" s="1"/>
  <c r="F280" i="63"/>
  <c r="D170" i="127" s="1"/>
  <c r="F281" i="63"/>
  <c r="D50" i="127" l="1"/>
  <c r="D169" i="127"/>
  <c r="D125" i="127"/>
  <c r="D153" i="127"/>
  <c r="D162" i="127"/>
  <c r="D131" i="127"/>
  <c r="D132" i="127"/>
  <c r="D154" i="127"/>
  <c r="D163" i="127"/>
  <c r="D48" i="127"/>
  <c r="D55" i="127"/>
  <c r="D42" i="127"/>
  <c r="D93" i="127"/>
  <c r="D102" i="127"/>
  <c r="D182" i="127"/>
  <c r="D52" i="127"/>
  <c r="D214" i="127"/>
  <c r="D196" i="127"/>
  <c r="D206" i="127"/>
  <c r="D41" i="127"/>
  <c r="D60" i="127"/>
  <c r="D71" i="127"/>
  <c r="D49" i="127"/>
  <c r="M319" i="62" l="1"/>
  <c r="L11" i="54"/>
  <c r="E11" i="113" s="1"/>
  <c r="J11" i="54"/>
  <c r="C11" i="113" s="1"/>
  <c r="J12" i="54"/>
  <c r="C12" i="113" s="1"/>
  <c r="J22" i="54"/>
  <c r="L28" i="54"/>
  <c r="E28" i="113" s="1"/>
  <c r="K28" i="54"/>
  <c r="D28" i="113" s="1"/>
  <c r="J29" i="54"/>
  <c r="C29" i="113" s="1"/>
  <c r="L29" i="54"/>
  <c r="E29" i="113" s="1"/>
  <c r="E17" i="65"/>
  <c r="E15" i="108"/>
  <c r="M385" i="62"/>
  <c r="M328" i="62"/>
  <c r="M209" i="62"/>
  <c r="M208" i="62"/>
  <c r="D630" i="117"/>
  <c r="D629" i="117"/>
  <c r="D537" i="117"/>
  <c r="D536" i="117"/>
  <c r="D444" i="117"/>
  <c r="D443" i="117"/>
  <c r="D351" i="117"/>
  <c r="D350" i="117"/>
  <c r="D258" i="117"/>
  <c r="D257" i="117"/>
  <c r="D165" i="117"/>
  <c r="D164" i="117"/>
  <c r="D72" i="117"/>
  <c r="D71" i="117"/>
  <c r="AA60" i="63" a="1"/>
  <c r="AA60" i="63" s="1"/>
  <c r="AA59" i="63" a="1"/>
  <c r="AA59" i="63" s="1"/>
  <c r="E12" i="115"/>
  <c r="D10" i="115"/>
  <c r="E16" i="65"/>
  <c r="L19" i="106"/>
  <c r="I82" i="54"/>
  <c r="E18" i="65"/>
  <c r="E15" i="65"/>
  <c r="E14" i="65"/>
  <c r="E12" i="65"/>
  <c r="C10" i="65"/>
  <c r="F261" i="63"/>
  <c r="F260" i="63"/>
  <c r="F259" i="63"/>
  <c r="F258" i="63"/>
  <c r="F257" i="63"/>
  <c r="F256" i="63"/>
  <c r="F255" i="63"/>
  <c r="F254" i="63"/>
  <c r="F253" i="63"/>
  <c r="F252" i="63"/>
  <c r="F251" i="63"/>
  <c r="F250" i="63"/>
  <c r="F249" i="63"/>
  <c r="F248" i="63"/>
  <c r="F247" i="63"/>
  <c r="F246" i="63"/>
  <c r="F245" i="63"/>
  <c r="F244" i="63"/>
  <c r="F243" i="63"/>
  <c r="F242" i="63"/>
  <c r="F241" i="63"/>
  <c r="F240" i="63"/>
  <c r="F239" i="63"/>
  <c r="M251" i="62"/>
  <c r="M250" i="62"/>
  <c r="M249" i="62"/>
  <c r="M248" i="62"/>
  <c r="M240" i="62"/>
  <c r="M239" i="62"/>
  <c r="M238" i="62"/>
  <c r="M237" i="62"/>
  <c r="M229" i="62"/>
  <c r="M228" i="62"/>
  <c r="M227" i="62"/>
  <c r="M226" i="62"/>
  <c r="M246" i="62"/>
  <c r="M247" i="62"/>
  <c r="M236" i="62"/>
  <c r="K22" i="54" l="1"/>
  <c r="D22" i="113" s="1"/>
  <c r="C22" i="113"/>
  <c r="M29" i="54"/>
  <c r="F29" i="113" s="1"/>
  <c r="M22" i="54"/>
  <c r="F22" i="113" s="1"/>
  <c r="L12" i="54"/>
  <c r="E12" i="113" s="1"/>
  <c r="L22" i="54"/>
  <c r="E22" i="113" s="1"/>
  <c r="M11" i="54"/>
  <c r="F11" i="113" s="1"/>
  <c r="K29" i="54"/>
  <c r="D29" i="113" s="1"/>
  <c r="M28" i="54"/>
  <c r="F28" i="113" s="1"/>
  <c r="J82" i="54"/>
  <c r="AA49" i="63"/>
  <c r="M12" i="54"/>
  <c r="F12" i="113" s="1"/>
  <c r="K12" i="54"/>
  <c r="D12" i="113" s="1"/>
  <c r="K11" i="54"/>
  <c r="D11" i="113" s="1"/>
  <c r="C141" i="63" l="1"/>
  <c r="B87" i="118"/>
  <c r="B85" i="118"/>
  <c r="C77" i="118"/>
  <c r="E79" i="118"/>
  <c r="E152" i="118"/>
  <c r="E170" i="118"/>
  <c r="E169" i="118"/>
  <c r="E167" i="118"/>
  <c r="E166" i="118"/>
  <c r="E156" i="118"/>
  <c r="E160" i="118"/>
  <c r="E203" i="65"/>
  <c r="E187" i="65"/>
  <c r="E178" i="65"/>
  <c r="M375" i="62"/>
  <c r="E89" i="109" l="1"/>
  <c r="E60" i="109"/>
  <c r="E117" i="108"/>
  <c r="E134" i="109"/>
  <c r="E13" i="108"/>
  <c r="M54" i="62"/>
  <c r="D13" i="108"/>
  <c r="C102" i="118" l="1"/>
  <c r="C101" i="118"/>
  <c r="L137" i="63" a="1"/>
  <c r="L137" i="63" s="1"/>
  <c r="L135" i="63"/>
  <c r="L134" i="63"/>
  <c r="C86" i="118"/>
  <c r="X53" i="123"/>
  <c r="X44" i="123"/>
  <c r="X34" i="123"/>
  <c r="X33" i="123"/>
  <c r="X17" i="123"/>
  <c r="X16" i="123"/>
  <c r="X15" i="123"/>
  <c r="X24" i="123" s="1"/>
  <c r="Z14" i="123"/>
  <c r="C85" i="118"/>
  <c r="X49" i="123" s="1"/>
  <c r="X50" i="123" l="1"/>
  <c r="X51" i="123"/>
  <c r="E191" i="108" l="1"/>
  <c r="E14" i="108"/>
  <c r="F236" i="63"/>
  <c r="F235" i="63"/>
  <c r="F234" i="63"/>
  <c r="F233" i="63"/>
  <c r="F232" i="63"/>
  <c r="F231" i="63"/>
  <c r="F230" i="63"/>
  <c r="F229" i="63"/>
  <c r="F228" i="63"/>
  <c r="F227" i="63"/>
  <c r="F226" i="63"/>
  <c r="F225" i="63"/>
  <c r="F224" i="63"/>
  <c r="F223" i="63"/>
  <c r="F222" i="63"/>
  <c r="F221" i="63"/>
  <c r="F219" i="63"/>
  <c r="F220" i="63" a="1"/>
  <c r="F220" i="63" s="1"/>
  <c r="C271" i="63"/>
  <c r="C270" i="63"/>
  <c r="C269" i="63"/>
  <c r="C268" i="63"/>
  <c r="C267" i="63"/>
  <c r="C266" i="63"/>
  <c r="C265" i="63"/>
  <c r="C264" i="63"/>
  <c r="C263" i="63"/>
  <c r="C262" i="63"/>
  <c r="C261" i="63"/>
  <c r="C260" i="63"/>
  <c r="C259" i="63"/>
  <c r="C258" i="63"/>
  <c r="C257" i="63"/>
  <c r="C256" i="63"/>
  <c r="C255" i="63"/>
  <c r="C254" i="63"/>
  <c r="D166" i="109" l="1"/>
  <c r="D165" i="109"/>
  <c r="F214" i="63" a="1"/>
  <c r="F214" i="63" s="1"/>
  <c r="D163" i="109" s="1" a="1"/>
  <c r="D163" i="109" s="1"/>
  <c r="F213" i="63" a="1"/>
  <c r="F213" i="63" s="1"/>
  <c r="F212" i="63" a="1"/>
  <c r="F212" i="63" s="1"/>
  <c r="F211" i="63"/>
  <c r="F210" i="63"/>
  <c r="F209" i="63" a="1"/>
  <c r="F209" i="63" s="1"/>
  <c r="F208" i="63" a="1"/>
  <c r="F208" i="63" s="1"/>
  <c r="F207" i="63" a="1"/>
  <c r="F207" i="63" s="1"/>
  <c r="F205" i="63" a="1"/>
  <c r="F205" i="63" s="1"/>
  <c r="F204" i="63" a="1"/>
  <c r="F204" i="63" s="1"/>
  <c r="F203" i="63" a="1"/>
  <c r="F203" i="63" s="1"/>
  <c r="F202" i="63" a="1"/>
  <c r="F202" i="63" s="1"/>
  <c r="F201" i="63" a="1"/>
  <c r="F201" i="63" s="1"/>
  <c r="F199" i="63" a="1"/>
  <c r="F199" i="63" s="1"/>
  <c r="F200" i="63" a="1"/>
  <c r="F200" i="63" s="1"/>
  <c r="C144" i="109"/>
  <c r="C251" i="63"/>
  <c r="D220" i="108" s="1" a="1"/>
  <c r="D220" i="108" s="1"/>
  <c r="C250" i="63"/>
  <c r="C249" i="63"/>
  <c r="C248" i="63"/>
  <c r="C247" i="63"/>
  <c r="C246" i="63"/>
  <c r="C245" i="63"/>
  <c r="C244" i="63"/>
  <c r="C243" i="63"/>
  <c r="C242" i="63"/>
  <c r="C241" i="63"/>
  <c r="C240" i="63"/>
  <c r="C239" i="63"/>
  <c r="C238" i="63"/>
  <c r="C237" i="63"/>
  <c r="C236" i="63"/>
  <c r="D222" i="108"/>
  <c r="D223" i="108" a="1"/>
  <c r="D223" i="108" s="1"/>
  <c r="E215" i="108"/>
  <c r="E225" i="108"/>
  <c r="E171" i="109" l="1"/>
  <c r="F28" i="63"/>
  <c r="F27" i="63"/>
  <c r="F58" i="63"/>
  <c r="B400" i="65" s="1" a="1"/>
  <c r="B400" i="65" s="1"/>
  <c r="F57" i="63"/>
  <c r="B401" i="65" a="1"/>
  <c r="B401" i="65" s="1"/>
  <c r="D161" i="65"/>
  <c r="M303" i="62" l="1"/>
  <c r="L26" i="62" l="1"/>
  <c r="Z40" i="54"/>
  <c r="E24" i="54"/>
  <c r="F136" i="87"/>
  <c r="F75" i="87" l="1"/>
  <c r="L343" i="62" s="1" a="1"/>
  <c r="L343" i="62" s="1"/>
  <c r="F106" i="87"/>
  <c r="F44" i="87" s="1"/>
  <c r="F29" i="87" s="1"/>
  <c r="F14" i="87"/>
  <c r="L341" i="62" s="1" a="1"/>
  <c r="L341" i="62" s="1"/>
  <c r="K343" i="62"/>
  <c r="L342" i="62" l="1" a="1"/>
  <c r="L342" i="62" s="1"/>
  <c r="F91" i="87"/>
  <c r="F58" i="87"/>
  <c r="E143" i="118" l="1"/>
  <c r="E144" i="118"/>
  <c r="E99" i="118"/>
  <c r="E153" i="118" l="1"/>
  <c r="C166" i="118"/>
  <c r="E141" i="118"/>
  <c r="E140" i="118"/>
  <c r="E139" i="118"/>
  <c r="C139" i="118"/>
  <c r="C112" i="108" l="1"/>
  <c r="M179" i="62"/>
  <c r="C48" i="118" l="1"/>
  <c r="C47" i="118"/>
  <c r="C45" i="118"/>
  <c r="E40" i="118"/>
  <c r="C40" i="118"/>
  <c r="C34" i="118"/>
  <c r="E33" i="118"/>
  <c r="C33" i="118"/>
  <c r="C32" i="118"/>
  <c r="M162" i="62"/>
  <c r="J254" i="62"/>
  <c r="J253" i="62"/>
  <c r="E320" i="65"/>
  <c r="M287" i="62"/>
  <c r="E198" i="65"/>
  <c r="E162" i="65"/>
  <c r="M173" i="62"/>
  <c r="I33" i="63"/>
  <c r="I30" i="63" s="1"/>
  <c r="I23" i="63"/>
  <c r="I20" i="63" s="1"/>
  <c r="I43" i="63"/>
  <c r="I40" i="63" s="1"/>
  <c r="I53" i="63"/>
  <c r="I50" i="63" s="1"/>
  <c r="I100" i="87" a="1"/>
  <c r="I100" i="87" s="1"/>
  <c r="I106" i="87"/>
  <c r="I59" i="87" s="1"/>
  <c r="I103" i="87"/>
  <c r="D380" i="65" s="1"/>
  <c r="I105" i="87"/>
  <c r="I90" i="87" s="1"/>
  <c r="I102" i="87"/>
  <c r="I87" i="87" s="1" a="1"/>
  <c r="I87" i="87" s="1"/>
  <c r="I101" i="87"/>
  <c r="I86" i="87" s="1" a="1"/>
  <c r="I86" i="87" s="1"/>
  <c r="I110" i="87"/>
  <c r="I109" i="87"/>
  <c r="I108" i="87"/>
  <c r="I107" i="87"/>
  <c r="I53" i="87" l="1"/>
  <c r="D200" i="109" s="1"/>
  <c r="D11" i="116"/>
  <c r="I39" i="63"/>
  <c r="I41" i="63" s="1"/>
  <c r="I19" i="63"/>
  <c r="I29" i="63"/>
  <c r="I32" i="63"/>
  <c r="I49" i="63"/>
  <c r="I51" i="63" s="1"/>
  <c r="I38" i="87"/>
  <c r="I23" i="87" s="1"/>
  <c r="I52" i="63"/>
  <c r="I42" i="63"/>
  <c r="I22" i="63"/>
  <c r="I85" i="87"/>
  <c r="D201" i="109" s="1"/>
  <c r="D366" i="65"/>
  <c r="D374" i="65"/>
  <c r="I54" i="87"/>
  <c r="I55" i="87"/>
  <c r="I43" i="87"/>
  <c r="I44" i="87"/>
  <c r="I29" i="87" s="1"/>
  <c r="I39" i="87"/>
  <c r="I56" i="87"/>
  <c r="I40" i="87"/>
  <c r="I88" i="87" a="1"/>
  <c r="I88" i="87" s="1"/>
  <c r="I41" i="87"/>
  <c r="I91" i="87"/>
  <c r="I58" i="87"/>
  <c r="D158" i="109" l="1"/>
  <c r="D168" i="109"/>
  <c r="I28" i="87"/>
  <c r="I25" i="87"/>
  <c r="I24" i="87"/>
  <c r="I26" i="87"/>
  <c r="U36" i="63" l="1"/>
  <c r="M170" i="62" l="1"/>
  <c r="M163" i="62"/>
  <c r="M164" i="62"/>
  <c r="R25" i="63"/>
  <c r="J380" i="62" s="1"/>
  <c r="C33" i="63" l="1"/>
  <c r="L370" i="62" s="1"/>
  <c r="C32" i="63"/>
  <c r="L369" i="62" s="1"/>
  <c r="C31" i="63"/>
  <c r="L382" i="62" s="1"/>
  <c r="C30" i="63"/>
  <c r="L381" i="62" s="1"/>
  <c r="K188" i="62"/>
  <c r="C78" i="63"/>
  <c r="J365" i="62" s="1"/>
  <c r="C77" i="63"/>
  <c r="J367" i="62" s="1"/>
  <c r="C76" i="63"/>
  <c r="K179" i="62"/>
  <c r="C55" i="63" l="1"/>
  <c r="J368" i="62"/>
  <c r="R9" i="63"/>
  <c r="R11" i="63" s="1"/>
  <c r="C56" i="63"/>
  <c r="C57" i="63"/>
  <c r="R14" i="63" l="1"/>
  <c r="R13" i="63"/>
  <c r="R12" i="63"/>
  <c r="R10" i="63"/>
  <c r="K175" i="62"/>
  <c r="K177" i="62" l="1"/>
  <c r="M166" i="62" l="1"/>
  <c r="M165" i="62"/>
  <c r="M254" i="62"/>
  <c r="M253" i="62"/>
  <c r="M252" i="62"/>
  <c r="Z10" i="123" l="1"/>
  <c r="F101" i="87"/>
  <c r="F110" i="87"/>
  <c r="F109" i="87"/>
  <c r="F108" i="87"/>
  <c r="F107" i="87"/>
  <c r="F105" i="87"/>
  <c r="F43" i="87" s="1"/>
  <c r="F28" i="87" s="1"/>
  <c r="F104" i="87"/>
  <c r="F103" i="87"/>
  <c r="E103" i="87"/>
  <c r="F102" i="87"/>
  <c r="F100" i="87"/>
  <c r="Z7" i="123"/>
  <c r="Z6" i="123"/>
  <c r="Z5" i="123"/>
  <c r="F38" i="87" l="1"/>
  <c r="F23" i="87" s="1"/>
  <c r="F85" i="87"/>
  <c r="F86" i="87"/>
  <c r="F39" i="87"/>
  <c r="F24" i="87" s="1"/>
  <c r="F40" i="87"/>
  <c r="F25" i="87" s="1"/>
  <c r="F87" i="87"/>
  <c r="F88" i="87"/>
  <c r="F41" i="87"/>
  <c r="F26" i="87" s="1"/>
  <c r="F89" i="87"/>
  <c r="F42" i="87"/>
  <c r="F27" i="87" s="1"/>
  <c r="F90" i="87"/>
  <c r="F56" i="87"/>
  <c r="L352" i="62"/>
  <c r="L358" i="62"/>
  <c r="L338" i="62"/>
  <c r="L346" i="62"/>
  <c r="F53" i="87"/>
  <c r="F55" i="87"/>
  <c r="F59" i="87"/>
  <c r="F57" i="87"/>
  <c r="F54" i="87"/>
  <c r="D258" i="108" l="1"/>
  <c r="D225" i="108"/>
  <c r="D215" i="108"/>
  <c r="D257" i="108"/>
  <c r="L47" i="63"/>
  <c r="C199" i="63"/>
  <c r="U82" i="63"/>
  <c r="I255" i="63"/>
  <c r="I254" i="63"/>
  <c r="I253" i="63"/>
  <c r="I251" i="63"/>
  <c r="I250" i="63"/>
  <c r="I249" i="63"/>
  <c r="I248" i="63"/>
  <c r="I243" i="63"/>
  <c r="I241" i="63"/>
  <c r="I244" i="63"/>
  <c r="F126" i="63"/>
  <c r="F355" i="87"/>
  <c r="I240" i="63"/>
  <c r="I245" i="63"/>
  <c r="I246" i="63"/>
  <c r="I242" i="63"/>
  <c r="I307" i="63"/>
  <c r="I306" i="63"/>
  <c r="I305" i="63"/>
  <c r="I304" i="63"/>
  <c r="E254" i="115"/>
  <c r="I125" i="63"/>
  <c r="D212" i="115" s="1"/>
  <c r="E229" i="115"/>
  <c r="E230" i="115"/>
  <c r="D12" i="115"/>
  <c r="D144" i="115" s="1"/>
  <c r="B308" i="65"/>
  <c r="B228" i="115"/>
  <c r="B60" i="115"/>
  <c r="I113" i="63"/>
  <c r="I119" i="63"/>
  <c r="E206" i="115"/>
  <c r="E195" i="115"/>
  <c r="E184" i="115"/>
  <c r="C286" i="65"/>
  <c r="K248" i="62"/>
  <c r="K237" i="62"/>
  <c r="K226" i="62"/>
  <c r="C275" i="65"/>
  <c r="C264" i="65"/>
  <c r="E274" i="65"/>
  <c r="E286" i="65"/>
  <c r="E275" i="65"/>
  <c r="E264" i="65"/>
  <c r="F79" i="63"/>
  <c r="F87" i="63"/>
  <c r="E324" i="65"/>
  <c r="E309" i="65"/>
  <c r="E304" i="65"/>
  <c r="E280" i="65"/>
  <c r="E279" i="65"/>
  <c r="E278" i="65"/>
  <c r="E277" i="65"/>
  <c r="E276" i="65"/>
  <c r="E272" i="65"/>
  <c r="E273" i="65"/>
  <c r="E291" i="65"/>
  <c r="E290" i="65"/>
  <c r="E289" i="65"/>
  <c r="E288" i="65"/>
  <c r="E287" i="65"/>
  <c r="E285" i="65"/>
  <c r="E284" i="65"/>
  <c r="E283" i="65"/>
  <c r="M235" i="62"/>
  <c r="M243" i="62"/>
  <c r="M242" i="62"/>
  <c r="M241" i="62"/>
  <c r="E263" i="65"/>
  <c r="E263" i="115"/>
  <c r="E262" i="115"/>
  <c r="E261" i="115"/>
  <c r="E341" i="65"/>
  <c r="E232" i="115"/>
  <c r="E231" i="115"/>
  <c r="E183" i="115"/>
  <c r="E205" i="115"/>
  <c r="E194" i="115"/>
  <c r="E227" i="115"/>
  <c r="E226" i="115"/>
  <c r="E225" i="115"/>
  <c r="E224" i="115"/>
  <c r="E222" i="115"/>
  <c r="E221" i="115"/>
  <c r="E220" i="115"/>
  <c r="E217" i="115"/>
  <c r="E216" i="115"/>
  <c r="E215" i="115"/>
  <c r="E209" i="115"/>
  <c r="E207" i="115"/>
  <c r="E208" i="115"/>
  <c r="E187" i="115"/>
  <c r="E186" i="115"/>
  <c r="E185" i="115"/>
  <c r="E197" i="115"/>
  <c r="E196" i="115"/>
  <c r="E198" i="115"/>
  <c r="I120" i="63" a="1"/>
  <c r="I120" i="63" s="1"/>
  <c r="I126" i="63" a="1"/>
  <c r="I126" i="63" s="1"/>
  <c r="I114" i="63"/>
  <c r="I252" i="63" l="1"/>
  <c r="E343" i="65"/>
  <c r="E342" i="65"/>
  <c r="E312" i="65"/>
  <c r="E311" i="65" l="1"/>
  <c r="E310" i="65"/>
  <c r="E307" i="65"/>
  <c r="E306" i="65"/>
  <c r="E305" i="65"/>
  <c r="E302" i="65"/>
  <c r="E301" i="65"/>
  <c r="E300" i="65"/>
  <c r="E297" i="65"/>
  <c r="E296" i="65"/>
  <c r="E295" i="65"/>
  <c r="E267" i="65"/>
  <c r="E266" i="65"/>
  <c r="E265" i="65"/>
  <c r="F96" i="63" a="1"/>
  <c r="F96" i="63" s="1"/>
  <c r="F88" i="63" a="1"/>
  <c r="F88" i="63" s="1"/>
  <c r="F80" i="63"/>
  <c r="M256" i="62"/>
  <c r="M257" i="62"/>
  <c r="M258" i="62"/>
  <c r="M259" i="62"/>
  <c r="M274" i="62"/>
  <c r="M273" i="62"/>
  <c r="M272" i="62"/>
  <c r="M264" i="62"/>
  <c r="M263" i="62"/>
  <c r="M262" i="62"/>
  <c r="M288" i="62"/>
  <c r="M290" i="62"/>
  <c r="M289" i="62"/>
  <c r="M281" i="62"/>
  <c r="M279" i="62"/>
  <c r="M278" i="62"/>
  <c r="M277" i="62"/>
  <c r="C117" i="63" a="1"/>
  <c r="C117" i="63" s="1"/>
  <c r="C110" i="63"/>
  <c r="J243" i="62" s="1"/>
  <c r="C103" i="63"/>
  <c r="J232" i="62" s="1"/>
  <c r="J242" i="62" l="1"/>
  <c r="J231" i="62"/>
  <c r="I377" i="87"/>
  <c r="I376" i="87"/>
  <c r="F315" i="87"/>
  <c r="F314" i="87"/>
  <c r="F316" i="87"/>
  <c r="C97" i="116"/>
  <c r="C94" i="116"/>
  <c r="C84" i="116"/>
  <c r="C78" i="116"/>
  <c r="C72" i="116"/>
  <c r="C66" i="116"/>
  <c r="C62" i="116"/>
  <c r="C49" i="116"/>
  <c r="C31" i="116"/>
  <c r="C28" i="116"/>
  <c r="C20" i="116"/>
  <c r="C16" i="116"/>
  <c r="B169" i="113"/>
  <c r="B164" i="113"/>
  <c r="C154" i="113"/>
  <c r="C147" i="113"/>
  <c r="C144" i="113"/>
  <c r="G122" i="113"/>
  <c r="C109" i="113"/>
  <c r="C102" i="113"/>
  <c r="C96" i="113"/>
  <c r="C91" i="113"/>
  <c r="C78" i="113"/>
  <c r="C60" i="113"/>
  <c r="C57" i="113"/>
  <c r="C52" i="113"/>
  <c r="C48" i="113"/>
  <c r="C44" i="113"/>
  <c r="C40" i="113"/>
  <c r="C134" i="119"/>
  <c r="E97" i="119"/>
  <c r="C91" i="119"/>
  <c r="C88" i="119"/>
  <c r="C85" i="119"/>
  <c r="E78" i="119"/>
  <c r="E71" i="119"/>
  <c r="E70" i="119"/>
  <c r="C62" i="119"/>
  <c r="C32" i="119"/>
  <c r="C519" i="75"/>
  <c r="C518" i="75"/>
  <c r="C517" i="75"/>
  <c r="C508" i="75"/>
  <c r="C507" i="75"/>
  <c r="C506" i="75"/>
  <c r="D491" i="75"/>
  <c r="C490" i="75"/>
  <c r="D489" i="75"/>
  <c r="C488" i="75"/>
  <c r="C487" i="75"/>
  <c r="C477" i="75"/>
  <c r="C466" i="75"/>
  <c r="C431" i="75"/>
  <c r="C430" i="75"/>
  <c r="C415" i="75"/>
  <c r="C408" i="75"/>
  <c r="C380" i="75"/>
  <c r="C379" i="75"/>
  <c r="C358" i="75"/>
  <c r="C357" i="75"/>
  <c r="C356" i="75"/>
  <c r="C355" i="75"/>
  <c r="C353" i="75"/>
  <c r="C352" i="75"/>
  <c r="C351" i="75"/>
  <c r="C350" i="75"/>
  <c r="C347" i="75"/>
  <c r="C346" i="75"/>
  <c r="C345" i="75"/>
  <c r="C344" i="75"/>
  <c r="C361" i="75" s="1"/>
  <c r="C336" i="75"/>
  <c r="C335" i="75"/>
  <c r="C334" i="75"/>
  <c r="C332" i="75"/>
  <c r="C331" i="75"/>
  <c r="C330" i="75"/>
  <c r="C328" i="75"/>
  <c r="C327" i="75"/>
  <c r="C326" i="75"/>
  <c r="C318" i="75"/>
  <c r="C317" i="75"/>
  <c r="C316" i="75"/>
  <c r="C315" i="75"/>
  <c r="C306" i="75"/>
  <c r="C305" i="75"/>
  <c r="C304" i="75"/>
  <c r="C302" i="75"/>
  <c r="C301" i="75"/>
  <c r="C300" i="75"/>
  <c r="C293" i="75"/>
  <c r="C292" i="75"/>
  <c r="C291" i="75"/>
  <c r="C290" i="75"/>
  <c r="C281" i="75"/>
  <c r="C280" i="75"/>
  <c r="C279" i="75"/>
  <c r="C277" i="75"/>
  <c r="C276" i="75"/>
  <c r="C275" i="75"/>
  <c r="C268" i="75"/>
  <c r="C267" i="75"/>
  <c r="C266" i="75"/>
  <c r="C265" i="75"/>
  <c r="C264" i="75"/>
  <c r="C251" i="75"/>
  <c r="C250" i="75"/>
  <c r="C249" i="75"/>
  <c r="C248" i="75"/>
  <c r="C348" i="75" s="1"/>
  <c r="C218" i="75"/>
  <c r="C153" i="75"/>
  <c r="C149" i="75"/>
  <c r="C142" i="75"/>
  <c r="C141" i="75"/>
  <c r="C134" i="75"/>
  <c r="C124" i="75"/>
  <c r="C123" i="75"/>
  <c r="C122" i="75"/>
  <c r="C121" i="75"/>
  <c r="C120" i="75"/>
  <c r="C107" i="75"/>
  <c r="C106" i="75"/>
  <c r="D76" i="75"/>
  <c r="D68" i="75"/>
  <c r="C67" i="75"/>
  <c r="C40" i="75"/>
  <c r="C62" i="75" s="1"/>
  <c r="C39" i="75"/>
  <c r="C61" i="75" s="1"/>
  <c r="C38" i="75"/>
  <c r="C59" i="75" s="1"/>
  <c r="C37" i="75"/>
  <c r="C54" i="75" s="1"/>
  <c r="C36" i="75"/>
  <c r="C53" i="75" s="1"/>
  <c r="C35" i="75"/>
  <c r="C51" i="75" s="1"/>
  <c r="C34" i="75"/>
  <c r="C33" i="75"/>
  <c r="C32" i="75"/>
  <c r="D30" i="75"/>
  <c r="C21" i="75"/>
  <c r="C514" i="75" s="1"/>
  <c r="C13" i="75"/>
  <c r="E637" i="117"/>
  <c r="D633" i="117"/>
  <c r="E591" i="117"/>
  <c r="E544" i="117"/>
  <c r="E498" i="117"/>
  <c r="E451" i="117"/>
  <c r="E405" i="117"/>
  <c r="E358" i="117"/>
  <c r="E312" i="117"/>
  <c r="E265" i="117"/>
  <c r="E219" i="117"/>
  <c r="E172" i="117"/>
  <c r="E126" i="117"/>
  <c r="E79" i="117"/>
  <c r="E33" i="117"/>
  <c r="E562" i="120"/>
  <c r="E561" i="120"/>
  <c r="B555" i="120"/>
  <c r="E554" i="120"/>
  <c r="E553" i="120"/>
  <c r="B547" i="120"/>
  <c r="E546" i="120"/>
  <c r="E545" i="120"/>
  <c r="B539" i="120"/>
  <c r="E538" i="120"/>
  <c r="E537" i="120"/>
  <c r="B531" i="120"/>
  <c r="E530" i="120"/>
  <c r="E529" i="120"/>
  <c r="B523" i="120"/>
  <c r="E522" i="120"/>
  <c r="E521" i="120"/>
  <c r="B515" i="120"/>
  <c r="E514" i="120"/>
  <c r="E513" i="120"/>
  <c r="B507" i="120"/>
  <c r="C417" i="120"/>
  <c r="C416" i="120"/>
  <c r="D404" i="120"/>
  <c r="C394" i="120"/>
  <c r="D393" i="120"/>
  <c r="C387" i="120"/>
  <c r="C376" i="120"/>
  <c r="C373" i="120"/>
  <c r="C372" i="120"/>
  <c r="C256" i="120"/>
  <c r="D255" i="120"/>
  <c r="C249" i="120"/>
  <c r="C236" i="120"/>
  <c r="C235" i="120"/>
  <c r="D213" i="120"/>
  <c r="D212" i="120"/>
  <c r="D210" i="120"/>
  <c r="D209" i="120"/>
  <c r="D208" i="120"/>
  <c r="D207" i="120"/>
  <c r="D205" i="120"/>
  <c r="D199" i="120"/>
  <c r="D198" i="120"/>
  <c r="D192" i="120"/>
  <c r="D190" i="120"/>
  <c r="D188" i="120"/>
  <c r="D186" i="120"/>
  <c r="D185" i="120"/>
  <c r="D179" i="120"/>
  <c r="D173" i="120"/>
  <c r="D172" i="120"/>
  <c r="D170" i="120"/>
  <c r="D169" i="120"/>
  <c r="D168" i="120"/>
  <c r="D167" i="120"/>
  <c r="D166" i="120"/>
  <c r="D164" i="120"/>
  <c r="D158" i="120"/>
  <c r="D157" i="120"/>
  <c r="D156" i="120"/>
  <c r="D150" i="120"/>
  <c r="D148" i="120"/>
  <c r="D146" i="120"/>
  <c r="D144" i="120"/>
  <c r="D143" i="120"/>
  <c r="D137" i="120"/>
  <c r="D125" i="120"/>
  <c r="D119" i="120"/>
  <c r="C117" i="120"/>
  <c r="D115" i="120"/>
  <c r="D113" i="120"/>
  <c r="C104" i="120" a="1"/>
  <c r="C104" i="120"/>
  <c r="D98" i="120"/>
  <c r="C82" i="120"/>
  <c r="C397" i="120" s="1"/>
  <c r="C73" i="120"/>
  <c r="C259" i="120" s="1"/>
  <c r="C41" i="120"/>
  <c r="L160" i="63"/>
  <c r="L159" i="63"/>
  <c r="L158" i="63"/>
  <c r="L157" i="63"/>
  <c r="L156" i="63"/>
  <c r="L155" i="63"/>
  <c r="L154" i="63"/>
  <c r="L153" i="63"/>
  <c r="L152" i="63"/>
  <c r="L151" i="63"/>
  <c r="L150" i="63"/>
  <c r="L149" i="63"/>
  <c r="L148" i="63"/>
  <c r="L147" i="63"/>
  <c r="L146" i="63"/>
  <c r="L145" i="63"/>
  <c r="L144" i="63"/>
  <c r="L141" i="63"/>
  <c r="L140" i="63"/>
  <c r="L139" i="63"/>
  <c r="L138" i="63"/>
  <c r="L136" i="63"/>
  <c r="Y54" i="123" s="1" a="1"/>
  <c r="Y54" i="123" s="1"/>
  <c r="L133" i="63"/>
  <c r="L132" i="63"/>
  <c r="L131" i="63"/>
  <c r="L130" i="63"/>
  <c r="L129" i="63"/>
  <c r="L128" i="63"/>
  <c r="L127" i="63"/>
  <c r="L126" i="63"/>
  <c r="L125" i="63"/>
  <c r="Y50" i="123" s="1" a="1"/>
  <c r="Y50" i="123" s="1"/>
  <c r="L124" i="63"/>
  <c r="L123" i="63"/>
  <c r="L122" i="63"/>
  <c r="L121" i="63"/>
  <c r="I312" i="63"/>
  <c r="I311" i="63"/>
  <c r="I310" i="63"/>
  <c r="I309" i="63"/>
  <c r="I308" i="63"/>
  <c r="I303" i="63"/>
  <c r="I302" i="63"/>
  <c r="I301" i="63"/>
  <c r="I300" i="63"/>
  <c r="I299" i="63"/>
  <c r="I298" i="63"/>
  <c r="I297" i="63"/>
  <c r="I296" i="63"/>
  <c r="I295" i="63"/>
  <c r="I294" i="63"/>
  <c r="I293" i="63"/>
  <c r="I292" i="63"/>
  <c r="I291" i="63"/>
  <c r="D440" i="115" s="1" a="1"/>
  <c r="D440" i="115" s="1"/>
  <c r="I290" i="63"/>
  <c r="I289" i="63"/>
  <c r="I288" i="63"/>
  <c r="I286" i="63"/>
  <c r="I285" i="63"/>
  <c r="I284" i="63"/>
  <c r="I283" i="63"/>
  <c r="I282" i="63"/>
  <c r="I281" i="63"/>
  <c r="I280" i="63"/>
  <c r="D429" i="115" s="1"/>
  <c r="I279" i="63"/>
  <c r="D395" i="115" s="1" a="1"/>
  <c r="I278" i="63"/>
  <c r="D394" i="115" s="1"/>
  <c r="I277" i="63"/>
  <c r="I276" i="63"/>
  <c r="I275" i="63" a="1"/>
  <c r="I275" i="63" s="1"/>
  <c r="I274" i="63"/>
  <c r="L113" i="63"/>
  <c r="I272" i="63"/>
  <c r="D431" i="115" s="1"/>
  <c r="I268" i="63"/>
  <c r="D370" i="115" s="1"/>
  <c r="I267" i="63"/>
  <c r="I266" i="63"/>
  <c r="I265" i="63"/>
  <c r="I264" i="63" a="1"/>
  <c r="I264" i="63" s="1"/>
  <c r="I263" i="63"/>
  <c r="I262" i="63"/>
  <c r="I261" i="63"/>
  <c r="I271" i="63" s="1"/>
  <c r="I260" i="63"/>
  <c r="D374" i="115" s="1" a="1"/>
  <c r="D374" i="115" s="1"/>
  <c r="I259" i="63"/>
  <c r="C233" i="63"/>
  <c r="C232" i="63"/>
  <c r="C231" i="63"/>
  <c r="C230" i="63"/>
  <c r="C229" i="63"/>
  <c r="C228" i="63"/>
  <c r="C227" i="63"/>
  <c r="C226" i="63"/>
  <c r="L110" i="63"/>
  <c r="D170" i="118" s="1" a="1"/>
  <c r="D170" i="118" s="1"/>
  <c r="C225" i="63"/>
  <c r="C224" i="63"/>
  <c r="C223" i="63"/>
  <c r="L109" i="63"/>
  <c r="D167" i="118" s="1"/>
  <c r="C222" i="63"/>
  <c r="L108" i="63"/>
  <c r="L112" i="63" s="1"/>
  <c r="C221" i="63"/>
  <c r="C220" i="63"/>
  <c r="C219" i="63"/>
  <c r="L107" i="63"/>
  <c r="L111" i="63" s="1"/>
  <c r="C218" i="63"/>
  <c r="I238" i="63"/>
  <c r="I237" i="63"/>
  <c r="I236" i="63"/>
  <c r="I234" i="63"/>
  <c r="I233" i="63"/>
  <c r="I232" i="63"/>
  <c r="C217" i="63"/>
  <c r="I231" i="63"/>
  <c r="C216" i="63"/>
  <c r="I229" i="63"/>
  <c r="C215" i="63"/>
  <c r="I228" i="63"/>
  <c r="I227" i="63"/>
  <c r="C214" i="63"/>
  <c r="C213" i="63"/>
  <c r="I225" i="63"/>
  <c r="C212" i="63"/>
  <c r="I224" i="63"/>
  <c r="C211" i="63"/>
  <c r="I223" i="63"/>
  <c r="C210" i="63"/>
  <c r="L103" i="63"/>
  <c r="I222" i="63"/>
  <c r="C209" i="63"/>
  <c r="C208" i="63"/>
  <c r="I220" i="63"/>
  <c r="D350" i="115" s="1"/>
  <c r="I219" i="63"/>
  <c r="I218" i="63"/>
  <c r="L102" i="63"/>
  <c r="I217" i="63"/>
  <c r="I216" i="63"/>
  <c r="I215" i="63"/>
  <c r="C202" i="63"/>
  <c r="I214" i="63"/>
  <c r="C201" i="63"/>
  <c r="U102" i="63"/>
  <c r="D242" i="119" s="1"/>
  <c r="I213" i="63"/>
  <c r="G121" i="113"/>
  <c r="U101" i="63"/>
  <c r="D231" i="119" s="1"/>
  <c r="L101" i="63"/>
  <c r="I212" i="63"/>
  <c r="U100" i="63"/>
  <c r="I211" i="63"/>
  <c r="U99" i="63"/>
  <c r="L100" i="63"/>
  <c r="I210" i="63"/>
  <c r="U98" i="63"/>
  <c r="I209" i="63"/>
  <c r="U97" i="63"/>
  <c r="I208" i="63"/>
  <c r="C195" i="63"/>
  <c r="I207" i="63"/>
  <c r="U95" i="63"/>
  <c r="I206" i="63"/>
  <c r="U94" i="63"/>
  <c r="I205" i="63"/>
  <c r="C192" i="63"/>
  <c r="U93" i="63"/>
  <c r="D156" i="119" s="1" a="1"/>
  <c r="D156" i="119" s="1"/>
  <c r="I204" i="63"/>
  <c r="U92" i="63"/>
  <c r="D79" i="119" s="1"/>
  <c r="I203" i="63"/>
  <c r="U91" i="63"/>
  <c r="I202" i="63"/>
  <c r="U90" i="63"/>
  <c r="D21" i="119" s="1"/>
  <c r="I201" i="63"/>
  <c r="U89" i="63"/>
  <c r="I200" i="63"/>
  <c r="U88" i="63"/>
  <c r="U87" i="63"/>
  <c r="U86" i="63" a="1"/>
  <c r="U86" i="63" s="1"/>
  <c r="D97" i="119" s="1" a="1"/>
  <c r="D97" i="119" s="1"/>
  <c r="L99" i="63"/>
  <c r="I196" i="63"/>
  <c r="U84" i="63"/>
  <c r="I195" i="63"/>
  <c r="U83" i="63"/>
  <c r="I194" i="63"/>
  <c r="L98" i="63"/>
  <c r="D146" i="118" s="1" a="1"/>
  <c r="D146" i="118" s="1"/>
  <c r="I193" i="63"/>
  <c r="I192" i="63"/>
  <c r="C179" i="63"/>
  <c r="B88" i="116" s="1"/>
  <c r="I191" i="63"/>
  <c r="C83" i="63"/>
  <c r="I190" i="63"/>
  <c r="I189" i="63"/>
  <c r="F196" i="63"/>
  <c r="I188" i="63"/>
  <c r="F195" i="63"/>
  <c r="I187" i="63"/>
  <c r="F194" i="63"/>
  <c r="C174" i="63"/>
  <c r="I186" i="63"/>
  <c r="F193" i="63"/>
  <c r="C173" i="63"/>
  <c r="I185" i="63"/>
  <c r="F192" i="63"/>
  <c r="C172" i="63"/>
  <c r="I184" i="63"/>
  <c r="F191" i="63"/>
  <c r="C171" i="63"/>
  <c r="I183" i="63"/>
  <c r="F190" i="63"/>
  <c r="C170" i="63"/>
  <c r="I182" i="63"/>
  <c r="C169" i="63"/>
  <c r="L94" i="63"/>
  <c r="I181" i="63"/>
  <c r="F187" i="63"/>
  <c r="C168" i="63"/>
  <c r="L93" i="63"/>
  <c r="G89" i="113" s="1"/>
  <c r="I180" i="63"/>
  <c r="F186" i="63"/>
  <c r="C167" i="63"/>
  <c r="L92" i="63"/>
  <c r="D445" i="108" s="1"/>
  <c r="I179" i="63"/>
  <c r="F185" i="63"/>
  <c r="C166" i="63"/>
  <c r="L91" i="63"/>
  <c r="I178" i="63"/>
  <c r="F184" i="63"/>
  <c r="C165" i="63"/>
  <c r="I177" i="63"/>
  <c r="F183" i="63"/>
  <c r="C164" i="63"/>
  <c r="F182" i="63"/>
  <c r="C163" i="63"/>
  <c r="F181" i="63"/>
  <c r="C162" i="63"/>
  <c r="F180" i="63"/>
  <c r="C161" i="63"/>
  <c r="L87" i="63"/>
  <c r="I173" i="63"/>
  <c r="F179" i="63"/>
  <c r="C160" i="63"/>
  <c r="L86" i="63"/>
  <c r="I172" i="63"/>
  <c r="F178" i="63"/>
  <c r="C159" i="63"/>
  <c r="L85" i="63"/>
  <c r="I171" i="63"/>
  <c r="F177" i="63"/>
  <c r="C158" i="63"/>
  <c r="L84" i="63"/>
  <c r="I170" i="63"/>
  <c r="F176" i="63"/>
  <c r="C157" i="63"/>
  <c r="L83" i="63"/>
  <c r="B122" i="113" s="1" a="1"/>
  <c r="B122" i="113" s="1"/>
  <c r="I169" i="63"/>
  <c r="F175" i="63"/>
  <c r="C156" i="63"/>
  <c r="I168" i="63"/>
  <c r="F174" i="63"/>
  <c r="C155" i="63"/>
  <c r="I167" i="63"/>
  <c r="C154" i="63"/>
  <c r="I166" i="63"/>
  <c r="F172" i="63"/>
  <c r="C153" i="63"/>
  <c r="I165" i="63"/>
  <c r="F171" i="63"/>
  <c r="C152" i="63"/>
  <c r="I164" i="63"/>
  <c r="I163" i="63"/>
  <c r="F169" i="63"/>
  <c r="I162" i="63"/>
  <c r="I161" i="63"/>
  <c r="F167" i="63"/>
  <c r="I160" i="63"/>
  <c r="F166" i="63"/>
  <c r="I159" i="63"/>
  <c r="F165" i="63"/>
  <c r="I158" i="63"/>
  <c r="F164" i="63"/>
  <c r="I157" i="63"/>
  <c r="F163" i="63"/>
  <c r="I156" i="63"/>
  <c r="F161" i="63"/>
  <c r="F160" i="63"/>
  <c r="F159" i="63"/>
  <c r="I154" i="63"/>
  <c r="F158" i="63"/>
  <c r="I153" i="63"/>
  <c r="F157" i="63"/>
  <c r="F156" i="63"/>
  <c r="D73" i="109" s="1"/>
  <c r="I151" i="63"/>
  <c r="I150" i="63"/>
  <c r="F154" i="63"/>
  <c r="I149" i="63"/>
  <c r="F153" i="63"/>
  <c r="D569" i="109" s="1"/>
  <c r="I148" i="63"/>
  <c r="F152" i="63"/>
  <c r="F151" i="63"/>
  <c r="I146" i="63"/>
  <c r="F150" i="63"/>
  <c r="I145" i="63"/>
  <c r="F149" i="63"/>
  <c r="I144" i="63"/>
  <c r="F148" i="63"/>
  <c r="C147" i="63"/>
  <c r="I143" i="63"/>
  <c r="F147" i="63"/>
  <c r="D51" i="119" s="1"/>
  <c r="C146" i="63"/>
  <c r="I141" i="63"/>
  <c r="C145" i="63"/>
  <c r="I140" i="63"/>
  <c r="C144" i="63"/>
  <c r="I139" i="63"/>
  <c r="F143" i="63"/>
  <c r="C143" i="63"/>
  <c r="I138" i="63"/>
  <c r="F142" i="63"/>
  <c r="C142" i="63"/>
  <c r="I136" i="63"/>
  <c r="F139" i="63"/>
  <c r="D60" i="116" s="1"/>
  <c r="C140" i="63"/>
  <c r="I135" i="63"/>
  <c r="F138" i="63"/>
  <c r="C139" i="63" a="1"/>
  <c r="C139" i="63" s="1"/>
  <c r="O127" i="63"/>
  <c r="D150" i="75" s="1"/>
  <c r="I134" i="63"/>
  <c r="F137" i="63"/>
  <c r="C138" i="63" a="1"/>
  <c r="C138" i="63" s="1"/>
  <c r="O126" i="63"/>
  <c r="I133" i="63"/>
  <c r="F136" i="63"/>
  <c r="C137" i="63"/>
  <c r="D88" i="116"/>
  <c r="C136" i="63"/>
  <c r="D130" i="108" s="1"/>
  <c r="O124" i="63"/>
  <c r="I131" i="63"/>
  <c r="D89" i="116"/>
  <c r="C135" i="63"/>
  <c r="O123" i="63"/>
  <c r="I130" i="63"/>
  <c r="C134" i="63"/>
  <c r="O122" i="63"/>
  <c r="I129" i="63"/>
  <c r="O121" i="63"/>
  <c r="D290" i="75" s="1" a="1"/>
  <c r="D290" i="75" s="1"/>
  <c r="I128" i="63"/>
  <c r="O120" i="63"/>
  <c r="U78" i="63"/>
  <c r="D414" i="120" s="1"/>
  <c r="O119" i="63"/>
  <c r="U77" i="63"/>
  <c r="I124" i="63"/>
  <c r="F128" i="63"/>
  <c r="C130" i="63"/>
  <c r="U76" i="63"/>
  <c r="D417" i="120" s="1"/>
  <c r="I123" i="63"/>
  <c r="F127" i="63"/>
  <c r="C129" i="63"/>
  <c r="U75" i="63"/>
  <c r="D416" i="120" s="1"/>
  <c r="R71" i="63"/>
  <c r="D277" i="120" s="1"/>
  <c r="I122" i="63"/>
  <c r="C128" i="63"/>
  <c r="U74" i="63"/>
  <c r="I121" i="63"/>
  <c r="C127" i="63"/>
  <c r="U73" i="63"/>
  <c r="D201" i="115" a="1"/>
  <c r="D201" i="115" s="1"/>
  <c r="C126" i="63"/>
  <c r="U72" i="63"/>
  <c r="D387" i="120" s="1"/>
  <c r="I118" i="63"/>
  <c r="C125" i="63"/>
  <c r="U71" i="63"/>
  <c r="D397" i="120" s="1"/>
  <c r="R67" i="63"/>
  <c r="L80" i="63"/>
  <c r="I117" i="63"/>
  <c r="C124" i="63"/>
  <c r="U70" i="63"/>
  <c r="D396" i="120" s="1"/>
  <c r="R66" i="63"/>
  <c r="L79" i="63"/>
  <c r="I116" i="63"/>
  <c r="U69" i="63"/>
  <c r="D376" i="120" s="1"/>
  <c r="L78" i="63"/>
  <c r="I115" i="63"/>
  <c r="U68" i="63"/>
  <c r="D373" i="120" s="1"/>
  <c r="D190" i="115"/>
  <c r="F119" i="63"/>
  <c r="U67" i="63"/>
  <c r="D372" i="120" s="1"/>
  <c r="O108" i="63"/>
  <c r="D141" i="75" s="1"/>
  <c r="I112" i="63"/>
  <c r="C120" i="63"/>
  <c r="U66" i="63"/>
  <c r="D368" i="120" s="1"/>
  <c r="R62" i="63"/>
  <c r="D381" i="120" s="1"/>
  <c r="O107" i="63"/>
  <c r="I111" i="63"/>
  <c r="U65" i="63"/>
  <c r="D249" i="120" s="1"/>
  <c r="R61" i="63"/>
  <c r="O106" i="63"/>
  <c r="D102" i="75" s="1"/>
  <c r="I110" i="63"/>
  <c r="U64" i="63"/>
  <c r="D291" i="120" s="1"/>
  <c r="R60" i="63"/>
  <c r="D243" i="120" s="1"/>
  <c r="O105" i="63"/>
  <c r="I109" i="63"/>
  <c r="C116" i="63"/>
  <c r="U63" i="63"/>
  <c r="D259" i="120" s="1"/>
  <c r="O104" i="63"/>
  <c r="D75" i="75" s="1"/>
  <c r="I108" i="63"/>
  <c r="C115" i="63"/>
  <c r="U62" i="63"/>
  <c r="D258" i="120" s="1"/>
  <c r="O103" i="63"/>
  <c r="D62" i="75" s="1"/>
  <c r="C114" i="63"/>
  <c r="U61" i="63"/>
  <c r="D236" i="120" s="1"/>
  <c r="O102" i="63"/>
  <c r="I106" i="63"/>
  <c r="C113" i="63"/>
  <c r="U60" i="63"/>
  <c r="D235" i="120" s="1"/>
  <c r="R56" i="63"/>
  <c r="O101" i="63"/>
  <c r="D59" i="75" s="1"/>
  <c r="I105" i="63"/>
  <c r="F111" i="63"/>
  <c r="D351" i="109" s="1"/>
  <c r="C112" i="63"/>
  <c r="U59" i="63"/>
  <c r="D224" i="120" s="1"/>
  <c r="R55" i="63"/>
  <c r="O100" i="63"/>
  <c r="I104" i="63"/>
  <c r="B89" i="116"/>
  <c r="R54" i="63"/>
  <c r="O99" i="63"/>
  <c r="D53" i="75" s="1"/>
  <c r="I103" i="63"/>
  <c r="C109" i="63"/>
  <c r="R53" i="63"/>
  <c r="D126" i="75" s="1"/>
  <c r="O98" i="63"/>
  <c r="O113" i="63" s="1"/>
  <c r="I102" i="63"/>
  <c r="C108" i="63"/>
  <c r="O97" i="63" a="1"/>
  <c r="O97" i="63" s="1"/>
  <c r="O112" i="63" s="1"/>
  <c r="I99" i="63"/>
  <c r="C107" i="63"/>
  <c r="U55" i="63"/>
  <c r="O96" i="63" a="1"/>
  <c r="O96" i="63" s="1"/>
  <c r="O111" i="63" s="1"/>
  <c r="I98" i="63"/>
  <c r="C106" i="63"/>
  <c r="U54" i="63"/>
  <c r="O95" i="63"/>
  <c r="C105" i="63"/>
  <c r="U53" i="63"/>
  <c r="R49" i="63"/>
  <c r="O94" i="63"/>
  <c r="O109" i="63" s="1"/>
  <c r="I97" i="63"/>
  <c r="U52" i="63"/>
  <c r="D375" i="75" s="1"/>
  <c r="R48" i="63"/>
  <c r="J374" i="62" s="1"/>
  <c r="O93" i="63"/>
  <c r="I96" i="63"/>
  <c r="F103" i="63"/>
  <c r="C102" i="63"/>
  <c r="U51" i="63"/>
  <c r="D114" i="120" s="1"/>
  <c r="R47" i="63"/>
  <c r="J373" i="62" s="1"/>
  <c r="O92" i="63"/>
  <c r="D85" i="75" s="1" a="1"/>
  <c r="D85" i="75" s="1"/>
  <c r="F102" i="63"/>
  <c r="C101" i="63"/>
  <c r="U50" i="63"/>
  <c r="D163" i="120" s="1"/>
  <c r="R46" i="63"/>
  <c r="O91" i="63"/>
  <c r="I95" i="63"/>
  <c r="C100" i="63"/>
  <c r="U49" i="63"/>
  <c r="R45" i="63"/>
  <c r="J377" i="62" s="1"/>
  <c r="O90" i="63"/>
  <c r="D60" i="75" s="1"/>
  <c r="I94" i="63"/>
  <c r="F100" i="63"/>
  <c r="C99" i="63"/>
  <c r="U48" i="63"/>
  <c r="I93" i="63"/>
  <c r="D386" i="115" s="1"/>
  <c r="D265" i="120"/>
  <c r="U47" i="63"/>
  <c r="I92" i="63"/>
  <c r="D351" i="115" s="1"/>
  <c r="U46" i="63"/>
  <c r="C96" i="63"/>
  <c r="U45" i="63"/>
  <c r="F95" i="63"/>
  <c r="D292" i="65" s="1"/>
  <c r="U44" i="63"/>
  <c r="O85" i="63"/>
  <c r="D370" i="109" s="1"/>
  <c r="F94" i="63"/>
  <c r="U43" i="63"/>
  <c r="D264" i="75" s="1"/>
  <c r="I91" i="63"/>
  <c r="F93" i="63" a="1"/>
  <c r="F93" i="63" s="1"/>
  <c r="U42" i="63"/>
  <c r="O83" i="63"/>
  <c r="D629" i="109" s="1"/>
  <c r="I90" i="63"/>
  <c r="F92" i="63"/>
  <c r="C92" i="63"/>
  <c r="U41" i="63"/>
  <c r="D628" i="109"/>
  <c r="I89" i="63"/>
  <c r="F91" i="63"/>
  <c r="C91" i="63"/>
  <c r="U40" i="63"/>
  <c r="I88" i="63"/>
  <c r="F90" i="63"/>
  <c r="C90" i="63"/>
  <c r="U39" i="63"/>
  <c r="D559" i="109"/>
  <c r="I87" i="63"/>
  <c r="AA38" i="63"/>
  <c r="U38" i="63"/>
  <c r="D305" i="75" s="1"/>
  <c r="D570" i="109"/>
  <c r="I86" i="63"/>
  <c r="D281" i="65"/>
  <c r="U37" i="63"/>
  <c r="R33" i="63"/>
  <c r="D630" i="109"/>
  <c r="I85" i="63"/>
  <c r="F86" i="63"/>
  <c r="R32" i="63"/>
  <c r="O77" i="63"/>
  <c r="D555" i="109" s="1"/>
  <c r="I84" i="63"/>
  <c r="F85" i="63"/>
  <c r="U35" i="63"/>
  <c r="R31" i="63"/>
  <c r="O76" i="63"/>
  <c r="I83" i="63"/>
  <c r="F84" i="63" a="1"/>
  <c r="F84" i="63" s="1"/>
  <c r="U34" i="63"/>
  <c r="R30" i="63"/>
  <c r="D534" i="109"/>
  <c r="I82" i="63"/>
  <c r="F83" i="63"/>
  <c r="U33" i="63"/>
  <c r="R29" i="63"/>
  <c r="I81" i="63"/>
  <c r="F82" i="63"/>
  <c r="C89" i="63"/>
  <c r="U32" i="63"/>
  <c r="O73" i="63"/>
  <c r="D493" i="109" s="1"/>
  <c r="I80" i="63"/>
  <c r="C88" i="63"/>
  <c r="D452" i="109" s="1"/>
  <c r="U31" i="63"/>
  <c r="O72" i="63"/>
  <c r="D502" i="109" s="1"/>
  <c r="I79" i="63"/>
  <c r="D270" i="65"/>
  <c r="U30" i="63"/>
  <c r="O71" i="63"/>
  <c r="I78" i="63"/>
  <c r="F78" i="63"/>
  <c r="U29" i="63"/>
  <c r="O70" i="63" a="1"/>
  <c r="O70" i="63" s="1"/>
  <c r="I77" i="63"/>
  <c r="F77" i="63" a="1"/>
  <c r="F77" i="63" s="1"/>
  <c r="AA30" i="63"/>
  <c r="I76" i="63"/>
  <c r="F76" i="63"/>
  <c r="C84" i="63"/>
  <c r="B121" i="113" s="1"/>
  <c r="U27" i="63"/>
  <c r="I75" i="63"/>
  <c r="F75" i="63"/>
  <c r="U26" i="63"/>
  <c r="F130" i="87" s="1"/>
  <c r="F74" i="63"/>
  <c r="U25" i="63"/>
  <c r="D579" i="109"/>
  <c r="I73" i="63"/>
  <c r="D116" i="115" s="1"/>
  <c r="X44" i="63"/>
  <c r="U24" i="63"/>
  <c r="O67" i="63"/>
  <c r="L67" i="63"/>
  <c r="I72" i="63"/>
  <c r="F72" i="63"/>
  <c r="U23" i="63"/>
  <c r="D581" i="109"/>
  <c r="L66" i="63"/>
  <c r="D448" i="109" s="1"/>
  <c r="I71" i="63"/>
  <c r="C75" i="63"/>
  <c r="U22" i="63"/>
  <c r="L65" i="63"/>
  <c r="I70" i="63"/>
  <c r="C74" i="63"/>
  <c r="C53" i="63" s="1"/>
  <c r="U21" i="63"/>
  <c r="I69" i="63"/>
  <c r="C73" i="63"/>
  <c r="F282" i="87" s="1"/>
  <c r="X40" i="63"/>
  <c r="U20" i="63"/>
  <c r="I68" i="63"/>
  <c r="F68" i="63"/>
  <c r="C72" i="63"/>
  <c r="F272" i="87" s="1"/>
  <c r="I67" i="63"/>
  <c r="C71" i="63"/>
  <c r="B163" i="113" s="1"/>
  <c r="I66" i="63"/>
  <c r="C70" i="63"/>
  <c r="D559" i="108" s="1"/>
  <c r="I65" i="63"/>
  <c r="C69" i="63"/>
  <c r="D555" i="108" s="1"/>
  <c r="X36" i="63"/>
  <c r="U16" i="63"/>
  <c r="D508" i="75" s="1"/>
  <c r="I64" i="63"/>
  <c r="C68" i="63"/>
  <c r="C49" i="63" s="1"/>
  <c r="AA19" i="63"/>
  <c r="C142" i="115" s="1"/>
  <c r="U15" i="63"/>
  <c r="O59" i="63" a="1"/>
  <c r="O59" i="63" s="1"/>
  <c r="C10" i="87" s="1"/>
  <c r="I63" i="63"/>
  <c r="F63" i="63"/>
  <c r="D402" i="109" s="1"/>
  <c r="C67" i="63"/>
  <c r="U14" i="63"/>
  <c r="D519" i="75" s="1"/>
  <c r="O58" i="63"/>
  <c r="C9" i="87" s="1"/>
  <c r="D54" i="108"/>
  <c r="I62" i="63"/>
  <c r="C66" i="63"/>
  <c r="C54" i="87" s="1"/>
  <c r="U13" i="63"/>
  <c r="O57" i="63"/>
  <c r="I61" i="63"/>
  <c r="C65" i="63"/>
  <c r="D345" i="109"/>
  <c r="O56" i="63"/>
  <c r="C16" i="87" s="1"/>
  <c r="I60" i="63"/>
  <c r="C64" i="63"/>
  <c r="O55" i="63"/>
  <c r="I59" i="63"/>
  <c r="C63" i="63"/>
  <c r="U10" i="63"/>
  <c r="O54" i="63"/>
  <c r="I58" i="63"/>
  <c r="F56" i="63"/>
  <c r="F41" i="63" s="1"/>
  <c r="C62" i="63"/>
  <c r="C43" i="63" s="1"/>
  <c r="U9" i="63"/>
  <c r="I57" i="63"/>
  <c r="F55" i="63"/>
  <c r="I283" i="87" s="1"/>
  <c r="C61" i="63"/>
  <c r="C42" i="63" s="1"/>
  <c r="X28" i="63"/>
  <c r="D59" i="116" s="1"/>
  <c r="U8" i="63"/>
  <c r="R24" i="63"/>
  <c r="J379" i="62" s="1"/>
  <c r="L51" i="63"/>
  <c r="F54" i="63"/>
  <c r="I271" i="87" s="1"/>
  <c r="L50" i="63"/>
  <c r="I55" i="63"/>
  <c r="F53" i="63"/>
  <c r="B113" i="116" s="1"/>
  <c r="AA15" i="63"/>
  <c r="I54" i="63"/>
  <c r="F52" i="63" a="1"/>
  <c r="F52" i="63" s="1"/>
  <c r="D491" i="109" s="1"/>
  <c r="F51" i="63"/>
  <c r="D526" i="109" s="1"/>
  <c r="X24" i="63"/>
  <c r="G91" i="113" s="1"/>
  <c r="F50" i="63"/>
  <c r="F37" i="63" s="1"/>
  <c r="AA14" i="63"/>
  <c r="F49" i="63"/>
  <c r="AA13" i="63"/>
  <c r="F48" i="63"/>
  <c r="B397" i="65" s="1"/>
  <c r="D27" i="109"/>
  <c r="L46" i="63"/>
  <c r="I48" i="63"/>
  <c r="F47" i="63"/>
  <c r="F34" i="63" s="1"/>
  <c r="X20" i="63"/>
  <c r="D24" i="109"/>
  <c r="L45" i="63"/>
  <c r="I47" i="63"/>
  <c r="F46" i="63"/>
  <c r="F33" i="63" s="1"/>
  <c r="D77" i="116"/>
  <c r="AA12" i="63"/>
  <c r="D25" i="109"/>
  <c r="F45" i="63"/>
  <c r="D364" i="109" s="1"/>
  <c r="D26" i="109"/>
  <c r="I45" i="63"/>
  <c r="O41" i="63"/>
  <c r="D23" i="109" s="1"/>
  <c r="I44" i="63"/>
  <c r="X16" i="63"/>
  <c r="D22" i="109"/>
  <c r="L41" i="63"/>
  <c r="AA10" i="63"/>
  <c r="D21" i="109"/>
  <c r="L40" i="63"/>
  <c r="AA9" i="63"/>
  <c r="D28" i="109"/>
  <c r="L39" i="63"/>
  <c r="AA8" i="63"/>
  <c r="D57" i="108"/>
  <c r="L38" i="63"/>
  <c r="X12" i="63"/>
  <c r="D390" i="108" s="1"/>
  <c r="O36" i="63"/>
  <c r="I38" i="63"/>
  <c r="O35" i="63"/>
  <c r="L37" i="63"/>
  <c r="D361" i="109" s="1"/>
  <c r="I37" i="63"/>
  <c r="O34" i="63"/>
  <c r="L36" i="63" a="1"/>
  <c r="L36" i="63" s="1"/>
  <c r="D405" i="108" s="1"/>
  <c r="AE28" i="63"/>
  <c r="L35" i="63"/>
  <c r="I35" i="63"/>
  <c r="X8" i="63"/>
  <c r="G88" i="113" s="1"/>
  <c r="L31" i="63"/>
  <c r="I34" i="63"/>
  <c r="O31" i="63"/>
  <c r="L30" i="63"/>
  <c r="D50" i="108" s="1"/>
  <c r="O30" i="63"/>
  <c r="L29" i="63"/>
  <c r="C11" i="87" s="1"/>
  <c r="L28" i="63"/>
  <c r="C29" i="63"/>
  <c r="L27" i="63"/>
  <c r="C28" i="63"/>
  <c r="D646" i="108"/>
  <c r="L26" i="63"/>
  <c r="I28" i="63"/>
  <c r="C27" i="63"/>
  <c r="D580" i="108"/>
  <c r="L25" i="63"/>
  <c r="D476" i="109" s="1" a="1"/>
  <c r="D476" i="109" s="1"/>
  <c r="I27" i="63"/>
  <c r="F26" i="63"/>
  <c r="D54" i="116" s="1"/>
  <c r="C26" i="63"/>
  <c r="G81" i="113" s="1"/>
  <c r="D589" i="108"/>
  <c r="L24" i="63"/>
  <c r="D458" i="109" s="1" a="1"/>
  <c r="D458" i="109" s="1"/>
  <c r="F25" i="63"/>
  <c r="D53" i="116" s="1"/>
  <c r="G80" i="113"/>
  <c r="D639" i="108"/>
  <c r="L23" i="63"/>
  <c r="D474" i="109" s="1" a="1"/>
  <c r="D474" i="109" s="1"/>
  <c r="I25" i="63"/>
  <c r="F24" i="63"/>
  <c r="D52" i="116" s="1"/>
  <c r="G163" i="113"/>
  <c r="D576" i="108"/>
  <c r="L22" i="63"/>
  <c r="D515" i="108" s="1"/>
  <c r="I24" i="63"/>
  <c r="D51" i="116"/>
  <c r="G162" i="113"/>
  <c r="D556" i="108"/>
  <c r="L21" i="63"/>
  <c r="D532" i="108" s="1"/>
  <c r="D113" i="116"/>
  <c r="G161" i="113"/>
  <c r="L20" i="63"/>
  <c r="D496" i="108" s="1"/>
  <c r="D112" i="116"/>
  <c r="G160" i="113"/>
  <c r="O20" i="63"/>
  <c r="D530" i="108" s="1"/>
  <c r="L19" i="63"/>
  <c r="D111" i="116"/>
  <c r="O19" i="63"/>
  <c r="D533" i="108" s="1"/>
  <c r="L18" i="63"/>
  <c r="D110" i="116"/>
  <c r="L17" i="63"/>
  <c r="I18" i="63"/>
  <c r="L16" i="63"/>
  <c r="D588" i="108" s="1"/>
  <c r="I17" i="63"/>
  <c r="C79" i="63"/>
  <c r="J364" i="62" s="1"/>
  <c r="O16" i="63"/>
  <c r="L15" i="63"/>
  <c r="D648" i="108"/>
  <c r="L14" i="63"/>
  <c r="I15" i="63"/>
  <c r="O14" i="63"/>
  <c r="L13" i="63"/>
  <c r="I14" i="63"/>
  <c r="F14" i="63"/>
  <c r="C14" i="63"/>
  <c r="O13" i="63"/>
  <c r="L12" i="63"/>
  <c r="I13" i="63"/>
  <c r="O12" i="63"/>
  <c r="I12" i="63"/>
  <c r="O11" i="63"/>
  <c r="D55" i="108"/>
  <c r="I10" i="63"/>
  <c r="E10" i="63"/>
  <c r="F10" i="63" s="1"/>
  <c r="I9" i="63"/>
  <c r="C34" i="63"/>
  <c r="O8" i="63"/>
  <c r="L8" i="63"/>
  <c r="D44" i="108" s="1"/>
  <c r="F8" i="63"/>
  <c r="F9" i="63" s="1"/>
  <c r="C7" i="63"/>
  <c r="I498" i="87"/>
  <c r="I497" i="87"/>
  <c r="I496" i="87"/>
  <c r="I495" i="87"/>
  <c r="I494" i="87"/>
  <c r="I493" i="87"/>
  <c r="I492" i="87"/>
  <c r="I491" i="87"/>
  <c r="I490" i="87"/>
  <c r="F490" i="87"/>
  <c r="I489" i="87"/>
  <c r="F489" i="87"/>
  <c r="I488" i="87"/>
  <c r="F488" i="87"/>
  <c r="I487" i="87"/>
  <c r="F487" i="87"/>
  <c r="I486" i="87"/>
  <c r="I467" i="87" s="1"/>
  <c r="F486" i="87"/>
  <c r="I485" i="87"/>
  <c r="I466" i="87" s="1"/>
  <c r="F485" i="87"/>
  <c r="I484" i="87"/>
  <c r="I465" i="87" s="1"/>
  <c r="F484" i="87"/>
  <c r="I483" i="87"/>
  <c r="I464" i="87" s="1"/>
  <c r="F483" i="87"/>
  <c r="F482" i="87"/>
  <c r="F481" i="87"/>
  <c r="F480" i="87"/>
  <c r="F479" i="87"/>
  <c r="F478" i="87"/>
  <c r="F477" i="87"/>
  <c r="F476" i="87"/>
  <c r="F475" i="87"/>
  <c r="F456" i="87" s="1"/>
  <c r="F436" i="87"/>
  <c r="F435" i="87"/>
  <c r="F434" i="87"/>
  <c r="F433" i="87"/>
  <c r="F432" i="87"/>
  <c r="F431" i="87"/>
  <c r="F430" i="87"/>
  <c r="F429" i="87"/>
  <c r="F428" i="87"/>
  <c r="F427" i="87"/>
  <c r="F426" i="87"/>
  <c r="F425" i="87"/>
  <c r="F424" i="87"/>
  <c r="F423" i="87"/>
  <c r="F422" i="87"/>
  <c r="F421" i="87"/>
  <c r="I425" i="87"/>
  <c r="I424" i="87"/>
  <c r="I423" i="87"/>
  <c r="I422" i="87"/>
  <c r="D324" i="109" s="1"/>
  <c r="F417" i="87"/>
  <c r="I416" i="87"/>
  <c r="F416" i="87"/>
  <c r="I415" i="87"/>
  <c r="F415" i="87"/>
  <c r="I414" i="87"/>
  <c r="D80" i="116" s="1"/>
  <c r="F414" i="87"/>
  <c r="D371" i="108" s="1"/>
  <c r="I413" i="87"/>
  <c r="D79" i="116" s="1"/>
  <c r="D86" i="116"/>
  <c r="D85" i="116"/>
  <c r="I410" i="87"/>
  <c r="D74" i="116" s="1"/>
  <c r="I409" i="87"/>
  <c r="D73" i="116" s="1"/>
  <c r="I408" i="87"/>
  <c r="D67" i="116" s="1"/>
  <c r="F408" i="87"/>
  <c r="G112" i="113" s="1"/>
  <c r="I407" i="87"/>
  <c r="D68" i="116" s="1"/>
  <c r="F407" i="87"/>
  <c r="G111" i="113" s="1"/>
  <c r="G119" i="113"/>
  <c r="G118" i="113"/>
  <c r="G105" i="113"/>
  <c r="I403" i="87"/>
  <c r="G104" i="113"/>
  <c r="I402" i="87"/>
  <c r="G97" i="113"/>
  <c r="G98" i="113"/>
  <c r="F397" i="87"/>
  <c r="F396" i="87"/>
  <c r="F392" i="87"/>
  <c r="F381" i="87"/>
  <c r="I379" i="87"/>
  <c r="I378" i="87"/>
  <c r="I375" i="87"/>
  <c r="D78" i="116"/>
  <c r="I373" i="87"/>
  <c r="I372" i="87"/>
  <c r="I371" i="87"/>
  <c r="F371" i="87"/>
  <c r="F370" i="87"/>
  <c r="F369" i="87"/>
  <c r="G109" i="113" s="1"/>
  <c r="F368" i="87"/>
  <c r="G116" i="113" s="1"/>
  <c r="E367" i="87"/>
  <c r="I360" i="87"/>
  <c r="I359" i="87"/>
  <c r="F359" i="87"/>
  <c r="I358" i="87"/>
  <c r="F358" i="87"/>
  <c r="I357" i="87"/>
  <c r="F357" i="87"/>
  <c r="I356" i="87"/>
  <c r="G108" i="113"/>
  <c r="E353" i="87"/>
  <c r="I350" i="87"/>
  <c r="I349" i="87"/>
  <c r="I345" i="87"/>
  <c r="I344" i="87"/>
  <c r="I342" i="87"/>
  <c r="I341" i="87"/>
  <c r="F341" i="87"/>
  <c r="F339" i="87"/>
  <c r="E339" i="87"/>
  <c r="F338" i="87"/>
  <c r="I335" i="87"/>
  <c r="I334" i="87"/>
  <c r="I330" i="87"/>
  <c r="I327" i="87"/>
  <c r="F327" i="87"/>
  <c r="F313" i="87" s="1"/>
  <c r="I326" i="87"/>
  <c r="F325" i="87"/>
  <c r="E325" i="87"/>
  <c r="F324" i="87"/>
  <c r="F323" i="87"/>
  <c r="I320" i="87"/>
  <c r="I319" i="87"/>
  <c r="I318" i="87"/>
  <c r="I317" i="87"/>
  <c r="F317" i="87"/>
  <c r="I316" i="87"/>
  <c r="I313" i="87"/>
  <c r="I328" i="87" s="1"/>
  <c r="I312" i="87"/>
  <c r="F312" i="87"/>
  <c r="I311" i="87"/>
  <c r="E311" i="87"/>
  <c r="I305" i="87"/>
  <c r="I304" i="87"/>
  <c r="F304" i="87"/>
  <c r="I303" i="87"/>
  <c r="F303" i="87"/>
  <c r="I302" i="87"/>
  <c r="F302" i="87"/>
  <c r="I301" i="87"/>
  <c r="F301" i="87"/>
  <c r="I300" i="87"/>
  <c r="F300" i="87"/>
  <c r="D76" i="116"/>
  <c r="F299" i="87"/>
  <c r="G107" i="113" s="1"/>
  <c r="I297" i="87"/>
  <c r="E297" i="87"/>
  <c r="I296" i="87"/>
  <c r="F290" i="87"/>
  <c r="D609" i="109"/>
  <c r="D464" i="108"/>
  <c r="D421" i="109"/>
  <c r="D622" i="108"/>
  <c r="I284" i="87"/>
  <c r="F284" i="87"/>
  <c r="F279" i="87"/>
  <c r="D425" i="109"/>
  <c r="D641" i="108"/>
  <c r="D616" i="109"/>
  <c r="D459" i="108"/>
  <c r="I273" i="87"/>
  <c r="F273" i="87"/>
  <c r="I268" i="87"/>
  <c r="F268" i="87"/>
  <c r="I267" i="87"/>
  <c r="F267" i="87"/>
  <c r="I266" i="87"/>
  <c r="F266" i="87"/>
  <c r="I265" i="87"/>
  <c r="F265" i="87"/>
  <c r="I264" i="87"/>
  <c r="F264" i="87"/>
  <c r="I263" i="87"/>
  <c r="F263" i="87"/>
  <c r="I262" i="87"/>
  <c r="F262" i="87"/>
  <c r="I261" i="87"/>
  <c r="F261" i="87"/>
  <c r="I260" i="87"/>
  <c r="F260" i="87"/>
  <c r="I259" i="87"/>
  <c r="F259" i="87"/>
  <c r="I258" i="87"/>
  <c r="F258" i="87"/>
  <c r="I257" i="87"/>
  <c r="F257" i="87"/>
  <c r="I256" i="87"/>
  <c r="B406" i="65" s="1"/>
  <c r="F256" i="87"/>
  <c r="I255" i="87"/>
  <c r="B405" i="65" s="1"/>
  <c r="F255" i="87"/>
  <c r="I254" i="87"/>
  <c r="I235" i="87" s="1"/>
  <c r="F254" i="87"/>
  <c r="I253" i="87"/>
  <c r="B403" i="65" s="1"/>
  <c r="F253" i="87"/>
  <c r="F234" i="87" s="1"/>
  <c r="AD252" i="87"/>
  <c r="AD233" i="87" s="1"/>
  <c r="AA252" i="87"/>
  <c r="AA233" i="87" s="1"/>
  <c r="X252" i="87"/>
  <c r="X233" i="87" s="1"/>
  <c r="U252" i="87"/>
  <c r="U233" i="87" s="1"/>
  <c r="R252" i="87"/>
  <c r="R233" i="87" s="1"/>
  <c r="O252" i="87"/>
  <c r="O233" i="87" s="1"/>
  <c r="L252" i="87"/>
  <c r="L233" i="87" s="1"/>
  <c r="AD251" i="87"/>
  <c r="AD232" i="87" s="1"/>
  <c r="AA251" i="87"/>
  <c r="AA232" i="87" s="1"/>
  <c r="X251" i="87"/>
  <c r="X232" i="87" s="1"/>
  <c r="U251" i="87"/>
  <c r="U232" i="87" s="1"/>
  <c r="R251" i="87"/>
  <c r="R232" i="87" s="1"/>
  <c r="O251" i="87"/>
  <c r="O232" i="87" s="1"/>
  <c r="L251" i="87"/>
  <c r="L232" i="87" s="1"/>
  <c r="AD250" i="87"/>
  <c r="AD231" i="87" s="1"/>
  <c r="AA250" i="87"/>
  <c r="AA231" i="87" s="1"/>
  <c r="X250" i="87"/>
  <c r="X231" i="87" s="1"/>
  <c r="U250" i="87"/>
  <c r="U231" i="87" s="1"/>
  <c r="R250" i="87"/>
  <c r="R231" i="87" s="1"/>
  <c r="O250" i="87"/>
  <c r="O231" i="87" s="1"/>
  <c r="L250" i="87"/>
  <c r="L231" i="87" s="1"/>
  <c r="AD249" i="87"/>
  <c r="AD230" i="87" s="1"/>
  <c r="AA249" i="87"/>
  <c r="AA230" i="87" s="1"/>
  <c r="X249" i="87"/>
  <c r="X230" i="87" s="1"/>
  <c r="U249" i="87"/>
  <c r="U230" i="87" s="1"/>
  <c r="R249" i="87"/>
  <c r="R230" i="87" s="1"/>
  <c r="O249" i="87"/>
  <c r="O230" i="87" s="1"/>
  <c r="L249" i="87"/>
  <c r="L230" i="87" s="1"/>
  <c r="AD248" i="87"/>
  <c r="AD229" i="87" s="1"/>
  <c r="AA248" i="87"/>
  <c r="AA229" i="87" s="1"/>
  <c r="X248" i="87"/>
  <c r="X229" i="87" s="1"/>
  <c r="U248" i="87"/>
  <c r="U229" i="87" s="1"/>
  <c r="R248" i="87"/>
  <c r="R229" i="87" s="1"/>
  <c r="O248" i="87"/>
  <c r="O229" i="87" s="1"/>
  <c r="L248" i="87"/>
  <c r="AD247" i="87"/>
  <c r="AD228" i="87" s="1"/>
  <c r="AA247" i="87"/>
  <c r="AA228" i="87" s="1"/>
  <c r="X247" i="87"/>
  <c r="X228" i="87" s="1"/>
  <c r="U247" i="87"/>
  <c r="U228" i="87" s="1"/>
  <c r="R247" i="87"/>
  <c r="R228" i="87" s="1"/>
  <c r="O247" i="87"/>
  <c r="O228" i="87" s="1"/>
  <c r="L247" i="87"/>
  <c r="L228" i="87" s="1"/>
  <c r="AD246" i="87"/>
  <c r="AD227" i="87" s="1"/>
  <c r="AA246" i="87"/>
  <c r="AA227" i="87" s="1"/>
  <c r="X246" i="87"/>
  <c r="X227" i="87" s="1"/>
  <c r="U246" i="87"/>
  <c r="U227" i="87" s="1"/>
  <c r="R246" i="87"/>
  <c r="R227" i="87" s="1"/>
  <c r="O246" i="87"/>
  <c r="O227" i="87" s="1"/>
  <c r="L246" i="87"/>
  <c r="L227" i="87" s="1"/>
  <c r="AD245" i="87"/>
  <c r="AD226" i="87" s="1"/>
  <c r="AA245" i="87"/>
  <c r="AA226" i="87" s="1"/>
  <c r="X245" i="87"/>
  <c r="X226" i="87" s="1"/>
  <c r="U245" i="87"/>
  <c r="U226" i="87" s="1"/>
  <c r="R245" i="87"/>
  <c r="R226" i="87" s="1"/>
  <c r="O245" i="87"/>
  <c r="O226" i="87" s="1"/>
  <c r="L245" i="87"/>
  <c r="L226" i="87" s="1"/>
  <c r="AD244" i="87"/>
  <c r="AD225" i="87" s="1"/>
  <c r="AA244" i="87"/>
  <c r="AA225" i="87" s="1"/>
  <c r="X244" i="87"/>
  <c r="X225" i="87" s="1"/>
  <c r="U244" i="87"/>
  <c r="U225" i="87" s="1"/>
  <c r="R244" i="87"/>
  <c r="R225" i="87" s="1"/>
  <c r="O244" i="87"/>
  <c r="O225" i="87" s="1"/>
  <c r="L244" i="87"/>
  <c r="L225" i="87" s="1"/>
  <c r="AD243" i="87"/>
  <c r="AD224" i="87" s="1"/>
  <c r="AA243" i="87"/>
  <c r="AA224" i="87" s="1"/>
  <c r="X243" i="87"/>
  <c r="X224" i="87" s="1"/>
  <c r="U243" i="87"/>
  <c r="U224" i="87" s="1"/>
  <c r="R243" i="87"/>
  <c r="R224" i="87" s="1"/>
  <c r="O243" i="87"/>
  <c r="O224" i="87" s="1"/>
  <c r="L243" i="87"/>
  <c r="L224" i="87" s="1"/>
  <c r="AD242" i="87"/>
  <c r="AD223" i="87" s="1"/>
  <c r="AA242" i="87"/>
  <c r="AA223" i="87" s="1"/>
  <c r="X242" i="87"/>
  <c r="X223" i="87" s="1"/>
  <c r="U242" i="87"/>
  <c r="U223" i="87" s="1"/>
  <c r="R242" i="87"/>
  <c r="R223" i="87" s="1"/>
  <c r="O242" i="87"/>
  <c r="O223" i="87" s="1"/>
  <c r="L242" i="87"/>
  <c r="L223" i="87" s="1"/>
  <c r="AD241" i="87"/>
  <c r="AD222" i="87" s="1"/>
  <c r="AA241" i="87"/>
  <c r="AA222" i="87" s="1"/>
  <c r="X241" i="87"/>
  <c r="X222" i="87" s="1"/>
  <c r="U241" i="87"/>
  <c r="U222" i="87" s="1"/>
  <c r="R241" i="87"/>
  <c r="R222" i="87" s="1"/>
  <c r="O241" i="87"/>
  <c r="O222" i="87" s="1"/>
  <c r="L241" i="87"/>
  <c r="L222" i="87" s="1"/>
  <c r="AD240" i="87"/>
  <c r="AD221" i="87" s="1"/>
  <c r="AA240" i="87"/>
  <c r="AA221" i="87" s="1"/>
  <c r="X240" i="87"/>
  <c r="X221" i="87" s="1"/>
  <c r="U240" i="87"/>
  <c r="U221" i="87" s="1"/>
  <c r="R240" i="87"/>
  <c r="R221" i="87" s="1"/>
  <c r="O240" i="87"/>
  <c r="O221" i="87" s="1"/>
  <c r="L240" i="87"/>
  <c r="L221" i="87" s="1"/>
  <c r="AD239" i="87"/>
  <c r="AD220" i="87" s="1"/>
  <c r="AA239" i="87"/>
  <c r="AA220" i="87" s="1"/>
  <c r="X239" i="87"/>
  <c r="X220" i="87" s="1"/>
  <c r="U239" i="87"/>
  <c r="U220" i="87" s="1"/>
  <c r="R239" i="87"/>
  <c r="R220" i="87" s="1"/>
  <c r="O239" i="87"/>
  <c r="O220" i="87" s="1"/>
  <c r="L239" i="87"/>
  <c r="L220" i="87" s="1"/>
  <c r="AD238" i="87"/>
  <c r="AD219" i="87" s="1"/>
  <c r="AA238" i="87"/>
  <c r="AA219" i="87" s="1"/>
  <c r="X238" i="87"/>
  <c r="X219" i="87" s="1"/>
  <c r="U238" i="87"/>
  <c r="U219" i="87" s="1"/>
  <c r="R238" i="87"/>
  <c r="R219" i="87" s="1"/>
  <c r="O238" i="87"/>
  <c r="O219" i="87" s="1"/>
  <c r="L238" i="87"/>
  <c r="L219" i="87" s="1"/>
  <c r="AD237" i="87"/>
  <c r="AD218" i="87" s="1"/>
  <c r="AA237" i="87"/>
  <c r="AA218" i="87" s="1"/>
  <c r="X237" i="87"/>
  <c r="X218" i="87" s="1"/>
  <c r="U237" i="87"/>
  <c r="U218" i="87" s="1"/>
  <c r="R237" i="87"/>
  <c r="R218" i="87" s="1"/>
  <c r="O237" i="87"/>
  <c r="O218" i="87" s="1"/>
  <c r="L237" i="87"/>
  <c r="L218" i="87" s="1"/>
  <c r="I230" i="87"/>
  <c r="F230" i="87"/>
  <c r="L229" i="87"/>
  <c r="I229" i="87"/>
  <c r="F229" i="87"/>
  <c r="I228" i="87"/>
  <c r="F228" i="87"/>
  <c r="I227" i="87"/>
  <c r="F227" i="87"/>
  <c r="I226" i="87"/>
  <c r="F226" i="87"/>
  <c r="I225" i="87"/>
  <c r="F225" i="87"/>
  <c r="I224" i="87"/>
  <c r="F224" i="87"/>
  <c r="I223" i="87"/>
  <c r="F223" i="87"/>
  <c r="I222" i="87"/>
  <c r="F222" i="87"/>
  <c r="I221" i="87"/>
  <c r="F221" i="87"/>
  <c r="I220" i="87"/>
  <c r="F220" i="87"/>
  <c r="I219" i="87"/>
  <c r="F219" i="87"/>
  <c r="I218" i="87"/>
  <c r="F218" i="87"/>
  <c r="I217" i="87"/>
  <c r="F217" i="87"/>
  <c r="I216" i="87"/>
  <c r="F216" i="87"/>
  <c r="I215" i="87"/>
  <c r="F215" i="87"/>
  <c r="AD214" i="87"/>
  <c r="AA214" i="87"/>
  <c r="X214" i="87"/>
  <c r="U214" i="87"/>
  <c r="R214" i="87"/>
  <c r="O214" i="87"/>
  <c r="L214" i="87"/>
  <c r="I214" i="87"/>
  <c r="F214" i="87"/>
  <c r="AD213" i="87"/>
  <c r="AA213" i="87"/>
  <c r="X213" i="87"/>
  <c r="U213" i="87"/>
  <c r="R213" i="87"/>
  <c r="O213" i="87"/>
  <c r="L213" i="87"/>
  <c r="I213" i="87"/>
  <c r="F213" i="87"/>
  <c r="AD212" i="87"/>
  <c r="AA212" i="87"/>
  <c r="X212" i="87"/>
  <c r="U212" i="87"/>
  <c r="R212" i="87"/>
  <c r="O212" i="87"/>
  <c r="L212" i="87"/>
  <c r="I212" i="87"/>
  <c r="F212" i="87"/>
  <c r="AD211" i="87"/>
  <c r="AA211" i="87"/>
  <c r="X211" i="87"/>
  <c r="U211" i="87"/>
  <c r="R211" i="87"/>
  <c r="O211" i="87"/>
  <c r="L211" i="87"/>
  <c r="I211" i="87"/>
  <c r="F211" i="87"/>
  <c r="AD210" i="87"/>
  <c r="AA210" i="87"/>
  <c r="X210" i="87"/>
  <c r="U210" i="87"/>
  <c r="R210" i="87"/>
  <c r="O210" i="87"/>
  <c r="L210" i="87"/>
  <c r="I210" i="87"/>
  <c r="F210" i="87"/>
  <c r="AD209" i="87"/>
  <c r="AA209" i="87"/>
  <c r="X209" i="87"/>
  <c r="U209" i="87"/>
  <c r="R209" i="87"/>
  <c r="O209" i="87"/>
  <c r="L209" i="87"/>
  <c r="I209" i="87"/>
  <c r="F209" i="87"/>
  <c r="AD208" i="87"/>
  <c r="AA208" i="87"/>
  <c r="X208" i="87"/>
  <c r="U208" i="87"/>
  <c r="R208" i="87"/>
  <c r="O208" i="87"/>
  <c r="L208" i="87"/>
  <c r="I208" i="87"/>
  <c r="F208" i="87"/>
  <c r="AD207" i="87"/>
  <c r="AA207" i="87"/>
  <c r="X207" i="87"/>
  <c r="U207" i="87"/>
  <c r="R207" i="87"/>
  <c r="O207" i="87"/>
  <c r="L207" i="87"/>
  <c r="I207" i="87"/>
  <c r="F207" i="87"/>
  <c r="AD206" i="87"/>
  <c r="AA206" i="87"/>
  <c r="X206" i="87"/>
  <c r="U206" i="87"/>
  <c r="R206" i="87"/>
  <c r="O206" i="87"/>
  <c r="L206" i="87"/>
  <c r="I206" i="87"/>
  <c r="F206" i="87"/>
  <c r="AD205" i="87"/>
  <c r="AA205" i="87"/>
  <c r="X205" i="87"/>
  <c r="U205" i="87"/>
  <c r="R205" i="87"/>
  <c r="O205" i="87"/>
  <c r="L205" i="87"/>
  <c r="I205" i="87"/>
  <c r="F205" i="87"/>
  <c r="AD204" i="87"/>
  <c r="AA204" i="87"/>
  <c r="X204" i="87"/>
  <c r="U204" i="87"/>
  <c r="R204" i="87"/>
  <c r="O204" i="87"/>
  <c r="L204" i="87"/>
  <c r="I204" i="87"/>
  <c r="F204" i="87"/>
  <c r="AD203" i="87"/>
  <c r="AA203" i="87"/>
  <c r="X203" i="87"/>
  <c r="U203" i="87"/>
  <c r="R203" i="87"/>
  <c r="O203" i="87"/>
  <c r="L203" i="87"/>
  <c r="I203" i="87"/>
  <c r="F203" i="87"/>
  <c r="AD202" i="87"/>
  <c r="AA202" i="87"/>
  <c r="X202" i="87"/>
  <c r="U202" i="87"/>
  <c r="R202" i="87"/>
  <c r="O202" i="87"/>
  <c r="L202" i="87"/>
  <c r="I202" i="87"/>
  <c r="F202" i="87"/>
  <c r="AD201" i="87"/>
  <c r="AA201" i="87"/>
  <c r="X201" i="87"/>
  <c r="U201" i="87"/>
  <c r="R201" i="87"/>
  <c r="O201" i="87"/>
  <c r="L201" i="87"/>
  <c r="I201" i="87"/>
  <c r="F201" i="87"/>
  <c r="AD200" i="87"/>
  <c r="AA200" i="87"/>
  <c r="X200" i="87"/>
  <c r="U200" i="87"/>
  <c r="R200" i="87"/>
  <c r="O200" i="87"/>
  <c r="L200" i="87"/>
  <c r="I200" i="87"/>
  <c r="F200" i="87"/>
  <c r="AD199" i="87"/>
  <c r="AA199" i="87"/>
  <c r="X199" i="87"/>
  <c r="U199" i="87"/>
  <c r="R199" i="87"/>
  <c r="O199" i="87"/>
  <c r="L199" i="87"/>
  <c r="I199" i="87"/>
  <c r="F199" i="87"/>
  <c r="AD195" i="87"/>
  <c r="AA195" i="87"/>
  <c r="X195" i="87"/>
  <c r="U195" i="87"/>
  <c r="R195" i="87"/>
  <c r="O195" i="87"/>
  <c r="L195" i="87"/>
  <c r="AD194" i="87"/>
  <c r="AA194" i="87"/>
  <c r="X194" i="87"/>
  <c r="U194" i="87"/>
  <c r="R194" i="87"/>
  <c r="O194" i="87"/>
  <c r="L194" i="87"/>
  <c r="AD190" i="87"/>
  <c r="AA190" i="87"/>
  <c r="X190" i="87"/>
  <c r="U190" i="87"/>
  <c r="R190" i="87"/>
  <c r="O190" i="87"/>
  <c r="L190" i="87"/>
  <c r="AD189" i="87"/>
  <c r="AA189" i="87"/>
  <c r="X189" i="87"/>
  <c r="U189" i="87"/>
  <c r="R189" i="87"/>
  <c r="O189" i="87"/>
  <c r="L189" i="87"/>
  <c r="I189" i="87"/>
  <c r="D573" i="109" s="1"/>
  <c r="F189" i="87"/>
  <c r="D592" i="108" s="1"/>
  <c r="AD188" i="87"/>
  <c r="AA188" i="87"/>
  <c r="X188" i="87"/>
  <c r="U188" i="87"/>
  <c r="R188" i="87"/>
  <c r="O188" i="87"/>
  <c r="L188" i="87"/>
  <c r="I188" i="87"/>
  <c r="D89" i="109" s="1"/>
  <c r="F188" i="87"/>
  <c r="D146" i="108" s="1"/>
  <c r="AD187" i="87"/>
  <c r="AA187" i="87"/>
  <c r="X187" i="87"/>
  <c r="U187" i="87"/>
  <c r="R187" i="87"/>
  <c r="O187" i="87"/>
  <c r="L187" i="87"/>
  <c r="I187" i="87"/>
  <c r="I186" i="87"/>
  <c r="AD185" i="87"/>
  <c r="AA185" i="87"/>
  <c r="X185" i="87"/>
  <c r="U185" i="87"/>
  <c r="R185" i="87"/>
  <c r="O185" i="87"/>
  <c r="L185" i="87"/>
  <c r="I185" i="87"/>
  <c r="AD183" i="87"/>
  <c r="AA183" i="87"/>
  <c r="X183" i="87"/>
  <c r="U183" i="87"/>
  <c r="R183" i="87"/>
  <c r="O183" i="87"/>
  <c r="L183" i="87"/>
  <c r="I183" i="87"/>
  <c r="AD182" i="87"/>
  <c r="D631" i="117" s="1"/>
  <c r="AA182" i="87"/>
  <c r="D538" i="117" s="1"/>
  <c r="X182" i="87"/>
  <c r="D445" i="117" s="1"/>
  <c r="U182" i="87"/>
  <c r="D352" i="117" s="1"/>
  <c r="R182" i="87"/>
  <c r="D259" i="117" s="1"/>
  <c r="O182" i="87"/>
  <c r="D166" i="117" s="1"/>
  <c r="L182" i="87"/>
  <c r="D73" i="117" s="1"/>
  <c r="I182" i="87"/>
  <c r="D151" i="65" s="1"/>
  <c r="I178" i="87"/>
  <c r="F178" i="87"/>
  <c r="I177" i="87"/>
  <c r="F177" i="87"/>
  <c r="AD176" i="87" a="1"/>
  <c r="AD176" i="87" s="1"/>
  <c r="AA176" i="87" a="1"/>
  <c r="AA176" i="87" s="1"/>
  <c r="X176" i="87" a="1"/>
  <c r="X176" i="87" s="1"/>
  <c r="U176" i="87" a="1"/>
  <c r="U176" i="87" s="1"/>
  <c r="R176" i="87" a="1"/>
  <c r="R176" i="87" s="1"/>
  <c r="O176" i="87" a="1"/>
  <c r="O176" i="87" s="1"/>
  <c r="L176" i="87" a="1"/>
  <c r="L176" i="87" s="1"/>
  <c r="I176" i="87"/>
  <c r="F176" i="87"/>
  <c r="AD175" i="87" a="1"/>
  <c r="AD175" i="87" s="1"/>
  <c r="AA175" i="87" a="1"/>
  <c r="AA175" i="87" s="1"/>
  <c r="X175" i="87" a="1"/>
  <c r="X175" i="87" s="1"/>
  <c r="U175" i="87" a="1"/>
  <c r="U175" i="87" s="1"/>
  <c r="R175" i="87" a="1"/>
  <c r="R175" i="87" s="1"/>
  <c r="O175" i="87" a="1"/>
  <c r="O175" i="87" s="1"/>
  <c r="L175" i="87" a="1"/>
  <c r="L175" i="87" s="1"/>
  <c r="I175" i="87"/>
  <c r="F175" i="87"/>
  <c r="I174" i="87"/>
  <c r="I173" i="87"/>
  <c r="AD172" i="87"/>
  <c r="AA172" i="87"/>
  <c r="X172" i="87"/>
  <c r="U172" i="87"/>
  <c r="R172" i="87"/>
  <c r="O172" i="87"/>
  <c r="L172" i="87"/>
  <c r="I172" i="87"/>
  <c r="F172" i="87"/>
  <c r="AD171" i="87"/>
  <c r="AA171" i="87"/>
  <c r="X171" i="87"/>
  <c r="U171" i="87"/>
  <c r="R171" i="87"/>
  <c r="O171" i="87"/>
  <c r="L171" i="87"/>
  <c r="I171" i="87"/>
  <c r="F171" i="87"/>
  <c r="AD170" i="87"/>
  <c r="AA170" i="87"/>
  <c r="X170" i="87"/>
  <c r="U170" i="87"/>
  <c r="R170" i="87"/>
  <c r="O170" i="87"/>
  <c r="L170" i="87"/>
  <c r="I170" i="87"/>
  <c r="D390" i="65" s="1"/>
  <c r="F170" i="87"/>
  <c r="L361" i="62" s="1"/>
  <c r="AD169" i="87"/>
  <c r="AA169" i="87"/>
  <c r="X169" i="87"/>
  <c r="U169" i="87"/>
  <c r="R169" i="87"/>
  <c r="O169" i="87"/>
  <c r="L169" i="87"/>
  <c r="I169" i="87"/>
  <c r="D389" i="65" s="1"/>
  <c r="F169" i="87"/>
  <c r="L360" i="62" s="1"/>
  <c r="AD168" i="87"/>
  <c r="AA168" i="87"/>
  <c r="X168" i="87"/>
  <c r="U168" i="87"/>
  <c r="R168" i="87"/>
  <c r="O168" i="87"/>
  <c r="L168" i="87"/>
  <c r="I168" i="87"/>
  <c r="D383" i="65" s="1"/>
  <c r="F168" i="87"/>
  <c r="L355" i="62" s="1"/>
  <c r="AD167" i="87"/>
  <c r="AA167" i="87"/>
  <c r="X167" i="87"/>
  <c r="U167" i="87"/>
  <c r="R167" i="87"/>
  <c r="O167" i="87"/>
  <c r="L167" i="87"/>
  <c r="I167" i="87"/>
  <c r="D382" i="65" s="1"/>
  <c r="F167" i="87"/>
  <c r="L354" i="62" s="1"/>
  <c r="AD166" i="87"/>
  <c r="AA166" i="87"/>
  <c r="X166" i="87"/>
  <c r="U166" i="87"/>
  <c r="R166" i="87"/>
  <c r="O166" i="87"/>
  <c r="L166" i="87"/>
  <c r="I166" i="87"/>
  <c r="D377" i="65" s="1"/>
  <c r="F166" i="87"/>
  <c r="L349" i="62" s="1"/>
  <c r="AD165" i="87"/>
  <c r="AA165" i="87"/>
  <c r="X165" i="87"/>
  <c r="U165" i="87"/>
  <c r="R165" i="87"/>
  <c r="O165" i="87"/>
  <c r="L165" i="87"/>
  <c r="I165" i="87"/>
  <c r="D376" i="65" s="1"/>
  <c r="F165" i="87"/>
  <c r="L348" i="62" s="1"/>
  <c r="F161" i="87"/>
  <c r="I160" i="87"/>
  <c r="I159" i="87"/>
  <c r="F159" i="87"/>
  <c r="I158" i="87"/>
  <c r="F158" i="87"/>
  <c r="I157" i="87"/>
  <c r="F157" i="87"/>
  <c r="I156" i="87"/>
  <c r="F156" i="87"/>
  <c r="I155" i="87"/>
  <c r="F155" i="87"/>
  <c r="I151" i="87"/>
  <c r="F151" i="87"/>
  <c r="I150" i="87"/>
  <c r="F150" i="87"/>
  <c r="I149" i="87"/>
  <c r="F149" i="87"/>
  <c r="I148" i="87"/>
  <c r="F148" i="87"/>
  <c r="I147" i="87"/>
  <c r="F147" i="87"/>
  <c r="I146" i="87"/>
  <c r="F146" i="87"/>
  <c r="I145" i="87"/>
  <c r="F145" i="87"/>
  <c r="I144" i="87"/>
  <c r="F144" i="87"/>
  <c r="I143" i="87"/>
  <c r="F143" i="87"/>
  <c r="I142" i="87"/>
  <c r="F142" i="87"/>
  <c r="I141" i="87"/>
  <c r="F141" i="87"/>
  <c r="I140" i="87"/>
  <c r="F140" i="87"/>
  <c r="I135" i="87"/>
  <c r="F135" i="87"/>
  <c r="I132" i="87"/>
  <c r="F132" i="87"/>
  <c r="I131" i="87"/>
  <c r="F131" i="87"/>
  <c r="I128" i="87"/>
  <c r="F128" i="87"/>
  <c r="I127" i="87"/>
  <c r="F127" i="87"/>
  <c r="I126" i="87"/>
  <c r="F126" i="87"/>
  <c r="I125" i="87"/>
  <c r="D198" i="109" s="1"/>
  <c r="F125" i="87"/>
  <c r="AD121" i="87"/>
  <c r="AA121" i="87"/>
  <c r="X121" i="87"/>
  <c r="U121" i="87"/>
  <c r="R121" i="87"/>
  <c r="O121" i="87"/>
  <c r="L121" i="87"/>
  <c r="I121" i="87"/>
  <c r="D132" i="109" s="1"/>
  <c r="F121" i="87"/>
  <c r="D189" i="108" s="1"/>
  <c r="AD120" i="87"/>
  <c r="AA120" i="87"/>
  <c r="X120" i="87"/>
  <c r="U120" i="87"/>
  <c r="R120" i="87"/>
  <c r="O120" i="87"/>
  <c r="L120" i="87"/>
  <c r="I120" i="87"/>
  <c r="D131" i="109" s="1"/>
  <c r="F120" i="87"/>
  <c r="D188" i="108" s="1"/>
  <c r="AD119" i="87"/>
  <c r="AA119" i="87"/>
  <c r="X119" i="87"/>
  <c r="U119" i="87"/>
  <c r="R119" i="87"/>
  <c r="O119" i="87"/>
  <c r="L119" i="87"/>
  <c r="I119" i="87"/>
  <c r="D619" i="109" s="1"/>
  <c r="F119" i="87"/>
  <c r="D638" i="108" s="1"/>
  <c r="AD118" i="87"/>
  <c r="AA118" i="87"/>
  <c r="X118" i="87"/>
  <c r="U118" i="87"/>
  <c r="R118" i="87"/>
  <c r="O118" i="87"/>
  <c r="L118" i="87"/>
  <c r="I118" i="87"/>
  <c r="D618" i="109" s="1"/>
  <c r="F118" i="87"/>
  <c r="D182" i="108" s="1"/>
  <c r="AD117" i="87"/>
  <c r="AA117" i="87"/>
  <c r="X117" i="87"/>
  <c r="U117" i="87"/>
  <c r="R117" i="87"/>
  <c r="O117" i="87"/>
  <c r="L117" i="87"/>
  <c r="I117" i="87"/>
  <c r="D124" i="109" s="1"/>
  <c r="F117" i="87"/>
  <c r="D640" i="108" s="1"/>
  <c r="AD116" i="87"/>
  <c r="AA116" i="87"/>
  <c r="X116" i="87"/>
  <c r="U116" i="87"/>
  <c r="R116" i="87"/>
  <c r="O116" i="87"/>
  <c r="L116" i="87"/>
  <c r="I116" i="87"/>
  <c r="D613" i="109" s="1"/>
  <c r="F116" i="87"/>
  <c r="D178" i="108" s="1"/>
  <c r="AD115" i="87"/>
  <c r="AA115" i="87"/>
  <c r="X115" i="87"/>
  <c r="U115" i="87"/>
  <c r="R115" i="87"/>
  <c r="O115" i="87"/>
  <c r="L115" i="87"/>
  <c r="I115" i="87"/>
  <c r="I384" i="87" s="1"/>
  <c r="F115" i="87"/>
  <c r="F378" i="87" s="1"/>
  <c r="I96" i="87"/>
  <c r="I365" i="87" s="1"/>
  <c r="I95" i="87"/>
  <c r="I364" i="87" s="1"/>
  <c r="F95" i="87"/>
  <c r="AD94" i="87"/>
  <c r="AA94" i="87"/>
  <c r="X94" i="87"/>
  <c r="U94" i="87"/>
  <c r="R94" i="87"/>
  <c r="O94" i="87"/>
  <c r="L94" i="87"/>
  <c r="I94" i="87"/>
  <c r="I363" i="87" s="1"/>
  <c r="F94" i="87"/>
  <c r="D149" i="108" s="1"/>
  <c r="AD93" i="87"/>
  <c r="AA93" i="87"/>
  <c r="X93" i="87"/>
  <c r="U93" i="87"/>
  <c r="R93" i="87"/>
  <c r="O93" i="87"/>
  <c r="L93" i="87"/>
  <c r="I93" i="87"/>
  <c r="I362" i="87" s="1"/>
  <c r="F93" i="87"/>
  <c r="AD92" i="87"/>
  <c r="AA92" i="87"/>
  <c r="X92" i="87"/>
  <c r="U92" i="87"/>
  <c r="R92" i="87"/>
  <c r="O92" i="87"/>
  <c r="L92" i="87"/>
  <c r="I92" i="87"/>
  <c r="F92" i="87"/>
  <c r="F356" i="87" s="1"/>
  <c r="AD90" i="87"/>
  <c r="AA90" i="87"/>
  <c r="X90" i="87"/>
  <c r="U90" i="87"/>
  <c r="R90" i="87"/>
  <c r="O90" i="87"/>
  <c r="L90" i="87"/>
  <c r="AD89" i="87"/>
  <c r="AA89" i="87"/>
  <c r="X89" i="87"/>
  <c r="U89" i="87"/>
  <c r="R89" i="87"/>
  <c r="O89" i="87"/>
  <c r="L89" i="87"/>
  <c r="I89" i="87"/>
  <c r="AD88" i="87"/>
  <c r="AC88" i="87"/>
  <c r="AA88" i="87"/>
  <c r="Z88" i="87"/>
  <c r="X88" i="87"/>
  <c r="W88" i="87"/>
  <c r="U88" i="87"/>
  <c r="T88" i="87"/>
  <c r="R88" i="87"/>
  <c r="Q88" i="87"/>
  <c r="O88" i="87"/>
  <c r="N88" i="87"/>
  <c r="L88" i="87"/>
  <c r="K88" i="87"/>
  <c r="E88" i="87"/>
  <c r="AD87" i="87"/>
  <c r="AA87" i="87"/>
  <c r="X87" i="87"/>
  <c r="U87" i="87"/>
  <c r="R87" i="87"/>
  <c r="O87" i="87"/>
  <c r="L87" i="87"/>
  <c r="AD86" i="87"/>
  <c r="AA86" i="87"/>
  <c r="X86" i="87"/>
  <c r="U86" i="87"/>
  <c r="R86" i="87"/>
  <c r="O86" i="87"/>
  <c r="L86" i="87"/>
  <c r="AD16" i="63"/>
  <c r="AD85" i="87"/>
  <c r="AA85" i="87"/>
  <c r="X85" i="87"/>
  <c r="U85" i="87"/>
  <c r="R85" i="87"/>
  <c r="O85" i="87"/>
  <c r="L85" i="87"/>
  <c r="D51" i="109"/>
  <c r="D463" i="109"/>
  <c r="I80" i="87"/>
  <c r="F80" i="87"/>
  <c r="AD78" i="87"/>
  <c r="AA78" i="87"/>
  <c r="X78" i="87"/>
  <c r="U78" i="87"/>
  <c r="R78" i="87"/>
  <c r="O78" i="87"/>
  <c r="L78" i="87"/>
  <c r="F78" i="87"/>
  <c r="AD77" i="87"/>
  <c r="AA77" i="87"/>
  <c r="X77" i="87"/>
  <c r="U77" i="87"/>
  <c r="R77" i="87"/>
  <c r="O77" i="87"/>
  <c r="L77" i="87"/>
  <c r="I77" i="87"/>
  <c r="F77" i="87"/>
  <c r="D619" i="108" s="1"/>
  <c r="AD76" i="87"/>
  <c r="AA76" i="87"/>
  <c r="X76" i="87"/>
  <c r="U76" i="87"/>
  <c r="R76" i="87"/>
  <c r="O76" i="87"/>
  <c r="L76" i="87"/>
  <c r="I76" i="87"/>
  <c r="D594" i="109" s="1"/>
  <c r="F76" i="87"/>
  <c r="D613" i="108" s="1"/>
  <c r="I75" i="87"/>
  <c r="AD74" i="87"/>
  <c r="AA74" i="87"/>
  <c r="X74" i="87"/>
  <c r="U74" i="87"/>
  <c r="R74" i="87"/>
  <c r="O74" i="87"/>
  <c r="L74" i="87"/>
  <c r="I74" i="87"/>
  <c r="F74" i="87"/>
  <c r="AD73" i="87"/>
  <c r="AA73" i="87"/>
  <c r="X73" i="87"/>
  <c r="U73" i="87"/>
  <c r="R73" i="87"/>
  <c r="O73" i="87"/>
  <c r="L73" i="87"/>
  <c r="I73" i="87"/>
  <c r="F73" i="87"/>
  <c r="AD72" i="87"/>
  <c r="AC72" i="87"/>
  <c r="AA72" i="87"/>
  <c r="Z72" i="87"/>
  <c r="X72" i="87"/>
  <c r="W72" i="87"/>
  <c r="U72" i="87"/>
  <c r="T72" i="87"/>
  <c r="R72" i="87"/>
  <c r="Q72" i="87"/>
  <c r="O72" i="87"/>
  <c r="N72" i="87"/>
  <c r="L72" i="87"/>
  <c r="K72" i="87"/>
  <c r="I72" i="87"/>
  <c r="F72" i="87"/>
  <c r="E72" i="87"/>
  <c r="AD71" i="87"/>
  <c r="AA71" i="87"/>
  <c r="X71" i="87"/>
  <c r="U71" i="87"/>
  <c r="R71" i="87"/>
  <c r="O71" i="87"/>
  <c r="L71" i="87"/>
  <c r="I71" i="87"/>
  <c r="F71" i="87"/>
  <c r="AD70" i="87"/>
  <c r="AA70" i="87"/>
  <c r="X70" i="87"/>
  <c r="U70" i="87"/>
  <c r="R70" i="87"/>
  <c r="O70" i="87"/>
  <c r="L70" i="87"/>
  <c r="I70" i="87"/>
  <c r="F70" i="87"/>
  <c r="L335" i="62" s="1"/>
  <c r="AD69" i="87"/>
  <c r="AA69" i="87"/>
  <c r="X69" i="87"/>
  <c r="U69" i="87"/>
  <c r="R69" i="87"/>
  <c r="O69" i="87"/>
  <c r="L69" i="87"/>
  <c r="I69" i="87"/>
  <c r="F69" i="87"/>
  <c r="L339" i="62" s="1"/>
  <c r="AD62" i="87"/>
  <c r="AA62" i="87"/>
  <c r="X62" i="87"/>
  <c r="U62" i="87"/>
  <c r="R62" i="87"/>
  <c r="O62" i="87"/>
  <c r="L62" i="87"/>
  <c r="I62" i="87"/>
  <c r="F62" i="87"/>
  <c r="F344" i="87" s="1"/>
  <c r="AD61" i="87"/>
  <c r="AA61" i="87"/>
  <c r="X61" i="87"/>
  <c r="U61" i="87"/>
  <c r="R61" i="87"/>
  <c r="O61" i="87"/>
  <c r="L61" i="87"/>
  <c r="AD60" i="87"/>
  <c r="AA60" i="87"/>
  <c r="X60" i="87"/>
  <c r="U60" i="87"/>
  <c r="R60" i="87"/>
  <c r="O60" i="87"/>
  <c r="L60" i="87"/>
  <c r="AD58" i="87"/>
  <c r="AA58" i="87"/>
  <c r="X58" i="87"/>
  <c r="U58" i="87"/>
  <c r="R58" i="87"/>
  <c r="O58" i="87"/>
  <c r="L58" i="87"/>
  <c r="AD57" i="87"/>
  <c r="AA57" i="87"/>
  <c r="X57" i="87"/>
  <c r="U57" i="87"/>
  <c r="R57" i="87"/>
  <c r="O57" i="87"/>
  <c r="L57" i="87"/>
  <c r="AD56" i="87"/>
  <c r="AA56" i="87"/>
  <c r="X56" i="87"/>
  <c r="U56" i="87"/>
  <c r="R56" i="87"/>
  <c r="O56" i="87"/>
  <c r="L56" i="87"/>
  <c r="AD55" i="87"/>
  <c r="AA55" i="87"/>
  <c r="X55" i="87"/>
  <c r="U55" i="87"/>
  <c r="R55" i="87"/>
  <c r="O55" i="87"/>
  <c r="L55" i="87"/>
  <c r="C52" i="87"/>
  <c r="C48" i="87"/>
  <c r="C47" i="87"/>
  <c r="AD47" i="87"/>
  <c r="AD109" i="87" s="1"/>
  <c r="AA47" i="87"/>
  <c r="AA109" i="87" s="1"/>
  <c r="X47" i="87"/>
  <c r="X109" i="87" s="1"/>
  <c r="U47" i="87"/>
  <c r="U109" i="87" s="1"/>
  <c r="R47" i="87"/>
  <c r="R109" i="87" s="1"/>
  <c r="O47" i="87"/>
  <c r="O109" i="87" s="1"/>
  <c r="L47" i="87"/>
  <c r="L109" i="87" s="1"/>
  <c r="C46" i="87"/>
  <c r="AD46" i="87"/>
  <c r="AD108" i="87" s="1"/>
  <c r="AA46" i="87"/>
  <c r="AA108" i="87" s="1"/>
  <c r="X46" i="87"/>
  <c r="X108" i="87" s="1"/>
  <c r="U46" i="87"/>
  <c r="U108" i="87" s="1"/>
  <c r="R46" i="87"/>
  <c r="R108" i="87" s="1"/>
  <c r="O46" i="87"/>
  <c r="O108" i="87" s="1"/>
  <c r="L46" i="87"/>
  <c r="L108" i="87" s="1"/>
  <c r="C45" i="87"/>
  <c r="AD45" i="87"/>
  <c r="AD107" i="87" s="1"/>
  <c r="AA45" i="87"/>
  <c r="AA107" i="87" s="1"/>
  <c r="X45" i="87"/>
  <c r="X107" i="87" s="1"/>
  <c r="U45" i="87"/>
  <c r="U107" i="87" s="1"/>
  <c r="R45" i="87"/>
  <c r="R107" i="87" s="1"/>
  <c r="O45" i="87"/>
  <c r="O107" i="87" s="1"/>
  <c r="L45" i="87"/>
  <c r="L107" i="87" s="1"/>
  <c r="AD44" i="87"/>
  <c r="AD105" i="87" s="1"/>
  <c r="AA44" i="87"/>
  <c r="AA105" i="87" s="1"/>
  <c r="X44" i="87"/>
  <c r="X105" i="87" s="1"/>
  <c r="U44" i="87"/>
  <c r="U105" i="87" s="1"/>
  <c r="R44" i="87"/>
  <c r="R105" i="87" s="1"/>
  <c r="O44" i="87"/>
  <c r="O105" i="87" s="1"/>
  <c r="L44" i="87"/>
  <c r="L105" i="87" s="1"/>
  <c r="AD42" i="87"/>
  <c r="AD104" i="87" s="1"/>
  <c r="AA42" i="87"/>
  <c r="AA104" i="87" s="1"/>
  <c r="X42" i="87"/>
  <c r="X104" i="87" s="1"/>
  <c r="U42" i="87"/>
  <c r="U104" i="87" s="1"/>
  <c r="R42" i="87"/>
  <c r="R104" i="87" s="1"/>
  <c r="O42" i="87"/>
  <c r="O104" i="87" s="1"/>
  <c r="L42" i="87"/>
  <c r="L104" i="87" s="1"/>
  <c r="AD41" i="87"/>
  <c r="AD103" i="87" s="1"/>
  <c r="AC41" i="87"/>
  <c r="AA41" i="87"/>
  <c r="AA103" i="87" s="1"/>
  <c r="Z41" i="87"/>
  <c r="X41" i="87"/>
  <c r="X103" i="87" s="1"/>
  <c r="W41" i="87"/>
  <c r="U41" i="87"/>
  <c r="U103" i="87" s="1"/>
  <c r="T41" i="87"/>
  <c r="R41" i="87"/>
  <c r="R103" i="87" s="1"/>
  <c r="Q41" i="87"/>
  <c r="O41" i="87"/>
  <c r="O103" i="87" s="1"/>
  <c r="N41" i="87"/>
  <c r="L41" i="87"/>
  <c r="L103" i="87" s="1"/>
  <c r="K41" i="87"/>
  <c r="E41" i="87"/>
  <c r="C40" i="87"/>
  <c r="AD40" i="87"/>
  <c r="AD102" i="87" s="1"/>
  <c r="AA40" i="87"/>
  <c r="AA102" i="87" s="1"/>
  <c r="X40" i="87"/>
  <c r="X102" i="87" s="1"/>
  <c r="U40" i="87"/>
  <c r="U102" i="87" s="1"/>
  <c r="R40" i="87"/>
  <c r="R102" i="87" s="1"/>
  <c r="O40" i="87"/>
  <c r="O102" i="87" s="1"/>
  <c r="L40" i="87"/>
  <c r="L102" i="87" s="1"/>
  <c r="I34" i="87"/>
  <c r="I33" i="87"/>
  <c r="I63" i="87" s="1"/>
  <c r="F33" i="87"/>
  <c r="I32" i="87"/>
  <c r="F32" i="87"/>
  <c r="I31" i="87"/>
  <c r="F31" i="87"/>
  <c r="F61" i="87" s="1"/>
  <c r="F343" i="87" s="1"/>
  <c r="I30" i="87"/>
  <c r="F30" i="87"/>
  <c r="F60" i="87" s="1"/>
  <c r="F342" i="87" s="1"/>
  <c r="C28" i="87"/>
  <c r="I27" i="87"/>
  <c r="C27" i="87"/>
  <c r="AC26" i="87"/>
  <c r="Z26" i="87"/>
  <c r="W26" i="87"/>
  <c r="T26" i="87"/>
  <c r="Q26" i="87"/>
  <c r="N26" i="87"/>
  <c r="K26" i="87"/>
  <c r="E26" i="87"/>
  <c r="C26" i="87"/>
  <c r="AD24" i="87"/>
  <c r="AD39" i="87" s="1"/>
  <c r="AD101" i="87" s="1"/>
  <c r="AA24" i="87"/>
  <c r="AA39" i="87" s="1"/>
  <c r="AA101" i="87" s="1"/>
  <c r="X24" i="87"/>
  <c r="X39" i="87" s="1"/>
  <c r="X101" i="87" s="1"/>
  <c r="U24" i="87"/>
  <c r="U54" i="87" s="1"/>
  <c r="R24" i="87"/>
  <c r="R54" i="87" s="1"/>
  <c r="O24" i="87"/>
  <c r="O54" i="87" s="1"/>
  <c r="L24" i="87"/>
  <c r="L54" i="87" s="1"/>
  <c r="AD32" i="63"/>
  <c r="C24" i="87"/>
  <c r="AD23" i="87"/>
  <c r="AA23" i="87"/>
  <c r="X23" i="87"/>
  <c r="U23" i="87"/>
  <c r="R23" i="87"/>
  <c r="O23" i="87"/>
  <c r="L23" i="87"/>
  <c r="C23" i="87"/>
  <c r="AH22" i="87"/>
  <c r="AH21" i="87"/>
  <c r="I19" i="87"/>
  <c r="F19" i="87"/>
  <c r="C19" i="87"/>
  <c r="I18" i="87"/>
  <c r="F18" i="87"/>
  <c r="C18" i="87"/>
  <c r="AD17" i="87"/>
  <c r="AA17" i="87"/>
  <c r="X17" i="87"/>
  <c r="U17" i="87"/>
  <c r="R17" i="87"/>
  <c r="O17" i="87"/>
  <c r="L17" i="87"/>
  <c r="I17" i="87"/>
  <c r="D87" i="109" s="1"/>
  <c r="F17" i="87"/>
  <c r="D144" i="108" s="1"/>
  <c r="C17" i="87"/>
  <c r="AD16" i="87"/>
  <c r="AD130" i="87" s="1"/>
  <c r="AA16" i="87"/>
  <c r="AA130" i="87" s="1"/>
  <c r="X16" i="87"/>
  <c r="X130" i="87" s="1"/>
  <c r="U16" i="87"/>
  <c r="U130" i="87" s="1"/>
  <c r="R16" i="87"/>
  <c r="R130" i="87" s="1"/>
  <c r="O16" i="87"/>
  <c r="O130" i="87" s="1"/>
  <c r="L16" i="87"/>
  <c r="L130" i="87" s="1"/>
  <c r="I16" i="87"/>
  <c r="F16" i="87"/>
  <c r="D183" i="108" s="1"/>
  <c r="AD15" i="87"/>
  <c r="AD129" i="87" s="1"/>
  <c r="AA15" i="87"/>
  <c r="AA129" i="87" s="1"/>
  <c r="X15" i="87"/>
  <c r="X129" i="87" s="1"/>
  <c r="U15" i="87"/>
  <c r="U129" i="87" s="1"/>
  <c r="R15" i="87"/>
  <c r="R129" i="87" s="1"/>
  <c r="O15" i="87"/>
  <c r="O129" i="87" s="1"/>
  <c r="L15" i="87"/>
  <c r="L129" i="87" s="1"/>
  <c r="I15" i="87"/>
  <c r="D119" i="109" s="1"/>
  <c r="F15" i="87"/>
  <c r="C15" i="87"/>
  <c r="I14" i="87"/>
  <c r="C14" i="87"/>
  <c r="AD13" i="87"/>
  <c r="AA13" i="87"/>
  <c r="X13" i="87"/>
  <c r="U13" i="87"/>
  <c r="R13" i="87"/>
  <c r="O13" i="87"/>
  <c r="L13" i="87"/>
  <c r="I13" i="87"/>
  <c r="F13" i="87"/>
  <c r="C13" i="87"/>
  <c r="AD12" i="87"/>
  <c r="AA12" i="87"/>
  <c r="X12" i="87"/>
  <c r="U12" i="87"/>
  <c r="R12" i="87"/>
  <c r="O12" i="87"/>
  <c r="L12" i="87"/>
  <c r="I12" i="87"/>
  <c r="F12" i="87"/>
  <c r="C12" i="87"/>
  <c r="AD11" i="87"/>
  <c r="AD128" i="87" s="1"/>
  <c r="AC11" i="87"/>
  <c r="AA11" i="87"/>
  <c r="AA128" i="87" s="1"/>
  <c r="Z11" i="87"/>
  <c r="X11" i="87"/>
  <c r="X128" i="87" s="1"/>
  <c r="W11" i="87"/>
  <c r="U11" i="87"/>
  <c r="U128" i="87" s="1"/>
  <c r="T11" i="87"/>
  <c r="R11" i="87"/>
  <c r="R128" i="87" s="1"/>
  <c r="Q11" i="87"/>
  <c r="O11" i="87"/>
  <c r="O128" i="87" s="1"/>
  <c r="N11" i="87"/>
  <c r="L11" i="87"/>
  <c r="L128" i="87" s="1"/>
  <c r="K11" i="87"/>
  <c r="I11" i="87"/>
  <c r="F11" i="87"/>
  <c r="E11" i="87"/>
  <c r="AD10" i="87"/>
  <c r="AD127" i="87" s="1"/>
  <c r="AA10" i="87"/>
  <c r="AA127" i="87" s="1"/>
  <c r="X10" i="87"/>
  <c r="X127" i="87" s="1"/>
  <c r="U10" i="87"/>
  <c r="U127" i="87" s="1"/>
  <c r="R10" i="87"/>
  <c r="R127" i="87" s="1"/>
  <c r="O10" i="87"/>
  <c r="O127" i="87" s="1"/>
  <c r="L10" i="87"/>
  <c r="L127" i="87" s="1"/>
  <c r="I10" i="87"/>
  <c r="F10" i="87"/>
  <c r="AD9" i="87"/>
  <c r="AD126" i="87" s="1"/>
  <c r="AA9" i="87"/>
  <c r="AA126" i="87" s="1"/>
  <c r="X9" i="87"/>
  <c r="X126" i="87" s="1"/>
  <c r="U9" i="87"/>
  <c r="U126" i="87" s="1"/>
  <c r="R9" i="87"/>
  <c r="R126" i="87" s="1"/>
  <c r="O9" i="87"/>
  <c r="O126" i="87" s="1"/>
  <c r="L9" i="87"/>
  <c r="L126" i="87" s="1"/>
  <c r="I9" i="87"/>
  <c r="F9" i="87"/>
  <c r="L333" i="62" s="1"/>
  <c r="AD8" i="87"/>
  <c r="AD125" i="87" s="1"/>
  <c r="AA8" i="87"/>
  <c r="AA125" i="87" s="1"/>
  <c r="X8" i="87"/>
  <c r="X125" i="87" s="1"/>
  <c r="U8" i="87"/>
  <c r="U125" i="87" s="1"/>
  <c r="R8" i="87"/>
  <c r="R125" i="87" s="1"/>
  <c r="O8" i="87"/>
  <c r="O125" i="87" s="1"/>
  <c r="L8" i="87"/>
  <c r="L125" i="87" s="1"/>
  <c r="I8" i="87"/>
  <c r="L337" i="62"/>
  <c r="C8" i="87"/>
  <c r="C50" i="123"/>
  <c r="C49" i="123"/>
  <c r="E420" i="115"/>
  <c r="C386" i="115"/>
  <c r="C371" i="115"/>
  <c r="C352" i="115"/>
  <c r="C351" i="115"/>
  <c r="D347" i="115"/>
  <c r="B312" i="115"/>
  <c r="E294" i="115"/>
  <c r="B145" i="115"/>
  <c r="B132" i="115"/>
  <c r="D114" i="115"/>
  <c r="D349" i="115" s="1"/>
  <c r="D113" i="115"/>
  <c r="D112" i="115"/>
  <c r="B71" i="115"/>
  <c r="E14" i="115"/>
  <c r="D14" i="115"/>
  <c r="E418" i="115" s="1"/>
  <c r="E13" i="115"/>
  <c r="E11" i="115"/>
  <c r="E10" i="115"/>
  <c r="C624" i="109"/>
  <c r="C618" i="109"/>
  <c r="C612" i="109"/>
  <c r="C606" i="109"/>
  <c r="C600" i="109"/>
  <c r="C594" i="109"/>
  <c r="C578" i="109"/>
  <c r="C629" i="109" s="1"/>
  <c r="D571" i="109"/>
  <c r="C570" i="109"/>
  <c r="C569" i="109"/>
  <c r="C559" i="109"/>
  <c r="C558" i="109"/>
  <c r="D557" i="109"/>
  <c r="C534" i="109"/>
  <c r="C527" i="109"/>
  <c r="C502" i="109"/>
  <c r="C501" i="109"/>
  <c r="C499" i="109"/>
  <c r="C496" i="109"/>
  <c r="C495" i="109"/>
  <c r="C493" i="109"/>
  <c r="C476" i="109"/>
  <c r="C475" i="109"/>
  <c r="C474" i="109"/>
  <c r="D471" i="109"/>
  <c r="D464" i="109"/>
  <c r="C459" i="109"/>
  <c r="C458" i="109"/>
  <c r="C457" i="109"/>
  <c r="D454" i="109"/>
  <c r="D447" i="109"/>
  <c r="E410" i="109"/>
  <c r="E393" i="109"/>
  <c r="C361" i="109"/>
  <c r="C333" i="109"/>
  <c r="D323" i="109"/>
  <c r="D321" i="109"/>
  <c r="B285" i="109"/>
  <c r="E267" i="109"/>
  <c r="C132" i="109"/>
  <c r="C130" i="109"/>
  <c r="D129" i="109"/>
  <c r="C125" i="109"/>
  <c r="C123" i="109"/>
  <c r="D114" i="109"/>
  <c r="C102" i="109"/>
  <c r="C414" i="109" s="1"/>
  <c r="C93" i="109"/>
  <c r="D88" i="109"/>
  <c r="D81" i="109"/>
  <c r="D74" i="109"/>
  <c r="D36" i="109"/>
  <c r="C28" i="109"/>
  <c r="C27" i="109"/>
  <c r="C26" i="109"/>
  <c r="C25" i="109"/>
  <c r="C24" i="109"/>
  <c r="C23" i="109"/>
  <c r="C22" i="109"/>
  <c r="C21" i="109"/>
  <c r="C381" i="65"/>
  <c r="B378" i="65"/>
  <c r="C375" i="65"/>
  <c r="C367" i="65"/>
  <c r="B221" i="65"/>
  <c r="D220" i="65"/>
  <c r="D216" i="65"/>
  <c r="D162" i="65"/>
  <c r="D149" i="65"/>
  <c r="D148" i="65"/>
  <c r="E218" i="65" s="1"/>
  <c r="D147" i="65"/>
  <c r="D215" i="65" s="1"/>
  <c r="B105" i="65"/>
  <c r="B94" i="65"/>
  <c r="C16" i="65"/>
  <c r="C142" i="118"/>
  <c r="C146" i="118" s="1"/>
  <c r="E11" i="118"/>
  <c r="D11" i="118"/>
  <c r="E10" i="118"/>
  <c r="D10" i="118"/>
  <c r="D9" i="118"/>
  <c r="D8" i="118"/>
  <c r="E7" i="118"/>
  <c r="D7" i="118"/>
  <c r="C643" i="108"/>
  <c r="C637" i="108"/>
  <c r="C631" i="108"/>
  <c r="C630" i="108" a="1"/>
  <c r="C630" i="108" s="1"/>
  <c r="C625" i="108"/>
  <c r="C624" i="108"/>
  <c r="C619" i="108"/>
  <c r="C613" i="108"/>
  <c r="C595" i="108"/>
  <c r="C602" i="108" s="1"/>
  <c r="C589" i="108"/>
  <c r="C588" i="108"/>
  <c r="C580" i="108"/>
  <c r="C579" i="108"/>
  <c r="C561" i="108"/>
  <c r="C556" i="108"/>
  <c r="C539" i="108"/>
  <c r="C538" i="108"/>
  <c r="C536" i="108"/>
  <c r="C533" i="108"/>
  <c r="C532" i="108"/>
  <c r="C530" i="108"/>
  <c r="D520" i="108"/>
  <c r="C515" i="108"/>
  <c r="C514" i="108"/>
  <c r="C513" i="108"/>
  <c r="D503" i="108"/>
  <c r="C498" i="108"/>
  <c r="C497" i="108"/>
  <c r="C496" i="108"/>
  <c r="D493" i="108"/>
  <c r="D510" i="108" s="1"/>
  <c r="D486" i="108"/>
  <c r="E451" i="108"/>
  <c r="C441" i="108"/>
  <c r="C116" i="113" s="1"/>
  <c r="E435" i="108"/>
  <c r="C405" i="108"/>
  <c r="D370" i="108"/>
  <c r="E341" i="108"/>
  <c r="E333" i="108"/>
  <c r="E325" i="108"/>
  <c r="E322" i="108"/>
  <c r="E228" i="108"/>
  <c r="C189" i="108"/>
  <c r="D186" i="108"/>
  <c r="C182" i="108"/>
  <c r="E174" i="108"/>
  <c r="E173" i="108"/>
  <c r="D172" i="108"/>
  <c r="E170" i="108"/>
  <c r="E167" i="108"/>
  <c r="E166" i="108"/>
  <c r="E163" i="108"/>
  <c r="C159" i="108"/>
  <c r="C454" i="108" s="1"/>
  <c r="E154" i="108"/>
  <c r="E153" i="108"/>
  <c r="E150" i="108"/>
  <c r="C150" i="108"/>
  <c r="E149" i="108"/>
  <c r="E148" i="108"/>
  <c r="E147" i="108"/>
  <c r="E146" i="108"/>
  <c r="D145" i="108"/>
  <c r="E144" i="108"/>
  <c r="C143" i="108"/>
  <c r="C142" i="108"/>
  <c r="C141" i="108"/>
  <c r="C140" i="108"/>
  <c r="D138" i="108"/>
  <c r="E136" i="108"/>
  <c r="E135" i="108"/>
  <c r="D134" i="108"/>
  <c r="D131" i="108"/>
  <c r="E130" i="108"/>
  <c r="E123" i="108"/>
  <c r="E122" i="108"/>
  <c r="E121" i="108"/>
  <c r="E120" i="108"/>
  <c r="E119" i="108"/>
  <c r="E116" i="108"/>
  <c r="C115" i="108"/>
  <c r="C114" i="108"/>
  <c r="C113" i="108"/>
  <c r="E108" i="108"/>
  <c r="E107" i="108"/>
  <c r="E103" i="108"/>
  <c r="D93" i="108"/>
  <c r="C85" i="108"/>
  <c r="C83" i="108"/>
  <c r="C82" i="108"/>
  <c r="C81" i="108"/>
  <c r="C80" i="108"/>
  <c r="C79" i="108"/>
  <c r="C78" i="108"/>
  <c r="C77" i="108"/>
  <c r="C76" i="108"/>
  <c r="C74" i="108"/>
  <c r="C73" i="108"/>
  <c r="C72" i="108"/>
  <c r="C71" i="108"/>
  <c r="C70" i="108"/>
  <c r="C57" i="108"/>
  <c r="C55" i="108"/>
  <c r="C50" i="108"/>
  <c r="C49" i="108"/>
  <c r="C48" i="108"/>
  <c r="C45" i="108"/>
  <c r="C44" i="108"/>
  <c r="C43" i="108"/>
  <c r="C41" i="108"/>
  <c r="C40" i="108"/>
  <c r="C39" i="108"/>
  <c r="C38" i="108"/>
  <c r="E17" i="108"/>
  <c r="D17" i="108"/>
  <c r="C441" i="115" s="1"/>
  <c r="E16" i="108"/>
  <c r="D16" i="108"/>
  <c r="D15" i="108"/>
  <c r="E12" i="108"/>
  <c r="D12" i="108"/>
  <c r="E76" i="108" s="1"/>
  <c r="M391" i="62"/>
  <c r="M390" i="62"/>
  <c r="M389" i="62"/>
  <c r="M388" i="62"/>
  <c r="M379" i="62"/>
  <c r="M377" i="62"/>
  <c r="M374" i="62"/>
  <c r="M373" i="62"/>
  <c r="M372" i="62"/>
  <c r="K353" i="62"/>
  <c r="K347" i="62"/>
  <c r="K339" i="62"/>
  <c r="K335" i="62"/>
  <c r="M315" i="62"/>
  <c r="M314" i="62"/>
  <c r="M313" i="62"/>
  <c r="M312" i="62"/>
  <c r="M311" i="62"/>
  <c r="M245" i="62"/>
  <c r="M234" i="62"/>
  <c r="M153" i="62"/>
  <c r="M156" i="62"/>
  <c r="M155" i="62"/>
  <c r="M276" i="62"/>
  <c r="M271" i="62"/>
  <c r="M261" i="62"/>
  <c r="M223" i="62"/>
  <c r="M218" i="62"/>
  <c r="M146" i="62"/>
  <c r="M138" i="62"/>
  <c r="M130" i="62"/>
  <c r="M107" i="62"/>
  <c r="M86" i="62"/>
  <c r="M213" i="62"/>
  <c r="M212" i="62"/>
  <c r="M211" i="62"/>
  <c r="M63" i="62"/>
  <c r="M62" i="62"/>
  <c r="M207" i="62"/>
  <c r="M59" i="62"/>
  <c r="M302" i="62"/>
  <c r="M301" i="62"/>
  <c r="M300" i="62"/>
  <c r="M299" i="62"/>
  <c r="M298" i="62"/>
  <c r="M297" i="62"/>
  <c r="M296" i="62"/>
  <c r="M202" i="62"/>
  <c r="M201" i="62"/>
  <c r="M200" i="62"/>
  <c r="M199" i="62"/>
  <c r="M198" i="62"/>
  <c r="M197" i="62"/>
  <c r="M325" i="62"/>
  <c r="M189" i="62"/>
  <c r="K187" i="62"/>
  <c r="C75" i="75" s="1"/>
  <c r="M181" i="62"/>
  <c r="K170" i="62"/>
  <c r="K164" i="62"/>
  <c r="K163" i="62"/>
  <c r="K162" i="62"/>
  <c r="M77" i="62"/>
  <c r="M79" i="62"/>
  <c r="M47" i="62"/>
  <c r="K69" i="62"/>
  <c r="C100" i="118" s="1"/>
  <c r="L68" i="62"/>
  <c r="K68" i="62"/>
  <c r="M31" i="62"/>
  <c r="L25" i="62"/>
  <c r="C20" i="62"/>
  <c r="M19" i="62"/>
  <c r="M15" i="62"/>
  <c r="M10" i="62"/>
  <c r="J83" i="54"/>
  <c r="I83" i="54"/>
  <c r="I91" i="54" s="1"/>
  <c r="V67" i="54"/>
  <c r="S67" i="54"/>
  <c r="N67" i="54"/>
  <c r="J67" i="54"/>
  <c r="G67" i="54"/>
  <c r="E67" i="54"/>
  <c r="Z66" i="54"/>
  <c r="V66" i="54"/>
  <c r="S66" i="54"/>
  <c r="N66" i="54"/>
  <c r="J66" i="54"/>
  <c r="G66" i="54"/>
  <c r="E66" i="54"/>
  <c r="Z65" i="54"/>
  <c r="V65" i="54"/>
  <c r="S65" i="54"/>
  <c r="N65" i="54"/>
  <c r="J65" i="54"/>
  <c r="G65" i="54"/>
  <c r="E65" i="54"/>
  <c r="Z64" i="54"/>
  <c r="V64" i="54"/>
  <c r="S64" i="54"/>
  <c r="N64" i="54"/>
  <c r="J64" i="54"/>
  <c r="G64" i="54"/>
  <c r="E64" i="54"/>
  <c r="Z63" i="54"/>
  <c r="V63" i="54"/>
  <c r="S63" i="54"/>
  <c r="N63" i="54"/>
  <c r="J63" i="54"/>
  <c r="G63" i="54"/>
  <c r="E63" i="54"/>
  <c r="Z62" i="54"/>
  <c r="V62" i="54"/>
  <c r="S62" i="54"/>
  <c r="N62" i="54"/>
  <c r="J62" i="54"/>
  <c r="G62" i="54"/>
  <c r="E62" i="54"/>
  <c r="Z61" i="54"/>
  <c r="V61" i="54"/>
  <c r="S61" i="54"/>
  <c r="N61" i="54"/>
  <c r="J61" i="54"/>
  <c r="G61" i="54"/>
  <c r="E61" i="54"/>
  <c r="Z60" i="54"/>
  <c r="V60" i="54"/>
  <c r="S60" i="54"/>
  <c r="N60" i="54"/>
  <c r="J60" i="54"/>
  <c r="G60" i="54"/>
  <c r="E60" i="54"/>
  <c r="Z59" i="54"/>
  <c r="V59" i="54"/>
  <c r="S59" i="54"/>
  <c r="N59" i="54"/>
  <c r="J59" i="54"/>
  <c r="G59" i="54"/>
  <c r="E59" i="54"/>
  <c r="Z58" i="54"/>
  <c r="V58" i="54"/>
  <c r="S58" i="54"/>
  <c r="N58" i="54"/>
  <c r="J58" i="54"/>
  <c r="G58" i="54"/>
  <c r="E58" i="54"/>
  <c r="Z57" i="54"/>
  <c r="V57" i="54"/>
  <c r="S57" i="54"/>
  <c r="N57" i="54"/>
  <c r="J57" i="54"/>
  <c r="G57" i="54"/>
  <c r="E57" i="54"/>
  <c r="Z56" i="54"/>
  <c r="V56" i="54"/>
  <c r="S56" i="54"/>
  <c r="N56" i="54"/>
  <c r="J56" i="54"/>
  <c r="G56" i="54"/>
  <c r="E56" i="54"/>
  <c r="Z55" i="54"/>
  <c r="V55" i="54"/>
  <c r="S55" i="54"/>
  <c r="N55" i="54"/>
  <c r="J55" i="54"/>
  <c r="G55" i="54"/>
  <c r="E55" i="54"/>
  <c r="V54" i="54"/>
  <c r="S54" i="54"/>
  <c r="N54" i="54"/>
  <c r="J54" i="54"/>
  <c r="G54" i="54"/>
  <c r="E54" i="54"/>
  <c r="Z53" i="54"/>
  <c r="V53" i="54"/>
  <c r="S53" i="54"/>
  <c r="N53" i="54"/>
  <c r="J53" i="54"/>
  <c r="G53" i="54"/>
  <c r="E53" i="54"/>
  <c r="Z52" i="54"/>
  <c r="V52" i="54"/>
  <c r="S52" i="54"/>
  <c r="N52" i="54"/>
  <c r="J52" i="54"/>
  <c r="G52" i="54"/>
  <c r="E52" i="54"/>
  <c r="Z51" i="54"/>
  <c r="V51" i="54"/>
  <c r="S51" i="54"/>
  <c r="N51" i="54"/>
  <c r="J51" i="54"/>
  <c r="G51" i="54"/>
  <c r="E51" i="54"/>
  <c r="Z50" i="54"/>
  <c r="V50" i="54"/>
  <c r="S50" i="54"/>
  <c r="N50" i="54"/>
  <c r="J50" i="54"/>
  <c r="G50" i="54"/>
  <c r="E50" i="54"/>
  <c r="Z49" i="54"/>
  <c r="V49" i="54"/>
  <c r="S49" i="54"/>
  <c r="N49" i="54"/>
  <c r="J49" i="54"/>
  <c r="G49" i="54"/>
  <c r="E49" i="54"/>
  <c r="Z48" i="54"/>
  <c r="V48" i="54"/>
  <c r="S48" i="54"/>
  <c r="N48" i="54"/>
  <c r="J48" i="54"/>
  <c r="G48" i="54"/>
  <c r="E48" i="54"/>
  <c r="Z47" i="54"/>
  <c r="V47" i="54"/>
  <c r="S47" i="54"/>
  <c r="N47" i="54"/>
  <c r="J47" i="54"/>
  <c r="G47" i="54"/>
  <c r="E47" i="54"/>
  <c r="Z46" i="54"/>
  <c r="V46" i="54"/>
  <c r="S46" i="54"/>
  <c r="N46" i="54"/>
  <c r="J46" i="54"/>
  <c r="G46" i="54"/>
  <c r="E46" i="54"/>
  <c r="Z45" i="54"/>
  <c r="V45" i="54"/>
  <c r="S45" i="54"/>
  <c r="N45" i="54"/>
  <c r="J45" i="54"/>
  <c r="G45" i="54"/>
  <c r="E45" i="54"/>
  <c r="Z44" i="54"/>
  <c r="V44" i="54"/>
  <c r="S44" i="54"/>
  <c r="N44" i="54"/>
  <c r="J44" i="54"/>
  <c r="G44" i="54"/>
  <c r="E44" i="54"/>
  <c r="T40" i="54"/>
  <c r="R40" i="54"/>
  <c r="M40" i="54"/>
  <c r="J40" i="54"/>
  <c r="G40" i="54"/>
  <c r="E40" i="54"/>
  <c r="M14" i="54"/>
  <c r="F14" i="113" s="1"/>
  <c r="L14" i="54"/>
  <c r="E14" i="113" s="1"/>
  <c r="K14" i="54"/>
  <c r="D14" i="113" s="1"/>
  <c r="J14" i="54"/>
  <c r="C14" i="113" s="1"/>
  <c r="M9" i="54"/>
  <c r="F9" i="113" s="1"/>
  <c r="L9" i="54"/>
  <c r="E9" i="113" s="1"/>
  <c r="K9" i="54"/>
  <c r="D9" i="113" s="1"/>
  <c r="M8" i="54"/>
  <c r="F8" i="113" s="1"/>
  <c r="L8" i="54"/>
  <c r="E8" i="113" s="1"/>
  <c r="K8" i="54"/>
  <c r="D8" i="113" s="1"/>
  <c r="L18" i="106"/>
  <c r="L17" i="106"/>
  <c r="L16" i="106"/>
  <c r="M19" i="106" s="1"/>
  <c r="K16" i="106"/>
  <c r="J11" i="106"/>
  <c r="C11" i="63" a="1"/>
  <c r="D365" i="65" l="1"/>
  <c r="AD24" i="63"/>
  <c r="C161" i="118"/>
  <c r="K256" i="62"/>
  <c r="C80" i="118"/>
  <c r="C157" i="118"/>
  <c r="AA32" i="63"/>
  <c r="C26" i="118"/>
  <c r="C67" i="118"/>
  <c r="I361" i="87"/>
  <c r="D15" i="116"/>
  <c r="U85" i="63"/>
  <c r="D181" i="119" s="1"/>
  <c r="C138" i="127"/>
  <c r="C137" i="127"/>
  <c r="C134" i="127"/>
  <c r="C136" i="127"/>
  <c r="C50" i="127"/>
  <c r="C197" i="127"/>
  <c r="C198" i="109"/>
  <c r="C194" i="109"/>
  <c r="C209" i="109"/>
  <c r="C208" i="109"/>
  <c r="C191" i="109"/>
  <c r="C188" i="109"/>
  <c r="C193" i="109"/>
  <c r="C190" i="109"/>
  <c r="C195" i="109"/>
  <c r="C172" i="127"/>
  <c r="C177" i="127"/>
  <c r="C176" i="127"/>
  <c r="C175" i="127"/>
  <c r="C174" i="127"/>
  <c r="C73" i="127"/>
  <c r="C43" i="127"/>
  <c r="C20" i="127"/>
  <c r="C16" i="127"/>
  <c r="C188" i="127"/>
  <c r="C88" i="127"/>
  <c r="C13" i="127"/>
  <c r="C42" i="127"/>
  <c r="C190" i="127"/>
  <c r="C62" i="127"/>
  <c r="C61" i="127"/>
  <c r="C35" i="127"/>
  <c r="C53" i="127"/>
  <c r="C34" i="127"/>
  <c r="C15" i="127"/>
  <c r="C87" i="127"/>
  <c r="C14" i="127"/>
  <c r="C12" i="127"/>
  <c r="C72" i="127"/>
  <c r="C24" i="127"/>
  <c r="C25" i="127"/>
  <c r="D354" i="117"/>
  <c r="D540" i="117"/>
  <c r="D75" i="117"/>
  <c r="D447" i="117"/>
  <c r="D261" i="117"/>
  <c r="D168" i="117"/>
  <c r="D632" i="117"/>
  <c r="D353" i="117"/>
  <c r="D539" i="117"/>
  <c r="D74" i="117"/>
  <c r="D167" i="117"/>
  <c r="D260" i="117"/>
  <c r="D446" i="117"/>
  <c r="C641" i="117"/>
  <c r="C547" i="117"/>
  <c r="C454" i="117"/>
  <c r="C361" i="117"/>
  <c r="C268" i="117"/>
  <c r="C175" i="117"/>
  <c r="C82" i="117"/>
  <c r="C384" i="115"/>
  <c r="C244" i="115"/>
  <c r="C48" i="115"/>
  <c r="C116" i="115" s="1"/>
  <c r="C640" i="117"/>
  <c r="C546" i="117"/>
  <c r="C453" i="117"/>
  <c r="C360" i="117"/>
  <c r="C267" i="117"/>
  <c r="C174" i="117"/>
  <c r="C81" i="117"/>
  <c r="C639" i="117"/>
  <c r="C545" i="117"/>
  <c r="C452" i="117"/>
  <c r="C359" i="117"/>
  <c r="C266" i="117"/>
  <c r="C173" i="117"/>
  <c r="C80" i="117"/>
  <c r="C383" i="115"/>
  <c r="C394" i="115" s="1"/>
  <c r="C638" i="117"/>
  <c r="C148" i="115"/>
  <c r="C421" i="115"/>
  <c r="C130" i="115"/>
  <c r="C365" i="115"/>
  <c r="C390" i="115" s="1"/>
  <c r="C147" i="115"/>
  <c r="C422" i="115"/>
  <c r="C149" i="115"/>
  <c r="C592" i="117"/>
  <c r="C631" i="117" s="1"/>
  <c r="C499" i="117"/>
  <c r="C406" i="117"/>
  <c r="C445" i="117" s="1"/>
  <c r="C313" i="117"/>
  <c r="C352" i="117" s="1"/>
  <c r="C220" i="117"/>
  <c r="C127" i="117"/>
  <c r="C166" i="117" s="1"/>
  <c r="C34" i="117"/>
  <c r="C125" i="115"/>
  <c r="C256" i="115" s="1"/>
  <c r="C260" i="115"/>
  <c r="C548" i="117"/>
  <c r="C455" i="117"/>
  <c r="C362" i="117"/>
  <c r="C269" i="117"/>
  <c r="C176" i="117"/>
  <c r="C83" i="117"/>
  <c r="C395" i="115"/>
  <c r="C248" i="115"/>
  <c r="C103" i="108"/>
  <c r="C132" i="108"/>
  <c r="C205" i="108"/>
  <c r="D11" i="65"/>
  <c r="E10" i="65" s="1"/>
  <c r="E11" i="65"/>
  <c r="D169" i="109"/>
  <c r="D159" i="109"/>
  <c r="D473" i="109"/>
  <c r="D255" i="108"/>
  <c r="D226" i="108"/>
  <c r="D216" i="108"/>
  <c r="X30" i="123"/>
  <c r="X29" i="123"/>
  <c r="X28" i="123"/>
  <c r="Y37" i="123"/>
  <c r="C44" i="63"/>
  <c r="Y26" i="123"/>
  <c r="C34" i="87"/>
  <c r="Y35" i="123"/>
  <c r="Y34" i="123"/>
  <c r="Y33" i="123"/>
  <c r="Y49" i="123" a="1"/>
  <c r="Y49" i="123" s="1"/>
  <c r="Y51" i="123" a="1"/>
  <c r="Y51" i="123" s="1"/>
  <c r="C204" i="109"/>
  <c r="C203" i="109"/>
  <c r="C213" i="109"/>
  <c r="D247" i="108"/>
  <c r="D190" i="109"/>
  <c r="E93" i="108"/>
  <c r="D14" i="108"/>
  <c r="C260" i="108"/>
  <c r="C261" i="108"/>
  <c r="C255" i="108"/>
  <c r="D72" i="109"/>
  <c r="D162" i="109"/>
  <c r="D152" i="109"/>
  <c r="D164" i="109"/>
  <c r="D154" i="109"/>
  <c r="D436" i="109"/>
  <c r="D219" i="108"/>
  <c r="D209" i="108"/>
  <c r="D472" i="109"/>
  <c r="D221" i="108"/>
  <c r="D211" i="108"/>
  <c r="C250" i="108"/>
  <c r="C248" i="108"/>
  <c r="C266" i="108"/>
  <c r="C245" i="108"/>
  <c r="C265" i="108"/>
  <c r="C247" i="108"/>
  <c r="C252" i="108"/>
  <c r="C251" i="108"/>
  <c r="C270" i="108"/>
  <c r="C163" i="109"/>
  <c r="C137" i="109"/>
  <c r="C169" i="109"/>
  <c r="C159" i="109"/>
  <c r="C220" i="108"/>
  <c r="C164" i="109"/>
  <c r="C210" i="108"/>
  <c r="C142" i="109"/>
  <c r="C154" i="109"/>
  <c r="C199" i="108"/>
  <c r="C194" i="108"/>
  <c r="C162" i="109"/>
  <c r="C152" i="109"/>
  <c r="C153" i="109"/>
  <c r="C216" i="108"/>
  <c r="C234" i="109"/>
  <c r="C211" i="108"/>
  <c r="C148" i="109"/>
  <c r="C209" i="108"/>
  <c r="C226" i="108"/>
  <c r="C221" i="108"/>
  <c r="C219" i="108"/>
  <c r="K266" i="62"/>
  <c r="R41" i="63"/>
  <c r="C60" i="87" s="1"/>
  <c r="K281" i="62"/>
  <c r="K276" i="62"/>
  <c r="D637" i="108"/>
  <c r="C328" i="65"/>
  <c r="C178" i="65"/>
  <c r="D395" i="115"/>
  <c r="D394" i="108"/>
  <c r="D48" i="108"/>
  <c r="D538" i="108"/>
  <c r="D560" i="108"/>
  <c r="D551" i="108"/>
  <c r="D553" i="108"/>
  <c r="D404" i="108"/>
  <c r="J366" i="62"/>
  <c r="D463" i="108"/>
  <c r="D616" i="108"/>
  <c r="D635" i="108"/>
  <c r="D636" i="108"/>
  <c r="D460" i="108"/>
  <c r="F469" i="87"/>
  <c r="D61" i="116"/>
  <c r="F140" i="63"/>
  <c r="F141" i="63"/>
  <c r="D575" i="108" a="1"/>
  <c r="D575" i="108" s="1"/>
  <c r="I130" i="87"/>
  <c r="D47" i="109"/>
  <c r="D580" i="109"/>
  <c r="G90" i="113"/>
  <c r="L90" i="63"/>
  <c r="D393" i="108" s="1" a="1"/>
  <c r="D393" i="108" s="1"/>
  <c r="L89" i="63"/>
  <c r="B418" i="108" a="1"/>
  <c r="B430" i="108" s="1"/>
  <c r="D642" i="108"/>
  <c r="D628" i="108"/>
  <c r="B417" i="65"/>
  <c r="O27" i="87"/>
  <c r="I471" i="87"/>
  <c r="I315" i="87"/>
  <c r="AD26" i="87"/>
  <c r="AA25" i="87"/>
  <c r="R28" i="87"/>
  <c r="I314" i="87"/>
  <c r="U39" i="87"/>
  <c r="U101" i="87" s="1"/>
  <c r="R25" i="87"/>
  <c r="O26" i="87"/>
  <c r="C54" i="108"/>
  <c r="D645" i="108"/>
  <c r="D600" i="108"/>
  <c r="D496" i="109"/>
  <c r="D570" i="108"/>
  <c r="D631" i="109"/>
  <c r="D588" i="109"/>
  <c r="D584" i="108" a="1"/>
  <c r="D584" i="108" s="1"/>
  <c r="D624" i="108"/>
  <c r="D371" i="109"/>
  <c r="X6" i="123"/>
  <c r="X5" i="123"/>
  <c r="D561" i="108"/>
  <c r="D492" i="109"/>
  <c r="F271" i="87"/>
  <c r="D514" i="109"/>
  <c r="D573" i="108"/>
  <c r="D609" i="108"/>
  <c r="D556" i="109"/>
  <c r="X31" i="87"/>
  <c r="X25" i="87"/>
  <c r="O28" i="87"/>
  <c r="D125" i="109"/>
  <c r="F464" i="87"/>
  <c r="AD25" i="87"/>
  <c r="U28" i="87"/>
  <c r="U27" i="87"/>
  <c r="R32" i="87"/>
  <c r="D631" i="108"/>
  <c r="AD27" i="87"/>
  <c r="O30" i="87"/>
  <c r="AA32" i="87"/>
  <c r="L28" i="87"/>
  <c r="AD30" i="87"/>
  <c r="R26" i="87"/>
  <c r="R27" i="87"/>
  <c r="L32" i="87"/>
  <c r="D591" i="109"/>
  <c r="O32" i="87"/>
  <c r="F461" i="87"/>
  <c r="AA27" i="87"/>
  <c r="L25" i="87"/>
  <c r="D185" i="108"/>
  <c r="D454" i="108"/>
  <c r="L27" i="87"/>
  <c r="I398" i="87"/>
  <c r="O31" i="87"/>
  <c r="L31" i="87"/>
  <c r="U32" i="87"/>
  <c r="U31" i="87"/>
  <c r="L30" i="87"/>
  <c r="R31" i="87"/>
  <c r="X32" i="87"/>
  <c r="R30" i="87"/>
  <c r="AD32" i="87"/>
  <c r="U30" i="87"/>
  <c r="AD31" i="87"/>
  <c r="X30" i="87"/>
  <c r="AA30" i="87"/>
  <c r="D403" i="108"/>
  <c r="K198" i="62"/>
  <c r="C100" i="108" s="1"/>
  <c r="C323" i="108"/>
  <c r="C371" i="108" s="1"/>
  <c r="K271" i="62"/>
  <c r="C171" i="65"/>
  <c r="C51" i="119" s="1"/>
  <c r="K211" i="62"/>
  <c r="K76" i="62"/>
  <c r="C605" i="109"/>
  <c r="C611" i="109" s="1"/>
  <c r="C101" i="108"/>
  <c r="C130" i="108" s="1"/>
  <c r="C434" i="109"/>
  <c r="C156" i="108"/>
  <c r="C564" i="108"/>
  <c r="C592" i="108" s="1"/>
  <c r="F457" i="87"/>
  <c r="O25" i="87"/>
  <c r="L26" i="87"/>
  <c r="AA26" i="87"/>
  <c r="U25" i="87"/>
  <c r="AA31" i="87"/>
  <c r="L39" i="87"/>
  <c r="L101" i="87" s="1"/>
  <c r="F463" i="87"/>
  <c r="D617" i="108"/>
  <c r="J91" i="54"/>
  <c r="O39" i="87"/>
  <c r="O101" i="87" s="1"/>
  <c r="R39" i="87"/>
  <c r="R101" i="87" s="1"/>
  <c r="U26" i="87"/>
  <c r="X28" i="87"/>
  <c r="X54" i="87"/>
  <c r="AA28" i="87"/>
  <c r="AD28" i="87"/>
  <c r="E237" i="115"/>
  <c r="E236" i="115"/>
  <c r="E235" i="115"/>
  <c r="D402" i="108"/>
  <c r="D477" i="108"/>
  <c r="D506" i="109"/>
  <c r="F249" i="87"/>
  <c r="D412" i="108"/>
  <c r="J375" i="62"/>
  <c r="D365" i="109"/>
  <c r="D495" i="108"/>
  <c r="C400" i="108"/>
  <c r="C204" i="63" s="1"/>
  <c r="D529" i="108"/>
  <c r="C340" i="109"/>
  <c r="C351" i="109" s="1"/>
  <c r="C436" i="108"/>
  <c r="K245" i="62"/>
  <c r="C234" i="108"/>
  <c r="C399" i="108"/>
  <c r="C203" i="63" s="1"/>
  <c r="C437" i="108"/>
  <c r="C593" i="109"/>
  <c r="C599" i="109" s="1"/>
  <c r="B18" i="123"/>
  <c r="AH7" i="87"/>
  <c r="C602" i="117" s="1"/>
  <c r="D558" i="108"/>
  <c r="K234" i="62"/>
  <c r="D41" i="108"/>
  <c r="C336" i="65"/>
  <c r="K77" i="62"/>
  <c r="K261" i="62"/>
  <c r="C495" i="108" s="1"/>
  <c r="C490" i="108"/>
  <c r="C528" i="108" s="1"/>
  <c r="C571" i="108"/>
  <c r="C576" i="108" s="1"/>
  <c r="C160" i="65"/>
  <c r="C227" i="65"/>
  <c r="C38" i="109"/>
  <c r="C581" i="109" s="1"/>
  <c r="C359" i="109"/>
  <c r="C451" i="109"/>
  <c r="C509" i="109" s="1"/>
  <c r="C596" i="108"/>
  <c r="C229" i="65"/>
  <c r="D602" i="109"/>
  <c r="K70" i="62"/>
  <c r="C31" i="65"/>
  <c r="C177" i="65"/>
  <c r="C539" i="109"/>
  <c r="C573" i="109" s="1"/>
  <c r="C184" i="115"/>
  <c r="C206" i="115"/>
  <c r="C195" i="115"/>
  <c r="K207" i="62"/>
  <c r="C408" i="108"/>
  <c r="C605" i="108"/>
  <c r="C82" i="65"/>
  <c r="C151" i="65" s="1"/>
  <c r="C182" i="65"/>
  <c r="C268" i="109"/>
  <c r="C324" i="109" s="1"/>
  <c r="C555" i="109"/>
  <c r="C548" i="109" s="1"/>
  <c r="C230" i="108"/>
  <c r="C385" i="108"/>
  <c r="C413" i="108" s="1"/>
  <c r="C394" i="109"/>
  <c r="B11" i="123"/>
  <c r="C103" i="127" s="1"/>
  <c r="AA35" i="63"/>
  <c r="AA36" i="63"/>
  <c r="C330" i="109" s="1"/>
  <c r="K197" i="62"/>
  <c r="C95" i="108"/>
  <c r="C598" i="108" s="1"/>
  <c r="C291" i="108"/>
  <c r="C507" i="108"/>
  <c r="C534" i="108" s="1"/>
  <c r="C585" i="108"/>
  <c r="C639" i="108" s="1"/>
  <c r="D9" i="115"/>
  <c r="D8" i="115" s="1"/>
  <c r="D13" i="115" s="1"/>
  <c r="E8" i="115"/>
  <c r="E9" i="115"/>
  <c r="I249" i="87"/>
  <c r="D76" i="109"/>
  <c r="D137" i="108"/>
  <c r="D474" i="108"/>
  <c r="D403" i="109"/>
  <c r="D469" i="109"/>
  <c r="D498" i="108"/>
  <c r="I282" i="87"/>
  <c r="D601" i="109" s="1"/>
  <c r="AA23" i="63"/>
  <c r="J386" i="62"/>
  <c r="D610" i="109"/>
  <c r="D39" i="108"/>
  <c r="D49" i="108"/>
  <c r="D525" i="108"/>
  <c r="K223" i="62"/>
  <c r="C265" i="120" s="1"/>
  <c r="J389" i="62"/>
  <c r="C396" i="108"/>
  <c r="C473" i="108"/>
  <c r="C543" i="108" s="1"/>
  <c r="D528" i="108"/>
  <c r="D547" i="108"/>
  <c r="C228" i="65"/>
  <c r="C395" i="109"/>
  <c r="D527" i="109"/>
  <c r="C566" i="109"/>
  <c r="C620" i="109" s="1"/>
  <c r="AH8" i="87"/>
  <c r="AH10" i="87" s="1"/>
  <c r="AH18" i="87"/>
  <c r="F182" i="87"/>
  <c r="F187" i="87"/>
  <c r="C10" i="63"/>
  <c r="D513" i="108"/>
  <c r="D602" i="108"/>
  <c r="D484" i="109"/>
  <c r="D508" i="108"/>
  <c r="D594" i="108"/>
  <c r="D541" i="108"/>
  <c r="C23" i="65"/>
  <c r="D432" i="109"/>
  <c r="C468" i="109"/>
  <c r="C510" i="109" s="1"/>
  <c r="D606" i="108"/>
  <c r="D627" i="108"/>
  <c r="D435" i="109"/>
  <c r="F283" i="87"/>
  <c r="AA39" i="63"/>
  <c r="D597" i="108"/>
  <c r="D521" i="108"/>
  <c r="D633" i="108"/>
  <c r="D647" i="108"/>
  <c r="C324" i="65"/>
  <c r="C44" i="109"/>
  <c r="C73" i="109" s="1"/>
  <c r="C99" i="109"/>
  <c r="C579" i="109" s="1"/>
  <c r="D410" i="109"/>
  <c r="D558" i="109"/>
  <c r="C586" i="109"/>
  <c r="B15" i="123"/>
  <c r="AA26" i="63"/>
  <c r="C82" i="75"/>
  <c r="D408" i="108"/>
  <c r="B412" i="65"/>
  <c r="B416" i="65"/>
  <c r="B407" i="65"/>
  <c r="B409" i="65"/>
  <c r="D446" i="108"/>
  <c r="D412" i="65"/>
  <c r="D414" i="65"/>
  <c r="B398" i="65"/>
  <c r="D403" i="65"/>
  <c r="D373" i="65"/>
  <c r="B415" i="65"/>
  <c r="D104" i="108"/>
  <c r="B396" i="65"/>
  <c r="I248" i="87"/>
  <c r="F32" i="63"/>
  <c r="D385" i="65"/>
  <c r="B393" i="65"/>
  <c r="I240" i="87"/>
  <c r="I243" i="87"/>
  <c r="B410" i="65"/>
  <c r="I244" i="87"/>
  <c r="B411" i="65"/>
  <c r="D367" i="65"/>
  <c r="D413" i="65"/>
  <c r="X26" i="87"/>
  <c r="D80" i="109"/>
  <c r="D409" i="65"/>
  <c r="D396" i="108"/>
  <c r="D413" i="108"/>
  <c r="D398" i="65"/>
  <c r="D43" i="109"/>
  <c r="D411" i="65"/>
  <c r="D358" i="109"/>
  <c r="I238" i="87"/>
  <c r="D418" i="65"/>
  <c r="B404" i="65"/>
  <c r="D404" i="65"/>
  <c r="D511" i="108"/>
  <c r="D133" i="108"/>
  <c r="D415" i="65"/>
  <c r="D410" i="65"/>
  <c r="D405" i="65"/>
  <c r="D52" i="109"/>
  <c r="D563" i="109"/>
  <c r="I239" i="87"/>
  <c r="D235" i="65" a="1"/>
  <c r="D241" i="65" s="1"/>
  <c r="D416" i="65"/>
  <c r="I234" i="87"/>
  <c r="B414" i="65"/>
  <c r="D379" i="65"/>
  <c r="D406" i="65"/>
  <c r="I246" i="87"/>
  <c r="D417" i="65"/>
  <c r="B413" i="65"/>
  <c r="I245" i="87"/>
  <c r="D407" i="65"/>
  <c r="B418" i="65"/>
  <c r="B408" i="65"/>
  <c r="D78" i="109"/>
  <c r="D413" i="109"/>
  <c r="D502" i="108"/>
  <c r="D480" i="109"/>
  <c r="D519" i="108"/>
  <c r="D108" i="108"/>
  <c r="C54" i="63"/>
  <c r="O118" i="63"/>
  <c r="D318" i="75" s="1"/>
  <c r="C90" i="75"/>
  <c r="D396" i="65"/>
  <c r="AA34" i="63"/>
  <c r="D45" i="108"/>
  <c r="D475" i="109" a="1"/>
  <c r="D475" i="109" s="1"/>
  <c r="D498" i="109"/>
  <c r="C351" i="65"/>
  <c r="D417" i="109"/>
  <c r="D614" i="109"/>
  <c r="D40" i="108"/>
  <c r="D534" i="108"/>
  <c r="D567" i="109"/>
  <c r="D590" i="109"/>
  <c r="D587" i="109"/>
  <c r="D608" i="109"/>
  <c r="C53" i="87"/>
  <c r="R38" i="63"/>
  <c r="C52" i="63"/>
  <c r="D545" i="108" s="1"/>
  <c r="D539" i="108"/>
  <c r="D607" i="108"/>
  <c r="D533" i="109"/>
  <c r="D577" i="109"/>
  <c r="D620" i="109"/>
  <c r="AA20" i="63"/>
  <c r="D43" i="108"/>
  <c r="D491" i="108"/>
  <c r="D577" i="108"/>
  <c r="D438" i="109"/>
  <c r="D538" i="109"/>
  <c r="O114" i="63"/>
  <c r="D331" i="75" s="1"/>
  <c r="O116" i="63"/>
  <c r="D334" i="75" s="1"/>
  <c r="J372" i="62"/>
  <c r="D38" i="108"/>
  <c r="D549" i="108"/>
  <c r="D598" i="108"/>
  <c r="D615" i="108"/>
  <c r="B395" i="65"/>
  <c r="D495" i="109"/>
  <c r="D579" i="108"/>
  <c r="D501" i="109"/>
  <c r="D366" i="109"/>
  <c r="D409" i="108"/>
  <c r="F36" i="63"/>
  <c r="D536" i="108"/>
  <c r="D397" i="65"/>
  <c r="D497" i="109"/>
  <c r="C77" i="120"/>
  <c r="C361" i="120" s="1"/>
  <c r="D391" i="115" a="1"/>
  <c r="D391" i="115" s="1"/>
  <c r="D278" i="120"/>
  <c r="AA27" i="63"/>
  <c r="F7" i="120" s="1"/>
  <c r="AA29" i="63"/>
  <c r="C380" i="108" s="1"/>
  <c r="C90" i="113" s="1"/>
  <c r="D499" i="109"/>
  <c r="D361" i="120"/>
  <c r="C448" i="75"/>
  <c r="AA40" i="63"/>
  <c r="AA42" i="63"/>
  <c r="C83" i="118" s="1"/>
  <c r="D395" i="65"/>
  <c r="AA22" i="63"/>
  <c r="AA28" i="63"/>
  <c r="C356" i="115" s="1"/>
  <c r="AA31" i="63"/>
  <c r="C63" i="127" s="1"/>
  <c r="AA33" i="63"/>
  <c r="AA37" i="63"/>
  <c r="C331" i="109" s="1"/>
  <c r="C60" i="116" s="1"/>
  <c r="I226" i="63"/>
  <c r="C28" i="75"/>
  <c r="D620" i="108"/>
  <c r="D629" i="108"/>
  <c r="C35" i="87"/>
  <c r="AA24" i="63"/>
  <c r="C45" i="75"/>
  <c r="D512" i="108"/>
  <c r="D446" i="109"/>
  <c r="D439" i="109"/>
  <c r="D466" i="109"/>
  <c r="D494" i="108"/>
  <c r="D455" i="109"/>
  <c r="F237" i="87"/>
  <c r="D492" i="108"/>
  <c r="D100" i="108"/>
  <c r="J385" i="62"/>
  <c r="J390" i="62"/>
  <c r="D456" i="108"/>
  <c r="D478" i="108"/>
  <c r="C33" i="87"/>
  <c r="C44" i="87"/>
  <c r="F242" i="87"/>
  <c r="D582" i="108"/>
  <c r="D129" i="108"/>
  <c r="D411" i="108"/>
  <c r="D471" i="108"/>
  <c r="D369" i="109"/>
  <c r="D109" i="108"/>
  <c r="D407" i="108"/>
  <c r="D456" i="109"/>
  <c r="D470" i="109"/>
  <c r="D488" i="109"/>
  <c r="L351" i="62"/>
  <c r="D453" i="108"/>
  <c r="D488" i="108"/>
  <c r="D483" i="109"/>
  <c r="J388" i="62"/>
  <c r="D505" i="108"/>
  <c r="D563" i="108"/>
  <c r="D453" i="109"/>
  <c r="M352" i="62"/>
  <c r="D475" i="108"/>
  <c r="D465" i="109"/>
  <c r="L345" i="62"/>
  <c r="D509" i="108"/>
  <c r="C56" i="87"/>
  <c r="L357" i="62"/>
  <c r="D485" i="108"/>
  <c r="D522" i="108"/>
  <c r="D482" i="109"/>
  <c r="C37" i="87"/>
  <c r="D586" i="108"/>
  <c r="D451" i="108"/>
  <c r="D449" i="109"/>
  <c r="C38" i="87"/>
  <c r="F235" i="87"/>
  <c r="O53" i="63"/>
  <c r="L334" i="62"/>
  <c r="J391" i="62"/>
  <c r="D136" i="108"/>
  <c r="C45" i="63"/>
  <c r="C55" i="87"/>
  <c r="F247" i="87"/>
  <c r="L347" i="62"/>
  <c r="L353" i="62"/>
  <c r="J393" i="62" a="1"/>
  <c r="J408" i="62" s="1"/>
  <c r="E337" i="108"/>
  <c r="C48" i="63"/>
  <c r="F245" i="87"/>
  <c r="D481" i="109"/>
  <c r="F239" i="87"/>
  <c r="F244" i="87"/>
  <c r="D623" i="108"/>
  <c r="D643" i="108"/>
  <c r="E379" i="108"/>
  <c r="D634" i="108"/>
  <c r="F462" i="87"/>
  <c r="D187" i="108"/>
  <c r="E380" i="65"/>
  <c r="F468" i="87"/>
  <c r="D181" i="108"/>
  <c r="D497" i="108"/>
  <c r="D514" i="108"/>
  <c r="D535" i="108"/>
  <c r="D611" i="108"/>
  <c r="D621" i="108"/>
  <c r="M109" i="62"/>
  <c r="D176" i="108"/>
  <c r="D610" i="108"/>
  <c r="D630" i="108"/>
  <c r="F311" i="87"/>
  <c r="F466" i="87"/>
  <c r="E43" i="108"/>
  <c r="D625" i="108"/>
  <c r="D150" i="108"/>
  <c r="D626" i="108"/>
  <c r="F459" i="87"/>
  <c r="F467" i="87"/>
  <c r="D632" i="108"/>
  <c r="F460" i="87"/>
  <c r="D180" i="108"/>
  <c r="F310" i="87"/>
  <c r="G95" i="113" s="1"/>
  <c r="F470" i="87"/>
  <c r="F458" i="87"/>
  <c r="F465" i="87"/>
  <c r="B401" i="115" a="1"/>
  <c r="B403" i="115" s="1"/>
  <c r="D430" i="115"/>
  <c r="D352" i="115"/>
  <c r="D396" i="115"/>
  <c r="D390" i="115" a="1"/>
  <c r="D390" i="115" s="1"/>
  <c r="D376" i="115" a="1"/>
  <c r="D376" i="115" s="1"/>
  <c r="I235" i="63"/>
  <c r="D371" i="115"/>
  <c r="D155" i="115" a="1"/>
  <c r="D164" i="115" s="1"/>
  <c r="D389" i="115"/>
  <c r="D444" i="115" a="1"/>
  <c r="D444" i="115" s="1"/>
  <c r="I21" i="63"/>
  <c r="C190" i="115"/>
  <c r="D612" i="109"/>
  <c r="D92" i="109"/>
  <c r="D531" i="109"/>
  <c r="D600" i="109"/>
  <c r="D621" i="109"/>
  <c r="D622" i="109"/>
  <c r="D121" i="109"/>
  <c r="D596" i="109"/>
  <c r="D617" i="109"/>
  <c r="I479" i="87"/>
  <c r="I475" i="87"/>
  <c r="B376" i="109" a="1"/>
  <c r="B385" i="109" s="1"/>
  <c r="D598" i="109"/>
  <c r="D128" i="109"/>
  <c r="D623" i="109"/>
  <c r="D426" i="109"/>
  <c r="D457" i="109" a="1"/>
  <c r="D457" i="109" s="1"/>
  <c r="F40" i="63"/>
  <c r="D510" i="109" s="1"/>
  <c r="D603" i="109"/>
  <c r="D595" i="109"/>
  <c r="I472" i="87"/>
  <c r="F62" i="63"/>
  <c r="D606" i="109"/>
  <c r="D126" i="109"/>
  <c r="D597" i="109"/>
  <c r="D604" i="109"/>
  <c r="I272" i="87"/>
  <c r="D554" i="109"/>
  <c r="D565" i="109"/>
  <c r="D414" i="109"/>
  <c r="I474" i="87"/>
  <c r="I468" i="87"/>
  <c r="D123" i="109"/>
  <c r="D459" i="109" a="1"/>
  <c r="D459" i="109" s="1"/>
  <c r="D615" i="109"/>
  <c r="I469" i="87"/>
  <c r="D130" i="109"/>
  <c r="D349" i="109"/>
  <c r="D420" i="109"/>
  <c r="D520" i="109"/>
  <c r="D547" i="109"/>
  <c r="D592" i="109"/>
  <c r="I476" i="87"/>
  <c r="D404" i="109"/>
  <c r="D524" i="109"/>
  <c r="D552" i="109"/>
  <c r="I470" i="87"/>
  <c r="I478" i="87"/>
  <c r="E417" i="115"/>
  <c r="C11" i="63"/>
  <c r="M3" i="106" s="1"/>
  <c r="C439" i="75"/>
  <c r="C436" i="75"/>
  <c r="C388" i="75"/>
  <c r="C385" i="75"/>
  <c r="C25" i="87"/>
  <c r="G158" i="113"/>
  <c r="F331" i="87"/>
  <c r="F48" i="87"/>
  <c r="F63" i="87"/>
  <c r="I348" i="87"/>
  <c r="D93" i="109"/>
  <c r="D371" i="120"/>
  <c r="F389" i="87"/>
  <c r="C221" i="119"/>
  <c r="C239" i="119"/>
  <c r="C250" i="119"/>
  <c r="C227" i="119"/>
  <c r="C531" i="75"/>
  <c r="D11" i="109"/>
  <c r="E21" i="109" s="1"/>
  <c r="E48" i="108"/>
  <c r="E34" i="108"/>
  <c r="E59" i="108"/>
  <c r="C464" i="75"/>
  <c r="C410" i="75"/>
  <c r="C413" i="75"/>
  <c r="C461" i="75"/>
  <c r="D47" i="116"/>
  <c r="D10" i="116"/>
  <c r="AD8" i="63"/>
  <c r="D387" i="65"/>
  <c r="I42" i="87"/>
  <c r="I57" i="87"/>
  <c r="I46" i="87"/>
  <c r="I61" i="87"/>
  <c r="I347" i="87" s="1"/>
  <c r="E68" i="108"/>
  <c r="M16" i="106"/>
  <c r="M17" i="106"/>
  <c r="D386" i="65"/>
  <c r="I49" i="87"/>
  <c r="E38" i="108"/>
  <c r="E53" i="108"/>
  <c r="E282" i="109"/>
  <c r="E144" i="115"/>
  <c r="D348" i="115"/>
  <c r="D137" i="115"/>
  <c r="X27" i="87"/>
  <c r="F45" i="87"/>
  <c r="F328" i="87"/>
  <c r="B112" i="116"/>
  <c r="F39" i="63"/>
  <c r="D509" i="109" s="1"/>
  <c r="D532" i="109"/>
  <c r="I396" i="87"/>
  <c r="M18" i="106"/>
  <c r="H91" i="54"/>
  <c r="E23" i="116"/>
  <c r="E22" i="116"/>
  <c r="H51" i="113"/>
  <c r="H50" i="113"/>
  <c r="E606" i="117"/>
  <c r="E141" i="117"/>
  <c r="E560" i="120"/>
  <c r="E420" i="117"/>
  <c r="E513" i="117"/>
  <c r="E48" i="117"/>
  <c r="E552" i="120"/>
  <c r="E528" i="120"/>
  <c r="E327" i="117"/>
  <c r="E234" i="117"/>
  <c r="E536" i="120"/>
  <c r="E544" i="120"/>
  <c r="E512" i="120"/>
  <c r="E520" i="120"/>
  <c r="E298" i="109"/>
  <c r="E397" i="109"/>
  <c r="E331" i="109"/>
  <c r="E290" i="109"/>
  <c r="E345" i="108"/>
  <c r="G91" i="54"/>
  <c r="C141" i="113"/>
  <c r="C54" i="113"/>
  <c r="C646" i="108"/>
  <c r="C411" i="75"/>
  <c r="C462" i="75"/>
  <c r="C463" i="75"/>
  <c r="C412" i="75"/>
  <c r="D327" i="75" a="1"/>
  <c r="D327" i="75" s="1"/>
  <c r="D250" i="75" a="1"/>
  <c r="D250" i="75" s="1"/>
  <c r="D346" i="75" a="1"/>
  <c r="D346" i="75" s="1"/>
  <c r="D267" i="75" a="1"/>
  <c r="D267" i="75" s="1"/>
  <c r="AA48" i="63"/>
  <c r="AA56" i="63"/>
  <c r="AA54" i="63"/>
  <c r="I64" i="87"/>
  <c r="AD20" i="63"/>
  <c r="D375" i="65"/>
  <c r="D381" i="65"/>
  <c r="B114" i="116"/>
  <c r="D119" i="116"/>
  <c r="D38" i="116"/>
  <c r="AE8" i="63"/>
  <c r="D352" i="120"/>
  <c r="R39" i="63"/>
  <c r="D268" i="75" a="1"/>
  <c r="D268" i="75" s="1"/>
  <c r="D347" i="75" a="1"/>
  <c r="D347" i="75" s="1"/>
  <c r="D328" i="75" a="1"/>
  <c r="D328" i="75" s="1"/>
  <c r="D251" i="75" a="1"/>
  <c r="D251" i="75" s="1"/>
  <c r="D283" i="120"/>
  <c r="D280" i="120"/>
  <c r="D108" i="116"/>
  <c r="AA54" i="87"/>
  <c r="D234" i="120"/>
  <c r="D336" i="120"/>
  <c r="G64" i="113"/>
  <c r="G166" i="113"/>
  <c r="G170" i="113"/>
  <c r="G68" i="113"/>
  <c r="D84" i="116"/>
  <c r="AE36" i="63"/>
  <c r="F391" i="87"/>
  <c r="I400" i="87"/>
  <c r="G124" i="113"/>
  <c r="G133" i="113"/>
  <c r="G138" i="113"/>
  <c r="B124" i="113" a="1"/>
  <c r="B193" i="75" a="1"/>
  <c r="AE16" i="63"/>
  <c r="B111" i="116"/>
  <c r="B110" i="116"/>
  <c r="F38" i="63"/>
  <c r="D508" i="109" s="1"/>
  <c r="B38" i="116"/>
  <c r="G76" i="113"/>
  <c r="D102" i="116"/>
  <c r="G152" i="113"/>
  <c r="G38" i="113"/>
  <c r="AD54" i="87"/>
  <c r="G147" i="113"/>
  <c r="G60" i="113"/>
  <c r="F243" i="87"/>
  <c r="D35" i="116"/>
  <c r="D116" i="116"/>
  <c r="G168" i="113"/>
  <c r="G66" i="113"/>
  <c r="D120" i="116"/>
  <c r="D39" i="116"/>
  <c r="G93" i="113"/>
  <c r="AE12" i="63"/>
  <c r="G125" i="113"/>
  <c r="F35" i="63"/>
  <c r="D365" i="120"/>
  <c r="D360" i="120"/>
  <c r="D97" i="120"/>
  <c r="D304" i="75"/>
  <c r="D279" i="75"/>
  <c r="D406" i="75"/>
  <c r="D381" i="75"/>
  <c r="D457" i="75"/>
  <c r="D84" i="75"/>
  <c r="D432" i="75"/>
  <c r="D248" i="75" a="1"/>
  <c r="D248" i="75" s="1"/>
  <c r="D348" i="75"/>
  <c r="D265" i="75"/>
  <c r="D54" i="75"/>
  <c r="O115" i="63"/>
  <c r="G146" i="113"/>
  <c r="G59" i="113"/>
  <c r="D97" i="116"/>
  <c r="D31" i="116"/>
  <c r="D339" i="120"/>
  <c r="D118" i="116"/>
  <c r="D37" i="116"/>
  <c r="G171" i="113"/>
  <c r="G69" i="113"/>
  <c r="D64" i="116"/>
  <c r="D65" i="116"/>
  <c r="F394" i="87"/>
  <c r="I401" i="87"/>
  <c r="G126" i="113"/>
  <c r="G134" i="113"/>
  <c r="G139" i="113"/>
  <c r="AE32" i="63"/>
  <c r="AD41" i="63"/>
  <c r="D242" i="120"/>
  <c r="D104" i="116"/>
  <c r="D62" i="116"/>
  <c r="D351" i="75"/>
  <c r="D330" i="75"/>
  <c r="D291" i="75"/>
  <c r="D275" i="75"/>
  <c r="D348" i="120" a="1"/>
  <c r="D348" i="120" s="1"/>
  <c r="D338" i="120" a="1"/>
  <c r="D338" i="120" s="1"/>
  <c r="D351" i="120" a="1"/>
  <c r="D351" i="120" s="1"/>
  <c r="D341" i="120" a="1"/>
  <c r="D341" i="120" s="1"/>
  <c r="D332" i="120" a="1"/>
  <c r="D332" i="120" s="1"/>
  <c r="D354" i="120" a="1"/>
  <c r="D354" i="120" s="1"/>
  <c r="D345" i="120" a="1"/>
  <c r="D345" i="120" s="1"/>
  <c r="D285" i="120" a="1"/>
  <c r="D285" i="120" s="1"/>
  <c r="D335" i="120" a="1"/>
  <c r="D335" i="120" s="1"/>
  <c r="D382" i="120"/>
  <c r="AD12" i="63"/>
  <c r="I60" i="87"/>
  <c r="I346" i="87" s="1"/>
  <c r="G154" i="113"/>
  <c r="G78" i="113"/>
  <c r="G40" i="113"/>
  <c r="G145" i="113"/>
  <c r="G58" i="113"/>
  <c r="D96" i="116"/>
  <c r="D30" i="116"/>
  <c r="F241" i="87"/>
  <c r="I242" i="87"/>
  <c r="D121" i="116"/>
  <c r="D40" i="116"/>
  <c r="F329" i="87"/>
  <c r="F337" i="87"/>
  <c r="F395" i="87"/>
  <c r="G127" i="113"/>
  <c r="B310" i="120" a="1"/>
  <c r="D343" i="120"/>
  <c r="I477" i="87"/>
  <c r="AE24" i="63"/>
  <c r="D189" i="120"/>
  <c r="AE41" i="63"/>
  <c r="D276" i="120"/>
  <c r="D229" i="120"/>
  <c r="D290" i="120"/>
  <c r="D232" i="120"/>
  <c r="B67" i="113"/>
  <c r="D408" i="65"/>
  <c r="G42" i="113"/>
  <c r="G46" i="113"/>
  <c r="G50" i="113"/>
  <c r="G156" i="113"/>
  <c r="D281" i="120"/>
  <c r="D244" i="120"/>
  <c r="D12" i="116"/>
  <c r="D49" i="116"/>
  <c r="G52" i="113"/>
  <c r="G153" i="113"/>
  <c r="D103" i="116"/>
  <c r="G39" i="113"/>
  <c r="G77" i="113"/>
  <c r="D377" i="120"/>
  <c r="AD36" i="63"/>
  <c r="D282" i="120"/>
  <c r="G157" i="113"/>
  <c r="G57" i="113"/>
  <c r="G144" i="113"/>
  <c r="D29" i="116"/>
  <c r="D95" i="116"/>
  <c r="F240" i="87"/>
  <c r="I241" i="87"/>
  <c r="G164" i="113"/>
  <c r="G62" i="113"/>
  <c r="G172" i="113"/>
  <c r="G70" i="113"/>
  <c r="G100" i="113"/>
  <c r="I343" i="87"/>
  <c r="D71" i="116"/>
  <c r="D66" i="116"/>
  <c r="I395" i="87"/>
  <c r="G128" i="113"/>
  <c r="G135" i="113"/>
  <c r="AE20" i="63"/>
  <c r="D412" i="120"/>
  <c r="D395" i="120"/>
  <c r="D257" i="120"/>
  <c r="D228" i="120"/>
  <c r="D402" i="120"/>
  <c r="D264" i="120"/>
  <c r="D392" i="120"/>
  <c r="D254" i="120"/>
  <c r="D223" i="120"/>
  <c r="D289" i="120"/>
  <c r="D275" i="120"/>
  <c r="D413" i="120"/>
  <c r="B33" i="116"/>
  <c r="D517" i="75"/>
  <c r="D518" i="75"/>
  <c r="D488" i="75"/>
  <c r="D240" i="120"/>
  <c r="D379" i="120"/>
  <c r="D378" i="120"/>
  <c r="D241" i="120"/>
  <c r="R76" i="63"/>
  <c r="D418" i="120"/>
  <c r="D415" i="120"/>
  <c r="C91" i="116"/>
  <c r="C25" i="116"/>
  <c r="D593" i="109"/>
  <c r="D177" i="120"/>
  <c r="D111" i="120"/>
  <c r="D183" i="120"/>
  <c r="D154" i="120"/>
  <c r="D162" i="120"/>
  <c r="D135" i="120"/>
  <c r="D123" i="120"/>
  <c r="D196" i="120"/>
  <c r="D141" i="120"/>
  <c r="D129" i="120"/>
  <c r="D203" i="120"/>
  <c r="D14" i="116"/>
  <c r="D18" i="116"/>
  <c r="D22" i="116"/>
  <c r="D106" i="116"/>
  <c r="F46" i="87"/>
  <c r="F47" i="87"/>
  <c r="G48" i="113"/>
  <c r="D48" i="116"/>
  <c r="D239" i="120"/>
  <c r="G51" i="113"/>
  <c r="D107" i="116"/>
  <c r="G56" i="113"/>
  <c r="G143" i="113"/>
  <c r="D28" i="116"/>
  <c r="D94" i="116"/>
  <c r="F236" i="87"/>
  <c r="B176" i="75" a="1"/>
  <c r="D114" i="116"/>
  <c r="D33" i="116"/>
  <c r="D122" i="116"/>
  <c r="D41" i="116"/>
  <c r="D70" i="116"/>
  <c r="F330" i="87"/>
  <c r="G94" i="113"/>
  <c r="D72" i="116"/>
  <c r="G129" i="113"/>
  <c r="D346" i="120"/>
  <c r="C47" i="63"/>
  <c r="B161" i="113"/>
  <c r="B160" i="113"/>
  <c r="C50" i="63"/>
  <c r="D543" i="108" s="1"/>
  <c r="D61" i="75"/>
  <c r="O117" i="63"/>
  <c r="R80" i="63"/>
  <c r="I45" i="87"/>
  <c r="I47" i="87"/>
  <c r="I48" i="87"/>
  <c r="G44" i="113"/>
  <c r="D20" i="116"/>
  <c r="G47" i="113"/>
  <c r="D23" i="116"/>
  <c r="D353" i="120"/>
  <c r="D331" i="120"/>
  <c r="D344" i="120"/>
  <c r="D284" i="120"/>
  <c r="D334" i="120"/>
  <c r="D347" i="120"/>
  <c r="D337" i="120"/>
  <c r="D350" i="120"/>
  <c r="D340" i="120"/>
  <c r="G142" i="113"/>
  <c r="G55" i="113"/>
  <c r="D27" i="116"/>
  <c r="D93" i="116"/>
  <c r="I236" i="87"/>
  <c r="F238" i="87"/>
  <c r="F248" i="87"/>
  <c r="B293" i="120" a="1"/>
  <c r="D330" i="120"/>
  <c r="G167" i="113"/>
  <c r="G65" i="113"/>
  <c r="G173" i="113"/>
  <c r="G71" i="113"/>
  <c r="G114" i="113"/>
  <c r="I325" i="87"/>
  <c r="D83" i="116"/>
  <c r="G96" i="113"/>
  <c r="I380" i="87"/>
  <c r="G130" i="113"/>
  <c r="G136" i="113"/>
  <c r="F471" i="87"/>
  <c r="G83" i="113"/>
  <c r="G82" i="113"/>
  <c r="R20" i="63"/>
  <c r="D450" i="75"/>
  <c r="D374" i="75"/>
  <c r="D425" i="75"/>
  <c r="D399" i="75"/>
  <c r="D341" i="75"/>
  <c r="D220" i="75"/>
  <c r="D323" i="75"/>
  <c r="D103" i="120"/>
  <c r="R37" i="63"/>
  <c r="R40" i="63"/>
  <c r="D218" i="65"/>
  <c r="D589" i="109"/>
  <c r="D599" i="109"/>
  <c r="D624" i="109"/>
  <c r="D16" i="116"/>
  <c r="G43" i="113"/>
  <c r="D19" i="116"/>
  <c r="G141" i="113"/>
  <c r="G54" i="113"/>
  <c r="D92" i="116"/>
  <c r="D26" i="116"/>
  <c r="G165" i="113"/>
  <c r="G63" i="113"/>
  <c r="D117" i="116"/>
  <c r="D36" i="116"/>
  <c r="D123" i="116"/>
  <c r="D42" i="116"/>
  <c r="D82" i="116"/>
  <c r="G117" i="113"/>
  <c r="F326" i="87"/>
  <c r="F340" i="87"/>
  <c r="G101" i="113"/>
  <c r="G131" i="113"/>
  <c r="D349" i="120"/>
  <c r="I31" i="63"/>
  <c r="D15" i="119"/>
  <c r="D29" i="119"/>
  <c r="D64" i="119"/>
  <c r="D91" i="116"/>
  <c r="D25" i="116"/>
  <c r="I237" i="87"/>
  <c r="F246" i="87"/>
  <c r="I247" i="87"/>
  <c r="D333" i="120"/>
  <c r="D115" i="116"/>
  <c r="D34" i="116"/>
  <c r="G67" i="113"/>
  <c r="G169" i="113"/>
  <c r="I340" i="87"/>
  <c r="F346" i="87"/>
  <c r="G115" i="113"/>
  <c r="G102" i="113"/>
  <c r="F390" i="87"/>
  <c r="I397" i="87"/>
  <c r="G132" i="113"/>
  <c r="G137" i="113"/>
  <c r="I473" i="87"/>
  <c r="D211" i="120"/>
  <c r="D206" i="120"/>
  <c r="D191" i="120"/>
  <c r="B162" i="113"/>
  <c r="C51" i="63"/>
  <c r="D544" i="108" s="1"/>
  <c r="D104" i="119"/>
  <c r="D108" i="119"/>
  <c r="D112" i="119"/>
  <c r="D155" i="120"/>
  <c r="D184" i="120"/>
  <c r="D230" i="120"/>
  <c r="C73" i="117"/>
  <c r="D486" i="75"/>
  <c r="D476" i="75"/>
  <c r="D234" i="75"/>
  <c r="D216" i="75"/>
  <c r="D159" i="75"/>
  <c r="D148" i="75"/>
  <c r="D132" i="75"/>
  <c r="D516" i="75"/>
  <c r="D215" i="75"/>
  <c r="D226" i="75"/>
  <c r="D225" i="75"/>
  <c r="D140" i="75"/>
  <c r="D235" i="75"/>
  <c r="D530" i="75"/>
  <c r="D298" i="75"/>
  <c r="D147" i="75"/>
  <c r="D119" i="75"/>
  <c r="D288" i="75"/>
  <c r="D504" i="75"/>
  <c r="D246" i="75"/>
  <c r="D262" i="75"/>
  <c r="D273" i="75"/>
  <c r="D227" i="75"/>
  <c r="D154" i="75"/>
  <c r="D125" i="75"/>
  <c r="D313" i="75"/>
  <c r="D370" i="120"/>
  <c r="D12" i="120"/>
  <c r="D112" i="120"/>
  <c r="D147" i="120"/>
  <c r="D165" i="120"/>
  <c r="D204" i="120"/>
  <c r="D367" i="120"/>
  <c r="D51" i="75"/>
  <c r="D168" i="75"/>
  <c r="C69" i="120"/>
  <c r="D231" i="120"/>
  <c r="C86" i="117"/>
  <c r="D426" i="75"/>
  <c r="D380" i="120"/>
  <c r="D170" i="75"/>
  <c r="U96" i="63"/>
  <c r="D88" i="119" a="1"/>
  <c r="D88" i="119" s="1"/>
  <c r="D91" i="119" a="1"/>
  <c r="D91" i="119" s="1"/>
  <c r="D85" i="119" a="1"/>
  <c r="D85" i="119" s="1"/>
  <c r="D130" i="120"/>
  <c r="D237" i="120"/>
  <c r="D303" i="75"/>
  <c r="D453" i="75"/>
  <c r="D377" i="75"/>
  <c r="D278" i="75"/>
  <c r="D428" i="75"/>
  <c r="D402" i="75"/>
  <c r="D212" i="119"/>
  <c r="D202" i="119"/>
  <c r="D4" i="120"/>
  <c r="C28" i="120"/>
  <c r="D142" i="120"/>
  <c r="D149" i="120"/>
  <c r="D178" i="120"/>
  <c r="D187" i="120"/>
  <c r="D374" i="120"/>
  <c r="C104" i="75"/>
  <c r="D60" i="119"/>
  <c r="D155" i="119"/>
  <c r="D173" i="119"/>
  <c r="D175" i="119"/>
  <c r="C36" i="120"/>
  <c r="C74" i="120"/>
  <c r="D197" i="120"/>
  <c r="D369" i="120"/>
  <c r="C644" i="117"/>
  <c r="D280" i="75"/>
  <c r="D46" i="75"/>
  <c r="D92" i="75"/>
  <c r="D77" i="75"/>
  <c r="D52" i="75"/>
  <c r="D430" i="75"/>
  <c r="D405" i="75"/>
  <c r="D380" i="75"/>
  <c r="D455" i="75"/>
  <c r="D431" i="75"/>
  <c r="D32" i="75" a="1"/>
  <c r="D32" i="75" s="1"/>
  <c r="D456" i="75"/>
  <c r="D379" i="75"/>
  <c r="D404" i="75"/>
  <c r="R81" i="63"/>
  <c r="D105" i="119"/>
  <c r="D109" i="119"/>
  <c r="D113" i="119"/>
  <c r="D233" i="120"/>
  <c r="D256" i="120"/>
  <c r="C538" i="117"/>
  <c r="D161" i="119"/>
  <c r="D151" i="119"/>
  <c r="D61" i="119"/>
  <c r="D211" i="119"/>
  <c r="D142" i="119"/>
  <c r="D50" i="119"/>
  <c r="D96" i="119"/>
  <c r="D69" i="119"/>
  <c r="D162" i="119"/>
  <c r="D152" i="119"/>
  <c r="D77" i="119"/>
  <c r="D201" i="119"/>
  <c r="D169" i="119"/>
  <c r="D58" i="119"/>
  <c r="D111" i="119"/>
  <c r="D103" i="119"/>
  <c r="D107" i="119"/>
  <c r="D124" i="120"/>
  <c r="D394" i="120"/>
  <c r="C179" i="117"/>
  <c r="C551" i="117"/>
  <c r="D506" i="75"/>
  <c r="D490" i="75"/>
  <c r="D507" i="75"/>
  <c r="D451" i="75"/>
  <c r="D342" i="75"/>
  <c r="D496" i="75"/>
  <c r="D90" i="75"/>
  <c r="D525" i="75"/>
  <c r="D397" i="75"/>
  <c r="D514" i="75"/>
  <c r="D448" i="75"/>
  <c r="D502" i="75"/>
  <c r="D423" i="75"/>
  <c r="D372" i="75"/>
  <c r="D45" i="75"/>
  <c r="D82" i="75"/>
  <c r="D28" i="75"/>
  <c r="D487" i="75"/>
  <c r="D477" i="75"/>
  <c r="O110" i="63"/>
  <c r="D142" i="75"/>
  <c r="D149" i="75"/>
  <c r="D52" i="119"/>
  <c r="D59" i="119" a="1"/>
  <c r="D59" i="119" s="1"/>
  <c r="D154" i="119"/>
  <c r="D10" i="120"/>
  <c r="D136" i="120"/>
  <c r="D145" i="120"/>
  <c r="D171" i="120"/>
  <c r="D267" i="120"/>
  <c r="D405" i="120"/>
  <c r="D151" i="75"/>
  <c r="D520" i="75"/>
  <c r="D509" i="75"/>
  <c r="C46" i="63"/>
  <c r="C129" i="119"/>
  <c r="C126" i="119"/>
  <c r="C125" i="119"/>
  <c r="C130" i="119" s="1"/>
  <c r="C123" i="119"/>
  <c r="C127" i="119" s="1"/>
  <c r="C70" i="119"/>
  <c r="C515" i="75"/>
  <c r="C205" i="119"/>
  <c r="C118" i="119"/>
  <c r="C79" i="119"/>
  <c r="C131" i="119"/>
  <c r="C20" i="119"/>
  <c r="C21" i="119" s="1"/>
  <c r="C240" i="75"/>
  <c r="C103" i="75"/>
  <c r="C203" i="119"/>
  <c r="C43" i="119"/>
  <c r="C458" i="117"/>
  <c r="C111" i="75"/>
  <c r="C101" i="75"/>
  <c r="C272" i="117"/>
  <c r="C259" i="117"/>
  <c r="C169" i="75"/>
  <c r="C110" i="75"/>
  <c r="C100" i="75"/>
  <c r="C102" i="75" s="1"/>
  <c r="C11" i="119"/>
  <c r="C44" i="119" s="1"/>
  <c r="C108" i="75"/>
  <c r="C365" i="117"/>
  <c r="C162" i="75"/>
  <c r="C170" i="75" s="1"/>
  <c r="C503" i="75"/>
  <c r="B62" i="113"/>
  <c r="AA25" i="63"/>
  <c r="D306" i="75"/>
  <c r="D281" i="75"/>
  <c r="D452" i="75" a="1"/>
  <c r="D452" i="75" s="1"/>
  <c r="D427" i="75" a="1"/>
  <c r="D427" i="75" s="1"/>
  <c r="D401" i="75" a="1"/>
  <c r="D401" i="75" s="1"/>
  <c r="D408" i="75"/>
  <c r="D459" i="75"/>
  <c r="D434" i="75"/>
  <c r="D366" i="120"/>
  <c r="D400" i="75"/>
  <c r="C525" i="75"/>
  <c r="C397" i="75"/>
  <c r="C502" i="75"/>
  <c r="C372" i="75"/>
  <c r="C423" i="75"/>
  <c r="C496" i="75"/>
  <c r="C90" i="118" l="1"/>
  <c r="C91" i="118"/>
  <c r="C163" i="118"/>
  <c r="C159" i="118"/>
  <c r="D57" i="119"/>
  <c r="C171" i="117"/>
  <c r="C81" i="118"/>
  <c r="C84" i="118"/>
  <c r="C68" i="118"/>
  <c r="C147" i="118"/>
  <c r="C155" i="127"/>
  <c r="C145" i="127"/>
  <c r="C144" i="127"/>
  <c r="C142" i="127"/>
  <c r="C94" i="127"/>
  <c r="C201" i="127"/>
  <c r="C95" i="127"/>
  <c r="C216" i="109"/>
  <c r="C199" i="109"/>
  <c r="C201" i="109"/>
  <c r="C273" i="108"/>
  <c r="C97" i="127"/>
  <c r="C110" i="115"/>
  <c r="C208" i="108"/>
  <c r="C86" i="127"/>
  <c r="C196" i="127"/>
  <c r="C184" i="127"/>
  <c r="C81" i="127"/>
  <c r="C79" i="127"/>
  <c r="C77" i="127"/>
  <c r="C75" i="127"/>
  <c r="C65" i="127"/>
  <c r="C27" i="127"/>
  <c r="C26" i="127"/>
  <c r="C218" i="108"/>
  <c r="C208" i="127"/>
  <c r="C11" i="127"/>
  <c r="C164" i="118"/>
  <c r="C160" i="118"/>
  <c r="C161" i="109"/>
  <c r="C93" i="127"/>
  <c r="C41" i="127"/>
  <c r="C52" i="127"/>
  <c r="C206" i="127"/>
  <c r="C71" i="127"/>
  <c r="C183" i="127"/>
  <c r="C17" i="127"/>
  <c r="C214" i="115"/>
  <c r="C48" i="127"/>
  <c r="C60" i="127"/>
  <c r="C33" i="127"/>
  <c r="C182" i="127"/>
  <c r="C214" i="127"/>
  <c r="C187" i="127"/>
  <c r="C191" i="127"/>
  <c r="C189" i="127"/>
  <c r="C200" i="127"/>
  <c r="C185" i="127"/>
  <c r="C143" i="115"/>
  <c r="C55" i="127"/>
  <c r="C151" i="109"/>
  <c r="C49" i="127"/>
  <c r="C102" i="127"/>
  <c r="K370" i="62"/>
  <c r="K369" i="62"/>
  <c r="C419" i="115"/>
  <c r="C78" i="115"/>
  <c r="C36" i="115"/>
  <c r="C25" i="115"/>
  <c r="C76" i="115"/>
  <c r="C35" i="115"/>
  <c r="C150" i="115"/>
  <c r="C34" i="115"/>
  <c r="C68" i="115"/>
  <c r="C67" i="115"/>
  <c r="C42" i="115"/>
  <c r="C32" i="115"/>
  <c r="C40" i="115"/>
  <c r="C57" i="115"/>
  <c r="C253" i="115"/>
  <c r="C90" i="115"/>
  <c r="C65" i="115"/>
  <c r="C41" i="115"/>
  <c r="C31" i="115"/>
  <c r="C252" i="115"/>
  <c r="C89" i="115"/>
  <c r="C30" i="115"/>
  <c r="C251" i="115"/>
  <c r="C87" i="115"/>
  <c r="C29" i="115"/>
  <c r="C39" i="115"/>
  <c r="C43" i="115"/>
  <c r="C33" i="115"/>
  <c r="C250" i="115"/>
  <c r="C56" i="115"/>
  <c r="C38" i="115"/>
  <c r="C79" i="115"/>
  <c r="C54" i="115"/>
  <c r="C37" i="115"/>
  <c r="C26" i="115"/>
  <c r="C44" i="115"/>
  <c r="C205" i="65"/>
  <c r="C278" i="109"/>
  <c r="C70" i="116" s="1"/>
  <c r="C270" i="115"/>
  <c r="C423" i="115"/>
  <c r="C313" i="115"/>
  <c r="C321" i="115"/>
  <c r="C305" i="115"/>
  <c r="C297" i="115"/>
  <c r="C42" i="109"/>
  <c r="C111" i="115"/>
  <c r="C103" i="115"/>
  <c r="C264" i="117"/>
  <c r="C332" i="115"/>
  <c r="C334" i="115"/>
  <c r="C299" i="109"/>
  <c r="C318" i="115"/>
  <c r="C302" i="115"/>
  <c r="C284" i="115"/>
  <c r="C272" i="115"/>
  <c r="C317" i="115"/>
  <c r="C301" i="115"/>
  <c r="C283" i="115"/>
  <c r="C271" i="115"/>
  <c r="C282" i="115"/>
  <c r="C428" i="115"/>
  <c r="C427" i="115"/>
  <c r="C315" i="115"/>
  <c r="C299" i="115"/>
  <c r="C424" i="115"/>
  <c r="C327" i="115"/>
  <c r="C311" i="115"/>
  <c r="C290" i="115"/>
  <c r="C280" i="115"/>
  <c r="C325" i="115"/>
  <c r="C278" i="115"/>
  <c r="C323" i="115"/>
  <c r="C287" i="115"/>
  <c r="C326" i="115"/>
  <c r="C310" i="115"/>
  <c r="C289" i="115"/>
  <c r="C279" i="115"/>
  <c r="C307" i="115"/>
  <c r="C309" i="115"/>
  <c r="C288" i="115"/>
  <c r="C277" i="115"/>
  <c r="C281" i="115"/>
  <c r="C286" i="115"/>
  <c r="C276" i="115"/>
  <c r="C425" i="115"/>
  <c r="C319" i="115"/>
  <c r="C303" i="115"/>
  <c r="C285" i="115"/>
  <c r="C275" i="115"/>
  <c r="C128" i="108"/>
  <c r="C97" i="115"/>
  <c r="C337" i="115"/>
  <c r="C108" i="115"/>
  <c r="C344" i="115"/>
  <c r="K366" i="62"/>
  <c r="C451" i="115"/>
  <c r="C450" i="115"/>
  <c r="C448" i="115"/>
  <c r="C452" i="115"/>
  <c r="C447" i="115"/>
  <c r="C445" i="115"/>
  <c r="C192" i="108"/>
  <c r="C162" i="118"/>
  <c r="C170" i="118" s="1"/>
  <c r="C214" i="108"/>
  <c r="K389" i="62"/>
  <c r="K375" i="62"/>
  <c r="C58" i="118"/>
  <c r="K381" i="62"/>
  <c r="C158" i="118"/>
  <c r="C167" i="118" s="1"/>
  <c r="C136" i="108"/>
  <c r="K388" i="62"/>
  <c r="K374" i="62"/>
  <c r="C149" i="120" s="1"/>
  <c r="C59" i="118"/>
  <c r="K386" i="62"/>
  <c r="K373" i="62"/>
  <c r="C147" i="120" s="1"/>
  <c r="K384" i="62"/>
  <c r="K368" i="62"/>
  <c r="X54" i="123"/>
  <c r="C30" i="118"/>
  <c r="K367" i="62"/>
  <c r="K364" i="62"/>
  <c r="C56" i="118"/>
  <c r="C108" i="108"/>
  <c r="K385" i="62"/>
  <c r="K372" i="62"/>
  <c r="C145" i="120" s="1"/>
  <c r="L161" i="63"/>
  <c r="C29" i="118"/>
  <c r="K365" i="62"/>
  <c r="C401" i="65"/>
  <c r="C27" i="118"/>
  <c r="K380" i="62"/>
  <c r="C400" i="65"/>
  <c r="C57" i="118"/>
  <c r="K382" i="62"/>
  <c r="C258" i="108"/>
  <c r="C256" i="108"/>
  <c r="C225" i="108"/>
  <c r="C224" i="108"/>
  <c r="K391" i="62"/>
  <c r="K379" i="62"/>
  <c r="C206" i="120" s="1"/>
  <c r="K114" i="62"/>
  <c r="C135" i="108" s="1"/>
  <c r="K390" i="62"/>
  <c r="K377" i="62"/>
  <c r="C171" i="120" s="1"/>
  <c r="C215" i="108"/>
  <c r="K128" i="62"/>
  <c r="C52" i="118"/>
  <c r="C132" i="118"/>
  <c r="C54" i="118"/>
  <c r="C55" i="118"/>
  <c r="C53" i="118"/>
  <c r="C335" i="115"/>
  <c r="C338" i="115"/>
  <c r="C104" i="115"/>
  <c r="C342" i="115"/>
  <c r="C99" i="115"/>
  <c r="C437" i="115"/>
  <c r="C444" i="115" s="1"/>
  <c r="C245" i="115"/>
  <c r="C51" i="115"/>
  <c r="C24" i="115"/>
  <c r="C73" i="115"/>
  <c r="C62" i="115"/>
  <c r="C84" i="115"/>
  <c r="C71" i="109"/>
  <c r="C345" i="115"/>
  <c r="C331" i="115"/>
  <c r="C96" i="115"/>
  <c r="C109" i="115"/>
  <c r="K117" i="62"/>
  <c r="K341" i="62" s="1"/>
  <c r="C191" i="108"/>
  <c r="K112" i="62"/>
  <c r="K115" i="62" s="1"/>
  <c r="C357" i="117"/>
  <c r="C78" i="117"/>
  <c r="C106" i="115"/>
  <c r="C453" i="115"/>
  <c r="C446" i="115"/>
  <c r="C102" i="115"/>
  <c r="C105" i="115"/>
  <c r="C333" i="115"/>
  <c r="C206" i="65"/>
  <c r="C343" i="115"/>
  <c r="E371" i="115"/>
  <c r="C358" i="115"/>
  <c r="C430" i="115" s="1"/>
  <c r="C357" i="115"/>
  <c r="C374" i="115" s="1"/>
  <c r="C372" i="115"/>
  <c r="C431" i="115" s="1"/>
  <c r="C207" i="65"/>
  <c r="C336" i="115"/>
  <c r="C107" i="115"/>
  <c r="C339" i="115"/>
  <c r="C340" i="115"/>
  <c r="C386" i="108"/>
  <c r="C19" i="115"/>
  <c r="C450" i="117"/>
  <c r="C346" i="115"/>
  <c r="C385" i="115"/>
  <c r="C429" i="115" s="1"/>
  <c r="C636" i="117"/>
  <c r="C543" i="117"/>
  <c r="C100" i="115"/>
  <c r="C99" i="108"/>
  <c r="C101" i="115"/>
  <c r="C341" i="115"/>
  <c r="C98" i="115"/>
  <c r="B46" i="115"/>
  <c r="C295" i="115"/>
  <c r="C350" i="115" s="1"/>
  <c r="F101" i="63"/>
  <c r="D12" i="65"/>
  <c r="D10" i="65"/>
  <c r="C283" i="65"/>
  <c r="C354" i="65"/>
  <c r="C75" i="109"/>
  <c r="C46" i="109"/>
  <c r="C119" i="108"/>
  <c r="C146" i="108" s="1"/>
  <c r="C348" i="65"/>
  <c r="C62" i="109"/>
  <c r="C89" i="109" s="1"/>
  <c r="C511" i="108"/>
  <c r="X31" i="123"/>
  <c r="C18" i="119"/>
  <c r="X37" i="123"/>
  <c r="C412" i="108"/>
  <c r="X27" i="123"/>
  <c r="K119" i="62"/>
  <c r="K342" i="62" s="1"/>
  <c r="X62" i="123"/>
  <c r="X38" i="123"/>
  <c r="X61" i="123"/>
  <c r="X60" i="123"/>
  <c r="X59" i="123"/>
  <c r="X58" i="123"/>
  <c r="X57" i="123"/>
  <c r="C290" i="108"/>
  <c r="C212" i="109"/>
  <c r="C202" i="109"/>
  <c r="C269" i="108"/>
  <c r="C259" i="108"/>
  <c r="C173" i="109"/>
  <c r="C177" i="109"/>
  <c r="C174" i="109"/>
  <c r="C15" i="116" s="1"/>
  <c r="C175" i="109"/>
  <c r="C178" i="109"/>
  <c r="C19" i="116" s="1"/>
  <c r="C179" i="109"/>
  <c r="C112" i="109" s="1"/>
  <c r="C67" i="109"/>
  <c r="C233" i="109"/>
  <c r="B51" i="116" s="1"/>
  <c r="C230" i="109"/>
  <c r="C53" i="116" s="1"/>
  <c r="C231" i="109"/>
  <c r="C54" i="116" s="1"/>
  <c r="C229" i="109"/>
  <c r="C52" i="116" s="1"/>
  <c r="C232" i="109"/>
  <c r="C51" i="116" s="1"/>
  <c r="C180" i="75"/>
  <c r="C160" i="117"/>
  <c r="C530" i="117"/>
  <c r="C241" i="117"/>
  <c r="C148" i="117"/>
  <c r="C437" i="117"/>
  <c r="C441" i="117"/>
  <c r="C105" i="75"/>
  <c r="C273" i="75" s="1"/>
  <c r="D15" i="109"/>
  <c r="C541" i="109" s="1"/>
  <c r="C204" i="75"/>
  <c r="K180" i="62"/>
  <c r="B419" i="108"/>
  <c r="B423" i="108"/>
  <c r="B429" i="108"/>
  <c r="C524" i="117"/>
  <c r="C248" i="117"/>
  <c r="C617" i="117"/>
  <c r="C344" i="117"/>
  <c r="C61" i="117"/>
  <c r="C434" i="117"/>
  <c r="C55" i="117"/>
  <c r="C9" i="119"/>
  <c r="C15" i="119"/>
  <c r="C35" i="119" s="1"/>
  <c r="C158" i="117"/>
  <c r="K133" i="62"/>
  <c r="K348" i="62" s="1"/>
  <c r="B426" i="108"/>
  <c r="B425" i="108"/>
  <c r="B427" i="108"/>
  <c r="B418" i="108"/>
  <c r="B422" i="108"/>
  <c r="B428" i="108"/>
  <c r="B433" i="108"/>
  <c r="B432" i="108"/>
  <c r="B424" i="108"/>
  <c r="B421" i="108"/>
  <c r="B420" i="108"/>
  <c r="C67" i="117"/>
  <c r="C60" i="117"/>
  <c r="C621" i="117"/>
  <c r="C154" i="117"/>
  <c r="C207" i="75"/>
  <c r="C189" i="75"/>
  <c r="B431" i="108"/>
  <c r="C23" i="119"/>
  <c r="C36" i="119" s="1"/>
  <c r="C178" i="75"/>
  <c r="C109" i="75"/>
  <c r="C240" i="119"/>
  <c r="C191" i="75"/>
  <c r="C194" i="75"/>
  <c r="C177" i="75"/>
  <c r="C188" i="75"/>
  <c r="C205" i="75"/>
  <c r="C199" i="75"/>
  <c r="C144" i="119"/>
  <c r="C173" i="119" s="1"/>
  <c r="K404" i="62"/>
  <c r="C16" i="118"/>
  <c r="C42" i="118"/>
  <c r="C198" i="75"/>
  <c r="C182" i="75"/>
  <c r="F5" i="120"/>
  <c r="C184" i="75"/>
  <c r="C181" i="75"/>
  <c r="C196" i="75"/>
  <c r="C176" i="75"/>
  <c r="C179" i="75"/>
  <c r="F6" i="120"/>
  <c r="C183" i="75"/>
  <c r="C190" i="75"/>
  <c r="C201" i="75"/>
  <c r="C588" i="109"/>
  <c r="C252" i="117"/>
  <c r="C186" i="75"/>
  <c r="C197" i="75"/>
  <c r="C453" i="109"/>
  <c r="C369" i="120"/>
  <c r="D612" i="108"/>
  <c r="D608" i="108"/>
  <c r="C202" i="75"/>
  <c r="C171" i="75"/>
  <c r="C185" i="75"/>
  <c r="C631" i="109"/>
  <c r="C376" i="115"/>
  <c r="C84" i="75"/>
  <c r="C527" i="117"/>
  <c r="C255" i="117"/>
  <c r="C615" i="117"/>
  <c r="C335" i="117"/>
  <c r="C65" i="117"/>
  <c r="C56" i="117"/>
  <c r="C531" i="117"/>
  <c r="C251" i="117"/>
  <c r="C345" i="117"/>
  <c r="C152" i="117"/>
  <c r="C66" i="117"/>
  <c r="C254" i="117"/>
  <c r="C428" i="117"/>
  <c r="C342" i="117"/>
  <c r="C522" i="117"/>
  <c r="C150" i="117"/>
  <c r="C99" i="75"/>
  <c r="C132" i="75" s="1"/>
  <c r="C438" i="117"/>
  <c r="C432" i="117"/>
  <c r="C249" i="117"/>
  <c r="C153" i="117"/>
  <c r="C532" i="117"/>
  <c r="C243" i="117"/>
  <c r="C523" i="117"/>
  <c r="C613" i="117"/>
  <c r="C54" i="117"/>
  <c r="C346" i="117"/>
  <c r="C619" i="117"/>
  <c r="C159" i="117"/>
  <c r="C343" i="117"/>
  <c r="C623" i="117"/>
  <c r="C64" i="117"/>
  <c r="C626" i="117"/>
  <c r="C433" i="117"/>
  <c r="C337" i="117"/>
  <c r="C57" i="117"/>
  <c r="C242" i="117"/>
  <c r="C69" i="117"/>
  <c r="C430" i="117"/>
  <c r="C316" i="120"/>
  <c r="C206" i="75"/>
  <c r="C203" i="75"/>
  <c r="C208" i="75"/>
  <c r="C200" i="75"/>
  <c r="C193" i="75"/>
  <c r="C195" i="75"/>
  <c r="C173" i="75"/>
  <c r="C246" i="117"/>
  <c r="C157" i="117"/>
  <c r="C149" i="117"/>
  <c r="F12" i="120"/>
  <c r="C381" i="120" s="1"/>
  <c r="C59" i="117"/>
  <c r="C614" i="117"/>
  <c r="C245" i="117"/>
  <c r="C431" i="117"/>
  <c r="C151" i="117"/>
  <c r="C616" i="117"/>
  <c r="C336" i="117"/>
  <c r="C521" i="117"/>
  <c r="C436" i="117"/>
  <c r="C63" i="117"/>
  <c r="C240" i="117"/>
  <c r="C618" i="117"/>
  <c r="C338" i="117"/>
  <c r="C333" i="117"/>
  <c r="C244" i="117"/>
  <c r="C427" i="117"/>
  <c r="C525" i="117"/>
  <c r="C526" i="117"/>
  <c r="C625" i="117"/>
  <c r="C520" i="117"/>
  <c r="C250" i="117"/>
  <c r="C348" i="117"/>
  <c r="C339" i="117"/>
  <c r="C147" i="117"/>
  <c r="C533" i="117"/>
  <c r="C624" i="117"/>
  <c r="C58" i="117"/>
  <c r="C155" i="117"/>
  <c r="C247" i="117"/>
  <c r="C409" i="108"/>
  <c r="C72" i="119"/>
  <c r="C396" i="115"/>
  <c r="C321" i="120"/>
  <c r="C72" i="109"/>
  <c r="D302" i="75"/>
  <c r="C475" i="108"/>
  <c r="F183" i="87"/>
  <c r="D352" i="75"/>
  <c r="C143" i="119"/>
  <c r="D239" i="65"/>
  <c r="C68" i="117"/>
  <c r="C62" i="117"/>
  <c r="D336" i="75"/>
  <c r="D358" i="75"/>
  <c r="C315" i="120"/>
  <c r="D236" i="65"/>
  <c r="C12" i="119"/>
  <c r="C310" i="120"/>
  <c r="C516" i="120"/>
  <c r="C184" i="117"/>
  <c r="C379" i="120"/>
  <c r="C241" i="120"/>
  <c r="C366" i="120"/>
  <c r="C113" i="75"/>
  <c r="C126" i="75" s="1"/>
  <c r="C88" i="65"/>
  <c r="C374" i="65" s="1"/>
  <c r="C121" i="65"/>
  <c r="C110" i="65"/>
  <c r="C99" i="65"/>
  <c r="C380" i="65" s="1"/>
  <c r="C325" i="120"/>
  <c r="O86" i="63"/>
  <c r="D276" i="75"/>
  <c r="C419" i="109"/>
  <c r="C93" i="116" s="1"/>
  <c r="C615" i="108"/>
  <c r="D356" i="75"/>
  <c r="C303" i="120"/>
  <c r="D246" i="65"/>
  <c r="C101" i="119"/>
  <c r="C105" i="119" s="1"/>
  <c r="C370" i="109"/>
  <c r="C341" i="117"/>
  <c r="C60" i="65"/>
  <c r="C366" i="65" s="1"/>
  <c r="D292" i="75"/>
  <c r="C70" i="75"/>
  <c r="C85" i="75" s="1"/>
  <c r="C314" i="120"/>
  <c r="C252" i="75"/>
  <c r="C377" i="75" s="1"/>
  <c r="C392" i="109"/>
  <c r="D316" i="75"/>
  <c r="B119" i="116"/>
  <c r="D300" i="75"/>
  <c r="C376" i="75"/>
  <c r="C427" i="75" s="1"/>
  <c r="C633" i="108"/>
  <c r="C58" i="120"/>
  <c r="C85" i="120"/>
  <c r="C418" i="120" s="1"/>
  <c r="C366" i="109"/>
  <c r="C184" i="119"/>
  <c r="C194" i="119"/>
  <c r="C232" i="120"/>
  <c r="C240" i="120"/>
  <c r="AH9" i="87"/>
  <c r="C297" i="117" s="1"/>
  <c r="C365" i="109"/>
  <c r="C532" i="120"/>
  <c r="C59" i="120"/>
  <c r="C197" i="120" s="1"/>
  <c r="C408" i="117"/>
  <c r="C443" i="109"/>
  <c r="C501" i="117"/>
  <c r="C276" i="120"/>
  <c r="C319" i="120"/>
  <c r="C17" i="120"/>
  <c r="C556" i="117"/>
  <c r="C229" i="120"/>
  <c r="C320" i="120"/>
  <c r="C217" i="75"/>
  <c r="C103" i="120" s="1"/>
  <c r="C137" i="117"/>
  <c r="C324" i="120"/>
  <c r="C197" i="65"/>
  <c r="C398" i="65" s="1"/>
  <c r="C289" i="108"/>
  <c r="C80" i="113" s="1"/>
  <c r="C69" i="75"/>
  <c r="C548" i="108"/>
  <c r="C160" i="113" s="1"/>
  <c r="C322" i="120"/>
  <c r="C318" i="120"/>
  <c r="C88" i="120"/>
  <c r="C354" i="120" s="1"/>
  <c r="C317" i="120"/>
  <c r="K123" i="62"/>
  <c r="K122" i="62"/>
  <c r="K127" i="62"/>
  <c r="K172" i="62"/>
  <c r="C195" i="65"/>
  <c r="C397" i="65" s="1"/>
  <c r="C532" i="109"/>
  <c r="K101" i="62"/>
  <c r="K406" i="62"/>
  <c r="C442" i="75"/>
  <c r="C416" i="75"/>
  <c r="C392" i="75"/>
  <c r="C391" i="75"/>
  <c r="C469" i="75"/>
  <c r="C418" i="75"/>
  <c r="C467" i="75"/>
  <c r="C443" i="75"/>
  <c r="C324" i="75"/>
  <c r="C375" i="75" s="1"/>
  <c r="K407" i="62"/>
  <c r="C393" i="65"/>
  <c r="C121" i="108"/>
  <c r="C516" i="108"/>
  <c r="C10" i="119"/>
  <c r="C470" i="109"/>
  <c r="C22" i="116"/>
  <c r="C87" i="109" s="1"/>
  <c r="C143" i="65"/>
  <c r="C491" i="109"/>
  <c r="C316" i="109"/>
  <c r="C507" i="109"/>
  <c r="C142" i="65"/>
  <c r="C318" i="109"/>
  <c r="C352" i="120" s="1"/>
  <c r="C448" i="109"/>
  <c r="C517" i="108"/>
  <c r="C163" i="113" s="1"/>
  <c r="C29" i="65"/>
  <c r="C320" i="109"/>
  <c r="B80" i="113" a="1"/>
  <c r="D611" i="109"/>
  <c r="C465" i="109"/>
  <c r="C235" i="108"/>
  <c r="C47" i="113" s="1"/>
  <c r="C462" i="108"/>
  <c r="C145" i="113" s="1"/>
  <c r="C565" i="108"/>
  <c r="D607" i="109"/>
  <c r="C231" i="108"/>
  <c r="C43" i="113" s="1"/>
  <c r="B405" i="115"/>
  <c r="C395" i="108"/>
  <c r="C305" i="109"/>
  <c r="C343" i="120" s="1"/>
  <c r="K178" i="62"/>
  <c r="C192" i="115"/>
  <c r="C199" i="65"/>
  <c r="C395" i="65" s="1"/>
  <c r="K149" i="62"/>
  <c r="C514" i="109"/>
  <c r="D605" i="109"/>
  <c r="C288" i="108"/>
  <c r="C83" i="113" s="1"/>
  <c r="C559" i="108"/>
  <c r="C436" i="109"/>
  <c r="C505" i="108"/>
  <c r="C129" i="108"/>
  <c r="C492" i="108"/>
  <c r="C509" i="108"/>
  <c r="C524" i="120"/>
  <c r="C129" i="117"/>
  <c r="C509" i="117"/>
  <c r="D245" i="65"/>
  <c r="B380" i="109"/>
  <c r="C556" i="120"/>
  <c r="C416" i="117"/>
  <c r="C548" i="120"/>
  <c r="B384" i="109"/>
  <c r="D618" i="108"/>
  <c r="B389" i="109"/>
  <c r="B379" i="109"/>
  <c r="C300" i="120"/>
  <c r="C230" i="117"/>
  <c r="C315" i="117"/>
  <c r="C323" i="117"/>
  <c r="C544" i="108"/>
  <c r="C295" i="120"/>
  <c r="C87" i="119" s="1"/>
  <c r="C99" i="119"/>
  <c r="C313" i="120"/>
  <c r="C288" i="117"/>
  <c r="C370" i="117"/>
  <c r="C381" i="117"/>
  <c r="C229" i="115"/>
  <c r="C293" i="120"/>
  <c r="C81" i="119" s="1"/>
  <c r="C181" i="115"/>
  <c r="C304" i="120"/>
  <c r="C587" i="109"/>
  <c r="N59" i="123"/>
  <c r="C306" i="120"/>
  <c r="Q72" i="123"/>
  <c r="C308" i="120"/>
  <c r="C360" i="109"/>
  <c r="C402" i="109" s="1"/>
  <c r="C596" i="109"/>
  <c r="C36" i="117"/>
  <c r="C567" i="117"/>
  <c r="C222" i="117"/>
  <c r="C298" i="120"/>
  <c r="C371" i="109"/>
  <c r="C474" i="117"/>
  <c r="C594" i="117"/>
  <c r="C277" i="117"/>
  <c r="C203" i="115"/>
  <c r="C299" i="120"/>
  <c r="C311" i="120"/>
  <c r="C378" i="120"/>
  <c r="C44" i="117"/>
  <c r="C649" i="117"/>
  <c r="C540" i="120"/>
  <c r="C389" i="115"/>
  <c r="C319" i="109"/>
  <c r="C317" i="109"/>
  <c r="K91" i="62"/>
  <c r="C261" i="65"/>
  <c r="C407" i="75"/>
  <c r="C458" i="75"/>
  <c r="C272" i="65"/>
  <c r="C43" i="109"/>
  <c r="C224" i="115"/>
  <c r="C609" i="108"/>
  <c r="C482" i="109"/>
  <c r="C382" i="75"/>
  <c r="C647" i="108"/>
  <c r="C404" i="108"/>
  <c r="C290" i="120"/>
  <c r="C606" i="108"/>
  <c r="C621" i="108"/>
  <c r="C433" i="75"/>
  <c r="C135" i="65"/>
  <c r="C590" i="109"/>
  <c r="C294" i="120"/>
  <c r="C84" i="119" s="1"/>
  <c r="C269" i="120"/>
  <c r="C334" i="120" s="1"/>
  <c r="C305" i="120"/>
  <c r="C301" i="120"/>
  <c r="C542" i="108"/>
  <c r="C580" i="109"/>
  <c r="E62" i="123"/>
  <c r="C78" i="119"/>
  <c r="C97" i="119" s="1"/>
  <c r="C526" i="109"/>
  <c r="C380" i="115"/>
  <c r="C244" i="109"/>
  <c r="C146" i="65"/>
  <c r="C192" i="65"/>
  <c r="C340" i="117"/>
  <c r="C368" i="120"/>
  <c r="C426" i="117"/>
  <c r="C61" i="116"/>
  <c r="C375" i="115"/>
  <c r="C81" i="120"/>
  <c r="C396" i="120" s="1"/>
  <c r="C270" i="120"/>
  <c r="C281" i="120" s="1"/>
  <c r="C307" i="120"/>
  <c r="C312" i="120"/>
  <c r="C176" i="119"/>
  <c r="C91" i="117"/>
  <c r="C508" i="120"/>
  <c r="C195" i="117"/>
  <c r="C463" i="117"/>
  <c r="C449" i="109"/>
  <c r="C340" i="65"/>
  <c r="C508" i="109"/>
  <c r="C219" i="115"/>
  <c r="H74" i="123"/>
  <c r="N77" i="123"/>
  <c r="C219" i="65"/>
  <c r="C648" i="108"/>
  <c r="C72" i="120"/>
  <c r="C258" i="120" s="1"/>
  <c r="F11" i="120"/>
  <c r="C296" i="120"/>
  <c r="C90" i="119" s="1"/>
  <c r="E61" i="123"/>
  <c r="C534" i="117"/>
  <c r="C612" i="117"/>
  <c r="C429" i="117"/>
  <c r="C161" i="117"/>
  <c r="C519" i="117"/>
  <c r="C162" i="117"/>
  <c r="C627" i="117"/>
  <c r="C347" i="117"/>
  <c r="C42" i="119"/>
  <c r="C142" i="119" s="1"/>
  <c r="C620" i="117"/>
  <c r="F10" i="120"/>
  <c r="C243" i="120" s="1"/>
  <c r="C622" i="117"/>
  <c r="C439" i="117"/>
  <c r="C528" i="117"/>
  <c r="C529" i="117"/>
  <c r="C435" i="117"/>
  <c r="C156" i="117"/>
  <c r="C440" i="117"/>
  <c r="C253" i="117"/>
  <c r="C334" i="117"/>
  <c r="C59" i="116"/>
  <c r="C228" i="119"/>
  <c r="C302" i="120"/>
  <c r="C297" i="120"/>
  <c r="C8" i="63"/>
  <c r="C323" i="120"/>
  <c r="C172" i="119"/>
  <c r="C102" i="117"/>
  <c r="C9" i="117"/>
  <c r="C460" i="109"/>
  <c r="C597" i="108"/>
  <c r="C627" i="108"/>
  <c r="B74" i="123"/>
  <c r="N74" i="123"/>
  <c r="N64" i="123"/>
  <c r="K107" i="62"/>
  <c r="C65" i="109"/>
  <c r="E72" i="123"/>
  <c r="C545" i="108"/>
  <c r="C560" i="108"/>
  <c r="Q59" i="123"/>
  <c r="B3" i="123"/>
  <c r="C630" i="109"/>
  <c r="B61" i="123"/>
  <c r="B64" i="123"/>
  <c r="C169" i="65"/>
  <c r="C614" i="109"/>
  <c r="T63" i="123"/>
  <c r="T72" i="123"/>
  <c r="H72" i="123"/>
  <c r="C298" i="109"/>
  <c r="C134" i="65"/>
  <c r="E60" i="123"/>
  <c r="B72" i="123"/>
  <c r="K72" i="123"/>
  <c r="K132" i="62"/>
  <c r="K346" i="62" s="1"/>
  <c r="K59" i="123"/>
  <c r="N61" i="123"/>
  <c r="K77" i="123"/>
  <c r="T77" i="123"/>
  <c r="C540" i="109"/>
  <c r="C608" i="109"/>
  <c r="C602" i="109"/>
  <c r="E71" i="123"/>
  <c r="B60" i="123"/>
  <c r="H77" i="123"/>
  <c r="C187" i="75"/>
  <c r="C543" i="109"/>
  <c r="C107" i="116" s="1"/>
  <c r="C365" i="108"/>
  <c r="C112" i="118"/>
  <c r="C523" i="108"/>
  <c r="C553" i="108" s="1"/>
  <c r="C472" i="109"/>
  <c r="C509" i="75"/>
  <c r="C455" i="109"/>
  <c r="C520" i="75"/>
  <c r="C360" i="65"/>
  <c r="C403" i="108"/>
  <c r="C374" i="120"/>
  <c r="C477" i="108"/>
  <c r="C473" i="109"/>
  <c r="C478" i="108"/>
  <c r="C109" i="108"/>
  <c r="C439" i="109"/>
  <c r="G103" i="113"/>
  <c r="C237" i="120"/>
  <c r="C434" i="108"/>
  <c r="C494" i="108"/>
  <c r="C104" i="108"/>
  <c r="C366" i="115"/>
  <c r="C400" i="109"/>
  <c r="C85" i="116" s="1"/>
  <c r="B5" i="123"/>
  <c r="B8" i="123" s="1"/>
  <c r="C499" i="108"/>
  <c r="C282" i="109"/>
  <c r="C71" i="116" s="1"/>
  <c r="C477" i="109"/>
  <c r="C358" i="108"/>
  <c r="K99" i="62"/>
  <c r="C196" i="65"/>
  <c r="C360" i="108"/>
  <c r="C357" i="108"/>
  <c r="C313" i="109"/>
  <c r="C309" i="109"/>
  <c r="K94" i="62"/>
  <c r="K196" i="62"/>
  <c r="C497" i="109"/>
  <c r="K102" i="62"/>
  <c r="C533" i="109"/>
  <c r="C461" i="109"/>
  <c r="C112" i="116" s="1"/>
  <c r="B13" i="123"/>
  <c r="C515" i="109"/>
  <c r="C110" i="116" s="1"/>
  <c r="K134" i="62"/>
  <c r="K349" i="62" s="1"/>
  <c r="E63" i="123"/>
  <c r="B62" i="123"/>
  <c r="C42" i="65"/>
  <c r="C169" i="118"/>
  <c r="C253" i="109"/>
  <c r="C354" i="108"/>
  <c r="K73" i="62"/>
  <c r="C315" i="109"/>
  <c r="C356" i="108"/>
  <c r="K312" i="62"/>
  <c r="C250" i="109"/>
  <c r="C457" i="108"/>
  <c r="C142" i="113" s="1"/>
  <c r="C243" i="109"/>
  <c r="C274" i="109"/>
  <c r="C65" i="116" s="1"/>
  <c r="C251" i="109"/>
  <c r="C259" i="109"/>
  <c r="D614" i="108"/>
  <c r="C275" i="109"/>
  <c r="C68" i="116" s="1"/>
  <c r="C257" i="109"/>
  <c r="C566" i="108"/>
  <c r="K140" i="62"/>
  <c r="K352" i="62" s="1"/>
  <c r="K148" i="62"/>
  <c r="K153" i="62"/>
  <c r="K358" i="62" s="1"/>
  <c r="K109" i="62"/>
  <c r="K334" i="62" s="1"/>
  <c r="C435" i="109"/>
  <c r="C452" i="109"/>
  <c r="C438" i="109"/>
  <c r="C370" i="120"/>
  <c r="C13" i="119"/>
  <c r="C14" i="119"/>
  <c r="C469" i="109"/>
  <c r="C40" i="120"/>
  <c r="B391" i="109"/>
  <c r="C424" i="109"/>
  <c r="C96" i="116" s="1"/>
  <c r="C137" i="108"/>
  <c r="C456" i="109"/>
  <c r="C491" i="108"/>
  <c r="C152" i="75"/>
  <c r="C522" i="108"/>
  <c r="C512" i="108"/>
  <c r="C371" i="120"/>
  <c r="C466" i="109"/>
  <c r="C483" i="109"/>
  <c r="C488" i="108"/>
  <c r="B14" i="123"/>
  <c r="K394" i="62"/>
  <c r="C248" i="109"/>
  <c r="K142" i="62"/>
  <c r="K355" i="62" s="1"/>
  <c r="C163" i="108"/>
  <c r="C632" i="108" s="1"/>
  <c r="C444" i="109"/>
  <c r="C111" i="116" s="1"/>
  <c r="K400" i="62"/>
  <c r="K393" i="62"/>
  <c r="C232" i="108"/>
  <c r="C177" i="108" s="1"/>
  <c r="C68" i="113" s="1"/>
  <c r="C312" i="109"/>
  <c r="C401" i="109"/>
  <c r="C86" i="116" s="1"/>
  <c r="C366" i="108"/>
  <c r="E64" i="123"/>
  <c r="C478" i="109"/>
  <c r="C113" i="116" s="1"/>
  <c r="C308" i="109"/>
  <c r="C500" i="108"/>
  <c r="C162" i="113" s="1"/>
  <c r="C193" i="65"/>
  <c r="C396" i="65" s="1"/>
  <c r="K74" i="62"/>
  <c r="C287" i="108"/>
  <c r="C82" i="113" s="1"/>
  <c r="C147" i="108"/>
  <c r="C172" i="113" s="1"/>
  <c r="K403" i="62"/>
  <c r="K396" i="62"/>
  <c r="C292" i="109"/>
  <c r="C80" i="116" s="1"/>
  <c r="C276" i="109"/>
  <c r="C67" i="116" s="1"/>
  <c r="C258" i="109"/>
  <c r="C170" i="108"/>
  <c r="C638" i="108" s="1"/>
  <c r="C261" i="109"/>
  <c r="C254" i="109"/>
  <c r="C252" i="109"/>
  <c r="C290" i="109"/>
  <c r="C77" i="116" s="1"/>
  <c r="B4" i="123"/>
  <c r="C369" i="115"/>
  <c r="C237" i="75"/>
  <c r="C174" i="119"/>
  <c r="C241" i="75"/>
  <c r="C23" i="75"/>
  <c r="C92" i="75" s="1"/>
  <c r="T60" i="123"/>
  <c r="E74" i="123"/>
  <c r="T62" i="123"/>
  <c r="T71" i="123"/>
  <c r="Q77" i="123"/>
  <c r="C43" i="65"/>
  <c r="K98" i="62"/>
  <c r="C300" i="109"/>
  <c r="T61" i="123"/>
  <c r="C291" i="109"/>
  <c r="C79" i="116" s="1"/>
  <c r="C60" i="120"/>
  <c r="C114" i="120" s="1"/>
  <c r="C153" i="119"/>
  <c r="C156" i="119" s="1"/>
  <c r="C256" i="109"/>
  <c r="C63" i="109"/>
  <c r="H62" i="123"/>
  <c r="Q71" i="123"/>
  <c r="Q74" i="123"/>
  <c r="C310" i="109"/>
  <c r="C398" i="109"/>
  <c r="C283" i="109"/>
  <c r="C255" i="109"/>
  <c r="C262" i="109"/>
  <c r="C604" i="108"/>
  <c r="C423" i="109"/>
  <c r="C95" i="116" s="1"/>
  <c r="B412" i="115"/>
  <c r="E77" i="123"/>
  <c r="B63" i="123"/>
  <c r="H60" i="123"/>
  <c r="K63" i="123"/>
  <c r="N63" i="123"/>
  <c r="C71" i="65"/>
  <c r="C112" i="65"/>
  <c r="B59" i="123"/>
  <c r="B77" i="123"/>
  <c r="K60" i="123"/>
  <c r="K64" i="123"/>
  <c r="Q61" i="123"/>
  <c r="T64" i="123"/>
  <c r="B71" i="123"/>
  <c r="C332" i="65"/>
  <c r="C390" i="65" s="1"/>
  <c r="Q62" i="123"/>
  <c r="C296" i="109"/>
  <c r="Q63" i="123"/>
  <c r="K62" i="123"/>
  <c r="N62" i="123"/>
  <c r="K61" i="123"/>
  <c r="T74" i="123"/>
  <c r="C73" i="65"/>
  <c r="H61" i="123"/>
  <c r="J405" i="62"/>
  <c r="C76" i="65"/>
  <c r="N72" i="123"/>
  <c r="H71" i="123"/>
  <c r="K71" i="123"/>
  <c r="H64" i="123"/>
  <c r="E59" i="123"/>
  <c r="H59" i="123"/>
  <c r="C75" i="65"/>
  <c r="C68" i="65"/>
  <c r="N60" i="123"/>
  <c r="Q60" i="123"/>
  <c r="Q64" i="123"/>
  <c r="C331" i="65"/>
  <c r="C389" i="65" s="1"/>
  <c r="C101" i="65"/>
  <c r="C280" i="109"/>
  <c r="C521" i="108"/>
  <c r="C145" i="65"/>
  <c r="K88" i="62"/>
  <c r="K87" i="62"/>
  <c r="C137" i="65"/>
  <c r="C284" i="109"/>
  <c r="C133" i="108"/>
  <c r="E234" i="115"/>
  <c r="C234" i="115"/>
  <c r="J394" i="62"/>
  <c r="C474" i="108"/>
  <c r="C508" i="108"/>
  <c r="C160" i="75"/>
  <c r="D11" i="115"/>
  <c r="C359" i="108"/>
  <c r="C444" i="108"/>
  <c r="C144" i="65"/>
  <c r="K89" i="62"/>
  <c r="C138" i="65"/>
  <c r="C44" i="65"/>
  <c r="K100" i="62"/>
  <c r="K92" i="62"/>
  <c r="C504" i="108"/>
  <c r="C41" i="65"/>
  <c r="C133" i="65"/>
  <c r="C78" i="127" s="1"/>
  <c r="C306" i="109"/>
  <c r="C346" i="120" s="1"/>
  <c r="C482" i="108"/>
  <c r="C363" i="108"/>
  <c r="C141" i="65"/>
  <c r="C140" i="65"/>
  <c r="C136" i="65"/>
  <c r="C311" i="109"/>
  <c r="C355" i="108"/>
  <c r="C484" i="109"/>
  <c r="C139" i="65"/>
  <c r="C198" i="65"/>
  <c r="C538" i="109" s="1"/>
  <c r="C364" i="108"/>
  <c r="C361" i="108"/>
  <c r="C516" i="109"/>
  <c r="C552" i="109" s="1"/>
  <c r="K93" i="62"/>
  <c r="K90" i="62"/>
  <c r="C367" i="108"/>
  <c r="K296" i="62"/>
  <c r="C362" i="108"/>
  <c r="C131" i="65"/>
  <c r="C74" i="127" s="1"/>
  <c r="C307" i="109"/>
  <c r="C349" i="120" s="1"/>
  <c r="K297" i="62"/>
  <c r="C132" i="65"/>
  <c r="C76" i="127" s="1"/>
  <c r="K97" i="62"/>
  <c r="C350" i="109"/>
  <c r="C487" i="108"/>
  <c r="C353" i="108"/>
  <c r="C124" i="65"/>
  <c r="K95" i="62"/>
  <c r="C355" i="109"/>
  <c r="F130" i="63" s="1"/>
  <c r="C294" i="109"/>
  <c r="C68" i="109"/>
  <c r="C194" i="65"/>
  <c r="C314" i="109"/>
  <c r="K295" i="62"/>
  <c r="C66" i="65"/>
  <c r="C90" i="109"/>
  <c r="C64" i="109"/>
  <c r="C272" i="109"/>
  <c r="C397" i="109"/>
  <c r="C83" i="116" s="1"/>
  <c r="C260" i="109"/>
  <c r="C249" i="109"/>
  <c r="C247" i="109"/>
  <c r="C379" i="115"/>
  <c r="C286" i="108"/>
  <c r="C81" i="113" s="1"/>
  <c r="C418" i="109"/>
  <c r="C92" i="116" s="1"/>
  <c r="C64" i="65"/>
  <c r="C67" i="65"/>
  <c r="C70" i="65"/>
  <c r="C74" i="65"/>
  <c r="C77" i="65"/>
  <c r="C352" i="108"/>
  <c r="C343" i="109"/>
  <c r="C288" i="109"/>
  <c r="K96" i="62"/>
  <c r="K298" i="62"/>
  <c r="B409" i="115"/>
  <c r="B410" i="115"/>
  <c r="B401" i="115"/>
  <c r="B406" i="115"/>
  <c r="B411" i="115"/>
  <c r="B402" i="115"/>
  <c r="B414" i="115"/>
  <c r="B404" i="115"/>
  <c r="K74" i="123"/>
  <c r="T59" i="123"/>
  <c r="C568" i="108"/>
  <c r="C157" i="113" s="1"/>
  <c r="C125" i="108"/>
  <c r="K402" i="62"/>
  <c r="C567" i="108"/>
  <c r="C158" i="113" s="1"/>
  <c r="C148" i="108"/>
  <c r="K401" i="62"/>
  <c r="K156" i="62"/>
  <c r="K361" i="62" s="1"/>
  <c r="C236" i="108"/>
  <c r="K398" i="62"/>
  <c r="K155" i="62"/>
  <c r="K360" i="62" s="1"/>
  <c r="K395" i="62"/>
  <c r="K141" i="62"/>
  <c r="K354" i="62" s="1"/>
  <c r="K212" i="62"/>
  <c r="C120" i="108"/>
  <c r="C124" i="108"/>
  <c r="C123" i="108"/>
  <c r="K399" i="62"/>
  <c r="K150" i="62"/>
  <c r="C483" i="108"/>
  <c r="C122" i="108"/>
  <c r="K397" i="62"/>
  <c r="K405" i="62"/>
  <c r="K408" i="62"/>
  <c r="N71" i="123"/>
  <c r="H63" i="123"/>
  <c r="C91" i="65"/>
  <c r="C113" i="109"/>
  <c r="C286" i="109"/>
  <c r="C76" i="116" s="1"/>
  <c r="C396" i="109"/>
  <c r="C82" i="116" s="1"/>
  <c r="C379" i="108"/>
  <c r="C398" i="108"/>
  <c r="B408" i="115"/>
  <c r="C445" i="108"/>
  <c r="D249" i="65"/>
  <c r="D242" i="65"/>
  <c r="D240" i="65"/>
  <c r="D244" i="65"/>
  <c r="D238" i="65"/>
  <c r="D243" i="65"/>
  <c r="D237" i="65"/>
  <c r="D247" i="65"/>
  <c r="D250" i="65"/>
  <c r="D235" i="65"/>
  <c r="D248" i="65"/>
  <c r="C270" i="109"/>
  <c r="C64" i="116" s="1"/>
  <c r="C242" i="109"/>
  <c r="D157" i="115"/>
  <c r="C378" i="108"/>
  <c r="C88" i="113" s="1"/>
  <c r="C135" i="109"/>
  <c r="C102" i="65"/>
  <c r="C542" i="109"/>
  <c r="C108" i="116" s="1"/>
  <c r="C106" i="109"/>
  <c r="C90" i="65"/>
  <c r="C333" i="65"/>
  <c r="C386" i="65" s="1"/>
  <c r="C330" i="65"/>
  <c r="C387" i="65" s="1"/>
  <c r="C230" i="65"/>
  <c r="C72" i="65"/>
  <c r="C123" i="65"/>
  <c r="C65" i="65"/>
  <c r="C91" i="109"/>
  <c r="C113" i="65"/>
  <c r="C63" i="65"/>
  <c r="C66" i="109"/>
  <c r="C69" i="65"/>
  <c r="C62" i="65"/>
  <c r="C332" i="109"/>
  <c r="B415" i="115"/>
  <c r="C353" i="109"/>
  <c r="B12" i="123"/>
  <c r="C367" i="115"/>
  <c r="C585" i="109"/>
  <c r="C344" i="109"/>
  <c r="C345" i="109" s="1"/>
  <c r="C338" i="109"/>
  <c r="C388" i="108"/>
  <c r="C364" i="115"/>
  <c r="C342" i="109"/>
  <c r="B19" i="123"/>
  <c r="C387" i="108"/>
  <c r="C341" i="109"/>
  <c r="C389" i="108"/>
  <c r="C390" i="108" s="1"/>
  <c r="C354" i="109"/>
  <c r="F129" i="63" s="1"/>
  <c r="C370" i="115"/>
  <c r="C383" i="108"/>
  <c r="C368" i="115"/>
  <c r="B416" i="115"/>
  <c r="C349" i="109"/>
  <c r="C392" i="108"/>
  <c r="C347" i="109"/>
  <c r="C163" i="75"/>
  <c r="T57" i="123"/>
  <c r="K56" i="123"/>
  <c r="Q57" i="123"/>
  <c r="H56" i="123"/>
  <c r="T58" i="123"/>
  <c r="K57" i="123"/>
  <c r="B56" i="123"/>
  <c r="K138" i="62"/>
  <c r="Q58" i="123"/>
  <c r="H57" i="123"/>
  <c r="C161" i="108"/>
  <c r="N58" i="123"/>
  <c r="E57" i="123"/>
  <c r="H58" i="123"/>
  <c r="T56" i="123"/>
  <c r="K146" i="62"/>
  <c r="E58" i="123"/>
  <c r="Q56" i="123"/>
  <c r="B58" i="123"/>
  <c r="N56" i="123"/>
  <c r="K58" i="123"/>
  <c r="N57" i="123"/>
  <c r="K130" i="62"/>
  <c r="K135" i="62" s="1"/>
  <c r="B57" i="123"/>
  <c r="C116" i="108"/>
  <c r="E56" i="123"/>
  <c r="C591" i="108"/>
  <c r="C156" i="113" s="1"/>
  <c r="C168" i="108"/>
  <c r="K152" i="62"/>
  <c r="K357" i="62" s="1"/>
  <c r="B407" i="115"/>
  <c r="B413" i="115"/>
  <c r="C325" i="108"/>
  <c r="C93" i="113" s="1"/>
  <c r="C298" i="108"/>
  <c r="C341" i="108"/>
  <c r="C107" i="113" s="1"/>
  <c r="C438" i="108"/>
  <c r="C114" i="113" s="1"/>
  <c r="C333" i="108"/>
  <c r="C100" i="113" s="1"/>
  <c r="C63" i="120"/>
  <c r="C377" i="115"/>
  <c r="C397" i="108"/>
  <c r="C339" i="109"/>
  <c r="C89" i="116" s="1"/>
  <c r="C378" i="115"/>
  <c r="C352" i="109"/>
  <c r="C384" i="108"/>
  <c r="C122" i="113" s="1"/>
  <c r="C104" i="109"/>
  <c r="C325" i="65"/>
  <c r="C385" i="65" s="1"/>
  <c r="C59" i="109"/>
  <c r="C572" i="109"/>
  <c r="C106" i="116" s="1"/>
  <c r="C111" i="109"/>
  <c r="C107" i="65"/>
  <c r="C111" i="65" s="1"/>
  <c r="C58" i="65"/>
  <c r="C365" i="65" s="1"/>
  <c r="C96" i="65"/>
  <c r="C118" i="65"/>
  <c r="C85" i="65"/>
  <c r="C55" i="115" s="1"/>
  <c r="J404" i="62"/>
  <c r="J398" i="62"/>
  <c r="J399" i="62"/>
  <c r="J397" i="62"/>
  <c r="J395" i="62"/>
  <c r="J407" i="62"/>
  <c r="J406" i="62"/>
  <c r="J393" i="62"/>
  <c r="J403" i="62"/>
  <c r="J402" i="62"/>
  <c r="J401" i="62"/>
  <c r="J400" i="62"/>
  <c r="J396" i="62"/>
  <c r="D169" i="115"/>
  <c r="D162" i="115"/>
  <c r="D170" i="115"/>
  <c r="D155" i="115"/>
  <c r="D167" i="115"/>
  <c r="D156" i="115"/>
  <c r="D161" i="115"/>
  <c r="D166" i="115"/>
  <c r="D163" i="115"/>
  <c r="D160" i="115"/>
  <c r="D158" i="115"/>
  <c r="D165" i="115"/>
  <c r="D159" i="115"/>
  <c r="D168" i="115"/>
  <c r="B377" i="109"/>
  <c r="B387" i="109"/>
  <c r="B378" i="109"/>
  <c r="B388" i="109"/>
  <c r="B386" i="109"/>
  <c r="B390" i="109"/>
  <c r="B382" i="109"/>
  <c r="B383" i="109"/>
  <c r="B381" i="109"/>
  <c r="B376" i="109"/>
  <c r="C232" i="119"/>
  <c r="C231" i="119"/>
  <c r="C136" i="113"/>
  <c r="C131" i="113"/>
  <c r="C126" i="113"/>
  <c r="C135" i="113"/>
  <c r="C130" i="113"/>
  <c r="C125" i="113"/>
  <c r="C95" i="113"/>
  <c r="C139" i="113"/>
  <c r="C134" i="113"/>
  <c r="C129" i="113"/>
  <c r="C124" i="113"/>
  <c r="C103" i="113"/>
  <c r="C138" i="113"/>
  <c r="C127" i="113"/>
  <c r="C110" i="113"/>
  <c r="G110" i="113" s="1"/>
  <c r="C137" i="113"/>
  <c r="C133" i="113"/>
  <c r="C132" i="113"/>
  <c r="C128" i="113"/>
  <c r="C343" i="108"/>
  <c r="C331" i="108"/>
  <c r="C97" i="113" s="1"/>
  <c r="C316" i="108"/>
  <c r="C306" i="108"/>
  <c r="C439" i="108"/>
  <c r="C115" i="113" s="1"/>
  <c r="C318" i="108"/>
  <c r="C308" i="108"/>
  <c r="C347" i="108"/>
  <c r="C112" i="113" s="1"/>
  <c r="C315" i="108"/>
  <c r="C303" i="108"/>
  <c r="C440" i="108"/>
  <c r="C117" i="113" s="1"/>
  <c r="C346" i="108"/>
  <c r="C111" i="113" s="1"/>
  <c r="C314" i="108"/>
  <c r="C300" i="108"/>
  <c r="C345" i="108"/>
  <c r="C108" i="113" s="1"/>
  <c r="C330" i="108"/>
  <c r="C98" i="113" s="1"/>
  <c r="C313" i="108"/>
  <c r="C299" i="108"/>
  <c r="C329" i="108"/>
  <c r="C94" i="113" s="1"/>
  <c r="C312" i="108"/>
  <c r="C327" i="108"/>
  <c r="C311" i="108"/>
  <c r="C339" i="108"/>
  <c r="C310" i="108"/>
  <c r="C338" i="108"/>
  <c r="C309" i="108"/>
  <c r="C307" i="108"/>
  <c r="C443" i="108"/>
  <c r="C119" i="113" s="1"/>
  <c r="C337" i="108"/>
  <c r="C101" i="113" s="1"/>
  <c r="C305" i="108"/>
  <c r="C442" i="108"/>
  <c r="C118" i="113" s="1"/>
  <c r="C335" i="108"/>
  <c r="C317" i="108"/>
  <c r="C304" i="108"/>
  <c r="C391" i="120"/>
  <c r="C386" i="120"/>
  <c r="C375" i="120"/>
  <c r="C398" i="120"/>
  <c r="C367" i="120"/>
  <c r="I332" i="87"/>
  <c r="C230" i="120"/>
  <c r="C279" i="120"/>
  <c r="C248" i="120"/>
  <c r="C277" i="120"/>
  <c r="C238" i="120"/>
  <c r="C260" i="120"/>
  <c r="C253" i="120"/>
  <c r="C243" i="119"/>
  <c r="C242" i="119"/>
  <c r="B306" i="120"/>
  <c r="B296" i="120"/>
  <c r="B305" i="120"/>
  <c r="B294" i="120"/>
  <c r="B304" i="120"/>
  <c r="B303" i="120"/>
  <c r="B293" i="120"/>
  <c r="B302" i="120"/>
  <c r="B301" i="120"/>
  <c r="B300" i="120"/>
  <c r="B299" i="120"/>
  <c r="B298" i="120"/>
  <c r="B308" i="120"/>
  <c r="B297" i="120"/>
  <c r="B307" i="120"/>
  <c r="B295" i="120"/>
  <c r="B205" i="75"/>
  <c r="B195" i="75"/>
  <c r="B203" i="75"/>
  <c r="B193" i="75"/>
  <c r="B202" i="75"/>
  <c r="B201" i="75"/>
  <c r="B200" i="75"/>
  <c r="B199" i="75"/>
  <c r="B208" i="75"/>
  <c r="B197" i="75"/>
  <c r="B207" i="75"/>
  <c r="B196" i="75"/>
  <c r="B206" i="75"/>
  <c r="B194" i="75"/>
  <c r="B198" i="75"/>
  <c r="B204" i="75"/>
  <c r="C335" i="120" a="1"/>
  <c r="C348" i="120" a="1"/>
  <c r="C338" i="120" a="1"/>
  <c r="C351" i="120" a="1"/>
  <c r="C341" i="120" a="1"/>
  <c r="C332" i="120" a="1"/>
  <c r="C345" i="120" a="1"/>
  <c r="C154" i="75"/>
  <c r="C530" i="75"/>
  <c r="C288" i="75"/>
  <c r="C119" i="75"/>
  <c r="C227" i="75"/>
  <c r="C262" i="75"/>
  <c r="C246" i="75"/>
  <c r="C125" i="75"/>
  <c r="C504" i="75"/>
  <c r="I333" i="87"/>
  <c r="B320" i="120"/>
  <c r="B323" i="120"/>
  <c r="B312" i="120"/>
  <c r="B322" i="120"/>
  <c r="B311" i="120"/>
  <c r="B321" i="120"/>
  <c r="B310" i="120"/>
  <c r="B319" i="120"/>
  <c r="B318" i="120"/>
  <c r="B317" i="120"/>
  <c r="B316" i="120"/>
  <c r="B315" i="120"/>
  <c r="B325" i="120"/>
  <c r="B314" i="120"/>
  <c r="B324" i="120"/>
  <c r="B313" i="120"/>
  <c r="B134" i="113"/>
  <c r="B133" i="113"/>
  <c r="B124" i="113"/>
  <c r="B132" i="113"/>
  <c r="B131" i="113"/>
  <c r="B130" i="113"/>
  <c r="B139" i="113"/>
  <c r="B129" i="113"/>
  <c r="B125" i="113"/>
  <c r="B138" i="113"/>
  <c r="B137" i="113"/>
  <c r="B136" i="113"/>
  <c r="B135" i="113"/>
  <c r="B128" i="113"/>
  <c r="B127" i="113"/>
  <c r="B126" i="113"/>
  <c r="C561" i="117"/>
  <c r="C141" i="117"/>
  <c r="C560" i="120"/>
  <c r="C11" i="117"/>
  <c r="C513" i="117"/>
  <c r="C514" i="117"/>
  <c r="C104" i="117"/>
  <c r="C22" i="117"/>
  <c r="C228" i="117"/>
  <c r="B31" i="123"/>
  <c r="B24" i="123"/>
  <c r="I331" i="87"/>
  <c r="D277" i="75"/>
  <c r="D332" i="75"/>
  <c r="D353" i="75"/>
  <c r="D293" i="75"/>
  <c r="B191" i="75"/>
  <c r="B181" i="75"/>
  <c r="B186" i="75"/>
  <c r="B176" i="75"/>
  <c r="B185" i="75"/>
  <c r="B184" i="75"/>
  <c r="B183" i="75"/>
  <c r="B182" i="75"/>
  <c r="B190" i="75"/>
  <c r="B179" i="75"/>
  <c r="B189" i="75"/>
  <c r="B178" i="75"/>
  <c r="B188" i="75"/>
  <c r="B177" i="75"/>
  <c r="B187" i="75"/>
  <c r="B180" i="75"/>
  <c r="C124" i="120"/>
  <c r="D518" i="108"/>
  <c r="D462" i="109"/>
  <c r="D484" i="108"/>
  <c r="D445" i="109"/>
  <c r="D479" i="109"/>
  <c r="D501" i="108"/>
  <c r="C71" i="119"/>
  <c r="C381" i="75"/>
  <c r="C15" i="75"/>
  <c r="C432" i="75"/>
  <c r="C30" i="75"/>
  <c r="C457" i="75"/>
  <c r="C278" i="75"/>
  <c r="C52" i="119"/>
  <c r="C59" i="119"/>
  <c r="C29" i="119"/>
  <c r="C229" i="119"/>
  <c r="C64" i="119"/>
  <c r="D345" i="75" a="1"/>
  <c r="D345" i="75" s="1"/>
  <c r="D326" i="75" a="1"/>
  <c r="D326" i="75" s="1"/>
  <c r="D266" i="75" a="1"/>
  <c r="D266" i="75" s="1"/>
  <c r="D249" i="75" a="1"/>
  <c r="D249" i="75" s="1"/>
  <c r="D391" i="120"/>
  <c r="D375" i="120"/>
  <c r="D398" i="120"/>
  <c r="D386" i="120"/>
  <c r="D279" i="120"/>
  <c r="D248" i="120"/>
  <c r="D238" i="120"/>
  <c r="D260" i="120"/>
  <c r="D253" i="120"/>
  <c r="C342" i="75"/>
  <c r="AA53" i="63"/>
  <c r="J89" i="54"/>
  <c r="I89" i="54"/>
  <c r="H89" i="54"/>
  <c r="C224" i="120"/>
  <c r="C231" i="120"/>
  <c r="C113" i="119"/>
  <c r="C212" i="119"/>
  <c r="C202" i="119"/>
  <c r="C278" i="120"/>
  <c r="C291" i="120"/>
  <c r="C104" i="119"/>
  <c r="C100" i="119"/>
  <c r="C112" i="119"/>
  <c r="C108" i="119"/>
  <c r="D301" i="75"/>
  <c r="D317" i="75"/>
  <c r="D357" i="75"/>
  <c r="D335" i="75"/>
  <c r="AA51" i="63"/>
  <c r="AA52" i="63"/>
  <c r="I88" i="54"/>
  <c r="H88" i="54"/>
  <c r="G88" i="54"/>
  <c r="J88" i="54"/>
  <c r="D314" i="75"/>
  <c r="D299" i="75"/>
  <c r="D263" i="75"/>
  <c r="D247" i="75"/>
  <c r="D289" i="75"/>
  <c r="D274" i="75"/>
  <c r="C298" i="75" l="1"/>
  <c r="C313" i="75"/>
  <c r="C147" i="75"/>
  <c r="E13" i="65"/>
  <c r="D14" i="109"/>
  <c r="C598" i="117"/>
  <c r="C303" i="75"/>
  <c r="C155" i="120"/>
  <c r="B80" i="113"/>
  <c r="C425" i="75"/>
  <c r="C220" i="75"/>
  <c r="C95" i="117"/>
  <c r="C579" i="117"/>
  <c r="C18" i="117"/>
  <c r="C560" i="117"/>
  <c r="C483" i="117"/>
  <c r="B21" i="123"/>
  <c r="C232" i="117"/>
  <c r="C465" i="117"/>
  <c r="C520" i="120"/>
  <c r="C392" i="117"/>
  <c r="C202" i="117"/>
  <c r="C214" i="117"/>
  <c r="C122" i="117"/>
  <c r="B32" i="123"/>
  <c r="C50" i="117"/>
  <c r="C653" i="117"/>
  <c r="C577" i="117"/>
  <c r="C131" i="117"/>
  <c r="C391" i="117"/>
  <c r="C211" i="117"/>
  <c r="C23" i="117"/>
  <c r="C307" i="117"/>
  <c r="D12" i="109"/>
  <c r="D13" i="109" s="1"/>
  <c r="C428" i="75"/>
  <c r="C184" i="120"/>
  <c r="C118" i="117"/>
  <c r="C467" i="117"/>
  <c r="C401" i="117"/>
  <c r="C422" i="117"/>
  <c r="C163" i="120"/>
  <c r="C123" i="120"/>
  <c r="C565" i="109"/>
  <c r="C554" i="109"/>
  <c r="C406" i="75"/>
  <c r="C59" i="115"/>
  <c r="C58" i="115"/>
  <c r="C92" i="115"/>
  <c r="C91" i="115"/>
  <c r="C88" i="115"/>
  <c r="C66" i="115"/>
  <c r="C70" i="115"/>
  <c r="C69" i="115"/>
  <c r="C77" i="115"/>
  <c r="C80" i="115"/>
  <c r="C81" i="115"/>
  <c r="K120" i="62"/>
  <c r="C89" i="119"/>
  <c r="C80" i="127"/>
  <c r="G92" i="54"/>
  <c r="J30" i="54" s="1"/>
  <c r="C30" i="113" s="1"/>
  <c r="C32" i="113" s="1"/>
  <c r="K30" i="54"/>
  <c r="D30" i="113" s="1"/>
  <c r="D32" i="113" s="1"/>
  <c r="L30" i="54"/>
  <c r="E30" i="113" s="1"/>
  <c r="E32" i="113" s="1"/>
  <c r="M30" i="54"/>
  <c r="F30" i="113" s="1"/>
  <c r="F32" i="113" s="1"/>
  <c r="C314" i="65"/>
  <c r="C294" i="65"/>
  <c r="AA57" i="63"/>
  <c r="D14" i="65"/>
  <c r="C107" i="108"/>
  <c r="C164" i="113" s="1"/>
  <c r="AA58" i="63"/>
  <c r="D16" i="65"/>
  <c r="E316" i="65" s="1"/>
  <c r="E14" i="109"/>
  <c r="E11" i="109"/>
  <c r="E13" i="109"/>
  <c r="E16" i="109"/>
  <c r="E12" i="109"/>
  <c r="E15" i="109"/>
  <c r="AA55" i="63"/>
  <c r="D15" i="65"/>
  <c r="D13" i="65"/>
  <c r="D17" i="65"/>
  <c r="D18" i="65"/>
  <c r="AA61" i="63"/>
  <c r="B43" i="123"/>
  <c r="C561" i="120"/>
  <c r="C494" i="117"/>
  <c r="C40" i="117"/>
  <c r="C325" i="117"/>
  <c r="X35" i="123"/>
  <c r="C426" i="75"/>
  <c r="C136" i="120"/>
  <c r="C181" i="119"/>
  <c r="C57" i="119"/>
  <c r="X26" i="123"/>
  <c r="X48" i="123"/>
  <c r="C211" i="119"/>
  <c r="C365" i="120"/>
  <c r="D16" i="109"/>
  <c r="T78" i="123" s="1"/>
  <c r="C239" i="75"/>
  <c r="N73" i="123"/>
  <c r="T73" i="123"/>
  <c r="E78" i="123"/>
  <c r="B73" i="123"/>
  <c r="B75" i="123"/>
  <c r="Q75" i="123"/>
  <c r="K78" i="123"/>
  <c r="H78" i="123"/>
  <c r="Q78" i="123"/>
  <c r="N75" i="123"/>
  <c r="N78" i="123"/>
  <c r="T75" i="123"/>
  <c r="B78" i="123"/>
  <c r="E75" i="123"/>
  <c r="H75" i="123"/>
  <c r="H73" i="123"/>
  <c r="K75" i="123"/>
  <c r="Q73" i="123"/>
  <c r="E73" i="123"/>
  <c r="K73" i="123"/>
  <c r="C415" i="120"/>
  <c r="C47" i="109"/>
  <c r="C76" i="109"/>
  <c r="C405" i="120"/>
  <c r="C323" i="75"/>
  <c r="C337" i="120"/>
  <c r="C331" i="120"/>
  <c r="C151" i="119"/>
  <c r="C480" i="117"/>
  <c r="C113" i="117"/>
  <c r="C347" i="120"/>
  <c r="C50" i="119"/>
  <c r="C516" i="75"/>
  <c r="C178" i="120"/>
  <c r="B23" i="123"/>
  <c r="B39" i="123"/>
  <c r="C215" i="117"/>
  <c r="C544" i="120"/>
  <c r="C46" i="117"/>
  <c r="C383" i="117"/>
  <c r="C546" i="120"/>
  <c r="C28" i="117"/>
  <c r="C212" i="117"/>
  <c r="C573" i="117"/>
  <c r="C468" i="117"/>
  <c r="C188" i="117"/>
  <c r="C572" i="117"/>
  <c r="C584" i="117"/>
  <c r="C320" i="117"/>
  <c r="C14" i="117"/>
  <c r="C321" i="117"/>
  <c r="C96" i="117"/>
  <c r="C490" i="117"/>
  <c r="C200" i="117"/>
  <c r="B33" i="123"/>
  <c r="B20" i="123"/>
  <c r="C302" i="117"/>
  <c r="C554" i="120"/>
  <c r="C119" i="117"/>
  <c r="C492" i="117"/>
  <c r="C27" i="117"/>
  <c r="C108" i="117"/>
  <c r="C299" i="117"/>
  <c r="C386" i="117"/>
  <c r="C484" i="117"/>
  <c r="C204" i="117"/>
  <c r="C582" i="117"/>
  <c r="C600" i="117"/>
  <c r="C375" i="117"/>
  <c r="C24" i="117"/>
  <c r="C376" i="117"/>
  <c r="C112" i="117"/>
  <c r="C506" i="117"/>
  <c r="C345" i="120"/>
  <c r="C161" i="119"/>
  <c r="C169" i="119"/>
  <c r="C162" i="119"/>
  <c r="C111" i="119"/>
  <c r="C344" i="120"/>
  <c r="C284" i="120"/>
  <c r="C562" i="117"/>
  <c r="C281" i="117"/>
  <c r="C542" i="120"/>
  <c r="C306" i="117"/>
  <c r="C41" i="117"/>
  <c r="C505" i="117"/>
  <c r="C196" i="117"/>
  <c r="C575" i="117"/>
  <c r="C304" i="117"/>
  <c r="C530" i="120"/>
  <c r="C390" i="117"/>
  <c r="C388" i="117"/>
  <c r="C107" i="117"/>
  <c r="C413" i="117"/>
  <c r="C412" i="117"/>
  <c r="C114" i="117"/>
  <c r="C518" i="120"/>
  <c r="C526" i="120"/>
  <c r="C607" i="117"/>
  <c r="C536" i="120"/>
  <c r="C372" i="117"/>
  <c r="C308" i="117"/>
  <c r="C190" i="117"/>
  <c r="C189" i="117"/>
  <c r="B40" i="123"/>
  <c r="B44" i="123"/>
  <c r="B45" i="123"/>
  <c r="C507" i="117"/>
  <c r="C226" i="117"/>
  <c r="C606" i="117"/>
  <c r="C296" i="117"/>
  <c r="C25" i="117"/>
  <c r="C489" i="117"/>
  <c r="C139" i="117"/>
  <c r="C558" i="117"/>
  <c r="C294" i="117"/>
  <c r="C655" i="117"/>
  <c r="C374" i="117"/>
  <c r="C329" i="117"/>
  <c r="C20" i="117"/>
  <c r="C397" i="117"/>
  <c r="C396" i="117"/>
  <c r="C538" i="120"/>
  <c r="C399" i="117"/>
  <c r="C654" i="117"/>
  <c r="C389" i="117"/>
  <c r="C599" i="117"/>
  <c r="C283" i="117"/>
  <c r="C282" i="117"/>
  <c r="C143" i="117"/>
  <c r="C142" i="117"/>
  <c r="B30" i="123"/>
  <c r="B34" i="123"/>
  <c r="B42" i="123"/>
  <c r="C491" i="117"/>
  <c r="C210" i="117"/>
  <c r="C587" i="117"/>
  <c r="C279" i="117"/>
  <c r="C15" i="117"/>
  <c r="C479" i="117"/>
  <c r="C226" i="75"/>
  <c r="C140" i="75"/>
  <c r="C215" i="75"/>
  <c r="C225" i="75"/>
  <c r="C353" i="120"/>
  <c r="C201" i="119"/>
  <c r="C486" i="75"/>
  <c r="B35" i="123"/>
  <c r="B27" i="123"/>
  <c r="B41" i="123"/>
  <c r="C512" i="120"/>
  <c r="C201" i="117"/>
  <c r="C486" i="117"/>
  <c r="C49" i="117"/>
  <c r="C206" i="117"/>
  <c r="C298" i="117"/>
  <c r="C135" i="117"/>
  <c r="C493" i="117"/>
  <c r="C569" i="117"/>
  <c r="C289" i="117"/>
  <c r="C400" i="117"/>
  <c r="C38" i="117"/>
  <c r="C420" i="117"/>
  <c r="C111" i="117"/>
  <c r="C576" i="117"/>
  <c r="C197" i="117"/>
  <c r="C552" i="120"/>
  <c r="C382" i="117"/>
  <c r="C351" i="120"/>
  <c r="C107" i="119"/>
  <c r="C168" i="75"/>
  <c r="B36" i="123"/>
  <c r="B37" i="123"/>
  <c r="C510" i="120"/>
  <c r="C521" i="120"/>
  <c r="C227" i="117"/>
  <c r="C534" i="120"/>
  <c r="C103" i="117"/>
  <c r="C293" i="117"/>
  <c r="C327" i="117"/>
  <c r="C186" i="117"/>
  <c r="C511" i="117"/>
  <c r="C581" i="117"/>
  <c r="C301" i="117"/>
  <c r="C418" i="117"/>
  <c r="C93" i="117"/>
  <c r="C476" i="117"/>
  <c r="C121" i="117"/>
  <c r="C586" i="117"/>
  <c r="C209" i="117"/>
  <c r="C16" i="117"/>
  <c r="C394" i="117"/>
  <c r="C338" i="120"/>
  <c r="C238" i="75"/>
  <c r="C374" i="75"/>
  <c r="C341" i="75"/>
  <c r="C299" i="65"/>
  <c r="C171" i="119" s="1"/>
  <c r="C58" i="119"/>
  <c r="C452" i="75"/>
  <c r="C159" i="75"/>
  <c r="B46" i="123"/>
  <c r="B47" i="123"/>
  <c r="C529" i="120"/>
  <c r="C17" i="117"/>
  <c r="C482" i="117"/>
  <c r="C545" i="120"/>
  <c r="C205" i="117"/>
  <c r="C319" i="117"/>
  <c r="C528" i="120"/>
  <c r="C213" i="117"/>
  <c r="C568" i="117"/>
  <c r="C596" i="117"/>
  <c r="C398" i="117"/>
  <c r="C475" i="117"/>
  <c r="C110" i="117"/>
  <c r="C488" i="117"/>
  <c r="C208" i="117"/>
  <c r="C604" i="117"/>
  <c r="C224" i="117"/>
  <c r="C26" i="117"/>
  <c r="C348" i="120"/>
  <c r="C280" i="120"/>
  <c r="C283" i="120"/>
  <c r="C309" i="65"/>
  <c r="C96" i="119"/>
  <c r="C401" i="75"/>
  <c r="C216" i="75"/>
  <c r="B22" i="123"/>
  <c r="B28" i="123"/>
  <c r="C553" i="120"/>
  <c r="C116" i="117"/>
  <c r="C513" i="120"/>
  <c r="C21" i="117"/>
  <c r="C234" i="117"/>
  <c r="C395" i="117"/>
  <c r="C29" i="117"/>
  <c r="C300" i="117"/>
  <c r="C580" i="117"/>
  <c r="C651" i="117"/>
  <c r="C414" i="117"/>
  <c r="C487" i="117"/>
  <c r="C120" i="117"/>
  <c r="C503" i="117"/>
  <c r="C236" i="117"/>
  <c r="C514" i="120"/>
  <c r="C393" i="117"/>
  <c r="C42" i="117"/>
  <c r="C481" i="117"/>
  <c r="C335" i="120"/>
  <c r="C130" i="120"/>
  <c r="C204" i="120"/>
  <c r="C112" i="120"/>
  <c r="C304" i="65"/>
  <c r="C77" i="119"/>
  <c r="C234" i="75"/>
  <c r="B25" i="123"/>
  <c r="B38" i="123"/>
  <c r="C10" i="117"/>
  <c r="C303" i="117"/>
  <c r="C522" i="120"/>
  <c r="C48" i="117"/>
  <c r="C290" i="117"/>
  <c r="C537" i="120"/>
  <c r="C109" i="117"/>
  <c r="C328" i="117"/>
  <c r="C608" i="117"/>
  <c r="C117" i="117"/>
  <c r="C469" i="117"/>
  <c r="C515" i="117"/>
  <c r="C207" i="117"/>
  <c r="C585" i="117"/>
  <c r="C295" i="117"/>
  <c r="C550" i="120"/>
  <c r="C421" i="117"/>
  <c r="C97" i="117"/>
  <c r="C578" i="117"/>
  <c r="C285" i="120"/>
  <c r="C152" i="119"/>
  <c r="C476" i="75"/>
  <c r="C142" i="120"/>
  <c r="B26" i="123"/>
  <c r="B29" i="123"/>
  <c r="C115" i="117"/>
  <c r="C583" i="117"/>
  <c r="C19" i="117"/>
  <c r="C203" i="117"/>
  <c r="C317" i="117"/>
  <c r="C562" i="120"/>
  <c r="C134" i="117"/>
  <c r="C410" i="117"/>
  <c r="C387" i="117"/>
  <c r="C133" i="117"/>
  <c r="C485" i="117"/>
  <c r="C574" i="117"/>
  <c r="C235" i="117"/>
  <c r="C558" i="120"/>
  <c r="C305" i="117"/>
  <c r="C109" i="119"/>
  <c r="C332" i="120"/>
  <c r="C341" i="120"/>
  <c r="C175" i="119"/>
  <c r="C373" i="65"/>
  <c r="C93" i="65"/>
  <c r="C92" i="65"/>
  <c r="C89" i="65"/>
  <c r="C379" i="65"/>
  <c r="C100" i="65"/>
  <c r="C104" i="65"/>
  <c r="C103" i="65"/>
  <c r="C126" i="65"/>
  <c r="C125" i="65"/>
  <c r="C122" i="65"/>
  <c r="C391" i="115"/>
  <c r="C233" i="120"/>
  <c r="C155" i="115" a="1"/>
  <c r="C159" i="115" s="1"/>
  <c r="K333" i="62"/>
  <c r="K110" i="62"/>
  <c r="K351" i="62"/>
  <c r="K144" i="62"/>
  <c r="K143" i="62"/>
  <c r="K345" i="62"/>
  <c r="K136" i="62"/>
  <c r="C235" i="65" a="1"/>
  <c r="C239" i="65" s="1"/>
  <c r="C77" i="75"/>
  <c r="K124" i="62"/>
  <c r="K125" i="62"/>
  <c r="C165" i="120"/>
  <c r="C69" i="119"/>
  <c r="C60" i="75"/>
  <c r="C46" i="75"/>
  <c r="C110" i="119"/>
  <c r="C339" i="120"/>
  <c r="C52" i="75"/>
  <c r="C223" i="120"/>
  <c r="C340" i="120"/>
  <c r="C103" i="119"/>
  <c r="C350" i="120"/>
  <c r="C549" i="108"/>
  <c r="C289" i="120"/>
  <c r="C178" i="108"/>
  <c r="C61" i="119"/>
  <c r="C412" i="120"/>
  <c r="C275" i="120"/>
  <c r="C358" i="109"/>
  <c r="C392" i="120"/>
  <c r="C254" i="120"/>
  <c r="C594" i="108"/>
  <c r="C570" i="108"/>
  <c r="C551" i="108"/>
  <c r="C600" i="108"/>
  <c r="C577" i="108"/>
  <c r="C573" i="108"/>
  <c r="C558" i="108"/>
  <c r="C36" i="116"/>
  <c r="C117" i="116"/>
  <c r="C241" i="119"/>
  <c r="C264" i="120"/>
  <c r="C413" i="120"/>
  <c r="C395" i="120"/>
  <c r="C257" i="120"/>
  <c r="C228" i="120"/>
  <c r="C402" i="120"/>
  <c r="C369" i="109"/>
  <c r="C364" i="109"/>
  <c r="C263" i="75"/>
  <c r="C314" i="75"/>
  <c r="C411" i="108"/>
  <c r="C289" i="75"/>
  <c r="C235" i="75"/>
  <c r="C299" i="75"/>
  <c r="C432" i="109"/>
  <c r="C247" i="75"/>
  <c r="C274" i="75"/>
  <c r="C97" i="120"/>
  <c r="C69" i="108"/>
  <c r="C488" i="109"/>
  <c r="C525" i="108"/>
  <c r="C541" i="108"/>
  <c r="C70" i="113"/>
  <c r="C506" i="109"/>
  <c r="C151" i="75"/>
  <c r="C55" i="113"/>
  <c r="C360" i="120"/>
  <c r="C148" i="75"/>
  <c r="C402" i="108"/>
  <c r="C407" i="108"/>
  <c r="C471" i="108"/>
  <c r="C440" i="115"/>
  <c r="C22" i="119"/>
  <c r="C446" i="109"/>
  <c r="C519" i="108"/>
  <c r="C377" i="120"/>
  <c r="C182" i="119"/>
  <c r="C464" i="109"/>
  <c r="K338" i="62"/>
  <c r="C19" i="119"/>
  <c r="C502" i="108"/>
  <c r="C153" i="113"/>
  <c r="C103" i="116"/>
  <c r="C480" i="109"/>
  <c r="C463" i="109"/>
  <c r="C485" i="108"/>
  <c r="C77" i="113"/>
  <c r="C39" i="113"/>
  <c r="C359" i="65"/>
  <c r="C492" i="109"/>
  <c r="C498" i="109"/>
  <c r="C112" i="75"/>
  <c r="C447" i="109"/>
  <c r="C193" i="119"/>
  <c r="C242" i="120"/>
  <c r="C481" i="109"/>
  <c r="C137" i="119"/>
  <c r="C380" i="120"/>
  <c r="C185" i="108"/>
  <c r="C58" i="113"/>
  <c r="C162" i="108"/>
  <c r="C608" i="108" s="1"/>
  <c r="C622" i="109"/>
  <c r="C425" i="109"/>
  <c r="C116" i="116"/>
  <c r="C575" i="108" a="1"/>
  <c r="C575" i="108" s="1"/>
  <c r="C584" i="108" a="1"/>
  <c r="C584" i="108" s="1"/>
  <c r="C111" i="120"/>
  <c r="C645" i="108" a="1"/>
  <c r="C645" i="108" s="1"/>
  <c r="C170" i="119"/>
  <c r="C577" i="109"/>
  <c r="C531" i="109"/>
  <c r="C127" i="109"/>
  <c r="C607" i="109" s="1"/>
  <c r="C556" i="109"/>
  <c r="C547" i="109"/>
  <c r="C524" i="109"/>
  <c r="C520" i="109"/>
  <c r="C83" i="119"/>
  <c r="C333" i="120"/>
  <c r="C102" i="119"/>
  <c r="C106" i="119"/>
  <c r="C86" i="119"/>
  <c r="C336" i="120"/>
  <c r="C98" i="119"/>
  <c r="C80" i="119"/>
  <c r="C330" i="120"/>
  <c r="C563" i="109"/>
  <c r="C413" i="109"/>
  <c r="C567" i="109"/>
  <c r="C417" i="109"/>
  <c r="C410" i="109"/>
  <c r="C555" i="108"/>
  <c r="C547" i="108"/>
  <c r="C582" i="108"/>
  <c r="C456" i="108"/>
  <c r="C563" i="108"/>
  <c r="C451" i="108"/>
  <c r="C453" i="108"/>
  <c r="C586" i="108"/>
  <c r="C23" i="116"/>
  <c r="C92" i="109"/>
  <c r="C234" i="119"/>
  <c r="C245" i="119"/>
  <c r="C211" i="120"/>
  <c r="C597" i="109"/>
  <c r="C35" i="116"/>
  <c r="C41" i="116"/>
  <c r="C122" i="116"/>
  <c r="C520" i="108"/>
  <c r="C184" i="108"/>
  <c r="C626" i="108" s="1"/>
  <c r="C169" i="108"/>
  <c r="C167" i="113"/>
  <c r="C65" i="113"/>
  <c r="C173" i="113"/>
  <c r="C71" i="113"/>
  <c r="C161" i="113"/>
  <c r="C529" i="108"/>
  <c r="C535" i="108"/>
  <c r="C51" i="113"/>
  <c r="C149" i="108"/>
  <c r="C168" i="113"/>
  <c r="C66" i="113"/>
  <c r="C394" i="108"/>
  <c r="C89" i="113"/>
  <c r="C29" i="116"/>
  <c r="C619" i="109"/>
  <c r="C128" i="109"/>
  <c r="C409" i="65"/>
  <c r="C408" i="65"/>
  <c r="C404" i="65"/>
  <c r="C411" i="65"/>
  <c r="C403" i="65"/>
  <c r="C414" i="65"/>
  <c r="C410" i="65"/>
  <c r="C418" i="65"/>
  <c r="C407" i="65"/>
  <c r="C412" i="65"/>
  <c r="C406" i="65"/>
  <c r="C417" i="65"/>
  <c r="C416" i="65"/>
  <c r="C405" i="65"/>
  <c r="C413" i="65"/>
  <c r="C415" i="65"/>
  <c r="C37" i="116"/>
  <c r="C118" i="116"/>
  <c r="C636" i="108"/>
  <c r="C622" i="108"/>
  <c r="C460" i="108"/>
  <c r="C170" i="113"/>
  <c r="C123" i="116"/>
  <c r="C42" i="116"/>
  <c r="C26" i="116"/>
  <c r="C613" i="109"/>
  <c r="C121" i="109"/>
  <c r="C120" i="109"/>
  <c r="C105" i="109"/>
  <c r="C620" i="108"/>
  <c r="C628" i="109"/>
  <c r="C403" i="109"/>
  <c r="C373" i="115"/>
  <c r="C592" i="109"/>
  <c r="C14" i="116"/>
  <c r="C119" i="109"/>
  <c r="C604" i="109"/>
  <c r="C46" i="113"/>
  <c r="C183" i="108"/>
  <c r="C629" i="108"/>
  <c r="C617" i="108"/>
  <c r="C42" i="113"/>
  <c r="C611" i="108"/>
  <c r="C623" i="108"/>
  <c r="C176" i="108"/>
  <c r="C50" i="113"/>
  <c r="C144" i="108"/>
  <c r="C18" i="116"/>
  <c r="C595" i="109"/>
  <c r="C598" i="109"/>
  <c r="C610" i="109"/>
  <c r="C126" i="109"/>
  <c r="C88" i="116"/>
  <c r="C404" i="109"/>
  <c r="C102" i="116"/>
  <c r="C152" i="113"/>
  <c r="C38" i="113"/>
  <c r="C76" i="113"/>
  <c r="K337" i="62"/>
  <c r="C121" i="113"/>
  <c r="C446" i="108"/>
  <c r="C486" i="108"/>
  <c r="C503" i="108"/>
  <c r="C73" i="116"/>
  <c r="C104" i="113"/>
  <c r="C105" i="113"/>
  <c r="C74" i="116"/>
  <c r="H92" i="54"/>
  <c r="J92" i="54"/>
  <c r="I92" i="54"/>
  <c r="M32" i="54" l="1"/>
  <c r="L32" i="54"/>
  <c r="K32" i="54"/>
  <c r="J32" i="54"/>
  <c r="R15" i="54"/>
  <c r="R8" i="54"/>
  <c r="R9" i="54" s="1"/>
  <c r="R16" i="54"/>
  <c r="O281" i="87"/>
  <c r="C51" i="109"/>
  <c r="C370" i="65"/>
  <c r="C79" i="109" s="1"/>
  <c r="C119" i="116" s="1"/>
  <c r="C369" i="65"/>
  <c r="C47" i="116" s="1"/>
  <c r="C158" i="109"/>
  <c r="C11" i="116"/>
  <c r="C10" i="116"/>
  <c r="C48" i="116"/>
  <c r="K280" i="87"/>
  <c r="M275" i="87"/>
  <c r="K275" i="87" a="1"/>
  <c r="K275" i="87" s="1"/>
  <c r="M274" i="87"/>
  <c r="E314" i="65"/>
  <c r="E317" i="65"/>
  <c r="E315" i="65"/>
  <c r="O276" i="87"/>
  <c r="K281" i="87"/>
  <c r="M276" i="87"/>
  <c r="M271" i="87"/>
  <c r="K279" i="87"/>
  <c r="O279" i="87"/>
  <c r="K278" i="87"/>
  <c r="K277" i="87"/>
  <c r="M272" i="87"/>
  <c r="O277" i="87"/>
  <c r="O278" i="87"/>
  <c r="O280" i="87"/>
  <c r="K276" i="87"/>
  <c r="O275" i="87"/>
  <c r="M273" i="87"/>
  <c r="M270" i="87"/>
  <c r="C167" i="109"/>
  <c r="C157" i="109"/>
  <c r="AA21" i="63"/>
  <c r="C168" i="109"/>
  <c r="C173" i="108"/>
  <c r="C59" i="113" s="1"/>
  <c r="C116" i="109"/>
  <c r="C30" i="116" s="1"/>
  <c r="C166" i="108"/>
  <c r="C56" i="113" s="1"/>
  <c r="C458" i="108"/>
  <c r="C143" i="113" s="1"/>
  <c r="C465" i="108"/>
  <c r="C146" i="113" s="1"/>
  <c r="C109" i="109"/>
  <c r="C27" i="116" s="1"/>
  <c r="C234" i="120"/>
  <c r="C78" i="109"/>
  <c r="C158" i="115"/>
  <c r="C242" i="65"/>
  <c r="C237" i="65"/>
  <c r="C161" i="115"/>
  <c r="C248" i="65"/>
  <c r="C52" i="109"/>
  <c r="C241" i="65"/>
  <c r="C243" i="65"/>
  <c r="C166" i="115"/>
  <c r="C164" i="115"/>
  <c r="C165" i="115"/>
  <c r="C163" i="115"/>
  <c r="C157" i="115"/>
  <c r="C155" i="115"/>
  <c r="C162" i="115"/>
  <c r="C167" i="115"/>
  <c r="C160" i="115"/>
  <c r="C156" i="115"/>
  <c r="C169" i="115"/>
  <c r="C168" i="115"/>
  <c r="C170" i="115"/>
  <c r="C236" i="65"/>
  <c r="C235" i="65"/>
  <c r="C244" i="65"/>
  <c r="C245" i="65"/>
  <c r="C246" i="65"/>
  <c r="C247" i="65"/>
  <c r="C250" i="65"/>
  <c r="C238" i="65"/>
  <c r="C249" i="65"/>
  <c r="C240" i="65"/>
  <c r="C62" i="113"/>
  <c r="C635" i="108"/>
  <c r="C610" i="108"/>
  <c r="C165" i="113"/>
  <c r="C459" i="108"/>
  <c r="C63" i="113"/>
  <c r="C67" i="113"/>
  <c r="C169" i="113"/>
  <c r="C121" i="116"/>
  <c r="C609" i="109"/>
  <c r="C623" i="109"/>
  <c r="C426" i="109"/>
  <c r="C40" i="116"/>
  <c r="C166" i="113"/>
  <c r="C616" i="108"/>
  <c r="C614" i="108"/>
  <c r="C641" i="108"/>
  <c r="C64" i="113"/>
  <c r="C463" i="108"/>
  <c r="C642" i="108"/>
  <c r="C171" i="113"/>
  <c r="C69" i="113"/>
  <c r="C464" i="108"/>
  <c r="C628" i="108"/>
  <c r="C616" i="109"/>
  <c r="C591" i="109"/>
  <c r="C115" i="116"/>
  <c r="C34" i="116"/>
  <c r="C420" i="109"/>
  <c r="C120" i="116"/>
  <c r="C39" i="116"/>
  <c r="C421" i="109"/>
  <c r="C603" i="109"/>
  <c r="C617" i="109"/>
  <c r="C601" i="109"/>
  <c r="C589" i="109"/>
  <c r="R17" i="54" l="1"/>
  <c r="R18" i="54" s="1"/>
  <c r="R19" i="54" s="1"/>
  <c r="R20" i="54" s="1"/>
  <c r="R21" i="54" s="1"/>
  <c r="R10" i="54"/>
  <c r="C50" i="109"/>
  <c r="C33" i="116" s="1"/>
  <c r="C80" i="109"/>
  <c r="C615" i="109"/>
  <c r="C131" i="109"/>
  <c r="C640" i="108"/>
  <c r="C634" i="108"/>
  <c r="C181" i="108"/>
  <c r="C188" i="108"/>
  <c r="C621" i="109"/>
  <c r="C124" i="109"/>
  <c r="C38" i="116"/>
  <c r="C114" i="11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<sst xmlns="http://schemas.openxmlformats.org/spreadsheetml/2006/main" count="13179" uniqueCount="3724">
  <si>
    <t xml:space="preserve">         VMware Cloud Foundation Management Domain Post-Deployment </t>
  </si>
  <si>
    <t>This page contains all user required values used for associated Post-Config tasks. Each table and value maps directly to a process in the deployment guidance documentation.</t>
  </si>
  <si>
    <t>Configure SFTP Backups for SDDC Manager and NSX</t>
  </si>
  <si>
    <t>Apply Signed Certificates</t>
  </si>
  <si>
    <t>NSX Network Connectivity for the MGMT Workload Domain</t>
  </si>
  <si>
    <t xml:space="preserve">Deploy AVI Loadbalancer </t>
  </si>
  <si>
    <t>Stretched Cluster</t>
  </si>
  <si>
    <t>NSX Federation for Management Domain</t>
  </si>
  <si>
    <t>Management Domain: Post-Deployment Options</t>
  </si>
  <si>
    <t>Select Option</t>
  </si>
  <si>
    <t>Feature</t>
  </si>
  <si>
    <t>Final Result</t>
  </si>
  <si>
    <t>Information</t>
  </si>
  <si>
    <t>Exclude</t>
  </si>
  <si>
    <t>NSX Network Connectivity for MGMT Workload Domain</t>
  </si>
  <si>
    <t>vSAN Stretched Cluster</t>
  </si>
  <si>
    <t>Configure SFTP Backups for SDDC Manager and NSX {VCF Operations}</t>
  </si>
  <si>
    <t>Configure SFTP Settings</t>
  </si>
  <si>
    <t>Configuration</t>
  </si>
  <si>
    <t>Sample</t>
  </si>
  <si>
    <t>Your Value</t>
  </si>
  <si>
    <t>Notes</t>
  </si>
  <si>
    <t xml:space="preserve">Host FQDN or IP </t>
  </si>
  <si>
    <t>20.10.5.10</t>
  </si>
  <si>
    <t>SFTP server for NSX Backups</t>
  </si>
  <si>
    <t>Port</t>
  </si>
  <si>
    <t>Transfer Protocol</t>
  </si>
  <si>
    <t>SFTP</t>
  </si>
  <si>
    <t>Username</t>
  </si>
  <si>
    <t>svc-vcf-bck</t>
  </si>
  <si>
    <t>Password</t>
  </si>
  <si>
    <t>VMw@re1!</t>
  </si>
  <si>
    <t>Backup Directory</t>
  </si>
  <si>
    <t>/backups/</t>
  </si>
  <si>
    <t>SSH Fingerprint</t>
  </si>
  <si>
    <t>SHA256:JYFI4GSJS3V9BpPzHMX8NDpo3R0sAJvM5QpB0cWs61Y</t>
  </si>
  <si>
    <t>Encryption Passphrase</t>
  </si>
  <si>
    <t xml:space="preserve"> Minimum 8 Characters, 2 Uppercase, 2  Lower, 2 Digits </t>
  </si>
  <si>
    <t>Install Microsoft Certificate Authority Roles</t>
  </si>
  <si>
    <t>FQDN</t>
  </si>
  <si>
    <t>rpl-ad01.rainpole.io</t>
  </si>
  <si>
    <t>User</t>
  </si>
  <si>
    <t>Administrator</t>
  </si>
  <si>
    <t>Configure the Microsoft Certificate Authority for Basic Authentication</t>
  </si>
  <si>
    <t>Your_Server</t>
  </si>
  <si>
    <t>Create and Add a Microsoft Certificate Authority Template</t>
  </si>
  <si>
    <t>CA Server URL</t>
  </si>
  <si>
    <t>User Name</t>
  </si>
  <si>
    <t>Template Name</t>
  </si>
  <si>
    <t>VMware</t>
  </si>
  <si>
    <t>Assign Certificate Management Privileges to the SDDC Manager Service Account</t>
  </si>
  <si>
    <t>Active Directory Account Username</t>
  </si>
  <si>
    <t>svc-vcf-ca</t>
  </si>
  <si>
    <t>Configure a Microsoft Certificate Authority in VCF Operations</t>
  </si>
  <si>
    <t>Certificate Authority</t>
  </si>
  <si>
    <t>Microsoft</t>
  </si>
  <si>
    <t>Installing Microsoft CA-Signed Certificates using VCF Operations</t>
  </si>
  <si>
    <t>Algorithm</t>
  </si>
  <si>
    <t>RSA</t>
  </si>
  <si>
    <t>Organization</t>
  </si>
  <si>
    <t>Rainpole</t>
  </si>
  <si>
    <t>Organizational Unit</t>
  </si>
  <si>
    <t>IT</t>
  </si>
  <si>
    <t>Country</t>
  </si>
  <si>
    <t>US</t>
  </si>
  <si>
    <t>State</t>
  </si>
  <si>
    <t>CA</t>
  </si>
  <si>
    <t>Locality</t>
  </si>
  <si>
    <t>San Francisco</t>
  </si>
  <si>
    <t>Email</t>
  </si>
  <si>
    <t>administrator@rainpole.io</t>
  </si>
  <si>
    <t>Key Size</t>
  </si>
  <si>
    <t>Configure OpenSSL-signed Certificates in VCF Operations</t>
  </si>
  <si>
    <t>OpenSSL</t>
  </si>
  <si>
    <t>Common Name</t>
  </si>
  <si>
    <t>Locality Name</t>
  </si>
  <si>
    <t>Organization Name</t>
  </si>
  <si>
    <t>Organizational Unit Name</t>
  </si>
  <si>
    <t>Installing OpenSSL-signed Certificates using VCF Operations</t>
  </si>
  <si>
    <t>User name</t>
  </si>
  <si>
    <t>VCF</t>
  </si>
  <si>
    <t>Create an NSX Edge Cluster</t>
  </si>
  <si>
    <t>Gateway Type</t>
  </si>
  <si>
    <t>Centralized Connectivity</t>
  </si>
  <si>
    <t>External Network Connectivity</t>
  </si>
  <si>
    <t>VLAN ID</t>
  </si>
  <si>
    <t>Gateway CIDR IPv4</t>
  </si>
  <si>
    <t>10.11.98.1/24</t>
  </si>
  <si>
    <t>Edge Cluster</t>
  </si>
  <si>
    <t>Edge Cluster Name</t>
  </si>
  <si>
    <t>Tunnel Endpoint MTU</t>
  </si>
  <si>
    <t>Edge Form Factor</t>
  </si>
  <si>
    <t>Medium</t>
  </si>
  <si>
    <t>Edge Node 1</t>
  </si>
  <si>
    <t>Edge Node 1: Edge Node Name (FQDN)</t>
  </si>
  <si>
    <t>vSphere Cluster</t>
  </si>
  <si>
    <t>Values are set based on vSphere Cluster configuration in the Deploy Management Domain Tab. Click to Redirect</t>
  </si>
  <si>
    <t>Resource Pool</t>
  </si>
  <si>
    <t xml:space="preserve">Resource Pool is optional and must be precreated in vCenter Prior to Starting this workflow </t>
  </si>
  <si>
    <t>Host Group Affinity</t>
  </si>
  <si>
    <t>No</t>
  </si>
  <si>
    <t>Host Group</t>
  </si>
  <si>
    <t>Datastore</t>
  </si>
  <si>
    <t>Values are set based on Datastore configuration in the Deploy Management Domain Tab. Click to Redirect</t>
  </si>
  <si>
    <t>IP Allocation</t>
  </si>
  <si>
    <t>Static</t>
  </si>
  <si>
    <t>Port Group</t>
  </si>
  <si>
    <t>Values are set based on VM Management Network configuration in the Deploy Management Domain Tab. Click to Redirect</t>
  </si>
  <si>
    <t>Edge Node 1: Management IP (CIDR)</t>
  </si>
  <si>
    <t>Edge Node 1: Management Gateway</t>
  </si>
  <si>
    <t>Use the host overlay network configuration from the selected vSphere Cluster</t>
  </si>
  <si>
    <t xml:space="preserve">Unselected </t>
  </si>
  <si>
    <t>Edge Node 1 Uplink Mapping</t>
  </si>
  <si>
    <t>fp-eth0</t>
  </si>
  <si>
    <t>Active PNIC</t>
  </si>
  <si>
    <t>fp-eth1</t>
  </si>
  <si>
    <t>TEP VLAN</t>
  </si>
  <si>
    <t>IP Allocation (TEP)</t>
  </si>
  <si>
    <t>Static IP List</t>
  </si>
  <si>
    <t xml:space="preserve">IP Pool </t>
  </si>
  <si>
    <t>Edge Overlay Pool: Start IP</t>
  </si>
  <si>
    <t>Edge Overlay Pool: End IP</t>
  </si>
  <si>
    <t>IPv4 Static List - Edge Node 1: Edge TEP 1 IP</t>
  </si>
  <si>
    <t>IPv4 Static List - Edge Node 1: Edge TEP 2 IP</t>
  </si>
  <si>
    <t>Static IPv4 Gateway</t>
  </si>
  <si>
    <t>IPv4 Subnet Mask</t>
  </si>
  <si>
    <t>255.255.255.0</t>
  </si>
  <si>
    <t>Edge Node 2</t>
  </si>
  <si>
    <t>Edge Node 2: Edge Node Name (FQDN)</t>
  </si>
  <si>
    <t xml:space="preserve">Value is set based on Host Group Affinity for Edge node 1 </t>
  </si>
  <si>
    <t xml:space="preserve">Value is set based on IP allocation for Edge node 1 </t>
  </si>
  <si>
    <t>Edge Node 2: Management IP (CIDR)</t>
  </si>
  <si>
    <t>Edge Node 2: Management Gateway</t>
  </si>
  <si>
    <t xml:space="preserve">Value is set based on configuration for Edge node 1 </t>
  </si>
  <si>
    <t>Edge Node 2 Uplink Mapping</t>
  </si>
  <si>
    <t>Auto generate passwords with VCF to manage Edge node</t>
  </si>
  <si>
    <t>Edge Root Password</t>
  </si>
  <si>
    <t>VMw@re1!VMw@re1!</t>
  </si>
  <si>
    <t>Edge Admin Password</t>
  </si>
  <si>
    <t>Workload Domain Connectivity</t>
  </si>
  <si>
    <t>Unselected</t>
  </si>
  <si>
    <t>Gateway Name</t>
  </si>
  <si>
    <t>High Availability Mode</t>
  </si>
  <si>
    <t>Active-Active</t>
  </si>
  <si>
    <t>Gateway Routing Type</t>
  </si>
  <si>
    <t>BGP</t>
  </si>
  <si>
    <t>ASN</t>
  </si>
  <si>
    <t>Edge 01 Gateway Uplinks</t>
  </si>
  <si>
    <t xml:space="preserve">First Uplink - Gateway Interface VLAN </t>
  </si>
  <si>
    <t>NSX Edge Uplink 1 VLAN</t>
  </si>
  <si>
    <t xml:space="preserve">Gateway Interface IP </t>
  </si>
  <si>
    <t>Uplink 1 IP Address for Edge Node 1</t>
  </si>
  <si>
    <t xml:space="preserve">BGP Peer IP </t>
  </si>
  <si>
    <t>BFD</t>
  </si>
  <si>
    <t>Selected</t>
  </si>
  <si>
    <t>MTU</t>
  </si>
  <si>
    <t>BGP Peer ASN</t>
  </si>
  <si>
    <t>BGP Peer Password</t>
  </si>
  <si>
    <t xml:space="preserve">Second Uplink - Gateway Interface VLAN </t>
  </si>
  <si>
    <t>NSX Edge Uplink 2 VLAN</t>
  </si>
  <si>
    <t>Uplink 2 IP Address for Edge Node 2</t>
  </si>
  <si>
    <t>Edge 02 Gateway Uplinks</t>
  </si>
  <si>
    <t>Uplink 1 IP Address for Edge Node 2</t>
  </si>
  <si>
    <t>Top of Rack 1 - IP Address</t>
  </si>
  <si>
    <t>Top of Rack 1 - Autonomous System ID</t>
  </si>
  <si>
    <t>Top of Rack 1 - BGP Neighbor Password</t>
  </si>
  <si>
    <t>Top of Rack 2 - IP Address</t>
  </si>
  <si>
    <t>Top of Rack 2 - Autonomous System ID</t>
  </si>
  <si>
    <t>Top of Rack 2 - BGP Neighbor Password</t>
  </si>
  <si>
    <t>VPC Configuration</t>
  </si>
  <si>
    <t>VPC External IP Blocks</t>
  </si>
  <si>
    <t>Provide External IPs to setup external connectivity</t>
  </si>
  <si>
    <t>Private - Transit Gateway IP Blocks</t>
  </si>
  <si>
    <t>Provide Private IPs for VPC configuration</t>
  </si>
  <si>
    <t xml:space="preserve">Additonal Network Information </t>
  </si>
  <si>
    <t>Deploy Edges Using API</t>
  </si>
  <si>
    <t>Include</t>
  </si>
  <si>
    <t>Uplink 1 Network</t>
  </si>
  <si>
    <t>Distributed PortGroup Name</t>
  </si>
  <si>
    <t>System generated PortGroup names are used unless NSX Edges are deployed using API</t>
  </si>
  <si>
    <t>Gateway</t>
  </si>
  <si>
    <t>CIDR Notation</t>
  </si>
  <si>
    <t>Uplink 2 Network</t>
  </si>
  <si>
    <t>Edge Overlay Network</t>
  </si>
  <si>
    <t>Deploy Advanced Load Balancer</t>
  </si>
  <si>
    <t>Select Version</t>
  </si>
  <si>
    <t>Version</t>
  </si>
  <si>
    <t>Form Factor</t>
  </si>
  <si>
    <t>Settings</t>
  </si>
  <si>
    <t>Admin Password</t>
  </si>
  <si>
    <t>Minimum 15 Characters, 1 Uppercase, 1 Special</t>
  </si>
  <si>
    <t>Node 1 IP Address</t>
  </si>
  <si>
    <t>AVI Load Balancer Node A</t>
  </si>
  <si>
    <t>Node 2 IP Address</t>
  </si>
  <si>
    <t>AVI Load Balancer Node B</t>
  </si>
  <si>
    <t>Node 3 IP Address</t>
  </si>
  <si>
    <t>AVI Load Balancer Node C</t>
  </si>
  <si>
    <t>Cluster VIP</t>
  </si>
  <si>
    <t>AVI Load Valancer VIP</t>
  </si>
  <si>
    <t>Cluster FQDN</t>
  </si>
  <si>
    <t>Cluster Name</t>
  </si>
  <si>
    <t>Initial Host Configuration</t>
  </si>
  <si>
    <t>ESX Management Network</t>
  </si>
  <si>
    <t>ESX</t>
  </si>
  <si>
    <t>Host 1</t>
  </si>
  <si>
    <t>Management IP (ESX Host 1)</t>
  </si>
  <si>
    <t>Host 2</t>
  </si>
  <si>
    <t>Management IP (ESX Host 2)</t>
  </si>
  <si>
    <t>Host 3</t>
  </si>
  <si>
    <t>Management IP (ESX Host 3)</t>
  </si>
  <si>
    <t>Host 4</t>
  </si>
  <si>
    <t>Management IP (ESX Host 4)</t>
  </si>
  <si>
    <t>Host 5</t>
  </si>
  <si>
    <t>Management IP (ESX Host 5)</t>
  </si>
  <si>
    <t>Host 6</t>
  </si>
  <si>
    <t>Management IP (ESX Host 6)</t>
  </si>
  <si>
    <t>Host 7</t>
  </si>
  <si>
    <t>Management IP (ESX Host 7)</t>
  </si>
  <si>
    <t>Host 8</t>
  </si>
  <si>
    <t>Management IP (ESX Host 8)</t>
  </si>
  <si>
    <t>Host 9</t>
  </si>
  <si>
    <t>Management IP (ESX Host 9)</t>
  </si>
  <si>
    <t>Host 10</t>
  </si>
  <si>
    <t>Management IP (ESX Host 10)</t>
  </si>
  <si>
    <t>Host 11</t>
  </si>
  <si>
    <t>Management IP (ESX Host 11)</t>
  </si>
  <si>
    <t>Host 12</t>
  </si>
  <si>
    <t>Management IP (ESX Host 12)</t>
  </si>
  <si>
    <t>Host 13</t>
  </si>
  <si>
    <t>Management IP (ESX Host 13)</t>
  </si>
  <si>
    <t>Host 14</t>
  </si>
  <si>
    <t>Management IP (ESX Host 14)</t>
  </si>
  <si>
    <t>Host 15</t>
  </si>
  <si>
    <t>Management IP (ESX Host 15)</t>
  </si>
  <si>
    <t>Host 16</t>
  </si>
  <si>
    <t>Management IP (ESX Host 16)</t>
  </si>
  <si>
    <t>Create Network Pool {vCenter}</t>
  </si>
  <si>
    <t xml:space="preserve">VCF Network Pool  Type </t>
  </si>
  <si>
    <t>Create a new VCF Network Pool</t>
  </si>
  <si>
    <t>Network Pool Name</t>
  </si>
  <si>
    <t>vMotion Network</t>
  </si>
  <si>
    <t>Network</t>
  </si>
  <si>
    <t>Subnet Mask</t>
  </si>
  <si>
    <t>Default Gateway</t>
  </si>
  <si>
    <t>IP Range Start:</t>
  </si>
  <si>
    <t>IP Range End:</t>
  </si>
  <si>
    <t>vSAN Network</t>
  </si>
  <si>
    <t>NFS Network</t>
  </si>
  <si>
    <t>Commission Hosts {vCenter}</t>
  </si>
  <si>
    <t xml:space="preserve">Commission Hosts </t>
  </si>
  <si>
    <t>Name</t>
  </si>
  <si>
    <t>Reference Value</t>
  </si>
  <si>
    <t>Description</t>
  </si>
  <si>
    <t>Storage Type</t>
  </si>
  <si>
    <t>vSAN</t>
  </si>
  <si>
    <t xml:space="preserve">vSAN TYPE </t>
  </si>
  <si>
    <t>vSAN HCI</t>
  </si>
  <si>
    <t>vSAN ESA</t>
  </si>
  <si>
    <t>root</t>
  </si>
  <si>
    <t>Deploy and Configure vSAN Witness {vCenter}</t>
  </si>
  <si>
    <t>Management Domain VLAN and IP Subnet Requirements (vSAN Witness Zone)</t>
  </si>
  <si>
    <t>Deploy the vSAN Witness Host</t>
  </si>
  <si>
    <t>vcenter_server_fqdn</t>
  </si>
  <si>
    <t>vCenter Server outside of AZ1 and AZ2 to host the vSAN Witness</t>
  </si>
  <si>
    <t>vcenter_server_ip</t>
  </si>
  <si>
    <t>virtual machine name</t>
  </si>
  <si>
    <t>cluster</t>
  </si>
  <si>
    <t>vSAN Witness</t>
  </si>
  <si>
    <t>vSAN Datastore Name</t>
  </si>
  <si>
    <t>Management Network</t>
  </si>
  <si>
    <t>Secondary Network</t>
  </si>
  <si>
    <t>Root password</t>
  </si>
  <si>
    <t>IP Address</t>
  </si>
  <si>
    <t>vSAN Witness management IP</t>
  </si>
  <si>
    <t>Netmask</t>
  </si>
  <si>
    <t>DNS Domain</t>
  </si>
  <si>
    <t>Witness Hostname</t>
  </si>
  <si>
    <t>DNS Servers #1</t>
  </si>
  <si>
    <t>First DNS Server to assign to Witness Components</t>
  </si>
  <si>
    <t>DNS Servers #2</t>
  </si>
  <si>
    <t>Second DNS Server to assign to Witness Components. Should be in a different fault domain to DNS Server 1</t>
  </si>
  <si>
    <t>NTP Servers #1</t>
  </si>
  <si>
    <t>NTP Servers #2</t>
  </si>
  <si>
    <t>Register vSAN Witness Host</t>
  </si>
  <si>
    <t>data center</t>
  </si>
  <si>
    <t>vsan_witness_root_password</t>
  </si>
  <si>
    <t>Configure NTP on the Witness Host</t>
  </si>
  <si>
    <t>vSAN Witness Host</t>
  </si>
  <si>
    <t>NTP Servers</t>
  </si>
  <si>
    <t>Configure the VMkernel Adapters on the vSAN Witness Host</t>
  </si>
  <si>
    <t>Datacenter</t>
  </si>
  <si>
    <t>Hostname</t>
  </si>
  <si>
    <t>Stretch a Cluster</t>
  </si>
  <si>
    <t>64d34a69-104d-443e-bd92-d949e278da83</t>
  </si>
  <si>
    <t>&lt;ESX host 1 ID&gt;</t>
  </si>
  <si>
    <t>61ae8e47-7dee-420b-83b2-b4136af0aef6</t>
  </si>
  <si>
    <t>&lt;ESX host 2 ID&gt;</t>
  </si>
  <si>
    <t>785d7869-018a-4185-b08e-f168236adc11</t>
  </si>
  <si>
    <t>&lt;ESX host 3 ID&gt;</t>
  </si>
  <si>
    <t>eafaa6a2-a673-4dee-9cd8-8d1f4d33065d</t>
  </si>
  <si>
    <t>&lt;ESX host 4 ID&gt;</t>
  </si>
  <si>
    <t>50c63ea6-1315-4dcd-80e1-4f3e4980c193</t>
  </si>
  <si>
    <t>&lt;ESX host 5 ID&gt;</t>
  </si>
  <si>
    <t>04749811-67dd-4d6b-b60c-b1c2b0a63597</t>
  </si>
  <si>
    <t>&lt;ESX host 6 ID&gt;</t>
  </si>
  <si>
    <t>74b8959c-e258-43b7-8427-80eaa66a650e</t>
  </si>
  <si>
    <t>&lt;ESX host 7 ID&gt;</t>
  </si>
  <si>
    <t>d39235c9-7990-44f8-8c84-a720e69ed735</t>
  </si>
  <si>
    <t>&lt;ESX host 8 ID&gt;</t>
  </si>
  <si>
    <t>f10cdad4-934e-4dcf-8fd6-22f5effb10db</t>
  </si>
  <si>
    <t>&lt;ESX host 9  ID&gt;</t>
  </si>
  <si>
    <t>091218b0-0f2a-4e98-9324-2e5faa5074fd</t>
  </si>
  <si>
    <t>&lt;ESX host 10 ID&gt;</t>
  </si>
  <si>
    <t>8a8e743d-18d2-4c47-9f9c-bf3ae325cf23</t>
  </si>
  <si>
    <t>&lt;ESX host 11 ID&gt;</t>
  </si>
  <si>
    <t>3c76963e-a2a3-41f0-9d16-e8c1f3bee02a</t>
  </si>
  <si>
    <t>&lt;ESX host 12 ID&gt;</t>
  </si>
  <si>
    <t>aa3cae6a-9ec4-40aa-8fb0-07ce69c8280d</t>
  </si>
  <si>
    <t>&lt;ESX host 13 ID&gt;</t>
  </si>
  <si>
    <t>853da4cc-c508-4394-8fc8-bf792335f623</t>
  </si>
  <si>
    <t>&lt;ESX host 14 ID&gt;</t>
  </si>
  <si>
    <t>c451d185-550a-4c1d-8bc0-0d6e34bf8a73</t>
  </si>
  <si>
    <t>&lt;ESX host 15 ID&gt;</t>
  </si>
  <si>
    <t>9acfd9fd-493d-4576-8652-45809d626663</t>
  </si>
  <si>
    <t>&lt;ESX host 16 ID&gt;</t>
  </si>
  <si>
    <t>NSX Host Overlay Network Profile Name</t>
  </si>
  <si>
    <t>NSX Host Overlay Static IP Pool Type</t>
  </si>
  <si>
    <t>Create New Static IP Pool</t>
  </si>
  <si>
    <t>NSX Host Overlay Network Pool Name</t>
  </si>
  <si>
    <t xml:space="preserve">NSX Host Overlay Uplink Profile Name </t>
  </si>
  <si>
    <t>AZ2 Host Overlay VLAN ID</t>
  </si>
  <si>
    <t>AZ2 Host Overlay Default Gateway</t>
  </si>
  <si>
    <t>AZ2 Host Overlay CIDR Notation</t>
  </si>
  <si>
    <t xml:space="preserve">AZ2 Host Overlay MTU </t>
  </si>
  <si>
    <t>Witness FQDN</t>
  </si>
  <si>
    <t>Witness Subnet</t>
  </si>
  <si>
    <t>vsanIp</t>
  </si>
  <si>
    <t>Witness IP Address</t>
  </si>
  <si>
    <t>vsanCidr</t>
  </si>
  <si>
    <t>Management Cluster SDDC ID</t>
  </si>
  <si>
    <t>b39f8008-6db0-4f13-82de-c46ccfd03c49</t>
  </si>
  <si>
    <t>id (cluster)</t>
  </si>
  <si>
    <t>Configure IP Prefixes in the Tier-0 Gateway for Availability Zone 2</t>
  </si>
  <si>
    <t>&lt;nsx_manager_fqdn&gt;</t>
  </si>
  <si>
    <t>Configure Route Maps in the Tier-0 Gateway for Availability Zone 2</t>
  </si>
  <si>
    <t>bgp_asn</t>
  </si>
  <si>
    <t>Configure BGP in the Tier-0 Gateway for Availability Zone 2</t>
  </si>
  <si>
    <t>ip_bgp_neighbor1</t>
  </si>
  <si>
    <t>asn_bgp_neighbor1</t>
  </si>
  <si>
    <t>1st Source Address</t>
  </si>
  <si>
    <t>2nd Source Address</t>
  </si>
  <si>
    <t>bgp_password</t>
  </si>
  <si>
    <t>ip_bgp_neighbor2</t>
  </si>
  <si>
    <t>asn_bgp_neighbor2</t>
  </si>
  <si>
    <t>Deploy the Global Manager Appliances</t>
  </si>
  <si>
    <t>&lt;vcenter_server_fqdn&gt;</t>
  </si>
  <si>
    <t>NSX Global Manager #1</t>
  </si>
  <si>
    <r>
      <t>Virtual Machine Name</t>
    </r>
    <r>
      <rPr>
        <i/>
        <sz val="12"/>
        <color theme="1"/>
        <rFont val="Arial"/>
        <family val="2"/>
      </rPr>
      <t xml:space="preserve"> (Node 1)</t>
    </r>
  </si>
  <si>
    <r>
      <t xml:space="preserve">Location </t>
    </r>
    <r>
      <rPr>
        <i/>
        <sz val="12"/>
        <color theme="1"/>
        <rFont val="Arial"/>
        <family val="2"/>
      </rPr>
      <t>(Node 1)</t>
    </r>
  </si>
  <si>
    <r>
      <t>Compute Resource</t>
    </r>
    <r>
      <rPr>
        <i/>
        <sz val="12"/>
        <color theme="1"/>
        <rFont val="Arial"/>
        <family val="2"/>
      </rPr>
      <t xml:space="preserve"> (Node 1)</t>
    </r>
  </si>
  <si>
    <r>
      <t>Deployment configuration size</t>
    </r>
    <r>
      <rPr>
        <i/>
        <sz val="12"/>
        <color theme="1"/>
        <rFont val="Arial"/>
        <family val="2"/>
      </rPr>
      <t xml:space="preserve"> (Node 1)</t>
    </r>
  </si>
  <si>
    <r>
      <t>Datastore</t>
    </r>
    <r>
      <rPr>
        <i/>
        <sz val="12"/>
        <color theme="1"/>
        <rFont val="Arial"/>
        <family val="2"/>
      </rPr>
      <t xml:space="preserve"> (Node 1)</t>
    </r>
  </si>
  <si>
    <r>
      <t>Network 1 (Management Network</t>
    </r>
    <r>
      <rPr>
        <i/>
        <sz val="12"/>
        <color theme="1"/>
        <rFont val="Arial"/>
        <family val="2"/>
      </rPr>
      <t>) (Node 1)</t>
    </r>
  </si>
  <si>
    <r>
      <t xml:space="preserve">System Root User Password </t>
    </r>
    <r>
      <rPr>
        <i/>
        <sz val="12"/>
        <color theme="1"/>
        <rFont val="Arial"/>
        <family val="2"/>
      </rPr>
      <t>(Node 1)</t>
    </r>
  </si>
  <si>
    <r>
      <t>CLI "admin" User Password</t>
    </r>
    <r>
      <rPr>
        <i/>
        <sz val="12"/>
        <color theme="1"/>
        <rFont val="Arial"/>
        <family val="2"/>
      </rPr>
      <t xml:space="preserve"> (Node 1)</t>
    </r>
  </si>
  <si>
    <r>
      <t xml:space="preserve">CLI "audit" User Password </t>
    </r>
    <r>
      <rPr>
        <i/>
        <sz val="12"/>
        <color theme="1"/>
        <rFont val="Arial"/>
        <family val="2"/>
      </rPr>
      <t>(Node 1)</t>
    </r>
  </si>
  <si>
    <r>
      <t xml:space="preserve">Hostname (FQDN) </t>
    </r>
    <r>
      <rPr>
        <i/>
        <sz val="12"/>
        <color theme="1"/>
        <rFont val="Arial"/>
        <family val="2"/>
      </rPr>
      <t>(Node 1)</t>
    </r>
  </si>
  <si>
    <t xml:space="preserve"> During OVA deployment FQDN is required. </t>
  </si>
  <si>
    <r>
      <t xml:space="preserve">Management Network IPv4 Address </t>
    </r>
    <r>
      <rPr>
        <i/>
        <sz val="12"/>
        <color theme="1"/>
        <rFont val="Arial"/>
        <family val="2"/>
      </rPr>
      <t>(Node 1)</t>
    </r>
  </si>
  <si>
    <r>
      <t xml:space="preserve">Management Network Netmask </t>
    </r>
    <r>
      <rPr>
        <i/>
        <sz val="12"/>
        <color theme="1"/>
        <rFont val="Arial"/>
        <family val="2"/>
      </rPr>
      <t>(Node 1)</t>
    </r>
  </si>
  <si>
    <r>
      <t>Default IPv4 Gateway</t>
    </r>
    <r>
      <rPr>
        <i/>
        <sz val="12"/>
        <color theme="1"/>
        <rFont val="Arial"/>
        <family val="2"/>
      </rPr>
      <t xml:space="preserve"> (Node 1)</t>
    </r>
  </si>
  <si>
    <r>
      <t xml:space="preserve">DNS Server list </t>
    </r>
    <r>
      <rPr>
        <i/>
        <sz val="12"/>
        <color theme="1"/>
        <rFont val="Arial"/>
        <family val="2"/>
      </rPr>
      <t>(Node 1)</t>
    </r>
  </si>
  <si>
    <r>
      <t>Domain Search List</t>
    </r>
    <r>
      <rPr>
        <i/>
        <sz val="12"/>
        <color theme="1"/>
        <rFont val="Arial"/>
        <family val="2"/>
      </rPr>
      <t xml:space="preserve"> (Node 1)</t>
    </r>
  </si>
  <si>
    <r>
      <t>NTP Server List</t>
    </r>
    <r>
      <rPr>
        <i/>
        <sz val="12"/>
        <color theme="1"/>
        <rFont val="Arial"/>
        <family val="2"/>
      </rPr>
      <t xml:space="preserve"> (Node 1)</t>
    </r>
  </si>
  <si>
    <t>NSX Global Manager #2</t>
  </si>
  <si>
    <r>
      <t>Virtual Machine Name</t>
    </r>
    <r>
      <rPr>
        <i/>
        <sz val="12"/>
        <color theme="1"/>
        <rFont val="Arial"/>
        <family val="2"/>
      </rPr>
      <t xml:space="preserve"> (Node 2)</t>
    </r>
  </si>
  <si>
    <r>
      <t xml:space="preserve">Location </t>
    </r>
    <r>
      <rPr>
        <i/>
        <sz val="12"/>
        <color theme="1"/>
        <rFont val="Arial"/>
        <family val="2"/>
      </rPr>
      <t>(Node 2)</t>
    </r>
  </si>
  <si>
    <r>
      <t>Compute Resource</t>
    </r>
    <r>
      <rPr>
        <i/>
        <sz val="12"/>
        <color theme="1"/>
        <rFont val="Arial"/>
        <family val="2"/>
      </rPr>
      <t xml:space="preserve"> (Node 2)</t>
    </r>
  </si>
  <si>
    <r>
      <t>Deployment configuration size</t>
    </r>
    <r>
      <rPr>
        <i/>
        <sz val="12"/>
        <color theme="1"/>
        <rFont val="Arial"/>
        <family val="2"/>
      </rPr>
      <t xml:space="preserve"> (Node 2)</t>
    </r>
  </si>
  <si>
    <r>
      <t>Datastore</t>
    </r>
    <r>
      <rPr>
        <i/>
        <sz val="12"/>
        <color theme="1"/>
        <rFont val="Arial"/>
        <family val="2"/>
      </rPr>
      <t xml:space="preserve"> (Node 2)</t>
    </r>
  </si>
  <si>
    <r>
      <t>Network 1 (Management Network</t>
    </r>
    <r>
      <rPr>
        <i/>
        <sz val="12"/>
        <color theme="1"/>
        <rFont val="Arial"/>
        <family val="2"/>
      </rPr>
      <t>) (Node 2)</t>
    </r>
  </si>
  <si>
    <r>
      <t xml:space="preserve">System Root User Password </t>
    </r>
    <r>
      <rPr>
        <i/>
        <sz val="12"/>
        <color theme="1"/>
        <rFont val="Arial"/>
        <family val="2"/>
      </rPr>
      <t>(Node 2)</t>
    </r>
  </si>
  <si>
    <r>
      <t>CLI "admin" User Password</t>
    </r>
    <r>
      <rPr>
        <i/>
        <sz val="12"/>
        <color theme="1"/>
        <rFont val="Arial"/>
        <family val="2"/>
      </rPr>
      <t xml:space="preserve"> (Node 2)</t>
    </r>
  </si>
  <si>
    <r>
      <t xml:space="preserve">CLI "audit" User Password </t>
    </r>
    <r>
      <rPr>
        <i/>
        <sz val="12"/>
        <color theme="1"/>
        <rFont val="Arial"/>
        <family val="2"/>
      </rPr>
      <t>(Node 2)</t>
    </r>
  </si>
  <si>
    <r>
      <t xml:space="preserve">Hostname (FQDN) </t>
    </r>
    <r>
      <rPr>
        <i/>
        <sz val="12"/>
        <color theme="1"/>
        <rFont val="Arial"/>
        <family val="2"/>
      </rPr>
      <t>(Node 2)</t>
    </r>
  </si>
  <si>
    <r>
      <t xml:space="preserve">Management Network IPv4 Address </t>
    </r>
    <r>
      <rPr>
        <i/>
        <sz val="12"/>
        <color theme="1"/>
        <rFont val="Arial"/>
        <family val="2"/>
      </rPr>
      <t>(Node 2)</t>
    </r>
  </si>
  <si>
    <r>
      <t xml:space="preserve">Management Network Netmask </t>
    </r>
    <r>
      <rPr>
        <i/>
        <sz val="12"/>
        <color theme="1"/>
        <rFont val="Arial"/>
        <family val="2"/>
      </rPr>
      <t>(Node 2)</t>
    </r>
  </si>
  <si>
    <r>
      <t>Default IPv4 Gateway</t>
    </r>
    <r>
      <rPr>
        <i/>
        <sz val="12"/>
        <color theme="1"/>
        <rFont val="Arial"/>
        <family val="2"/>
      </rPr>
      <t xml:space="preserve"> (Node 2)</t>
    </r>
  </si>
  <si>
    <r>
      <t xml:space="preserve">DNS Server list </t>
    </r>
    <r>
      <rPr>
        <i/>
        <sz val="12"/>
        <color theme="1"/>
        <rFont val="Arial"/>
        <family val="2"/>
      </rPr>
      <t>(Node 2)</t>
    </r>
  </si>
  <si>
    <r>
      <t>Domain Search List</t>
    </r>
    <r>
      <rPr>
        <i/>
        <sz val="12"/>
        <color theme="1"/>
        <rFont val="Arial"/>
        <family val="2"/>
      </rPr>
      <t xml:space="preserve"> (Node 2)</t>
    </r>
  </si>
  <si>
    <r>
      <t>NTP Server List</t>
    </r>
    <r>
      <rPr>
        <i/>
        <sz val="12"/>
        <color theme="1"/>
        <rFont val="Arial"/>
        <family val="2"/>
      </rPr>
      <t xml:space="preserve"> (Node 2)</t>
    </r>
  </si>
  <si>
    <t>NSX Global Manager #3</t>
  </si>
  <si>
    <r>
      <t>Virtual Machine Name</t>
    </r>
    <r>
      <rPr>
        <i/>
        <sz val="12"/>
        <color theme="1"/>
        <rFont val="Arial"/>
        <family val="2"/>
      </rPr>
      <t xml:space="preserve"> (Node 3)</t>
    </r>
  </si>
  <si>
    <r>
      <t xml:space="preserve">Location </t>
    </r>
    <r>
      <rPr>
        <i/>
        <sz val="12"/>
        <color theme="1"/>
        <rFont val="Arial"/>
        <family val="2"/>
      </rPr>
      <t>(Node 3)</t>
    </r>
  </si>
  <si>
    <r>
      <t>Compute Resource</t>
    </r>
    <r>
      <rPr>
        <i/>
        <sz val="12"/>
        <color theme="1"/>
        <rFont val="Arial"/>
        <family val="2"/>
      </rPr>
      <t xml:space="preserve"> (Node 3)</t>
    </r>
  </si>
  <si>
    <r>
      <t>Deployment configuration size</t>
    </r>
    <r>
      <rPr>
        <i/>
        <sz val="12"/>
        <color theme="1"/>
        <rFont val="Arial"/>
        <family val="2"/>
      </rPr>
      <t xml:space="preserve"> (Node 3)</t>
    </r>
  </si>
  <si>
    <r>
      <t>Datastore</t>
    </r>
    <r>
      <rPr>
        <i/>
        <sz val="12"/>
        <color theme="1"/>
        <rFont val="Arial"/>
        <family val="2"/>
      </rPr>
      <t xml:space="preserve"> (Node 3)</t>
    </r>
  </si>
  <si>
    <r>
      <t>Network 1 (Management Network</t>
    </r>
    <r>
      <rPr>
        <i/>
        <sz val="12"/>
        <color theme="1"/>
        <rFont val="Arial"/>
        <family val="2"/>
      </rPr>
      <t>) (Node 3)</t>
    </r>
  </si>
  <si>
    <r>
      <t xml:space="preserve">System Root User Password </t>
    </r>
    <r>
      <rPr>
        <i/>
        <sz val="12"/>
        <color theme="1"/>
        <rFont val="Arial"/>
        <family val="2"/>
      </rPr>
      <t>(Node 3)</t>
    </r>
  </si>
  <si>
    <r>
      <t>CLI "admin" User Password</t>
    </r>
    <r>
      <rPr>
        <i/>
        <sz val="12"/>
        <color theme="1"/>
        <rFont val="Arial"/>
        <family val="2"/>
      </rPr>
      <t xml:space="preserve"> (Node 3)</t>
    </r>
  </si>
  <si>
    <r>
      <t xml:space="preserve">CLI "audit" User Password </t>
    </r>
    <r>
      <rPr>
        <i/>
        <sz val="12"/>
        <color theme="1"/>
        <rFont val="Arial"/>
        <family val="2"/>
      </rPr>
      <t>(Node 3)</t>
    </r>
  </si>
  <si>
    <r>
      <t xml:space="preserve">Hostname (FQDN) </t>
    </r>
    <r>
      <rPr>
        <i/>
        <sz val="12"/>
        <color theme="1"/>
        <rFont val="Arial"/>
        <family val="2"/>
      </rPr>
      <t>(Node 3)</t>
    </r>
  </si>
  <si>
    <r>
      <t xml:space="preserve">Management Network IPv4 Address </t>
    </r>
    <r>
      <rPr>
        <i/>
        <sz val="12"/>
        <color theme="1"/>
        <rFont val="Arial"/>
        <family val="2"/>
      </rPr>
      <t>(Node 3)</t>
    </r>
  </si>
  <si>
    <r>
      <t xml:space="preserve">Management Network Netmask </t>
    </r>
    <r>
      <rPr>
        <i/>
        <sz val="12"/>
        <color theme="1"/>
        <rFont val="Arial"/>
        <family val="2"/>
      </rPr>
      <t>(Node 3)</t>
    </r>
  </si>
  <si>
    <r>
      <t>Default IPv4 Gateway</t>
    </r>
    <r>
      <rPr>
        <i/>
        <sz val="12"/>
        <color theme="1"/>
        <rFont val="Arial"/>
        <family val="2"/>
      </rPr>
      <t xml:space="preserve"> (Node 3)</t>
    </r>
  </si>
  <si>
    <r>
      <t xml:space="preserve">DNS Server list </t>
    </r>
    <r>
      <rPr>
        <i/>
        <sz val="12"/>
        <color theme="1"/>
        <rFont val="Arial"/>
        <family val="2"/>
      </rPr>
      <t>(Node 3)</t>
    </r>
  </si>
  <si>
    <r>
      <t>Domain Search List</t>
    </r>
    <r>
      <rPr>
        <i/>
        <sz val="12"/>
        <color theme="1"/>
        <rFont val="Arial"/>
        <family val="2"/>
      </rPr>
      <t xml:space="preserve"> (Node 3)</t>
    </r>
  </si>
  <si>
    <r>
      <t>NTP Server List</t>
    </r>
    <r>
      <rPr>
        <i/>
        <sz val="12"/>
        <color theme="1"/>
        <rFont val="Arial"/>
        <family val="2"/>
      </rPr>
      <t xml:space="preserve"> (Node 3)</t>
    </r>
  </si>
  <si>
    <t xml:space="preserve">&lt;gm_node1_fqdn&gt; </t>
  </si>
  <si>
    <t>Join Global Manager Nodes to Form a Cluster</t>
  </si>
  <si>
    <t>NSX Global Manager Cluster ID</t>
  </si>
  <si>
    <t>ca3bd7dc-aa06-4f2d-a9e1-0c4999354c9b</t>
  </si>
  <si>
    <t>NSX Global Manager Cluster API Thumbprint</t>
  </si>
  <si>
    <t>c7a6264cd8f74033e851944a205110afdeb046386af42ce47240939c417acb93</t>
  </si>
  <si>
    <r>
      <t xml:space="preserve">FQDN </t>
    </r>
    <r>
      <rPr>
        <i/>
        <sz val="12"/>
        <color rgb="FF000000"/>
        <rFont val="Arial"/>
        <family val="2"/>
      </rPr>
      <t>(Node 2)</t>
    </r>
  </si>
  <si>
    <r>
      <t>first_node_IP</t>
    </r>
    <r>
      <rPr>
        <i/>
        <sz val="12"/>
        <color rgb="FF000000"/>
        <rFont val="Arial"/>
        <family val="2"/>
      </rPr>
      <t xml:space="preserve"> (Node 2)</t>
    </r>
  </si>
  <si>
    <r>
      <t>cluster_ID</t>
    </r>
    <r>
      <rPr>
        <i/>
        <sz val="12"/>
        <color rgb="FF000000"/>
        <rFont val="Arial"/>
        <family val="2"/>
      </rPr>
      <t xml:space="preserve"> (Node 2)</t>
    </r>
  </si>
  <si>
    <r>
      <t>username</t>
    </r>
    <r>
      <rPr>
        <i/>
        <sz val="12"/>
        <color rgb="FF000000"/>
        <rFont val="Arial"/>
        <family val="2"/>
      </rPr>
      <t xml:space="preserve"> (Node 2)</t>
    </r>
  </si>
  <si>
    <t>admin</t>
  </si>
  <si>
    <r>
      <t>nsx_admin_password</t>
    </r>
    <r>
      <rPr>
        <i/>
        <sz val="12"/>
        <color rgb="FF000000"/>
        <rFont val="Arial"/>
        <family val="2"/>
      </rPr>
      <t xml:space="preserve"> (Node 2)</t>
    </r>
  </si>
  <si>
    <r>
      <t>api_thumbprint</t>
    </r>
    <r>
      <rPr>
        <i/>
        <sz val="12"/>
        <color rgb="FF000000"/>
        <rFont val="Arial"/>
        <family val="2"/>
      </rPr>
      <t xml:space="preserve"> (Node 2)</t>
    </r>
  </si>
  <si>
    <r>
      <t xml:space="preserve">FQDN </t>
    </r>
    <r>
      <rPr>
        <i/>
        <sz val="12"/>
        <color rgb="FF000000"/>
        <rFont val="Arial"/>
        <family val="2"/>
      </rPr>
      <t>(Node 3)</t>
    </r>
  </si>
  <si>
    <r>
      <t xml:space="preserve">first_node_IP </t>
    </r>
    <r>
      <rPr>
        <i/>
        <sz val="12"/>
        <color rgb="FF000000"/>
        <rFont val="Arial"/>
        <family val="2"/>
      </rPr>
      <t xml:space="preserve"> (Node 3)</t>
    </r>
  </si>
  <si>
    <r>
      <t>cluster_ID</t>
    </r>
    <r>
      <rPr>
        <i/>
        <sz val="12"/>
        <color rgb="FF000000"/>
        <rFont val="Arial"/>
        <family val="2"/>
      </rPr>
      <t xml:space="preserve"> (Node 3)</t>
    </r>
  </si>
  <si>
    <r>
      <t>username</t>
    </r>
    <r>
      <rPr>
        <i/>
        <sz val="12"/>
        <color rgb="FF000000"/>
        <rFont val="Arial"/>
        <family val="2"/>
      </rPr>
      <t xml:space="preserve"> (Node 3)</t>
    </r>
  </si>
  <si>
    <r>
      <t>nsx_admin_password</t>
    </r>
    <r>
      <rPr>
        <i/>
        <sz val="12"/>
        <color rgb="FF000000"/>
        <rFont val="Arial"/>
        <family val="2"/>
      </rPr>
      <t xml:space="preserve"> (Node 3)</t>
    </r>
  </si>
  <si>
    <r>
      <t>api_thumbprint</t>
    </r>
    <r>
      <rPr>
        <i/>
        <sz val="12"/>
        <color rgb="FF000000"/>
        <rFont val="Arial"/>
        <family val="2"/>
      </rPr>
      <t xml:space="preserve"> (Node 3)</t>
    </r>
  </si>
  <si>
    <t>Create Anti-Affinity Rule for Global Manager Cluster</t>
  </si>
  <si>
    <t>Member 1</t>
  </si>
  <si>
    <t>Member 2</t>
  </si>
  <si>
    <t>Member 3</t>
  </si>
  <si>
    <t>Assign a Virtual IP Address to the Global Manager Cluster</t>
  </si>
  <si>
    <t>&lt;gm_node1_fqdn&gt;</t>
  </si>
  <si>
    <t>VIP address</t>
  </si>
  <si>
    <t>&lt;gm_vip_fqdn&gt;</t>
  </si>
  <si>
    <t>Import a CA-Signed Certificates to the NSX Global Manager Cluster</t>
  </si>
  <si>
    <t>Replace the Certificate for the First NSX Global Manager Node</t>
  </si>
  <si>
    <t>Certificate ID</t>
  </si>
  <si>
    <t>a900065b-aeb5-457e-aca6-4612b17d06d9</t>
  </si>
  <si>
    <t>gm_vip_fqdn_certificate_ID</t>
  </si>
  <si>
    <t>Replace the Certificates for the Remaining NSX Global Manager Nodes and Virtual IP</t>
  </si>
  <si>
    <t>&lt;gm_node2_fqdn&gt;</t>
  </si>
  <si>
    <t>&lt;gm_node3_fqdn&gt;</t>
  </si>
  <si>
    <t>Prepare Local Manager for NSX Federation</t>
  </si>
  <si>
    <t>&lt;lm_vip_fqdn&gt;</t>
  </si>
  <si>
    <t>IP Ranges: IP Ranges/Block - Start</t>
  </si>
  <si>
    <t xml:space="preserve">IP Ranges: IP Ranges/Block - End </t>
  </si>
  <si>
    <t>CIDR</t>
  </si>
  <si>
    <t>Gateway IP</t>
  </si>
  <si>
    <t>Set Active Global Manager</t>
  </si>
  <si>
    <t>&lt;nsx_gm_vip_fqdn&gt;</t>
  </si>
  <si>
    <t>Name for Local Manager</t>
  </si>
  <si>
    <t>Set Standby Global Manager</t>
  </si>
  <si>
    <t>&lt;standby_gm_vip_fqdn&gt;</t>
  </si>
  <si>
    <t>SHA-256 Thumbprint</t>
  </si>
  <si>
    <t>0d472de0d92da89f2b469d4d10ab23505ad4edb90cd7e68f84497008f6c89ff1</t>
  </si>
  <si>
    <t>&lt;active_gm_vip_fqdn&gt;</t>
  </si>
  <si>
    <t>Global Manager Name</t>
  </si>
  <si>
    <t>FQDN/IP</t>
  </si>
  <si>
    <t>Add Location to Global Manager</t>
  </si>
  <si>
    <t>676edbc9b8c639d9311aaea32a357c7c81226856ad4f8c73a68dd760652d6b5d</t>
  </si>
  <si>
    <t>Location Name</t>
  </si>
  <si>
    <t>Edge Switch Name</t>
  </si>
  <si>
    <t>nsxDefaultHostSwitch</t>
  </si>
  <si>
    <t>RTEP VLAN</t>
  </si>
  <si>
    <t>IP Pool for all Nodes</t>
  </si>
  <si>
    <t>Create and Configure Cross-Instance Tier-1 Gateway</t>
  </si>
  <si>
    <t>Tier-1 Gateway Name</t>
  </si>
  <si>
    <t>Linked Tier-0 Gateway</t>
  </si>
  <si>
    <t>Location</t>
  </si>
  <si>
    <t>Connect Cross-Instance Segments to Cross-Instance Tier-1 Gateway</t>
  </si>
  <si>
    <t>&lt;cross-instance_nsx_segment&gt;</t>
  </si>
  <si>
    <t>&lt;cross-instance_tier1&gt;</t>
  </si>
  <si>
    <t>Connect Additional VCF Instances to Cross-Instance Tier-0 Gateway</t>
  </si>
  <si>
    <t>&lt;cross-instance_tier0&gt;</t>
  </si>
  <si>
    <t>sfo-m01-ec01</t>
  </si>
  <si>
    <r>
      <t>Name</t>
    </r>
    <r>
      <rPr>
        <i/>
        <sz val="12"/>
        <color theme="1"/>
        <rFont val="Arial"/>
        <family val="2"/>
      </rPr>
      <t xml:space="preserve"> (1st Additional Interface)</t>
    </r>
  </si>
  <si>
    <r>
      <t xml:space="preserve">Location </t>
    </r>
    <r>
      <rPr>
        <i/>
        <sz val="12"/>
        <color theme="1"/>
        <rFont val="Arial"/>
        <family val="2"/>
      </rPr>
      <t>(1st Additional Interface)</t>
    </r>
  </si>
  <si>
    <r>
      <t>IP Address/Mask</t>
    </r>
    <r>
      <rPr>
        <i/>
        <sz val="12"/>
        <color theme="1"/>
        <rFont val="Arial"/>
        <family val="2"/>
      </rPr>
      <t xml:space="preserve"> (1st Additional Interface)</t>
    </r>
  </si>
  <si>
    <r>
      <t xml:space="preserve">Segment </t>
    </r>
    <r>
      <rPr>
        <i/>
        <sz val="12"/>
        <color theme="1"/>
        <rFont val="Arial"/>
        <family val="2"/>
      </rPr>
      <t>(1st Additional Interface)</t>
    </r>
  </si>
  <si>
    <r>
      <t>Edge Node</t>
    </r>
    <r>
      <rPr>
        <i/>
        <sz val="12"/>
        <color theme="1"/>
        <rFont val="Arial"/>
        <family val="2"/>
      </rPr>
      <t xml:space="preserve"> (1st Additional Interface)</t>
    </r>
  </si>
  <si>
    <t>sfo-m01-en1</t>
  </si>
  <si>
    <r>
      <t xml:space="preserve">MTU </t>
    </r>
    <r>
      <rPr>
        <i/>
        <sz val="12"/>
        <color theme="1"/>
        <rFont val="Arial"/>
        <family val="2"/>
      </rPr>
      <t>(1st Additional Interface)</t>
    </r>
  </si>
  <si>
    <r>
      <t>Name</t>
    </r>
    <r>
      <rPr>
        <i/>
        <sz val="12"/>
        <color theme="1"/>
        <rFont val="Arial"/>
        <family val="2"/>
      </rPr>
      <t xml:space="preserve"> (2nd Additional Interface)</t>
    </r>
  </si>
  <si>
    <r>
      <t xml:space="preserve">Location </t>
    </r>
    <r>
      <rPr>
        <i/>
        <sz val="12"/>
        <color theme="1"/>
        <rFont val="Arial"/>
        <family val="2"/>
      </rPr>
      <t>(2nd Additional Interface)</t>
    </r>
  </si>
  <si>
    <r>
      <t xml:space="preserve">IP Address/Mask </t>
    </r>
    <r>
      <rPr>
        <i/>
        <sz val="12"/>
        <color theme="1"/>
        <rFont val="Arial"/>
        <family val="2"/>
      </rPr>
      <t>(2nd Additional Interface)</t>
    </r>
  </si>
  <si>
    <r>
      <t>Segment</t>
    </r>
    <r>
      <rPr>
        <i/>
        <sz val="12"/>
        <color rgb="FF000000"/>
        <rFont val="Arial"/>
        <family val="2"/>
      </rPr>
      <t xml:space="preserve"> (2nd Additional Interface)</t>
    </r>
  </si>
  <si>
    <r>
      <t>Edge Node</t>
    </r>
    <r>
      <rPr>
        <i/>
        <sz val="12"/>
        <color theme="1"/>
        <rFont val="Arial"/>
        <family val="2"/>
      </rPr>
      <t xml:space="preserve"> (2nd Additional Interface)</t>
    </r>
  </si>
  <si>
    <t>sfo-m01-en2</t>
  </si>
  <si>
    <r>
      <t xml:space="preserve">MTU </t>
    </r>
    <r>
      <rPr>
        <i/>
        <sz val="12"/>
        <color theme="1"/>
        <rFont val="Arial"/>
        <family val="2"/>
      </rPr>
      <t>(2nd Additional Interface)</t>
    </r>
  </si>
  <si>
    <r>
      <t>Name</t>
    </r>
    <r>
      <rPr>
        <i/>
        <sz val="12"/>
        <color theme="1"/>
        <rFont val="Arial"/>
        <family val="2"/>
      </rPr>
      <t xml:space="preserve"> (3rd Additional Interface)</t>
    </r>
  </si>
  <si>
    <r>
      <t xml:space="preserve">Location </t>
    </r>
    <r>
      <rPr>
        <i/>
        <sz val="12"/>
        <color theme="1"/>
        <rFont val="Arial"/>
        <family val="2"/>
      </rPr>
      <t>(3rd Additional Interface)</t>
    </r>
  </si>
  <si>
    <r>
      <t>IP Address/Mask</t>
    </r>
    <r>
      <rPr>
        <i/>
        <sz val="12"/>
        <color theme="1"/>
        <rFont val="Arial"/>
        <family val="2"/>
      </rPr>
      <t xml:space="preserve"> (3rd Additional Interface)</t>
    </r>
  </si>
  <si>
    <r>
      <t>Segment</t>
    </r>
    <r>
      <rPr>
        <i/>
        <sz val="12"/>
        <color rgb="FF000000"/>
        <rFont val="Arial"/>
        <family val="2"/>
      </rPr>
      <t xml:space="preserve"> (3rd Additional Interface)</t>
    </r>
  </si>
  <si>
    <r>
      <t xml:space="preserve">Edge Node </t>
    </r>
    <r>
      <rPr>
        <i/>
        <sz val="12"/>
        <color theme="1"/>
        <rFont val="Arial"/>
        <family val="2"/>
      </rPr>
      <t>(3rd Additional Interface)</t>
    </r>
  </si>
  <si>
    <r>
      <t xml:space="preserve">MTU </t>
    </r>
    <r>
      <rPr>
        <i/>
        <sz val="12"/>
        <color theme="1"/>
        <rFont val="Arial"/>
        <family val="2"/>
      </rPr>
      <t>(3rd Additional Interface)</t>
    </r>
  </si>
  <si>
    <r>
      <t>Name</t>
    </r>
    <r>
      <rPr>
        <i/>
        <sz val="12"/>
        <color theme="1"/>
        <rFont val="Arial"/>
        <family val="2"/>
      </rPr>
      <t xml:space="preserve"> (4th Additional Interface)</t>
    </r>
  </si>
  <si>
    <r>
      <t xml:space="preserve">Location </t>
    </r>
    <r>
      <rPr>
        <i/>
        <sz val="12"/>
        <color theme="1"/>
        <rFont val="Arial"/>
        <family val="2"/>
      </rPr>
      <t>(4th Additional Interface)</t>
    </r>
  </si>
  <si>
    <r>
      <t xml:space="preserve">IP Address/Mask </t>
    </r>
    <r>
      <rPr>
        <i/>
        <sz val="12"/>
        <color theme="1"/>
        <rFont val="Arial"/>
        <family val="2"/>
      </rPr>
      <t>(4th Additional Interface)</t>
    </r>
  </si>
  <si>
    <r>
      <t>Segment</t>
    </r>
    <r>
      <rPr>
        <i/>
        <sz val="12"/>
        <color rgb="FF000000"/>
        <rFont val="Arial"/>
        <family val="2"/>
      </rPr>
      <t xml:space="preserve"> (4th Additional Interface)</t>
    </r>
  </si>
  <si>
    <r>
      <t>Edge Node</t>
    </r>
    <r>
      <rPr>
        <i/>
        <sz val="12"/>
        <color theme="1"/>
        <rFont val="Arial"/>
        <family val="2"/>
      </rPr>
      <t xml:space="preserve"> (4th Additional Interface)</t>
    </r>
  </si>
  <si>
    <r>
      <t>MTU</t>
    </r>
    <r>
      <rPr>
        <i/>
        <sz val="12"/>
        <color theme="1"/>
        <rFont val="Arial"/>
        <family val="2"/>
      </rPr>
      <t xml:space="preserve"> (4th Additional Interface)</t>
    </r>
  </si>
  <si>
    <r>
      <t xml:space="preserve">IP Address </t>
    </r>
    <r>
      <rPr>
        <i/>
        <sz val="12"/>
        <color theme="1"/>
        <rFont val="Arial"/>
        <family val="2"/>
      </rPr>
      <t>(1st BGP Peer)</t>
    </r>
  </si>
  <si>
    <r>
      <t>Location</t>
    </r>
    <r>
      <rPr>
        <i/>
        <sz val="12"/>
        <color theme="1"/>
        <rFont val="Arial"/>
        <family val="2"/>
      </rPr>
      <t xml:space="preserve"> (1st BGP Peer)</t>
    </r>
  </si>
  <si>
    <r>
      <t xml:space="preserve">Remote AS Number </t>
    </r>
    <r>
      <rPr>
        <i/>
        <sz val="12"/>
        <color theme="1"/>
        <rFont val="Arial"/>
        <family val="2"/>
      </rPr>
      <t>(1st BGP Peer)</t>
    </r>
  </si>
  <si>
    <r>
      <t>1st Source Address</t>
    </r>
    <r>
      <rPr>
        <i/>
        <sz val="12"/>
        <color theme="1"/>
        <rFont val="Arial"/>
        <family val="2"/>
      </rPr>
      <t xml:space="preserve"> (1st BGP Peer)</t>
    </r>
  </si>
  <si>
    <r>
      <t xml:space="preserve">2nd Source Address </t>
    </r>
    <r>
      <rPr>
        <i/>
        <sz val="12"/>
        <color theme="1"/>
        <rFont val="Arial"/>
        <family val="2"/>
      </rPr>
      <t>(1st BGP Peer)</t>
    </r>
  </si>
  <si>
    <r>
      <t>Password</t>
    </r>
    <r>
      <rPr>
        <i/>
        <sz val="12"/>
        <color theme="1"/>
        <rFont val="Arial"/>
        <family val="2"/>
      </rPr>
      <t xml:space="preserve"> (1st BGP Peer)</t>
    </r>
  </si>
  <si>
    <r>
      <t xml:space="preserve">IP Address </t>
    </r>
    <r>
      <rPr>
        <i/>
        <sz val="12"/>
        <color theme="1"/>
        <rFont val="Arial"/>
        <family val="2"/>
      </rPr>
      <t>(2nd BGP Peer)</t>
    </r>
  </si>
  <si>
    <r>
      <t>Location</t>
    </r>
    <r>
      <rPr>
        <i/>
        <sz val="12"/>
        <color theme="1"/>
        <rFont val="Arial"/>
        <family val="2"/>
      </rPr>
      <t xml:space="preserve"> (2nd BGP Peer)</t>
    </r>
  </si>
  <si>
    <r>
      <t xml:space="preserve">Remote AS Number </t>
    </r>
    <r>
      <rPr>
        <i/>
        <sz val="12"/>
        <color theme="1"/>
        <rFont val="Arial"/>
        <family val="2"/>
      </rPr>
      <t>(2nd BGP Peer)</t>
    </r>
  </si>
  <si>
    <r>
      <t xml:space="preserve">1st Source Address </t>
    </r>
    <r>
      <rPr>
        <i/>
        <sz val="12"/>
        <color theme="1"/>
        <rFont val="Arial"/>
        <family val="2"/>
      </rPr>
      <t>(2nd BGP Peer)</t>
    </r>
  </si>
  <si>
    <r>
      <t>2nd Source Address</t>
    </r>
    <r>
      <rPr>
        <i/>
        <sz val="12"/>
        <color theme="1"/>
        <rFont val="Arial"/>
        <family val="2"/>
      </rPr>
      <t xml:space="preserve"> (2nd BGP Peer)</t>
    </r>
  </si>
  <si>
    <r>
      <t xml:space="preserve">Password </t>
    </r>
    <r>
      <rPr>
        <i/>
        <sz val="12"/>
        <color theme="1"/>
        <rFont val="Arial"/>
        <family val="2"/>
      </rPr>
      <t>(2nd BGP Peer)</t>
    </r>
  </si>
  <si>
    <t>Add Additional Instance as Locations to the Cross-Instance Tier-1 Gateway</t>
  </si>
  <si>
    <t xml:space="preserve">         VMware Cloud Foundation Fleet Components Deployment</t>
  </si>
  <si>
    <t xml:space="preserve"> VMware Cloud Foundation Fleet Components Deployment</t>
  </si>
  <si>
    <t>Networking Model for Component Deployment</t>
  </si>
  <si>
    <t xml:space="preserve">Deploy VCF Operations and Automation </t>
  </si>
  <si>
    <t>Deploy VCF Operations for Networks</t>
  </si>
  <si>
    <t xml:space="preserve">Deployment Type </t>
  </si>
  <si>
    <t>Standard</t>
  </si>
  <si>
    <t>Root Password</t>
  </si>
  <si>
    <t>Node Prefix</t>
  </si>
  <si>
    <t>VCF Automation virtual machines will be deployed with flt-auto-&lt;generated id&gt;</t>
  </si>
  <si>
    <t>The CIDR used for pods running the internal Kubernetes cluster</t>
  </si>
  <si>
    <t>Deployment</t>
  </si>
  <si>
    <t>Installation Type</t>
  </si>
  <si>
    <t>New Install</t>
  </si>
  <si>
    <t>Small</t>
  </si>
  <si>
    <t xml:space="preserve">Certifcate </t>
  </si>
  <si>
    <t>Add Certifcate</t>
  </si>
  <si>
    <t>Generate Certificate</t>
  </si>
  <si>
    <t>Alias</t>
  </si>
  <si>
    <t>Certificate File</t>
  </si>
  <si>
    <t>Common Name (CN)</t>
  </si>
  <si>
    <t>Organization (O)</t>
  </si>
  <si>
    <t>Organization (OU)</t>
  </si>
  <si>
    <t>Country Code (C)</t>
  </si>
  <si>
    <t>Locality (L)</t>
  </si>
  <si>
    <t>State (ST)</t>
  </si>
  <si>
    <t>Key Length</t>
  </si>
  <si>
    <t>4096</t>
  </si>
  <si>
    <t>VCF Automation  FQDN</t>
  </si>
  <si>
    <t>Select Certificate</t>
  </si>
  <si>
    <t xml:space="preserve">Infrastructure </t>
  </si>
  <si>
    <t>Select vCenter Server</t>
  </si>
  <si>
    <t>Select Cluster</t>
  </si>
  <si>
    <t>Select Folder</t>
  </si>
  <si>
    <t>Must be available in vCenter prior to running workflow</t>
  </si>
  <si>
    <t>Select Resource Pool</t>
  </si>
  <si>
    <t>Select Network</t>
  </si>
  <si>
    <t>Select Datastore</t>
  </si>
  <si>
    <t>Domain Name</t>
  </si>
  <si>
    <t>Domain Search Path</t>
  </si>
  <si>
    <t>DNS Servers</t>
  </si>
  <si>
    <t>Time Sync Mode</t>
  </si>
  <si>
    <t>Use NTP Server</t>
  </si>
  <si>
    <t>Default IPv4 Gateway</t>
  </si>
  <si>
    <t>IPv4 Netmask</t>
  </si>
  <si>
    <t xml:space="preserve">Components </t>
  </si>
  <si>
    <t>VMware System User Password  Alias</t>
  </si>
  <si>
    <t>flt-auto01-admin-password</t>
  </si>
  <si>
    <t>VMware System User Password Description</t>
  </si>
  <si>
    <t>VCF Automation Admin Password</t>
  </si>
  <si>
    <t>VMware System Username</t>
  </si>
  <si>
    <t>Root Password Alias</t>
  </si>
  <si>
    <t>Root Password Description</t>
  </si>
  <si>
    <t>VCF Automation root Password</t>
  </si>
  <si>
    <t>Root Username</t>
  </si>
  <si>
    <t>vCenter Server List</t>
  </si>
  <si>
    <t>Controller Type</t>
  </si>
  <si>
    <t>Internal Load Balancer</t>
  </si>
  <si>
    <t>flt-auto</t>
  </si>
  <si>
    <t>Primary VIP</t>
  </si>
  <si>
    <t>Internal Cluster CIDR</t>
  </si>
  <si>
    <t>192.18.0.0/15</t>
  </si>
  <si>
    <t>Additional VIPs</t>
  </si>
  <si>
    <t>N/A</t>
  </si>
  <si>
    <t>Cluster Node IP Pool #1</t>
  </si>
  <si>
    <t>Cluster Node IP Pool #2</t>
  </si>
  <si>
    <t>Cluster Node IP Pool #3</t>
  </si>
  <si>
    <t>Cluster Node IP Pool #4</t>
  </si>
  <si>
    <t>Deploy Identity Broker  {VMware Cloud Foundation Operations}</t>
  </si>
  <si>
    <t>100.64.0.0/15</t>
  </si>
  <si>
    <t>Choose the Identity Provider</t>
  </si>
  <si>
    <t>Identity Provider</t>
  </si>
  <si>
    <t>AD/LDAP</t>
  </si>
  <si>
    <t>DNS Server Location</t>
  </si>
  <si>
    <t>The Identity Broker locates and connects to the optimal domain controller in your Active Directory by querying DNS Service Records.</t>
  </si>
  <si>
    <t>Global Catalog</t>
  </si>
  <si>
    <t>Global catalog has a partial read-only replica of all objects across all domains in the forest</t>
  </si>
  <si>
    <t>Encrypted Connection</t>
  </si>
  <si>
    <t>Enable LDAPS for all connections to this directory</t>
  </si>
  <si>
    <t xml:space="preserve">Certificate(s) for encrypted connection </t>
  </si>
  <si>
    <t>cert.pem</t>
  </si>
  <si>
    <t>Ensure the certificate is in PEM format and include the "BEGIN CERTIFICATE" and "END CERTIFICATE" lines.</t>
  </si>
  <si>
    <t>Primary domain controller</t>
  </si>
  <si>
    <t>sfo-ad01.sfo.rainpole.io</t>
  </si>
  <si>
    <t>Primary domain controller port number</t>
  </si>
  <si>
    <t>Secondary domain controller</t>
  </si>
  <si>
    <t>Secondary domain controller port number</t>
  </si>
  <si>
    <t>Directory search attribute</t>
  </si>
  <si>
    <t>sAMAccountName</t>
  </si>
  <si>
    <t xml:space="preserve">Base DN </t>
  </si>
  <si>
    <t>DC=rainpole,DC=io</t>
  </si>
  <si>
    <t>Bind user name</t>
  </si>
  <si>
    <t>CN=svc-idm-ad,OU=Security Users,DC=rainpole,DC=io</t>
  </si>
  <si>
    <t>Enter the account that can search for users. For example, CN=user1, CN=Users, OU=myUnit, DC=myCorp, DC=com.</t>
  </si>
  <si>
    <t xml:space="preserve">Bind user password </t>
  </si>
  <si>
    <t>Atrribute Mappings</t>
  </si>
  <si>
    <t>userName</t>
  </si>
  <si>
    <t>firstName</t>
  </si>
  <si>
    <t>givenName</t>
  </si>
  <si>
    <t>lastName</t>
  </si>
  <si>
    <t>sn</t>
  </si>
  <si>
    <t>disthinguishedName</t>
  </si>
  <si>
    <t>employeeID</t>
  </si>
  <si>
    <t>email</t>
  </si>
  <si>
    <t>mail</t>
  </si>
  <si>
    <t>userPrincipalName</t>
  </si>
  <si>
    <t>Group Provisioning</t>
  </si>
  <si>
    <t>Specify the base group DN</t>
  </si>
  <si>
    <t>OU=Security Groups,DC=rainpole,DC=io</t>
  </si>
  <si>
    <t>User Provisioning</t>
  </si>
  <si>
    <t>Specify the base user DN</t>
  </si>
  <si>
    <t>OU=Security Users,DC=rainpole,DC=io</t>
  </si>
  <si>
    <t>Admin Password Alias</t>
  </si>
  <si>
    <t>Admin Password Description</t>
  </si>
  <si>
    <t>Admin Username</t>
  </si>
  <si>
    <t xml:space="preserve">Node Size </t>
  </si>
  <si>
    <t>Component Password</t>
  </si>
  <si>
    <t>Cluster Virtual IP</t>
  </si>
  <si>
    <t>VM Name</t>
  </si>
  <si>
    <t>Cluster</t>
  </si>
  <si>
    <t>FQDN - Platform Node #1</t>
  </si>
  <si>
    <t>IP - Platform Node #1</t>
  </si>
  <si>
    <t>Console Password</t>
  </si>
  <si>
    <t>operations-network platform node</t>
  </si>
  <si>
    <t>Large</t>
  </si>
  <si>
    <t>operations-network collector node</t>
  </si>
  <si>
    <t xml:space="preserve">        VMware Cloud Foundation Workload Domain Deployment using VCF Operations</t>
  </si>
  <si>
    <t>This page contains all user required values used during the deployment of a VMware Cloud Foundation Workload Domain and associated Post-Config tasks. Each table and value maps directly to a process in the deployment guidance documentation.</t>
  </si>
  <si>
    <t>Workload Domain Deployment</t>
  </si>
  <si>
    <t>Number of Compute Hosts per rack for initial cluster</t>
  </si>
  <si>
    <t>Number of additional racks available for Layer 3 Multi-Rack Deployments</t>
  </si>
  <si>
    <t>Separate VLAN for Management VMs and ESX Management VMK Interfaces</t>
  </si>
  <si>
    <t>vSAN-ESA</t>
  </si>
  <si>
    <t>Principal Storage Model</t>
  </si>
  <si>
    <t>Deploy Workload Domain using ESX Hosts with External Certificates</t>
  </si>
  <si>
    <t>Enable Single Management Zone vSphere Supervisor with NSX VPC Networking</t>
  </si>
  <si>
    <t>Enter the general configuration details for this deployment</t>
  </si>
  <si>
    <t>Workload Domain Name</t>
  </si>
  <si>
    <t>Specify a vCenter</t>
  </si>
  <si>
    <t>Select vCenter</t>
  </si>
  <si>
    <t>Specify an external vCenter</t>
  </si>
  <si>
    <t>vCenter server FQDN</t>
  </si>
  <si>
    <t>vCenter Server Root Password</t>
  </si>
  <si>
    <t>SSO user name</t>
  </si>
  <si>
    <t>SSO user password</t>
  </si>
  <si>
    <t>This vCenter is connected to an NSX instance</t>
  </si>
  <si>
    <t>NSX Manager</t>
  </si>
  <si>
    <t>Provide details about the networking to use with this workload domain.</t>
  </si>
  <si>
    <t>NSX Manager Instance Options</t>
  </si>
  <si>
    <t>Create new NSX Manager Instance</t>
  </si>
  <si>
    <t>Deployment Size</t>
  </si>
  <si>
    <t>NSX Management Cluster</t>
  </si>
  <si>
    <t>Appliance Size</t>
  </si>
  <si>
    <t>Appliance 1 FQDN</t>
  </si>
  <si>
    <t>NSX Manager / Local Manager Node A</t>
  </si>
  <si>
    <t xml:space="preserve">Appliance 2 FQDN </t>
  </si>
  <si>
    <t>NSX Manager / Local Manager Node B</t>
  </si>
  <si>
    <t xml:space="preserve">Appliance 3 FQDN </t>
  </si>
  <si>
    <t>NSX Manager / Local Manager Node C</t>
  </si>
  <si>
    <t>Appliance Cluster FQDN</t>
  </si>
  <si>
    <t>NSX Manager / Local Manager VIP</t>
  </si>
  <si>
    <t>Enable Edge cluster sync and import NSX Edge node VMs</t>
  </si>
  <si>
    <t>The import process will add the discovered Edge node VMs to the VCF inventory</t>
  </si>
  <si>
    <t>Configure NSX Overlay using ESXi Management VMkernel Networking:</t>
  </si>
  <si>
    <t>If this option is unchecked, NSX will be configured only in VLAN transport zone mode</t>
  </si>
  <si>
    <t>Auto Generate Passwords</t>
  </si>
  <si>
    <t>NSX Administrator Password</t>
  </si>
  <si>
    <t>NSX Root Password</t>
  </si>
  <si>
    <t>NSX Audit Password</t>
  </si>
  <si>
    <t>Initial Host Configuring</t>
  </si>
  <si>
    <t>Create Network Pool</t>
  </si>
  <si>
    <t xml:space="preserve">vSAN Network - vSAN Storage Cluster </t>
  </si>
  <si>
    <t>Commission Hosts</t>
  </si>
  <si>
    <t>General Information</t>
  </si>
  <si>
    <t>Enable vSphere Supervisor</t>
  </si>
  <si>
    <t>SSO Domain Name</t>
  </si>
  <si>
    <t>Auto-generate my passwords for newly installed appliances</t>
  </si>
  <si>
    <t>SSO Administration Password</t>
  </si>
  <si>
    <t>vCenter</t>
  </si>
  <si>
    <t>vCenter FQDN</t>
  </si>
  <si>
    <t>vCenter Root Password</t>
  </si>
  <si>
    <t>Enter the details for the first cluster that will be created as default in this new workload domain</t>
  </si>
  <si>
    <t>vSphere Zone Name</t>
  </si>
  <si>
    <t>Image</t>
  </si>
  <si>
    <t>Select an image and assign it to the selected clusters. You can import images from the Image Management catalog.</t>
  </si>
  <si>
    <t>High-Availability</t>
  </si>
  <si>
    <t>IP Address 1</t>
  </si>
  <si>
    <t>IP Address 2</t>
  </si>
  <si>
    <t>IP Address 3</t>
  </si>
  <si>
    <t>Cluster IP</t>
  </si>
  <si>
    <t>Audit Password</t>
  </si>
  <si>
    <t>Configure Network Connectivity and VPC External IP Blocks</t>
  </si>
  <si>
    <t>Gateway CIDR IPv4 Address</t>
  </si>
  <si>
    <t>Storage</t>
  </si>
  <si>
    <t>Storage Selection</t>
  </si>
  <si>
    <t>Enable vSAN ESA</t>
  </si>
  <si>
    <t xml:space="preserve">vSAN Storage Type </t>
  </si>
  <si>
    <t xml:space="preserve">vSAN HCI </t>
  </si>
  <si>
    <t>vSAN Storage Client Network</t>
  </si>
  <si>
    <t>1</t>
  </si>
  <si>
    <t>vSAN: Deduplication and Compression</t>
  </si>
  <si>
    <t>VMFS on FC: Datastore Name</t>
  </si>
  <si>
    <t>NFS: Datastore Name</t>
  </si>
  <si>
    <t>NFS: Share Path</t>
  </si>
  <si>
    <t>NFS: Address of NFS Server</t>
  </si>
  <si>
    <t xml:space="preserve">Host Selection </t>
  </si>
  <si>
    <t>Distributed Switch</t>
  </si>
  <si>
    <t>Provide the VDS configuration to be applied to the hosts in the cluster.</t>
  </si>
  <si>
    <t xml:space="preserve">Switch Configuration </t>
  </si>
  <si>
    <t>Default</t>
  </si>
  <si>
    <t xml:space="preserve">Copy From Preconfigured Profile </t>
  </si>
  <si>
    <t>Distributed Switch Configuration</t>
  </si>
  <si>
    <t>Preconfigured Profiles</t>
  </si>
  <si>
    <t>Primary vSphere Distributed Switch</t>
  </si>
  <si>
    <t>Number of Uplinks</t>
  </si>
  <si>
    <t>Physical Network Adapters Used</t>
  </si>
  <si>
    <t>vmnic0,vmnic1</t>
  </si>
  <si>
    <t>Supported Traffic Type</t>
  </si>
  <si>
    <t>Management,vMotion,vSan,Overlay</t>
  </si>
  <si>
    <t>Network Traffic: Management</t>
  </si>
  <si>
    <t>Portgroup will be created on Primary Distributed Switch</t>
  </si>
  <si>
    <t>Load Balancing</t>
  </si>
  <si>
    <t>Route Based on Physical NIC Load</t>
  </si>
  <si>
    <t>uplink1</t>
  </si>
  <si>
    <t>Active</t>
  </si>
  <si>
    <t>uplink2</t>
  </si>
  <si>
    <t>Network Traffic: VM Management</t>
  </si>
  <si>
    <t>Network Traffic: vMotion</t>
  </si>
  <si>
    <t>Network Traffic: vSAN</t>
  </si>
  <si>
    <t>Network Traffic: vSAN Storage Client</t>
  </si>
  <si>
    <t>Network Traffic: NSX</t>
  </si>
  <si>
    <t>Apply default operation mode configured in NSX Manager</t>
  </si>
  <si>
    <t>Transport Zone Type: NSX-Overlay</t>
  </si>
  <si>
    <t>Transport Zone Type: NSX-VLAN</t>
  </si>
  <si>
    <t>Transport Zones</t>
  </si>
  <si>
    <t>Transport Zone Name</t>
  </si>
  <si>
    <t>IP Assignment (TEP)</t>
  </si>
  <si>
    <t>Static IP Pool</t>
  </si>
  <si>
    <t>Pool name</t>
  </si>
  <si>
    <t>ESX Host Overlay TEP IP Pool</t>
  </si>
  <si>
    <t>VLAN Transport Zone Name</t>
  </si>
  <si>
    <t>nsx-vlan-transportzone</t>
  </si>
  <si>
    <t>Transport Node Profile Settings</t>
  </si>
  <si>
    <t>Number of NSX uplinks</t>
  </si>
  <si>
    <t>uplink-1</t>
  </si>
  <si>
    <t>uplink-2</t>
  </si>
  <si>
    <t>NSX Uplink Profile Name</t>
  </si>
  <si>
    <t>Teaming Policy</t>
  </si>
  <si>
    <t>Load Balance Source</t>
  </si>
  <si>
    <t>Active Uplink uplink-1</t>
  </si>
  <si>
    <t>Active Uplink uplink-2</t>
  </si>
  <si>
    <t>Secondary Distributed Switch Name</t>
  </si>
  <si>
    <t>Secondary vSphere Distributed Switch</t>
  </si>
  <si>
    <t>vmnic2,vmnic3</t>
  </si>
  <si>
    <t>Tertiary Distributed Switch Name</t>
  </si>
  <si>
    <t>Tertiary vSphere Distributed Switch</t>
  </si>
  <si>
    <t>vmnic4,vmnic5</t>
  </si>
  <si>
    <t>NSX-Overlay</t>
  </si>
  <si>
    <t>vSphere Supervisor</t>
  </si>
  <si>
    <t xml:space="preserve"> vSphere Supervisor requires centralized edge gateway deployment</t>
  </si>
  <si>
    <t>Supervisor Name</t>
  </si>
  <si>
    <t>Service CIDR</t>
  </si>
  <si>
    <t>Use ESXi Management VMK settings</t>
  </si>
  <si>
    <t>Control Plane IP Range</t>
  </si>
  <si>
    <t>Virtual Private Cloud Network</t>
  </si>
  <si>
    <t>NSX Project</t>
  </si>
  <si>
    <t>VPC Connectivity Profile</t>
  </si>
  <si>
    <t>Default profile</t>
  </si>
  <si>
    <t>Private (Transit Gateway) CIDR</t>
  </si>
  <si>
    <t>Correlates to Private - Transit Gateway IP Blocks in the NSX Network Connectivity for VI WLD workflow</t>
  </si>
  <si>
    <t>Private CIDR</t>
  </si>
  <si>
    <t xml:space="preserve">Workload DNS </t>
  </si>
  <si>
    <t xml:space="preserve">Workload NTP </t>
  </si>
  <si>
    <t>VCF Workload Domain Reference Sheet</t>
  </si>
  <si>
    <t>VM Management Network</t>
  </si>
  <si>
    <t>10.13.12.101</t>
  </si>
  <si>
    <t>10.13.12.116</t>
  </si>
  <si>
    <t>10.13.13.101</t>
  </si>
  <si>
    <t>10.13.13.116</t>
  </si>
  <si>
    <t>Host Overlay Network</t>
  </si>
  <si>
    <t>Hostnames</t>
  </si>
  <si>
    <t>Reference IP Address</t>
  </si>
  <si>
    <t>Your IP Address</t>
  </si>
  <si>
    <t>NSX-T</t>
  </si>
  <si>
    <t>Management IP (ESXi Host 1)</t>
  </si>
  <si>
    <t>Management IP (ESXi Host 2)</t>
  </si>
  <si>
    <t>Management IP (ESXi Host 3)</t>
  </si>
  <si>
    <t>Management IP (ESXi Host 4)</t>
  </si>
  <si>
    <t>Management IP (ESXi Host 5)</t>
  </si>
  <si>
    <t>Management IP (ESXi Host 6)</t>
  </si>
  <si>
    <t>Management IP (ESXi Host 7)</t>
  </si>
  <si>
    <t>Management IP (ESXi Host 8)</t>
  </si>
  <si>
    <t>Management IP (ESXi Host 9)</t>
  </si>
  <si>
    <t>Management IP (ESXi Host 10)</t>
  </si>
  <si>
    <t>Management IP (ESXi Host 11)</t>
  </si>
  <si>
    <t>Management IP (ESXi Host 12)</t>
  </si>
  <si>
    <t>Management IP (ESXi Host 13)</t>
  </si>
  <si>
    <t>Management IP (ESXi Host 14)</t>
  </si>
  <si>
    <t>Management IP (ESXi Host 15)</t>
  </si>
  <si>
    <t>Management IP (ESXi Host 16)</t>
  </si>
  <si>
    <t xml:space="preserve"> </t>
  </si>
  <si>
    <t>NSX Network Connectivity for the Workload Domain</t>
  </si>
  <si>
    <t>NSX Federation for Workload Domain</t>
  </si>
  <si>
    <t>Installing Microsoft CA-Signed Certificates using SDDC Manager</t>
  </si>
  <si>
    <t>NSX Network Connectivity for the Workload Domain {vCenter}</t>
  </si>
  <si>
    <t>Configured as part of Global Fabric Setting</t>
  </si>
  <si>
    <t>Values are set based on vSphere Cluster configuration in the Deploy Workload Domain Tab. Click to Redirect</t>
  </si>
  <si>
    <t xml:space="preserve">Host Group is optional and must be precreated in vCenter Prior to Starting this workflow </t>
  </si>
  <si>
    <t>Data Store</t>
  </si>
  <si>
    <t>Values are set based on Datastore configuration in the Deploy Workload Domain Tab. Click to Redirect</t>
  </si>
  <si>
    <t>Must be precreated in vCenter, Values are set based on VM Management Network configuration in the Deploy Workload Domain Tab. Click to Redirect</t>
  </si>
  <si>
    <t>Values are set based on VM Management Network configuration in the Deploy Workload Domain Tab. Click to Redirect</t>
  </si>
  <si>
    <t>Edge Node Uplink Mapping</t>
  </si>
  <si>
    <t>vmnic0</t>
  </si>
  <si>
    <t>vmnic1</t>
  </si>
  <si>
    <t>Overlay IP Address #01 for Edge Node 1</t>
  </si>
  <si>
    <t>Overlay IP Address #02  for Edge Node 1</t>
  </si>
  <si>
    <t xml:space="preserve">Value is set based on Host Group affinity for Edge node 1 </t>
  </si>
  <si>
    <t>Must be precreated in vCenter</t>
  </si>
  <si>
    <t xml:space="preserve">Input is determined based on your selection for Edge Node 01  </t>
  </si>
  <si>
    <t>Standby PNIC</t>
  </si>
  <si>
    <t>IPv4 Static List Edge Node 2: Edge TEP 1 IP</t>
  </si>
  <si>
    <t>Overlay IP Address #01 for Edge Node 2</t>
  </si>
  <si>
    <t>IPv4 Static List Edge Node 2: Edge TEP 2 IP</t>
  </si>
  <si>
    <t>Overlay IP Address #02 for Edge Node 2</t>
  </si>
  <si>
    <t>Active Active</t>
  </si>
  <si>
    <t xml:space="preserve">Uplink 1 IP Address for Edge Node 1 </t>
  </si>
  <si>
    <t>Uplink 2 IP Address for Edge Node 1</t>
  </si>
  <si>
    <t xml:space="preserve">Top of Rack 2 - IP Address </t>
  </si>
  <si>
    <t xml:space="preserve">Top of Rack 2 - IP Address. Input is determined based on your selection for Edge Node 01  </t>
  </si>
  <si>
    <t>System generated PortGroup names are used unless NSX Edges are deployed using API - Portgroup must be precreated in vCenter</t>
  </si>
  <si>
    <t>Deploy AVI Load Balancer</t>
  </si>
  <si>
    <t>WLD Domain VLAN and IP Subnet Requirements (vSAN Witness Zone)</t>
  </si>
  <si>
    <t xml:space="preserve"> Minimum 8 Characters, 1 Uppercase, 1 Special</t>
  </si>
  <si>
    <t xml:space="preserve"> IP Address</t>
  </si>
  <si>
    <t>728715b3-40f4-418a-884b-9ca9f261c51a</t>
  </si>
  <si>
    <t>3e4a212b-9d3b-40d8-ae6c-bba7f4a4cb19</t>
  </si>
  <si>
    <t>82ca211e-372f-4038-94bd-7488f2482721</t>
  </si>
  <si>
    <t>fce56aac-1e7d-4c69-a2ef-09b7bdfadf83</t>
  </si>
  <si>
    <t>e236b1ea-8008-467c-9d14-009d9cf6afa4</t>
  </si>
  <si>
    <t>f8b26ead-ee1d-4392-adb2-31b1ce13cb65</t>
  </si>
  <si>
    <t>675bcfc7-b075-4041-bb2c-757e1f44ef95</t>
  </si>
  <si>
    <t>388b5023-b957-4f69-9ffe-f780237834aa</t>
  </si>
  <si>
    <t>9e97f427-331b-42a4-a609-72f691a2e121</t>
  </si>
  <si>
    <t>47722367-5fa2-4ff5-90e0-3fd2ad73bcf3</t>
  </si>
  <si>
    <t>a6759147-c16a-428a-ba12-f685acfab381</t>
  </si>
  <si>
    <t>5c1fecbe-573e-43ce-ab1a-1f1f49bca2ac</t>
  </si>
  <si>
    <t>fqdn</t>
  </si>
  <si>
    <r>
      <t>Virtual Machine Name</t>
    </r>
    <r>
      <rPr>
        <i/>
        <sz val="12"/>
        <color rgb="FF000000"/>
        <rFont val="Arial"/>
        <family val="2"/>
      </rPr>
      <t xml:space="preserve"> (Node 1)</t>
    </r>
  </si>
  <si>
    <r>
      <t xml:space="preserve">Location </t>
    </r>
    <r>
      <rPr>
        <i/>
        <sz val="12"/>
        <color rgb="FF000000"/>
        <rFont val="Arial"/>
        <family val="2"/>
      </rPr>
      <t>(Node 1)</t>
    </r>
  </si>
  <si>
    <r>
      <t>Compute Resource</t>
    </r>
    <r>
      <rPr>
        <i/>
        <sz val="12"/>
        <color rgb="FF000000"/>
        <rFont val="Arial"/>
        <family val="2"/>
      </rPr>
      <t xml:space="preserve"> (Node 1)</t>
    </r>
  </si>
  <si>
    <r>
      <t>Deployment configuration size</t>
    </r>
    <r>
      <rPr>
        <i/>
        <sz val="12"/>
        <color rgb="FF000000"/>
        <rFont val="Arial"/>
        <family val="2"/>
      </rPr>
      <t xml:space="preserve"> (Node 1)</t>
    </r>
  </si>
  <si>
    <r>
      <t>Datastore</t>
    </r>
    <r>
      <rPr>
        <i/>
        <sz val="12"/>
        <color rgb="FF000000"/>
        <rFont val="Arial"/>
        <family val="2"/>
      </rPr>
      <t xml:space="preserve"> (Node 1)</t>
    </r>
  </si>
  <si>
    <r>
      <t>Network 1 (Management Network</t>
    </r>
    <r>
      <rPr>
        <i/>
        <sz val="12"/>
        <color rgb="FF000000"/>
        <rFont val="Arial"/>
        <family val="2"/>
      </rPr>
      <t>) (Node 1)</t>
    </r>
  </si>
  <si>
    <r>
      <t xml:space="preserve">System Root User Password </t>
    </r>
    <r>
      <rPr>
        <i/>
        <sz val="12"/>
        <color rgb="FF000000"/>
        <rFont val="Arial"/>
        <family val="2"/>
      </rPr>
      <t>(Node 1)</t>
    </r>
  </si>
  <si>
    <r>
      <t>CLI "admin" User Password</t>
    </r>
    <r>
      <rPr>
        <i/>
        <sz val="12"/>
        <color rgb="FF000000"/>
        <rFont val="Arial"/>
        <family val="2"/>
      </rPr>
      <t xml:space="preserve"> (Node 1)</t>
    </r>
  </si>
  <si>
    <r>
      <t xml:space="preserve">CLI "audit" User Password </t>
    </r>
    <r>
      <rPr>
        <i/>
        <sz val="12"/>
        <color rgb="FF000000"/>
        <rFont val="Arial"/>
        <family val="2"/>
      </rPr>
      <t>(Node 1)</t>
    </r>
  </si>
  <si>
    <r>
      <t xml:space="preserve">Hostname (FQDN) </t>
    </r>
    <r>
      <rPr>
        <i/>
        <sz val="12"/>
        <color rgb="FF000000"/>
        <rFont val="Arial"/>
        <family val="2"/>
      </rPr>
      <t>(Node 1)</t>
    </r>
  </si>
  <si>
    <r>
      <t xml:space="preserve">Management Network IPv4 Address </t>
    </r>
    <r>
      <rPr>
        <i/>
        <sz val="12"/>
        <color rgb="FF000000"/>
        <rFont val="Arial"/>
        <family val="2"/>
      </rPr>
      <t>(Node 1)</t>
    </r>
  </si>
  <si>
    <r>
      <t xml:space="preserve">Management Network Netmask </t>
    </r>
    <r>
      <rPr>
        <i/>
        <sz val="12"/>
        <color rgb="FF000000"/>
        <rFont val="Arial"/>
        <family val="2"/>
      </rPr>
      <t>(Node 1)</t>
    </r>
  </si>
  <si>
    <r>
      <t>Default IPv4 Gateway</t>
    </r>
    <r>
      <rPr>
        <i/>
        <sz val="12"/>
        <color rgb="FF000000"/>
        <rFont val="Arial"/>
        <family val="2"/>
      </rPr>
      <t xml:space="preserve"> (Node 1)</t>
    </r>
  </si>
  <si>
    <r>
      <t xml:space="preserve">DNS Server list </t>
    </r>
    <r>
      <rPr>
        <i/>
        <sz val="12"/>
        <color rgb="FF000000"/>
        <rFont val="Arial"/>
        <family val="2"/>
      </rPr>
      <t>(Node 1)</t>
    </r>
  </si>
  <si>
    <r>
      <t>Domain Search List</t>
    </r>
    <r>
      <rPr>
        <i/>
        <sz val="12"/>
        <color rgb="FF000000"/>
        <rFont val="Arial"/>
        <family val="2"/>
      </rPr>
      <t xml:space="preserve"> (Node 1)</t>
    </r>
  </si>
  <si>
    <r>
      <t>NTP Server List</t>
    </r>
    <r>
      <rPr>
        <i/>
        <sz val="12"/>
        <color rgb="FF000000"/>
        <rFont val="Arial"/>
        <family val="2"/>
      </rPr>
      <t xml:space="preserve"> (Node 1)</t>
    </r>
  </si>
  <si>
    <r>
      <t>Virtual Machine Name</t>
    </r>
    <r>
      <rPr>
        <i/>
        <sz val="12"/>
        <color rgb="FF000000"/>
        <rFont val="Arial"/>
        <family val="2"/>
      </rPr>
      <t xml:space="preserve"> (Node 2)</t>
    </r>
  </si>
  <si>
    <r>
      <t xml:space="preserve">Location </t>
    </r>
    <r>
      <rPr>
        <i/>
        <sz val="12"/>
        <color rgb="FF000000"/>
        <rFont val="Arial"/>
        <family val="2"/>
      </rPr>
      <t>(Node 2)</t>
    </r>
  </si>
  <si>
    <r>
      <t>Compute Resource</t>
    </r>
    <r>
      <rPr>
        <i/>
        <sz val="12"/>
        <color rgb="FF000000"/>
        <rFont val="Arial"/>
        <family val="2"/>
      </rPr>
      <t xml:space="preserve"> (Node 2)</t>
    </r>
  </si>
  <si>
    <r>
      <t>Deployment configuration size</t>
    </r>
    <r>
      <rPr>
        <i/>
        <sz val="12"/>
        <color rgb="FF000000"/>
        <rFont val="Arial"/>
        <family val="2"/>
      </rPr>
      <t xml:space="preserve"> (Node 2)</t>
    </r>
  </si>
  <si>
    <r>
      <t>Datastore</t>
    </r>
    <r>
      <rPr>
        <i/>
        <sz val="12"/>
        <color rgb="FF000000"/>
        <rFont val="Arial"/>
        <family val="2"/>
      </rPr>
      <t xml:space="preserve"> (Node 2)</t>
    </r>
  </si>
  <si>
    <r>
      <t>Network 1 (Management Network</t>
    </r>
    <r>
      <rPr>
        <i/>
        <sz val="12"/>
        <color rgb="FF000000"/>
        <rFont val="Arial"/>
        <family val="2"/>
      </rPr>
      <t>) (Node 2)</t>
    </r>
  </si>
  <si>
    <r>
      <t xml:space="preserve">System Root User Password </t>
    </r>
    <r>
      <rPr>
        <i/>
        <sz val="12"/>
        <color rgb="FF000000"/>
        <rFont val="Arial"/>
        <family val="2"/>
      </rPr>
      <t>(Node 2)</t>
    </r>
  </si>
  <si>
    <r>
      <t>CLI "admin" User Password</t>
    </r>
    <r>
      <rPr>
        <i/>
        <sz val="12"/>
        <color rgb="FF000000"/>
        <rFont val="Arial"/>
        <family val="2"/>
      </rPr>
      <t xml:space="preserve"> (Node 2)</t>
    </r>
  </si>
  <si>
    <r>
      <t xml:space="preserve">CLI "audit" User Password </t>
    </r>
    <r>
      <rPr>
        <i/>
        <sz val="12"/>
        <color rgb="FF000000"/>
        <rFont val="Arial"/>
        <family val="2"/>
      </rPr>
      <t>(Node 2)</t>
    </r>
  </si>
  <si>
    <r>
      <t xml:space="preserve">Hostname (FQDN) </t>
    </r>
    <r>
      <rPr>
        <i/>
        <sz val="12"/>
        <color rgb="FF000000"/>
        <rFont val="Arial"/>
        <family val="2"/>
      </rPr>
      <t>(Node 2)</t>
    </r>
  </si>
  <si>
    <r>
      <t xml:space="preserve">Management Network IPv4 Address </t>
    </r>
    <r>
      <rPr>
        <i/>
        <sz val="12"/>
        <color rgb="FF000000"/>
        <rFont val="Arial"/>
        <family val="2"/>
      </rPr>
      <t>(Node 2)</t>
    </r>
  </si>
  <si>
    <r>
      <t xml:space="preserve">Management Network Netmask </t>
    </r>
    <r>
      <rPr>
        <i/>
        <sz val="12"/>
        <color rgb="FF000000"/>
        <rFont val="Arial"/>
        <family val="2"/>
      </rPr>
      <t>(Node 2)</t>
    </r>
  </si>
  <si>
    <r>
      <t>Default IPv4 Gateway</t>
    </r>
    <r>
      <rPr>
        <i/>
        <sz val="12"/>
        <color rgb="FF000000"/>
        <rFont val="Arial"/>
        <family val="2"/>
      </rPr>
      <t xml:space="preserve"> (Node 2)</t>
    </r>
  </si>
  <si>
    <r>
      <t xml:space="preserve">DNS Server list </t>
    </r>
    <r>
      <rPr>
        <i/>
        <sz val="12"/>
        <color rgb="FF000000"/>
        <rFont val="Arial"/>
        <family val="2"/>
      </rPr>
      <t>(Node 2)</t>
    </r>
  </si>
  <si>
    <r>
      <t>Domain Search List</t>
    </r>
    <r>
      <rPr>
        <i/>
        <sz val="12"/>
        <color rgb="FF000000"/>
        <rFont val="Arial"/>
        <family val="2"/>
      </rPr>
      <t xml:space="preserve"> (Node 2)</t>
    </r>
  </si>
  <si>
    <r>
      <t>NTP Server List</t>
    </r>
    <r>
      <rPr>
        <i/>
        <sz val="12"/>
        <color rgb="FF000000"/>
        <rFont val="Arial"/>
        <family val="2"/>
      </rPr>
      <t xml:space="preserve"> (Node 2)</t>
    </r>
  </si>
  <si>
    <r>
      <t>Virtual Machine Name</t>
    </r>
    <r>
      <rPr>
        <i/>
        <sz val="12"/>
        <color rgb="FF000000"/>
        <rFont val="Arial"/>
        <family val="2"/>
      </rPr>
      <t xml:space="preserve"> (Node 3)</t>
    </r>
  </si>
  <si>
    <r>
      <t xml:space="preserve">Location </t>
    </r>
    <r>
      <rPr>
        <i/>
        <sz val="12"/>
        <color rgb="FF000000"/>
        <rFont val="Arial"/>
        <family val="2"/>
      </rPr>
      <t>(Node 3)</t>
    </r>
  </si>
  <si>
    <r>
      <t>Compute Resource</t>
    </r>
    <r>
      <rPr>
        <i/>
        <sz val="12"/>
        <color rgb="FF000000"/>
        <rFont val="Arial"/>
        <family val="2"/>
      </rPr>
      <t xml:space="preserve"> (Node 3)</t>
    </r>
  </si>
  <si>
    <r>
      <t>Deployment configuration size</t>
    </r>
    <r>
      <rPr>
        <i/>
        <sz val="12"/>
        <color rgb="FF000000"/>
        <rFont val="Arial"/>
        <family val="2"/>
      </rPr>
      <t xml:space="preserve"> (Node 3)</t>
    </r>
  </si>
  <si>
    <r>
      <t>Datastore</t>
    </r>
    <r>
      <rPr>
        <i/>
        <sz val="12"/>
        <color rgb="FF000000"/>
        <rFont val="Arial"/>
        <family val="2"/>
      </rPr>
      <t xml:space="preserve"> (Node 3)</t>
    </r>
  </si>
  <si>
    <r>
      <t>Network 1 (Management Network</t>
    </r>
    <r>
      <rPr>
        <i/>
        <sz val="12"/>
        <color rgb="FF000000"/>
        <rFont val="Arial"/>
        <family val="2"/>
      </rPr>
      <t>) (Node 3)</t>
    </r>
  </si>
  <si>
    <r>
      <t xml:space="preserve">System Root User Password </t>
    </r>
    <r>
      <rPr>
        <i/>
        <sz val="12"/>
        <color rgb="FF000000"/>
        <rFont val="Arial"/>
        <family val="2"/>
      </rPr>
      <t>(Node 3)</t>
    </r>
  </si>
  <si>
    <r>
      <t>CLI "admin" User Password</t>
    </r>
    <r>
      <rPr>
        <i/>
        <sz val="12"/>
        <color rgb="FF000000"/>
        <rFont val="Arial"/>
        <family val="2"/>
      </rPr>
      <t xml:space="preserve"> (Node 3)</t>
    </r>
  </si>
  <si>
    <r>
      <t xml:space="preserve">CLI "audit" User Password </t>
    </r>
    <r>
      <rPr>
        <i/>
        <sz val="12"/>
        <color rgb="FF000000"/>
        <rFont val="Arial"/>
        <family val="2"/>
      </rPr>
      <t>(Node 3)</t>
    </r>
  </si>
  <si>
    <r>
      <t xml:space="preserve">Hostname (FQDN) </t>
    </r>
    <r>
      <rPr>
        <i/>
        <sz val="12"/>
        <color rgb="FF000000"/>
        <rFont val="Arial"/>
        <family val="2"/>
      </rPr>
      <t>(Node 3)</t>
    </r>
  </si>
  <si>
    <r>
      <t xml:space="preserve">Management Network IPv4 Address </t>
    </r>
    <r>
      <rPr>
        <i/>
        <sz val="12"/>
        <color rgb="FF000000"/>
        <rFont val="Arial"/>
        <family val="2"/>
      </rPr>
      <t>(Node 3)</t>
    </r>
  </si>
  <si>
    <r>
      <t xml:space="preserve">Management Network Netmask </t>
    </r>
    <r>
      <rPr>
        <i/>
        <sz val="12"/>
        <color rgb="FF000000"/>
        <rFont val="Arial"/>
        <family val="2"/>
      </rPr>
      <t>(Node 3)</t>
    </r>
  </si>
  <si>
    <r>
      <t>Default IPv4 Gateway</t>
    </r>
    <r>
      <rPr>
        <i/>
        <sz val="12"/>
        <color rgb="FF000000"/>
        <rFont val="Arial"/>
        <family val="2"/>
      </rPr>
      <t xml:space="preserve"> (Node 3)</t>
    </r>
  </si>
  <si>
    <r>
      <t xml:space="preserve">DNS Server list </t>
    </r>
    <r>
      <rPr>
        <i/>
        <sz val="12"/>
        <color rgb="FF000000"/>
        <rFont val="Arial"/>
        <family val="2"/>
      </rPr>
      <t>(Node 3)</t>
    </r>
  </si>
  <si>
    <r>
      <t>Domain Search List</t>
    </r>
    <r>
      <rPr>
        <i/>
        <sz val="12"/>
        <color rgb="FF000000"/>
        <rFont val="Arial"/>
        <family val="2"/>
      </rPr>
      <t xml:space="preserve"> (Node 3)</t>
    </r>
  </si>
  <si>
    <r>
      <t>NTP Server List</t>
    </r>
    <r>
      <rPr>
        <i/>
        <sz val="12"/>
        <color rgb="FF000000"/>
        <rFont val="Arial"/>
        <family val="2"/>
      </rPr>
      <t xml:space="preserve"> (Node 3)</t>
    </r>
  </si>
  <si>
    <t>da3bd7dc-aa06-4f2d-a9e1-0c4999354c9b</t>
  </si>
  <si>
    <t>NSX Global Manager API Thumbprint</t>
  </si>
  <si>
    <t>d7a6264cd8f74033e851944a205110afdeb046386af42ce47240939c417acb93</t>
  </si>
  <si>
    <r>
      <t>first_node_IP</t>
    </r>
    <r>
      <rPr>
        <i/>
        <sz val="12"/>
        <color rgb="FF000000"/>
        <rFont val="Arial"/>
        <family val="2"/>
      </rPr>
      <t xml:space="preserve"> (Node 3)</t>
    </r>
  </si>
  <si>
    <r>
      <t xml:space="preserve">cluster_ID </t>
    </r>
    <r>
      <rPr>
        <i/>
        <sz val="12"/>
        <color rgb="FF000000"/>
        <rFont val="Arial"/>
        <family val="2"/>
      </rPr>
      <t>(Node 3)</t>
    </r>
  </si>
  <si>
    <t>b900065b-aeb5-457e-aca6-4612b17d06d9</t>
  </si>
  <si>
    <t>Note: Click this cell to redirect to the location for storing this output</t>
  </si>
  <si>
    <r>
      <t xml:space="preserve">Edge Node </t>
    </r>
    <r>
      <rPr>
        <i/>
        <sz val="12"/>
        <color theme="1"/>
        <rFont val="Arial"/>
        <family val="2"/>
      </rPr>
      <t>(1st Additional Interface)</t>
    </r>
  </si>
  <si>
    <r>
      <t>MTU</t>
    </r>
    <r>
      <rPr>
        <i/>
        <sz val="12"/>
        <color theme="1"/>
        <rFont val="Arial"/>
        <family val="2"/>
      </rPr>
      <t xml:space="preserve"> (1st Additional Interface)</t>
    </r>
  </si>
  <si>
    <r>
      <t xml:space="preserve">Name </t>
    </r>
    <r>
      <rPr>
        <i/>
        <sz val="12"/>
        <color theme="1"/>
        <rFont val="Arial"/>
        <family val="2"/>
      </rPr>
      <t>(2nd Additional Interface)</t>
    </r>
  </si>
  <si>
    <r>
      <t>Location</t>
    </r>
    <r>
      <rPr>
        <i/>
        <sz val="12"/>
        <color theme="1"/>
        <rFont val="Arial"/>
        <family val="2"/>
      </rPr>
      <t xml:space="preserve"> (2nd Additional Interface)</t>
    </r>
  </si>
  <si>
    <r>
      <t xml:space="preserve">Segment </t>
    </r>
    <r>
      <rPr>
        <i/>
        <sz val="12"/>
        <color rgb="FF000000"/>
        <rFont val="Arial"/>
        <family val="2"/>
      </rPr>
      <t>(2nd Additional Interface)</t>
    </r>
  </si>
  <si>
    <r>
      <t>Location</t>
    </r>
    <r>
      <rPr>
        <i/>
        <sz val="12"/>
        <color theme="1"/>
        <rFont val="Arial"/>
        <family val="2"/>
      </rPr>
      <t xml:space="preserve"> (3rd Additional Interface)</t>
    </r>
  </si>
  <si>
    <r>
      <t xml:space="preserve">IP Address/Mask </t>
    </r>
    <r>
      <rPr>
        <i/>
        <sz val="12"/>
        <color theme="1"/>
        <rFont val="Arial"/>
        <family val="2"/>
      </rPr>
      <t>(3rd Additional Interface)</t>
    </r>
  </si>
  <si>
    <r>
      <t xml:space="preserve">Segment </t>
    </r>
    <r>
      <rPr>
        <i/>
        <sz val="12"/>
        <color rgb="FF000000"/>
        <rFont val="Arial"/>
        <family val="2"/>
      </rPr>
      <t>(3rd Additional Interface)</t>
    </r>
  </si>
  <si>
    <r>
      <t>Edge Node</t>
    </r>
    <r>
      <rPr>
        <i/>
        <sz val="12"/>
        <color theme="1"/>
        <rFont val="Arial"/>
        <family val="2"/>
      </rPr>
      <t xml:space="preserve"> (3rd Additional Interface)</t>
    </r>
  </si>
  <si>
    <r>
      <t>MTU</t>
    </r>
    <r>
      <rPr>
        <i/>
        <sz val="12"/>
        <color theme="1"/>
        <rFont val="Arial"/>
        <family val="2"/>
      </rPr>
      <t xml:space="preserve"> (3rd Additional Interface)</t>
    </r>
  </si>
  <si>
    <r>
      <t>IP Address/Mask</t>
    </r>
    <r>
      <rPr>
        <i/>
        <sz val="12"/>
        <color theme="1"/>
        <rFont val="Arial"/>
        <family val="2"/>
      </rPr>
      <t xml:space="preserve"> (4th Additional Interface)</t>
    </r>
  </si>
  <si>
    <r>
      <t xml:space="preserve">Edge Node </t>
    </r>
    <r>
      <rPr>
        <i/>
        <sz val="12"/>
        <color theme="1"/>
        <rFont val="Arial"/>
        <family val="2"/>
      </rPr>
      <t>(4th Additional Interface)</t>
    </r>
  </si>
  <si>
    <r>
      <t xml:space="preserve">Location </t>
    </r>
    <r>
      <rPr>
        <i/>
        <sz val="12"/>
        <color theme="1"/>
        <rFont val="Arial"/>
        <family val="2"/>
      </rPr>
      <t>(1st BGP Peer)</t>
    </r>
  </si>
  <si>
    <r>
      <t xml:space="preserve">1st Source Address </t>
    </r>
    <r>
      <rPr>
        <i/>
        <sz val="12"/>
        <color theme="1"/>
        <rFont val="Arial"/>
        <family val="2"/>
      </rPr>
      <t>(1st BGP Peer)</t>
    </r>
  </si>
  <si>
    <r>
      <t>2nd Source Address</t>
    </r>
    <r>
      <rPr>
        <i/>
        <sz val="12"/>
        <color theme="1"/>
        <rFont val="Arial"/>
        <family val="2"/>
      </rPr>
      <t xml:space="preserve"> (1st BGP Peer)</t>
    </r>
  </si>
  <si>
    <r>
      <t xml:space="preserve">Password </t>
    </r>
    <r>
      <rPr>
        <i/>
        <sz val="12"/>
        <color theme="1"/>
        <rFont val="Arial"/>
        <family val="2"/>
      </rPr>
      <t>(1st BGP Peer)</t>
    </r>
  </si>
  <si>
    <r>
      <t>IP Address</t>
    </r>
    <r>
      <rPr>
        <i/>
        <sz val="12"/>
        <color theme="1"/>
        <rFont val="Arial"/>
        <family val="2"/>
      </rPr>
      <t xml:space="preserve"> (2nd BGP Peer)</t>
    </r>
  </si>
  <si>
    <r>
      <t>Remote AS Number</t>
    </r>
    <r>
      <rPr>
        <i/>
        <sz val="12"/>
        <color theme="1"/>
        <rFont val="Arial"/>
        <family val="2"/>
      </rPr>
      <t xml:space="preserve"> (2nd BGP Peer)</t>
    </r>
  </si>
  <si>
    <r>
      <t>1st Source Address</t>
    </r>
    <r>
      <rPr>
        <i/>
        <sz val="12"/>
        <color theme="1"/>
        <rFont val="Arial"/>
        <family val="2"/>
      </rPr>
      <t xml:space="preserve"> (2nd BGP Peer)</t>
    </r>
  </si>
  <si>
    <r>
      <t xml:space="preserve">2nd Source Address </t>
    </r>
    <r>
      <rPr>
        <i/>
        <sz val="12"/>
        <color theme="1"/>
        <rFont val="Arial"/>
        <family val="2"/>
      </rPr>
      <t>(2nd BGP Peer)</t>
    </r>
  </si>
  <si>
    <t xml:space="preserve">        VMware Cloud Foundation Cluster Deployment </t>
  </si>
  <si>
    <t xml:space="preserve">Deploy a New Cluster Options </t>
  </si>
  <si>
    <t>Select a Workload Domain</t>
  </si>
  <si>
    <t>Deploy a Single-Rack / Multi-Rack Layer 2 Cluster</t>
  </si>
  <si>
    <t>New Cluster Deployment</t>
  </si>
  <si>
    <t>Prepare Workload Domain with a Secondary Storage Network</t>
  </si>
  <si>
    <t>Create SDDC Cluster</t>
  </si>
  <si>
    <t>General</t>
  </si>
  <si>
    <t>Enter the details for cluster.</t>
  </si>
  <si>
    <t>Select the cluster type and review the vSAN ESA cluster configuration.</t>
  </si>
  <si>
    <t>Provide resilient remote data access to vSphere clusters without the need for a local vSAN Datastore.</t>
  </si>
  <si>
    <t>vSAN Storage Cluster Name</t>
  </si>
  <si>
    <t>If Static Pools for Host TEP assignment is required then use COPY FROM PRECONFIGURED PROFILE option</t>
  </si>
  <si>
    <t>Transport Zone Type: NSX- Overlay</t>
  </si>
  <si>
    <t>Re-use an existing Pool</t>
  </si>
  <si>
    <t xml:space="preserve">Description </t>
  </si>
  <si>
    <t>NSX Transport Node Profile Settings</t>
  </si>
  <si>
    <t>Active uplink1</t>
  </si>
  <si>
    <t>Active uplink2</t>
  </si>
  <si>
    <t>Commission Hosts  {vCenter}</t>
  </si>
  <si>
    <t>vSAN Compute Site Network Toplogy</t>
  </si>
  <si>
    <t>Symmetric</t>
  </si>
  <si>
    <t>vSAN Compute Cluster Fault Domain Mapping</t>
  </si>
  <si>
    <t>Primary</t>
  </si>
  <si>
    <t>Added Stuff</t>
  </si>
  <si>
    <t>pnp_version_history</t>
  </si>
  <si>
    <t>Fleet Deployment CIDR</t>
  </si>
  <si>
    <t>Fleet Deployment Network</t>
  </si>
  <si>
    <t>Fleet Deployment Gateway IP</t>
  </si>
  <si>
    <t>Fleet Deployment Mask</t>
  </si>
  <si>
    <t>Fleet Deployment MTU</t>
  </si>
  <si>
    <t>Fleet Deployment VLANID</t>
  </si>
  <si>
    <t>Moved Stuff</t>
  </si>
  <si>
    <t>Child DNS Zone</t>
  </si>
  <si>
    <t>vSAN Witness DNS Zone</t>
  </si>
  <si>
    <t>DNS Server 1 (Cross-Instance Components)</t>
  </si>
  <si>
    <t>DNS Server 2 (Cross-Instance Components)</t>
  </si>
  <si>
    <t>Domain Controller</t>
  </si>
  <si>
    <t>SMTP Server</t>
  </si>
  <si>
    <t>smtp.rainpole.io</t>
  </si>
  <si>
    <t>SMTP Server Port</t>
  </si>
  <si>
    <t>NTP Server 1 (Cross-Instance Components)</t>
  </si>
  <si>
    <t>NTP Server 2 (Cross-Instance Components)</t>
  </si>
  <si>
    <t>MGMT Exisitng NSX-GM</t>
  </si>
  <si>
    <t xml:space="preserve">Cross instance Tier 0 </t>
  </si>
  <si>
    <t>Rack2</t>
  </si>
  <si>
    <t>Input</t>
  </si>
  <si>
    <t>Rack3</t>
  </si>
  <si>
    <t>Rack4</t>
  </si>
  <si>
    <t>Rack5</t>
  </si>
  <si>
    <t>Rack6</t>
  </si>
  <si>
    <t>Rack7</t>
  </si>
  <si>
    <t>Rack8</t>
  </si>
  <si>
    <t>VLAN Uplink1</t>
  </si>
  <si>
    <t>VLAN Uplink2</t>
  </si>
  <si>
    <t>VLAN Edge Overlay</t>
  </si>
  <si>
    <t>Network Uplink1</t>
  </si>
  <si>
    <t>Network Uplink2</t>
  </si>
  <si>
    <t>Network Edge Overlay</t>
  </si>
  <si>
    <t>Gateway Uplink1</t>
  </si>
  <si>
    <t>Gateway Uplink2</t>
  </si>
  <si>
    <t>Gateway Edge Overlay</t>
  </si>
  <si>
    <t>Mask Uplink1</t>
  </si>
  <si>
    <t>Mask Uplink2</t>
  </si>
  <si>
    <t>Mask Edge Overlay</t>
  </si>
  <si>
    <t>MTU Uplink1</t>
  </si>
  <si>
    <t>MTU Uplink2</t>
  </si>
  <si>
    <t>MTU Edge Overlay</t>
  </si>
  <si>
    <t>NSX Edge Nodes Autonomous System ID</t>
  </si>
  <si>
    <t xml:space="preserve">       VMware Cloud Foundation Network Value Reference Tables</t>
  </si>
  <si>
    <t>Transposed and Calculated Values. All values are named cells for reference in other areas of the Workbook</t>
  </si>
  <si>
    <t>Bundle Download</t>
  </si>
  <si>
    <t>MGMT Rack 1 VLANs  (Primary AZ)</t>
  </si>
  <si>
    <t>Rack 1 VLANs  (Primary AZ)</t>
  </si>
  <si>
    <t>Rack 2 VLANs  (Primary AZ)</t>
  </si>
  <si>
    <t>Rack 3 VLANs  (Primary AZ)</t>
  </si>
  <si>
    <t>Rack 4 VLANs  (Primary AZ)</t>
  </si>
  <si>
    <t>Rack 5 VLANs  (Primary AZ)</t>
  </si>
  <si>
    <t>Rack 6 VLANs  (Primary AZ)</t>
  </si>
  <si>
    <t>Rack 7  VLANs  (Primary AZ)</t>
  </si>
  <si>
    <t>Rack 8 VLANs  (Primary AZ)</t>
  </si>
  <si>
    <t>Modifiers</t>
  </si>
  <si>
    <t>Value</t>
  </si>
  <si>
    <t>AZ1 Actual Value</t>
  </si>
  <si>
    <t>WLD Rack2 AZ1 Host VLAN Prefix</t>
  </si>
  <si>
    <t xml:space="preserve">Depot Type </t>
  </si>
  <si>
    <t>Management VM Network</t>
  </si>
  <si>
    <t>WLD Rack 2 AZ2 Host VLAN Prefix</t>
  </si>
  <si>
    <t xml:space="preserve">ESXi Management Network </t>
  </si>
  <si>
    <t>WLD Rack 2  AZ1 Host CIDR Prefix</t>
  </si>
  <si>
    <t>WLD Rack 2 AZ2 Host CIDR Prefix</t>
  </si>
  <si>
    <t>Proxy Configuration</t>
  </si>
  <si>
    <t>NSX Host Overlay</t>
  </si>
  <si>
    <t>Protocol</t>
  </si>
  <si>
    <t>Secondary Storage Network (NFS)</t>
  </si>
  <si>
    <t>Internet Proxy Chosen</t>
  </si>
  <si>
    <t>Proxy Address</t>
  </si>
  <si>
    <t>NSX Edge Uplink 1</t>
  </si>
  <si>
    <t xml:space="preserve">Proxy Port </t>
  </si>
  <si>
    <t>NSX Edge Uplink 2</t>
  </si>
  <si>
    <t>Proxy Authentication</t>
  </si>
  <si>
    <t>NSX Edge Overlay</t>
  </si>
  <si>
    <t>Start ASN</t>
  </si>
  <si>
    <t>NSX RTEP Overlay</t>
  </si>
  <si>
    <t>Instance 1</t>
  </si>
  <si>
    <t>vSphere Replication</t>
  </si>
  <si>
    <t>asn_mgmt_az1</t>
  </si>
  <si>
    <t>asn_mgmt_az2</t>
  </si>
  <si>
    <t>General Info</t>
  </si>
  <si>
    <t>MGMT Rack 1 Network CIDRs  (Primary AZ)</t>
  </si>
  <si>
    <t>Rack 1 Network CIDRs  (Primary AZ)</t>
  </si>
  <si>
    <t>Rack 2 Network CIDRs  (Primary AZ)</t>
  </si>
  <si>
    <t>Rack 3 Network CIDRs  (Primary AZ)</t>
  </si>
  <si>
    <t>Rack 4 Network CIDRs  (Primary AZ)</t>
  </si>
  <si>
    <t>Rack 5 Network CIDRs (Primary AZ)</t>
  </si>
  <si>
    <t>Rack 6 Network CIDRs  (Primary AZ)</t>
  </si>
  <si>
    <t>Rack 7 Network CIDRs  (Primary AZ)</t>
  </si>
  <si>
    <t>Rack 8 Network CIDRs  (Primary AZ)</t>
  </si>
  <si>
    <t>asn_wld_az1</t>
  </si>
  <si>
    <t>asn_wld_az2</t>
  </si>
  <si>
    <t>Deployment Type</t>
  </si>
  <si>
    <t>Instance Name</t>
  </si>
  <si>
    <t xml:space="preserve">Deployment Model </t>
  </si>
  <si>
    <t>Password Creation Auto-generate passwords</t>
  </si>
  <si>
    <t>FLT-MGR use Use same password as VCF Operations</t>
  </si>
  <si>
    <t>Deployment Parameters</t>
  </si>
  <si>
    <t>DNS</t>
  </si>
  <si>
    <t>Zone name</t>
  </si>
  <si>
    <t>Server #1</t>
  </si>
  <si>
    <t>Server #2</t>
  </si>
  <si>
    <t>MGMT Rack 1 Network (Primary AZ)</t>
  </si>
  <si>
    <t>Rack 1 Network   (Primary AZ)</t>
  </si>
  <si>
    <t>Rack 2 Network (Primary AZ)</t>
  </si>
  <si>
    <t>Rack 3 Network (Primary AZ)</t>
  </si>
  <si>
    <t>Rack 4 Network (Primary AZ)</t>
  </si>
  <si>
    <t>Rack 5 Network (Primary AZ)</t>
  </si>
  <si>
    <t>Rack 6 Network (Primary AZ)</t>
  </si>
  <si>
    <t>Rack 7 Network (Primary AZ)</t>
  </si>
  <si>
    <t>Rack 8 Network (Primary AZ)</t>
  </si>
  <si>
    <t>NTP</t>
  </si>
  <si>
    <t>Server #3</t>
  </si>
  <si>
    <t>Enable Customer Experience Improvement Program (CEIP)</t>
  </si>
  <si>
    <t>Appliance Storage Size</t>
  </si>
  <si>
    <t>Datacenter name</t>
  </si>
  <si>
    <t>Cluster name</t>
  </si>
  <si>
    <t>MGMT Netmask   (Primary AZ)</t>
  </si>
  <si>
    <t>Rack 1 Netmask   (Primary AZ)</t>
  </si>
  <si>
    <t>Rack 2 Netmask (Primary AZ)</t>
  </si>
  <si>
    <t>Rack 3 Netmask (Primary AZ)</t>
  </si>
  <si>
    <t>Rack 4 Netmask (Primary AZ)</t>
  </si>
  <si>
    <t>Rack 5 Netmask (Primary AZ)</t>
  </si>
  <si>
    <t>Rack 6 Netmask (Primary AZ)</t>
  </si>
  <si>
    <t>Rack 7 Netmask (Primary AZ)</t>
  </si>
  <si>
    <t>Rack 8 Netmask (Primary AZ)</t>
  </si>
  <si>
    <t>Appliance 2 FQDN</t>
  </si>
  <si>
    <t>Appliance 3 FQDN</t>
  </si>
  <si>
    <t>Principal Storage Network (vSAN-ESA)</t>
  </si>
  <si>
    <t>VCF Operations</t>
  </si>
  <si>
    <t>Operations Collector appliance FQDN</t>
  </si>
  <si>
    <t>MGMT Rack 1 Network MTU  (Primary AZ)</t>
  </si>
  <si>
    <t>Rack 1 Network MTU  (Primary AZ)</t>
  </si>
  <si>
    <t>Rack 2 Network MTU  (Primary AZ)</t>
  </si>
  <si>
    <t>Rack 3 Network MTU  (Primary AZ)</t>
  </si>
  <si>
    <t>Rack 4 Network MTU  (Primary AZ)</t>
  </si>
  <si>
    <t>Rack 5 Network MTU  (Primary AZ)</t>
  </si>
  <si>
    <t>Rack 6 Network MTU  (Primary AZ)</t>
  </si>
  <si>
    <t>Rack 7 Network MTU  (Primary AZ)</t>
  </si>
  <si>
    <t>Rack 8 Network MTU  (Primary AZ)</t>
  </si>
  <si>
    <t>MGMT Rack 1 Network Gateways  (Primary AZ)</t>
  </si>
  <si>
    <t>Rack 1 Network Gateways  (Primary AZ)</t>
  </si>
  <si>
    <t>Rack 2 Network Gateways  (Primary AZ)</t>
  </si>
  <si>
    <t>Rack 3 Network Gateways  (Primary AZ)</t>
  </si>
  <si>
    <t>Rack 4 Network Gateways  (Primary AZ)</t>
  </si>
  <si>
    <t>Rack 5 Network Gateways  (Primary AZ)</t>
  </si>
  <si>
    <t>Rack 6 Network Gateways  (Primary AZ)</t>
  </si>
  <si>
    <t>Rack 7 Network Gateways  (Primary AZ)</t>
  </si>
  <si>
    <t>Rack 8 Network Gateways  (Primary AZ)</t>
  </si>
  <si>
    <t>MGMT Rack 1 BGP Requirements  (Primary AZ)</t>
  </si>
  <si>
    <t>Rack 1 BGP Requirements  (Primary AZ)</t>
  </si>
  <si>
    <t>Rack 2 BGP Requirements  (Primary AZ)</t>
  </si>
  <si>
    <t>Rack 3 BGP Requirements  (Primary AZ)</t>
  </si>
  <si>
    <t>Rack 4 BGP Requirements  (Primary AZ)</t>
  </si>
  <si>
    <t>Rack 5 BGP Requirements  (Primary AZ)</t>
  </si>
  <si>
    <t>Rack 6 BGP Requirements  (Primary AZ)</t>
  </si>
  <si>
    <t>Rack 7 BGP Requirements  (Primary AZ)</t>
  </si>
  <si>
    <t>Rack 8 BGP Requirements  (Primary AZ)</t>
  </si>
  <si>
    <t>MGMT Rack 1 Portgroup Names  (Primary AZ)</t>
  </si>
  <si>
    <t>Rack 1 Primary Cluster Portgroup Names  (Primary AZ)</t>
  </si>
  <si>
    <t>Rack 2 Portgroup Configuration  (Primary AZ)</t>
  </si>
  <si>
    <t>Rack 3 Switch Portgroup  (Primary AZ)</t>
  </si>
  <si>
    <t>Rack 4 Switch Configuration  (Primary AZ)</t>
  </si>
  <si>
    <t>Rack 5 Switch Configuration  (Primary AZ)</t>
  </si>
  <si>
    <t>Rack 6 Switch Configuration  (Primary AZ)</t>
  </si>
  <si>
    <t>Rack 7 Switch Configuration  (Primary AZ)</t>
  </si>
  <si>
    <t>Rack 8 Switch Configuration  (Primary AZ)</t>
  </si>
  <si>
    <t xml:space="preserve">NFS Network </t>
  </si>
  <si>
    <t xml:space="preserve">vSAN Client Network </t>
  </si>
  <si>
    <t>Rack 1 uplink  (Primary AZ)</t>
  </si>
  <si>
    <t>Management VM Network Uplink1</t>
  </si>
  <si>
    <t>Management VM Network Uplink2</t>
  </si>
  <si>
    <t>ESXi Management Network Uplink1</t>
  </si>
  <si>
    <t>ESXi Management Network Uplink2</t>
  </si>
  <si>
    <t>vMotion Network Uplink1</t>
  </si>
  <si>
    <t>vMotion Network Uplink2</t>
  </si>
  <si>
    <t>vSAN Network Uplink1</t>
  </si>
  <si>
    <t>vSAN Network Uplink2</t>
  </si>
  <si>
    <t>NSX Network Uplink1</t>
  </si>
  <si>
    <t>NSX Network Uplink2</t>
  </si>
  <si>
    <t>NFS Network Uplink1</t>
  </si>
  <si>
    <t>vSAN Client Network Uplink1</t>
  </si>
  <si>
    <t>NFS Network Uplink2</t>
  </si>
  <si>
    <t>MGMT Rack 1 LBT  (Primary AZ)</t>
  </si>
  <si>
    <t>Rack 1 LBT  (Primary AZ)</t>
  </si>
  <si>
    <t>Management VM Network LBT</t>
  </si>
  <si>
    <t>ESX Management Network LBT</t>
  </si>
  <si>
    <t>vMotion LBT</t>
  </si>
  <si>
    <t>vSAN LBT</t>
  </si>
  <si>
    <t xml:space="preserve">NSX Management Network </t>
  </si>
  <si>
    <t>vSAN Client Network LBT</t>
  </si>
  <si>
    <t>NFS Network LBT</t>
  </si>
  <si>
    <t>MGMT Rack 1 Network Pool Ranges (Primary AZ)</t>
  </si>
  <si>
    <t>Rack 1 Network Pool Ranges (Primary AZ)</t>
  </si>
  <si>
    <t>Rack 2 Network Pool Ranges (Primary AZ)</t>
  </si>
  <si>
    <t>Rack 3 Network Pool Ranges (Primary AZ)</t>
  </si>
  <si>
    <t>Rack 4 Network Pool Ranges (Primary AZ)</t>
  </si>
  <si>
    <t>Rack 5 Network Pool Ranges (Primary AZ)</t>
  </si>
  <si>
    <t>Rack 6 Network Pool Ranges (Primary AZ)</t>
  </si>
  <si>
    <t>Rack 7 Network Pool Ranges (Primary AZ)</t>
  </si>
  <si>
    <t>Rack 8 Network Pool Ranges (Primary AZ)</t>
  </si>
  <si>
    <t>vMotion Pool: Start IP</t>
  </si>
  <si>
    <t>vMotion Pool: End IP</t>
  </si>
  <si>
    <t>vSAN Pool: Start IP</t>
  </si>
  <si>
    <t>vSAN Pool: End IP</t>
  </si>
  <si>
    <t>Host Overlay Pool: Start IP</t>
  </si>
  <si>
    <t>Host Overlay Pool: End IP</t>
  </si>
  <si>
    <t>Secondary Storage Network Pool (NFS): Start IP</t>
  </si>
  <si>
    <t>Secondary Storage Network Pool (NFS): End IP</t>
  </si>
  <si>
    <t>vSAN Network - vSAN Storage Cluster: Start IP</t>
  </si>
  <si>
    <t>vSAN Network - vSAN Storage Cluster: End IP</t>
  </si>
  <si>
    <t>RTEP Overlay Pool: Start IP</t>
  </si>
  <si>
    <t>RTEP Overlay Pool: End IP</t>
  </si>
  <si>
    <t>MGMT Rack 1 Profiles</t>
  </si>
  <si>
    <t>Rack 1 Profiles</t>
  </si>
  <si>
    <t>Rack 2 Profiles</t>
  </si>
  <si>
    <t>Rack 3 Profiles</t>
  </si>
  <si>
    <t>Rack 4 Profiles</t>
  </si>
  <si>
    <t>Rack 5 Profiles</t>
  </si>
  <si>
    <t>Rack 6 Profiles</t>
  </si>
  <si>
    <t>Rack 7 Profiles</t>
  </si>
  <si>
    <t>Rack 8 Profiles</t>
  </si>
  <si>
    <t xml:space="preserve"> Network Pool  Name</t>
  </si>
  <si>
    <t>Overlay Network Profile Name</t>
  </si>
  <si>
    <t>Host Overlay Network Pool Description</t>
  </si>
  <si>
    <t>Host Overlay Network Pool Name</t>
  </si>
  <si>
    <t>Overlay Network Pool Name</t>
  </si>
  <si>
    <t>NSX-Overlay Transport Zone</t>
  </si>
  <si>
    <t>NSX Overlay Transport Zone</t>
  </si>
  <si>
    <t>Overlay Uplink Profile Name</t>
  </si>
  <si>
    <t>Edge Overlay Network Pool Name</t>
  </si>
  <si>
    <t>RTEP Network  Pool Name</t>
  </si>
  <si>
    <t>vSAN Fault Domain</t>
  </si>
  <si>
    <t>MGMT Rack 1 Subnet Masks (Calculated)  (Primary AZ)</t>
  </si>
  <si>
    <t>Rack 1 Subnet Masks (Calculated)  (Primary AZ)</t>
  </si>
  <si>
    <t>Rack2 Subnet Masks (Calculated)  (Primary AZ)</t>
  </si>
  <si>
    <t>Rack3 Subnet Masks (Calculated)  (Primary AZ)</t>
  </si>
  <si>
    <t>Subnet Masks (Calculated)  (Primary AZ)</t>
  </si>
  <si>
    <t>Rack1 AZ1 Mgmt VM Mgmt Network</t>
  </si>
  <si>
    <t>WLD Rack1 AZ1 Mgmt VM Mgmt Network</t>
  </si>
  <si>
    <t>WLD Rack 2 AZ1 Mgmt VM Mgmt Network</t>
  </si>
  <si>
    <t>WLD Rack 3 AZ1 Mgmt VM Mgmt Network</t>
  </si>
  <si>
    <t>WLD Rack 4 AZ1 Mgmt VM Mgmt Network</t>
  </si>
  <si>
    <t>WLD Rack 5 AZ1 Mgmt VM Mgmt Network</t>
  </si>
  <si>
    <t>WLD Rack 6 AZ1 Mgmt VM Mgmt Network</t>
  </si>
  <si>
    <t>WLD Rack 7 AZ1 Mgmt VM Mgmt Network</t>
  </si>
  <si>
    <t>WLD Rack 8 AZ1 Mgmt VM Mgmt Network</t>
  </si>
  <si>
    <t>Rack1 AZ1 ESXI Management Network</t>
  </si>
  <si>
    <t>WLD Rack1 AZ1 ESXI Management Network</t>
  </si>
  <si>
    <t>WLD Rack 2 AZ1 ESXI Management Network</t>
  </si>
  <si>
    <t>WLD Rack 3 AZ1 ESXI Management Network</t>
  </si>
  <si>
    <t>WLD Rack 4 AZ1 ESXI Management Network</t>
  </si>
  <si>
    <t>WLD Rack 5 AZ1 ESXI Management Network</t>
  </si>
  <si>
    <t>WLD Rack 6 AZ1 ESXI Management Network</t>
  </si>
  <si>
    <t>WLD Rack 7 AZ1 ESXI Management Network</t>
  </si>
  <si>
    <t>WLD Rack 8 AZ1 ESXI Management Network</t>
  </si>
  <si>
    <t>MGMT Rack 1 IP Addresses (Primary AZ)</t>
  </si>
  <si>
    <t>Rack 1 IP Addresses (Primary AZ)</t>
  </si>
  <si>
    <t>Rack 2 IP Addresses (Primary AZ)</t>
  </si>
  <si>
    <t>Rack 3 IP Addresses (Primary AZ)</t>
  </si>
  <si>
    <t>Rack 4 IP Addresses (Primary AZ)</t>
  </si>
  <si>
    <t>Rack 5 IP Addresses (Primary AZ)</t>
  </si>
  <si>
    <t>Rack 6 IP Addresses (Primary AZ)</t>
  </si>
  <si>
    <t>Rack 7 IP Addresses (Primary AZ)</t>
  </si>
  <si>
    <t>Rack 8 IP Addresses (Primary AZ)</t>
  </si>
  <si>
    <t>ESXi Node 1 Mgmt IP</t>
  </si>
  <si>
    <t>ESXi Node 2 Mgmt IP</t>
  </si>
  <si>
    <t>ESXi Node 3 Mgmt IP</t>
  </si>
  <si>
    <t>ESXi Node 4 Mgmt IP</t>
  </si>
  <si>
    <t>ESXi Node 5 Mgmt IP</t>
  </si>
  <si>
    <t>ESXi Node 6 Mgmt IP</t>
  </si>
  <si>
    <t>ESXi Node 7 Mgmt IP</t>
  </si>
  <si>
    <t>ESXi Node 8 Mgmt IP</t>
  </si>
  <si>
    <t>ESXi Node 9 Mgmt IP</t>
  </si>
  <si>
    <t>ESXi Node 10 Mgmt IP</t>
  </si>
  <si>
    <t>ESXi Node 11 Mgmt IP</t>
  </si>
  <si>
    <t>ESXi Node 12 Mgmt IP</t>
  </si>
  <si>
    <t>ESXi Node 13 Mgmt IP</t>
  </si>
  <si>
    <t>ESXi Node 14 Mgmt IP</t>
  </si>
  <si>
    <t>ESXi Node 15 Mgmt IP</t>
  </si>
  <si>
    <t>ESXi Node 16 Mgmt IP</t>
  </si>
  <si>
    <t>ESXi Node 1 VRMS IP</t>
  </si>
  <si>
    <t>ESXi Node 2 VRMS IP</t>
  </si>
  <si>
    <t>Rack 2 Hostnames (Primary AZ)</t>
  </si>
  <si>
    <t>Rack 3 Hostnames (Primary AZ)</t>
  </si>
  <si>
    <t>Rack 4 Hostnames (Primary AZ)</t>
  </si>
  <si>
    <t>Rack 5 Hostnames (Primary AZ)</t>
  </si>
  <si>
    <t>Rack 6 Hostnames (Primary AZ)</t>
  </si>
  <si>
    <t>Rack 7 Hostnames (Primary AZ)</t>
  </si>
  <si>
    <t>Rack 8 Hostnames (Primary AZ)</t>
  </si>
  <si>
    <t>ESXi Node 3 VRMS IP</t>
  </si>
  <si>
    <t>ESXi Node 4 VRMS IP</t>
  </si>
  <si>
    <t>ESXi Node 1</t>
  </si>
  <si>
    <t>ESXi Node 5 VRMS IP</t>
  </si>
  <si>
    <t>ESXi Node 2</t>
  </si>
  <si>
    <t>ESXi Node 6 VRMS IP</t>
  </si>
  <si>
    <t>ESXi Node 3</t>
  </si>
  <si>
    <t>ESXi Node 7 VRMS IP</t>
  </si>
  <si>
    <t>ESXi Node 4</t>
  </si>
  <si>
    <t>ESXi Node 8 VRMS IP</t>
  </si>
  <si>
    <t>ESXi Node 5</t>
  </si>
  <si>
    <t>ESXi Node 9 VRMS IP</t>
  </si>
  <si>
    <t>ESXi Node 6</t>
  </si>
  <si>
    <t>ESXi Node 10 VRMS IP</t>
  </si>
  <si>
    <t>ESXi Node 7</t>
  </si>
  <si>
    <t>ESXi Node 11 VRMS IP</t>
  </si>
  <si>
    <t>ESXi Node 8</t>
  </si>
  <si>
    <t>ESXi Node 12 VRMS IP</t>
  </si>
  <si>
    <t>ESXi Node 9</t>
  </si>
  <si>
    <t>ESXi Node 13 VRMS IP</t>
  </si>
  <si>
    <t>ESXi Node 10</t>
  </si>
  <si>
    <t>ESXi Node 14 VRMS IP</t>
  </si>
  <si>
    <t>ESXi Node 11</t>
  </si>
  <si>
    <t>ESXi Node 15 VRMS IP</t>
  </si>
  <si>
    <t>ESXi Node 12</t>
  </si>
  <si>
    <t>ESXi Node 16 VRMS IP</t>
  </si>
  <si>
    <t>ESXi Node 13</t>
  </si>
  <si>
    <t>ESXi Node 14</t>
  </si>
  <si>
    <t>MGMT Rack 1 Hostnames (Primary AZ)</t>
  </si>
  <si>
    <t>Rack 1 Hostnames (Primary AZ)</t>
  </si>
  <si>
    <t>ESXi Node 15</t>
  </si>
  <si>
    <t>ESXi Node 16</t>
  </si>
  <si>
    <t>Rack 2 FQDNs (Primary AZ)</t>
  </si>
  <si>
    <t>Rack 3 FQDNs (Primary AZ)</t>
  </si>
  <si>
    <t>Rack 4 FQDNs (Primary AZ)</t>
  </si>
  <si>
    <t>Rack 5 FQDNs (Primary AZ)</t>
  </si>
  <si>
    <t>Rack 6 FQDNs (Primary AZ)</t>
  </si>
  <si>
    <t>Rack 7 FQDNs (Primary AZ)</t>
  </si>
  <si>
    <t>Rack 8 FQDNs (Primary AZ)</t>
  </si>
  <si>
    <t>MGMT Rack 1 FQDNs (Primary AZ)</t>
  </si>
  <si>
    <t>Rack 1 FQDNs (Primary AZ)</t>
  </si>
  <si>
    <t>Rack 2 Edge Node (Primary AZ)</t>
  </si>
  <si>
    <t>Rack 3 Edge Node (Primary AZ)</t>
  </si>
  <si>
    <t>Rack 4 Edge Node (Primary AZ)</t>
  </si>
  <si>
    <t>Rack 5 Edge Node (Primary AZ)</t>
  </si>
  <si>
    <t>Rack 6 Edge Node (Primary AZ)</t>
  </si>
  <si>
    <t>Rack 7 Edge Node (Primary AZ)</t>
  </si>
  <si>
    <t>Rack 8 Edge Node (Primary AZ)</t>
  </si>
  <si>
    <t>Edge Node Name</t>
  </si>
  <si>
    <t>Edge Node FQDN</t>
  </si>
  <si>
    <t xml:space="preserve">Edge Node MGMT IP </t>
  </si>
  <si>
    <t xml:space="preserve">Edge Node Upink 1 IP </t>
  </si>
  <si>
    <t xml:space="preserve">Edge Node Upink 2 IP </t>
  </si>
  <si>
    <t>Edge Node Overlay IP Address #01</t>
  </si>
  <si>
    <t>Edge Node Overlay IP Address #02</t>
  </si>
  <si>
    <t>MGMT Rack 1 Edge Node (Primary AZ)</t>
  </si>
  <si>
    <t>Rack 1 Edge Node (Primary AZ)</t>
  </si>
  <si>
    <t>Edge Node BFD</t>
  </si>
  <si>
    <t>MGMT Rack 1 Edge Node 2 (Primary AZ)</t>
  </si>
  <si>
    <t xml:space="preserve"> Rack 1 Edge Node 2 (Primary AZ)</t>
  </si>
  <si>
    <t>MGMT Rack 1 VLANs  (Secondary AZ)</t>
  </si>
  <si>
    <t>Rack 1 VLANs  (Secondary AZ)</t>
  </si>
  <si>
    <t>AZ 2 Actual Value</t>
  </si>
  <si>
    <t>vSan Network</t>
  </si>
  <si>
    <t>MGMT Rack 1 Network CIDRs  (Secondary AZ)</t>
  </si>
  <si>
    <t>Rack 1 Network CIDRs  (Secondary AZ)</t>
  </si>
  <si>
    <t>AZ2 Actual Value</t>
  </si>
  <si>
    <t>MGMT Rack 1 Network (Secondary AZ)</t>
  </si>
  <si>
    <t>Rack 1 Network (Secondary AZ)</t>
  </si>
  <si>
    <t>MGMT Rack 1 Mask (Secondary AZ)</t>
  </si>
  <si>
    <t>Rack 1 Mask (Secondary AZ)</t>
  </si>
  <si>
    <t>MGMT Rack 1 Network Gateways  (Secondary AZ)</t>
  </si>
  <si>
    <t>Rack 1 Network Gateways  (Secondary AZ)</t>
  </si>
  <si>
    <t>MGMT Rack 1 Network MTU  (Secondary AZ)</t>
  </si>
  <si>
    <t xml:space="preserve"> Rack 1 Network MTU  (Secondary AZ)</t>
  </si>
  <si>
    <t>MGMT Rack 1 BGP Requirements  (Secondary AZ)</t>
  </si>
  <si>
    <t>Rack 1 BGP Requirements  (Secondary AZ)</t>
  </si>
  <si>
    <t>MGMT Rack 1 Portgroup Names  (Secondary AZ)</t>
  </si>
  <si>
    <t>Rack 1 Portgroup Names  (Secondary AZ)</t>
  </si>
  <si>
    <t>MGMT Rack 1 Network Pool Ranges (Secondary AZ)</t>
  </si>
  <si>
    <t>Rack 1 Network Pool Ranges (Secondary AZ)</t>
  </si>
  <si>
    <t>MGMT Rack 1 Host Overlay Profiles (Secondary AZ)</t>
  </si>
  <si>
    <t>Rack 1 Host Overlay Profiles (Secondary AZ)</t>
  </si>
  <si>
    <t>MGMT Rack 1  IP Addresses (Secondary AZ)</t>
  </si>
  <si>
    <t>Rack 1 IP Addresses (Secondary AZ)</t>
  </si>
  <si>
    <t>MGMT Rack 1 Hostnames (Secondary AZ)</t>
  </si>
  <si>
    <t>Rack 1 Hostnames (Secondary AZ)</t>
  </si>
  <si>
    <t>MGMT Rack 1 FQDNs (Secondary AZ)</t>
  </si>
  <si>
    <t>VMware Cloud Builder Infrastructure Details</t>
  </si>
  <si>
    <t xml:space="preserve">Workload Domain Details </t>
  </si>
  <si>
    <t xml:space="preserve">Cluster Operations 							</t>
  </si>
  <si>
    <t>Virtual Infrastructure Usernames</t>
  </si>
  <si>
    <t xml:space="preserve">Management Domain VI Inputs (Primary Availability Zone)								</t>
  </si>
  <si>
    <t>Management Domain VLANs</t>
  </si>
  <si>
    <t xml:space="preserve">VCF Installer location </t>
  </si>
  <si>
    <t>Workload Domain Number</t>
  </si>
  <si>
    <t>Hosts Per Rack</t>
  </si>
  <si>
    <t>Select a Workload Domain Type</t>
  </si>
  <si>
    <t>CA Administrator</t>
  </si>
  <si>
    <t>Cloud Foundation Management Domain Name</t>
  </si>
  <si>
    <t xml:space="preserve">Fleet Manager </t>
  </si>
  <si>
    <t>VI Workload Domain</t>
  </si>
  <si>
    <t>VM Network (Initial ESXi Install)</t>
  </si>
  <si>
    <t xml:space="preserve">Sample Domain Name </t>
  </si>
  <si>
    <t>rainpole.io</t>
  </si>
  <si>
    <t>Hosts Per Multi Rack WLD</t>
  </si>
  <si>
    <t>Cluster Domain Name</t>
  </si>
  <si>
    <t>Certificate Authority Model</t>
  </si>
  <si>
    <t>Sample Child Domain</t>
  </si>
  <si>
    <t>Microsoft CA Username</t>
  </si>
  <si>
    <t>PNP Version Number</t>
  </si>
  <si>
    <t>Virtual Infrastructure Passwords</t>
  </si>
  <si>
    <t>Management Domain IP Addresses (Primary AZ)</t>
  </si>
  <si>
    <t>Workload Domain IP Addresses (Primary AZ)</t>
  </si>
  <si>
    <t>Storage Size</t>
  </si>
  <si>
    <t xml:space="preserve">ESXi: root </t>
  </si>
  <si>
    <t>CEIP</t>
  </si>
  <si>
    <t>Private Cloud Installer</t>
  </si>
  <si>
    <t>vCenter Server</t>
  </si>
  <si>
    <t>vCenter: administrator@vsphere.local</t>
  </si>
  <si>
    <t>NSX Virtual Appliance Size</t>
  </si>
  <si>
    <t>SDDC Manager</t>
  </si>
  <si>
    <t>NSX Local Manager Virtual Server</t>
  </si>
  <si>
    <t>vCenter: root</t>
  </si>
  <si>
    <t>NSX Edge Cluster Name</t>
  </si>
  <si>
    <t>Management Domain Network CIDRs</t>
  </si>
  <si>
    <t>NSX Local Manager Node A</t>
  </si>
  <si>
    <t>vMotion</t>
  </si>
  <si>
    <t>NSX: root (lm)</t>
  </si>
  <si>
    <t>NSX Edge Node Applicance Size</t>
  </si>
  <si>
    <t>NSX Local Manager Node B</t>
  </si>
  <si>
    <t>NSX: admin (lm)</t>
  </si>
  <si>
    <t>NSX Tier-0 Gateway Name</t>
  </si>
  <si>
    <t>NSX Local Manager Node C</t>
  </si>
  <si>
    <t>NSX: audit (lm)</t>
  </si>
  <si>
    <t>NSX Tier-1 Gateway Name</t>
  </si>
  <si>
    <t>NSX Global Manager Virtual Server</t>
  </si>
  <si>
    <t>NSX: root (en)</t>
  </si>
  <si>
    <t>NSX GM VMCA-Signed Certificate Thumprint</t>
  </si>
  <si>
    <t>Management Domain Network Gateways</t>
  </si>
  <si>
    <t>NSX Global Manager Node A</t>
  </si>
  <si>
    <t>NSX: admin (en)</t>
  </si>
  <si>
    <t>NSX GM Cluster ID</t>
  </si>
  <si>
    <t>NSX Global Manager Node B</t>
  </si>
  <si>
    <t>NSX: root (gm)</t>
  </si>
  <si>
    <t>NSX Global Manager Anti-Affinity Rule Name</t>
  </si>
  <si>
    <t>NSX Global Manager Node C</t>
  </si>
  <si>
    <t>NSX: admin (gm)</t>
  </si>
  <si>
    <t>NSX Global Manager Certificate ID</t>
  </si>
  <si>
    <t>AVI Load Balancer Virtual Server</t>
  </si>
  <si>
    <t>NSX: audit (gm)</t>
  </si>
  <si>
    <t>NSX Federation Global Manager Name</t>
  </si>
  <si>
    <t>Management Domain Network MTU</t>
  </si>
  <si>
    <t>AVI Load Balance Node 1 IP Address</t>
  </si>
  <si>
    <t>NSX Federation Location Name</t>
  </si>
  <si>
    <t>AVI Load Balance Node 2 IP Address</t>
  </si>
  <si>
    <t>SHA-256 NSX Local Manager Virtual Server</t>
  </si>
  <si>
    <t>AVI Load Balance Node 3 IP Address</t>
  </si>
  <si>
    <t>SHA-256 NSX Global Manager Virtual Server</t>
  </si>
  <si>
    <t>SDDC Manager: root</t>
  </si>
  <si>
    <t>Cross Instance NSX T1 Gateway Name</t>
  </si>
  <si>
    <t>Workload Domain VLANs</t>
  </si>
  <si>
    <t>Workload Domain Hostnames (Primary AZ)</t>
  </si>
  <si>
    <t>SDDC Manager: vcf</t>
  </si>
  <si>
    <t xml:space="preserve">Existing Active Global Manager </t>
  </si>
  <si>
    <t xml:space="preserve">VMSP - Primary </t>
  </si>
  <si>
    <t>SDDC Manager: admin@local</t>
  </si>
  <si>
    <t>Existing Cross Instance T0</t>
  </si>
  <si>
    <t>Configadmin Email Address</t>
  </si>
  <si>
    <t>My VMware</t>
  </si>
  <si>
    <t>AVI Load Balancer Cluster Name</t>
  </si>
  <si>
    <t>Management Domain VLANs (Witness Zone)</t>
  </si>
  <si>
    <t>AVI Load Balancer Cluster Version</t>
  </si>
  <si>
    <t>Workload Domain Portgroup Names</t>
  </si>
  <si>
    <t>SFTP Backup User</t>
  </si>
  <si>
    <t>VM Network</t>
  </si>
  <si>
    <t xml:space="preserve">Secondary Storage Network </t>
  </si>
  <si>
    <t>vSAN Witness: root (mgmt)</t>
  </si>
  <si>
    <t>SDDC Manager and vCenter Server VM Folder</t>
  </si>
  <si>
    <t>Management Domain Portgroup Names (Witness Zone)</t>
  </si>
  <si>
    <t>Subnet Masks (Calculated)</t>
  </si>
  <si>
    <t>Management Domain Hostnames (Primary AZ)</t>
  </si>
  <si>
    <t>vSAN Witness: root (wld)</t>
  </si>
  <si>
    <t>NSX Manager VM Folder</t>
  </si>
  <si>
    <t>Workload Domain Network CIDRs</t>
  </si>
  <si>
    <t>VM Folder NSX Edge Nodes VM Folder</t>
  </si>
  <si>
    <t xml:space="preserve">Private Cloud Automation IPs													</t>
  </si>
  <si>
    <t>Proxy User</t>
  </si>
  <si>
    <t>Management Domain WAZ Management Network</t>
  </si>
  <si>
    <t>Proxy Password</t>
  </si>
  <si>
    <t>Aria Automation Virtual Server</t>
  </si>
  <si>
    <t>Management Domain Network CIDRs (Witness Zone)</t>
  </si>
  <si>
    <t>Management Uplink 01 Network</t>
  </si>
  <si>
    <t>VCOP Collector Administrator Password</t>
  </si>
  <si>
    <t>Aria Automation Node A</t>
  </si>
  <si>
    <t>Management Uplink 02 Network</t>
  </si>
  <si>
    <t>WLD Root Password</t>
  </si>
  <si>
    <t>Aria Automation Node B</t>
  </si>
  <si>
    <t>Workload Domain Network Gateways</t>
  </si>
  <si>
    <t>Workload Domain FQDNs (Primary AZ)</t>
  </si>
  <si>
    <t>Aria Automation Node C</t>
  </si>
  <si>
    <t>External Services Naming and IP Addressing</t>
  </si>
  <si>
    <t>Aria Automation Node D</t>
  </si>
  <si>
    <t>Management Domain Network Gateways (Witness Zone)</t>
  </si>
  <si>
    <t>Workload Domain AZ1 Management Network</t>
  </si>
  <si>
    <t>Workload Domain WAZ Management Network</t>
  </si>
  <si>
    <t>NTP Server 1 (Local Instance Components)</t>
  </si>
  <si>
    <t>Organization Unit</t>
  </si>
  <si>
    <t>NTP Server 2 (Local Instance Components)</t>
  </si>
  <si>
    <t>Workload Domain Network MTU</t>
  </si>
  <si>
    <t xml:space="preserve">Private Cloud Automation Hostnames													</t>
  </si>
  <si>
    <t>Management Domain Network MTU (Witness Zone)</t>
  </si>
  <si>
    <t>Workload Uplink 01 Network</t>
  </si>
  <si>
    <t>NTP Server 1 (Xregion Components)</t>
  </si>
  <si>
    <t>Workload Uplink 02 Network</t>
  </si>
  <si>
    <t>SFTP Server Backup Username</t>
  </si>
  <si>
    <t>VIDB</t>
  </si>
  <si>
    <t>NTP Server 1 (Witness Components)</t>
  </si>
  <si>
    <t>SSH FingerPrint</t>
  </si>
  <si>
    <t xml:space="preserve">Private Cloud Automation FQDNs													</t>
  </si>
  <si>
    <t>Site Protection &amp; Disaster Recovery References (Common)</t>
  </si>
  <si>
    <t>Workload Domain VLANs (Witness Zone)</t>
  </si>
  <si>
    <t>Workload VRMS Network</t>
  </si>
  <si>
    <t>Management Domain FQDNs (Primary AZ)</t>
  </si>
  <si>
    <t>DNS Server 1 (Local Instance Components)</t>
  </si>
  <si>
    <t>NSX Edge Node 1</t>
  </si>
  <si>
    <t>Host ESX</t>
  </si>
  <si>
    <t>DNS Server 2 (Local Instance Components)</t>
  </si>
  <si>
    <t>SSO Default Admin</t>
  </si>
  <si>
    <t>administrator@vsphere.local</t>
  </si>
  <si>
    <t>Existing: Recovery Site SDDC Manager FQDN</t>
  </si>
  <si>
    <t>NSX Edge Node 2</t>
  </si>
  <si>
    <t>DNS Server 1 (X-Region Components)</t>
  </si>
  <si>
    <t>Primary AZ VM Group Name</t>
  </si>
  <si>
    <t>Existing: Recovery Site SDDC Manager User</t>
  </si>
  <si>
    <t>DNS Server 2 (X-Region Components)</t>
  </si>
  <si>
    <t>Proxy Type</t>
  </si>
  <si>
    <t>Existing: Recovery Site SDDC Manager Password</t>
  </si>
  <si>
    <t>Workload Domain Portgroup Names (Witness Zone)</t>
  </si>
  <si>
    <t>DNS Server 1 (Witness Components)</t>
  </si>
  <si>
    <t>VRMS Appliance Size</t>
  </si>
  <si>
    <t xml:space="preserve">Workload Domain FQDNs (Witness AZ)	</t>
  </si>
  <si>
    <t>DNS Server 2 (Witness Components)</t>
  </si>
  <si>
    <t>Proy Port</t>
  </si>
  <si>
    <t>SRM Appliance Size</t>
  </si>
  <si>
    <t>Domain Controller for vSphere AD Integration</t>
  </si>
  <si>
    <t>Username (VMware Aria Operations to vSphere Replication SSO User)</t>
  </si>
  <si>
    <t>Certificate Authority FQDN</t>
  </si>
  <si>
    <t>Offline Depot Hostname</t>
  </si>
  <si>
    <t>Password (VMware Aria Operations to vSphere Replication)</t>
  </si>
  <si>
    <t>Workload Domain Network CIDRs (Witness Zone)</t>
  </si>
  <si>
    <t>Certificate Authority Name</t>
  </si>
  <si>
    <t>Offline Depot Port</t>
  </si>
  <si>
    <t>User (VMware Aria Operations to Site Recovery Manager SSO User)</t>
  </si>
  <si>
    <t>This Instance</t>
  </si>
  <si>
    <t>SFTP Server</t>
  </si>
  <si>
    <t>Password (VMware Aria Operations to Site Recovery Manager)</t>
  </si>
  <si>
    <t>Other Instance</t>
  </si>
  <si>
    <t>Workload Domain Primary Cluster Objects</t>
  </si>
  <si>
    <t xml:space="preserve">Workload Domain VI Inputs (Primary Availability Zone)								</t>
  </si>
  <si>
    <t>Workload Descriptor</t>
  </si>
  <si>
    <t>Site Protection &amp; Disaster Recovery References (Management Domain)</t>
  </si>
  <si>
    <t>Workload Domain Network Gateways (Witness Zone)</t>
  </si>
  <si>
    <t>Management AZ1 VLAN Prefix</t>
  </si>
  <si>
    <t>Workload Cluster Name</t>
  </si>
  <si>
    <t>Virtual Infrastructure Name</t>
  </si>
  <si>
    <t>Management AZ1 CIDR Prefix</t>
  </si>
  <si>
    <t>EVC</t>
  </si>
  <si>
    <t>DNS Zone Names</t>
  </si>
  <si>
    <t>LB Creation Method</t>
  </si>
  <si>
    <t>Management AZ2 VLAN Prefix</t>
  </si>
  <si>
    <t>Workload Cluster SDDC ID</t>
  </si>
  <si>
    <t>VRMS: VM Folder Name</t>
  </si>
  <si>
    <t>Management AZ2 CIDR Prefix</t>
  </si>
  <si>
    <t>Workload Domain Switch Configuration Primary Cluster  VDS</t>
  </si>
  <si>
    <t>Parent</t>
  </si>
  <si>
    <t>vSphere Distributed Switch Name</t>
  </si>
  <si>
    <t>VRMS: Initial Root Password</t>
  </si>
  <si>
    <t>Workload Domain Network MTU (Witness Zone)</t>
  </si>
  <si>
    <t>Result</t>
  </si>
  <si>
    <t>Child</t>
  </si>
  <si>
    <t>VRMS: Initial Admin Password</t>
  </si>
  <si>
    <t xml:space="preserve">Preconfigured Profile </t>
  </si>
  <si>
    <t>Witness</t>
  </si>
  <si>
    <t>NSX Edge Node Applicance Size (Default Large)</t>
  </si>
  <si>
    <t>VRMS: Site Name</t>
  </si>
  <si>
    <t>Local Instance Overlay CIDR Prefix</t>
  </si>
  <si>
    <t xml:space="preserve">Management Domain FQDNs (Witness AZ)	</t>
  </si>
  <si>
    <t>NSX Edge Tier 0 Name</t>
  </si>
  <si>
    <t>VRMS: Administrator Email Address</t>
  </si>
  <si>
    <t>Cross-Region Overlay CIDR Prefix</t>
  </si>
  <si>
    <t>Primary vSphere Distributed Switch: Name</t>
  </si>
  <si>
    <t xml:space="preserve">Host FQDNS </t>
  </si>
  <si>
    <t>NSX Edge Tier 1 Name</t>
  </si>
  <si>
    <t>VRMS: Portgroup Name</t>
  </si>
  <si>
    <t>Management Witness AZ VLAN Prefix</t>
  </si>
  <si>
    <t>Primary vSphere Distributed Switch: Uplinks Used</t>
  </si>
  <si>
    <t>VRMS: P12 Cert Password</t>
  </si>
  <si>
    <t>Management Witness AZ CIDR Prefix</t>
  </si>
  <si>
    <t>Primary vSphere Distributed Switch: Number of Uplinks</t>
  </si>
  <si>
    <t>VRSM: Appliance Size</t>
  </si>
  <si>
    <t>Management TOR ASN Prefix</t>
  </si>
  <si>
    <t xml:space="preserve">Primary vSphere Distributed Switch: MTU </t>
  </si>
  <si>
    <t>SRM: VM Folder Name</t>
  </si>
  <si>
    <t>Workload AZ1 VLAN Prefix</t>
  </si>
  <si>
    <t>Management Domain Cluster Objects</t>
  </si>
  <si>
    <t>Primary vSphere Distributed Switch: LBT</t>
  </si>
  <si>
    <t>AVI Load Balancer Cluster version</t>
  </si>
  <si>
    <t>SRM: Initial Root Password</t>
  </si>
  <si>
    <t>Workload AZ1 CIDR Prefix</t>
  </si>
  <si>
    <t>Primary vSphere Distributed Switch: Traffic Type</t>
  </si>
  <si>
    <t xml:space="preserve">Intelligent Operations Management IP Addresses													</t>
  </si>
  <si>
    <t>SRM: Initial Admin Password</t>
  </si>
  <si>
    <t>Protected Workload AZ1 CIDR Prefix</t>
  </si>
  <si>
    <t>Datacenter Name</t>
  </si>
  <si>
    <t>SRM: Initial Database Password</t>
  </si>
  <si>
    <t>Workload AZ2 VLAN Prefix</t>
  </si>
  <si>
    <t>Management Cluster Name</t>
  </si>
  <si>
    <t>Secondary vSphere Distributed Switch: Name</t>
  </si>
  <si>
    <t xml:space="preserve">VCF Operations Load Balancer </t>
  </si>
  <si>
    <t>SRM: Site Name</t>
  </si>
  <si>
    <t>Workload AZ2 CIDR Prefix</t>
  </si>
  <si>
    <t>EVC Setting</t>
  </si>
  <si>
    <t>Secondary vSphere Distributed Switch: Uplinks Used</t>
  </si>
  <si>
    <t>VCF Operations primary</t>
  </si>
  <si>
    <t>SRM: Administrator Email Address</t>
  </si>
  <si>
    <t>Secondary vSphere Distributed Switch: Number of Uplinks</t>
  </si>
  <si>
    <t>RTEP NSX IP Pool Name</t>
  </si>
  <si>
    <t>VCF Operations replica</t>
  </si>
  <si>
    <t>SRM: P12 Cert Password</t>
  </si>
  <si>
    <t xml:space="preserve">Secondary vSphere Distributed Switch: MTU </t>
  </si>
  <si>
    <t>VCF Operations data node</t>
  </si>
  <si>
    <t xml:space="preserve">SRM: Appliance Size </t>
  </si>
  <si>
    <t>Workload Witness AZ VLAN Prefix</t>
  </si>
  <si>
    <t>Secondary vSphere Distributed Switch: LBT</t>
  </si>
  <si>
    <t>Operations Collector Appliance</t>
  </si>
  <si>
    <t>Recovery Point Objective</t>
  </si>
  <si>
    <t>Workload Witness AZ CIDR Prefix</t>
  </si>
  <si>
    <t>Secondary vSphere Distributed Switch: Traffic Type</t>
  </si>
  <si>
    <t>SHA-256  NSX Local Manager Virtual Server</t>
  </si>
  <si>
    <t>Instances per Day</t>
  </si>
  <si>
    <t>Workload TOR ASN Prefix</t>
  </si>
  <si>
    <t>SHA-256  NSX Global Manager Virtual Server</t>
  </si>
  <si>
    <t xml:space="preserve">Intelligent Operations Management Hostnames													</t>
  </si>
  <si>
    <t>Days</t>
  </si>
  <si>
    <t>Kubernetes CIDR Prefix</t>
  </si>
  <si>
    <t>MGMT SSO Domain</t>
  </si>
  <si>
    <t>Tertiary vSphere Distributed Switch: Name</t>
  </si>
  <si>
    <r>
      <t xml:space="preserve">Protection Group Name </t>
    </r>
    <r>
      <rPr>
        <i/>
        <sz val="12"/>
        <color theme="1"/>
        <rFont val="Arial"/>
        <family val="2"/>
      </rPr>
      <t>(vRSLCM &amp; Clustered WSA)</t>
    </r>
  </si>
  <si>
    <t>Other Region Management AZ1 CIDR Prefx</t>
  </si>
  <si>
    <t>MGMT SSO Domain Username</t>
  </si>
  <si>
    <t xml:space="preserve">Tertiary vSphere Distributed Switch: MTU </t>
  </si>
  <si>
    <r>
      <t xml:space="preserve">Recovery Plan Name </t>
    </r>
    <r>
      <rPr>
        <i/>
        <sz val="12"/>
        <color theme="1"/>
        <rFont val="Arial"/>
        <family val="2"/>
      </rPr>
      <t>(vRSLCM &amp; Clustered WSA)</t>
    </r>
  </si>
  <si>
    <t>Portable Component Prefix</t>
  </si>
  <si>
    <t>flt</t>
  </si>
  <si>
    <t>VCF Instance Name</t>
  </si>
  <si>
    <t>Tertiary vSphere Distributed Switch: Uplinks Used</t>
  </si>
  <si>
    <t>Protection Group Name (VMware Aria Operations)</t>
  </si>
  <si>
    <t>Tertiary vSphere Distributed Switch: Number of Uplinks</t>
  </si>
  <si>
    <t>Aria Operatons replica</t>
  </si>
  <si>
    <t>Recovery Plan Name (VMware Aria Operations)</t>
  </si>
  <si>
    <t>MGMT Domain Switch Configuration Primary Cluster  VDS</t>
  </si>
  <si>
    <t>Tertiary vSphere Distributed Switch: LBT</t>
  </si>
  <si>
    <t>Aria Operatons data node</t>
  </si>
  <si>
    <t>Protection Group Name (VMware Aria Automation)</t>
  </si>
  <si>
    <t xml:space="preserve">Prefix FLT </t>
  </si>
  <si>
    <t>Tertiary vSphere Distributed Switch: Traffic Type</t>
  </si>
  <si>
    <t>Recovery Plan Name (VMware Aria Automation)</t>
  </si>
  <si>
    <t>vSphere Distributed Switch Profile</t>
  </si>
  <si>
    <t>Management Portgroup Name</t>
  </si>
  <si>
    <t>Existing: Recovery Site vCenter FQDN</t>
  </si>
  <si>
    <t xml:space="preserve">Workload Domain Storage Configuration Primary Cluster </t>
  </si>
  <si>
    <t xml:space="preserve">Intelligent Operations Management FQDNs													</t>
  </si>
  <si>
    <t>Existing: Recovery Site vCenter Username</t>
  </si>
  <si>
    <t xml:space="preserve">Site Protection and DR </t>
  </si>
  <si>
    <t>Existing: Recovery Site vCenter Password</t>
  </si>
  <si>
    <t>Permutation Calculations</t>
  </si>
  <si>
    <t>Primary vSphere Distributed Switch: Uplink #1</t>
  </si>
  <si>
    <t>vSAN: Datastore Name</t>
  </si>
  <si>
    <t xml:space="preserve">Cluster Name </t>
  </si>
  <si>
    <t>Existing: Recovery Site SDDC Manager Domain</t>
  </si>
  <si>
    <t xml:space="preserve">Primary vSphere Distributed Switch: Uplink #2 </t>
  </si>
  <si>
    <t>vSAN: Failures to Tolerate (FTT)</t>
  </si>
  <si>
    <t>vLCM Image</t>
  </si>
  <si>
    <t>DNS 1</t>
  </si>
  <si>
    <t>Existing: Recovery Site NSX Location Name</t>
  </si>
  <si>
    <t>spr_mo_result</t>
  </si>
  <si>
    <t>Active Directory Parent Users</t>
  </si>
  <si>
    <t>DNS 2</t>
  </si>
  <si>
    <t>Existing: Recovery Site NSX Edge Cluster Name</t>
  </si>
  <si>
    <t>spr_wo_result</t>
  </si>
  <si>
    <t>DNS Parent Zone</t>
  </si>
  <si>
    <t>Existing: Recovery Site vSphere Cluster Name</t>
  </si>
  <si>
    <t>spr_mw_result</t>
  </si>
  <si>
    <t>svc-vrops-vsphere</t>
  </si>
  <si>
    <t>fleet manager fqdn</t>
  </si>
  <si>
    <t>Existing: Recovery Site Target Datastore</t>
  </si>
  <si>
    <t>protected_mgmt_result</t>
  </si>
  <si>
    <t>svc-vrops-vsan</t>
  </si>
  <si>
    <t>ops node fqdn</t>
  </si>
  <si>
    <t>Existing: Target vSphere Replication Network CIDR</t>
  </si>
  <si>
    <t>recovery_mgmt_result</t>
  </si>
  <si>
    <t>Secondary vSphere Distributed Switch: Uplinks #1</t>
  </si>
  <si>
    <t>Storage Policy</t>
  </si>
  <si>
    <t>svc-vrops-nsx</t>
  </si>
  <si>
    <t>&lt;vcf_operations_replica_node_fqdn&gt;</t>
  </si>
  <si>
    <t>Site Protection &amp; DR IP Addreses (Management Domain)</t>
  </si>
  <si>
    <t>Existing: SSO Membership</t>
  </si>
  <si>
    <t>protected_wld_result</t>
  </si>
  <si>
    <t>Secondary vSphere Distributed Switch: Uplinks #2</t>
  </si>
  <si>
    <t>&lt;vcf_operations_data_node_fqdn&gt;</t>
  </si>
  <si>
    <t>first_domain_mgmt_only_viable</t>
  </si>
  <si>
    <t>Workload Domain Hostnames (Witness AZ)</t>
  </si>
  <si>
    <t>svc-vrli-wsa</t>
  </si>
  <si>
    <t>&lt;vcf_operations_logs_primary_node_fqdn&gt;</t>
  </si>
  <si>
    <t>vSphere Replication Management IP</t>
  </si>
  <si>
    <t>first_domain_mgmt_vi_viable</t>
  </si>
  <si>
    <t>&lt;vcf_operations_logs_worker_node1_fqdn&gt;</t>
  </si>
  <si>
    <t>vSphere Replication Replication IP</t>
  </si>
  <si>
    <t>non_first_domain_mgmt_only_viable</t>
  </si>
  <si>
    <t>&lt;vcf_operations_logs_worker_node2_fqdn&gt;</t>
  </si>
  <si>
    <r>
      <t>Site Recovery Manager</t>
    </r>
    <r>
      <rPr>
        <i/>
        <sz val="12"/>
        <color theme="1"/>
        <rFont val="Arial"/>
        <family val="2"/>
      </rPr>
      <t xml:space="preserve"> </t>
    </r>
    <r>
      <rPr>
        <b/>
        <sz val="12"/>
        <color theme="1"/>
        <rFont val="Arial"/>
        <family val="2"/>
      </rPr>
      <t>Management IP</t>
    </r>
  </si>
  <si>
    <t>non_first_domain_mgmt_vi_viable</t>
  </si>
  <si>
    <t>&lt;vcf_operations_network_platform_node1_fqdn&gt;</t>
  </si>
  <si>
    <t>Recovery T1 Service Interface IP</t>
  </si>
  <si>
    <t>vi_only_viable</t>
  </si>
  <si>
    <t>Tertiary vSphere Distributed Switch: Uplinks #1</t>
  </si>
  <si>
    <t>&lt;vcf_operations_network_platform_node2_fqdn&gt;</t>
  </si>
  <si>
    <t>vcf_vi_wld_domain_count</t>
  </si>
  <si>
    <t>Tertiary vSphere Distributed Switch: Uplinks #2</t>
  </si>
  <si>
    <t xml:space="preserve">Workload Domain VI Inputs (Secondary Availability Zone)								</t>
  </si>
  <si>
    <t>&lt;vcf_operations_network_platform_node3_fqdn&gt;</t>
  </si>
  <si>
    <t>Site Protection &amp; DR IP Addreses (Workload Domain)</t>
  </si>
  <si>
    <t>vcf_vi_isolated_domain_count</t>
  </si>
  <si>
    <t xml:space="preserve">Automation FQDN </t>
  </si>
  <si>
    <t>mgmt_consolidated_result</t>
  </si>
  <si>
    <t>ESXi Node 1 SDDC ID</t>
  </si>
  <si>
    <t>ESXi Node 2 SDDC ID</t>
  </si>
  <si>
    <t>Active Directory Passwords</t>
  </si>
  <si>
    <t xml:space="preserve">Cluster </t>
  </si>
  <si>
    <t>NSX Operational Mode</t>
  </si>
  <si>
    <t>ESXi Node 3 SDDC ID</t>
  </si>
  <si>
    <t>DLR FQDN</t>
  </si>
  <si>
    <t xml:space="preserve">NSX Operation Mode Chosen </t>
  </si>
  <si>
    <t>ESXi Node 4 SDDC ID</t>
  </si>
  <si>
    <t>SSO Domain</t>
  </si>
  <si>
    <t>WLD Cluster SDDC ID</t>
  </si>
  <si>
    <t>Fleet Manager hostname</t>
  </si>
  <si>
    <t>Site Protection &amp; DR Hostnames (Management Domain)</t>
  </si>
  <si>
    <t xml:space="preserve">MGMT Domain Storage Configuration Primary Cluster </t>
  </si>
  <si>
    <t>ops node hostname</t>
  </si>
  <si>
    <t>&lt;vcf_operations_replica_node_ hostname</t>
  </si>
  <si>
    <t xml:space="preserve">Principal Storage </t>
  </si>
  <si>
    <t xml:space="preserve">Workload Domain VI Inputs (Witness Availability Zone)								</t>
  </si>
  <si>
    <t>&lt;vcf_operations_data_node_ hostname</t>
  </si>
  <si>
    <t>Site Recovery Manager</t>
  </si>
  <si>
    <t>&lt;vcf_operations_logs_primary_node_ hostname</t>
  </si>
  <si>
    <t>vSAN Datastore FTT</t>
  </si>
  <si>
    <t>&lt;vcf_operations_logs_worker_node1_hostname</t>
  </si>
  <si>
    <t>Site Protection &amp; DR Hostnames (Workload Domain)</t>
  </si>
  <si>
    <t>&lt;vcf_operations_logs_worker_node2_ hostname</t>
  </si>
  <si>
    <t>&lt;vcf_operations_network_platform_node1_ hostname</t>
  </si>
  <si>
    <t>Witness DNS</t>
  </si>
  <si>
    <t>&lt;vcf_operations_network_platform_node2_ hostname</t>
  </si>
  <si>
    <t>NFS Server Bound To NIC</t>
  </si>
  <si>
    <t>&lt;vcf_operations_network_platform_node3 hostname</t>
  </si>
  <si>
    <t xml:space="preserve">Witness NTP </t>
  </si>
  <si>
    <t xml:space="preserve">vSAN Datastore </t>
  </si>
  <si>
    <t>Site Protection &amp; DR FQDNs (Management Domain)</t>
  </si>
  <si>
    <t>Management</t>
  </si>
  <si>
    <t xml:space="preserve">Network Resource Pool </t>
  </si>
  <si>
    <t>Log Resource Pool</t>
  </si>
  <si>
    <t>Workload Domain IP Addresses (Witness AZ)</t>
  </si>
  <si>
    <t xml:space="preserve">Recovery Port Group </t>
  </si>
  <si>
    <t>Edge Form Factor Size</t>
  </si>
  <si>
    <t>Recobvery Network Gateway</t>
  </si>
  <si>
    <t>Edge Cluster MTU</t>
  </si>
  <si>
    <t>Recobvery Network Mask</t>
  </si>
  <si>
    <t>Site Protection &amp; DR FQDNs (Workload Domain)</t>
  </si>
  <si>
    <t>MGMT Edge Cluster Resource Pool</t>
  </si>
  <si>
    <t>VM Management</t>
  </si>
  <si>
    <t xml:space="preserve">Site Pair </t>
  </si>
  <si>
    <t>MGMT Host Group Affinity Host</t>
  </si>
  <si>
    <t>WLD Witness IP</t>
  </si>
  <si>
    <t>vr username</t>
  </si>
  <si>
    <t>MGMT Host Group Affinity Host name</t>
  </si>
  <si>
    <t>vr password</t>
  </si>
  <si>
    <t>WLD Witness MGMT CIDR</t>
  </si>
  <si>
    <t>MGMT DPG Seperation</t>
  </si>
  <si>
    <t xml:space="preserve">Gatway Routing Type </t>
  </si>
  <si>
    <t xml:space="preserve">VROPS Collecter IP </t>
  </si>
  <si>
    <t>Number of Hosts</t>
  </si>
  <si>
    <t>IP Allocation MGMT</t>
  </si>
  <si>
    <t>vROPS Appliance Size</t>
  </si>
  <si>
    <t>IP Allocation (TEP) Edge #1</t>
  </si>
  <si>
    <t>IP Allocation (TEP) Edge #2</t>
  </si>
  <si>
    <t xml:space="preserve">VI WLD SSO Domian </t>
  </si>
  <si>
    <t xml:space="preserve">Auto-generate Edge passwords </t>
  </si>
  <si>
    <t>Create Password for Edge Cluster</t>
  </si>
  <si>
    <t>Isolated VI Workload Administrator</t>
  </si>
  <si>
    <t xml:space="preserve">VCF Authetication </t>
  </si>
  <si>
    <t>WLD Cluster 1 image Name</t>
  </si>
  <si>
    <t>WLD Edge Connectivity Type - IAAS</t>
  </si>
  <si>
    <t>vSAN Storage Client</t>
  </si>
  <si>
    <t>NSX Admin Password</t>
  </si>
  <si>
    <t xml:space="preserve">NSX Deployment Type </t>
  </si>
  <si>
    <t>Orchestrator FQDN</t>
  </si>
  <si>
    <t>WLD Edge Connectivity Type</t>
  </si>
  <si>
    <t>Passcode</t>
  </si>
  <si>
    <t>WLD Edge Cluster Resource Pool</t>
  </si>
  <si>
    <t>NSX</t>
  </si>
  <si>
    <t>Label</t>
  </si>
  <si>
    <t>WLD Host Group Affinity Host</t>
  </si>
  <si>
    <t>WLD Host Group Affinity Host name en01</t>
  </si>
  <si>
    <t>WLD Host Group Affinity Host name en02</t>
  </si>
  <si>
    <t xml:space="preserve">WLD Edges Share host Overlay </t>
  </si>
  <si>
    <t xml:space="preserve">WLD Gatway Routing Type </t>
  </si>
  <si>
    <t>WLD NSX Operational Mode</t>
  </si>
  <si>
    <t xml:space="preserve">Enhanced Datapath </t>
  </si>
  <si>
    <t>WLD Password Creation</t>
  </si>
  <si>
    <t>WLD Edge #1 Overlay Ip Allocation</t>
  </si>
  <si>
    <t>WLD Edge #1 MGMT IP Allocation</t>
  </si>
  <si>
    <t>WLD Edge #2 Overlay Ip Allocation</t>
  </si>
  <si>
    <t>WLD Edge #2 MGMT IP Allocation</t>
  </si>
  <si>
    <t>IAAS Service Chosen</t>
  </si>
  <si>
    <t>VCF Auth Identity Provider</t>
  </si>
  <si>
    <t xml:space="preserve">Create new Static Pool </t>
  </si>
  <si>
    <t>VCF Auth Directory Name</t>
  </si>
  <si>
    <t xml:space="preserve">Default NSX Operation Chosen </t>
  </si>
  <si>
    <t>VCF Auth Server Location</t>
  </si>
  <si>
    <t xml:space="preserve">vSAN Type </t>
  </si>
  <si>
    <t xml:space="preserve">VCF Auth Global Catalogue </t>
  </si>
  <si>
    <t xml:space="preserve">Copy vDS Profile </t>
  </si>
  <si>
    <t xml:space="preserve">Management </t>
  </si>
  <si>
    <t xml:space="preserve">VCF Auth Encrypted Connection </t>
  </si>
  <si>
    <t>Witness vCenter FQDN</t>
  </si>
  <si>
    <t xml:space="preserve">VCF Auth Encryption Cert </t>
  </si>
  <si>
    <t>Witness vCenter</t>
  </si>
  <si>
    <t>VCF Auth Primary Domain Controller</t>
  </si>
  <si>
    <t>Witness vCenter hostname</t>
  </si>
  <si>
    <t>VCF Auth Primary Domain Controller Port</t>
  </si>
  <si>
    <t>Active  uplink1</t>
  </si>
  <si>
    <t xml:space="preserve">MGMT Witness MTU </t>
  </si>
  <si>
    <t>VCF Auth Secondary Domain Controller</t>
  </si>
  <si>
    <t>WLD NSX Admin Password</t>
  </si>
  <si>
    <t xml:space="preserve">MGMT Witness vLAN </t>
  </si>
  <si>
    <t xml:space="preserve">VCF Auth Secondary Domain Controller Port </t>
  </si>
  <si>
    <t>WLD NSX Root Password</t>
  </si>
  <si>
    <t xml:space="preserve">MGMT Witness Port Group </t>
  </si>
  <si>
    <t xml:space="preserve">VCF Auth Directory Search </t>
  </si>
  <si>
    <t>Workload Domain Edge Cluster MTU</t>
  </si>
  <si>
    <t>Brownfield WLD Import</t>
  </si>
  <si>
    <t>VCF Auth Base DN</t>
  </si>
  <si>
    <t xml:space="preserve">VCF Auth Bind Username </t>
  </si>
  <si>
    <t>VCF Auth Bind Password</t>
  </si>
  <si>
    <t xml:space="preserve">Witness IP </t>
  </si>
  <si>
    <t>VCF Auth Username</t>
  </si>
  <si>
    <t>Witness CIDR</t>
  </si>
  <si>
    <t>VCF Auth First Name</t>
  </si>
  <si>
    <t>Witness Gateway</t>
  </si>
  <si>
    <t>VCF Auth Last Name</t>
  </si>
  <si>
    <t>SFTP Sever</t>
  </si>
  <si>
    <t>VCF Auth Distinguised Name</t>
  </si>
  <si>
    <t>VCF Auth Employee ID</t>
  </si>
  <si>
    <t xml:space="preserve">VCF operations for Logs </t>
  </si>
  <si>
    <t>VCF Auth Email</t>
  </si>
  <si>
    <t>VCF Auth Principal name</t>
  </si>
  <si>
    <t>VCF Auth Group base DN</t>
  </si>
  <si>
    <t>VCF Auth User base dn</t>
  </si>
  <si>
    <t>MGMT Domain Hostnames (Witness AZ)</t>
  </si>
  <si>
    <t>Randsomware Recovery</t>
  </si>
  <si>
    <t>MGMT vCenter</t>
  </si>
  <si>
    <t xml:space="preserve">Management Domain VI Inputs (Secondary Availability Zone)								</t>
  </si>
  <si>
    <t>Protected vCenter</t>
  </si>
  <si>
    <t>VLR Hostname</t>
  </si>
  <si>
    <t>VLR FQDN</t>
  </si>
  <si>
    <t>Storage Cluster</t>
  </si>
  <si>
    <t xml:space="preserve">Cluster Strecthed Cluster  							</t>
  </si>
  <si>
    <t xml:space="preserve">Storage Cluster VDS </t>
  </si>
  <si>
    <t xml:space="preserve">Management Domain VI Inputs (Witness Availability Zone)								</t>
  </si>
  <si>
    <t>Node Gateway</t>
  </si>
  <si>
    <t>Recovery Workload AZ1 CIDR Prefix</t>
  </si>
  <si>
    <t>Recovery Site VRMS Gateway</t>
  </si>
  <si>
    <t>Recovery Site VRMS Cidr</t>
  </si>
  <si>
    <t>Management Domain IP Addresses (Witness AZ)</t>
  </si>
  <si>
    <t xml:space="preserve">Proteected Site VRMS Mask </t>
  </si>
  <si>
    <t xml:space="preserve">VSLR Username </t>
  </si>
  <si>
    <t>vSAN Witness IP</t>
  </si>
  <si>
    <t>Management Domain Accounts and Passwords</t>
  </si>
  <si>
    <t>ESX Root Account</t>
  </si>
  <si>
    <t>ESX Root Password</t>
  </si>
  <si>
    <t>vMotion VLAN ID</t>
  </si>
  <si>
    <t>VIP IP</t>
  </si>
  <si>
    <t>VCF Automation Root Password</t>
  </si>
  <si>
    <t>AZ Network - vMotion</t>
  </si>
  <si>
    <t>VCF Operations Admin Password</t>
  </si>
  <si>
    <t>VCF OPS Root Password</t>
  </si>
  <si>
    <t>Fleet Manager Admin Password</t>
  </si>
  <si>
    <t xml:space="preserve">VCF Networks for Network </t>
  </si>
  <si>
    <t>WLD administrator@vsphere.local Password</t>
  </si>
  <si>
    <t xml:space="preserve">vSAN Network </t>
  </si>
  <si>
    <t>MGMT NSX Admin Password</t>
  </si>
  <si>
    <t>vSAN VLAN ID</t>
  </si>
  <si>
    <t>MGMT NSX Root Password</t>
  </si>
  <si>
    <t xml:space="preserve">AZ Network - Princpal Storage </t>
  </si>
  <si>
    <t>vSAN Client Network</t>
  </si>
  <si>
    <t>NFS VLAN ID</t>
  </si>
  <si>
    <t>Network -  Secondary Storage</t>
  </si>
  <si>
    <t>MGMT Edge Node 1 Uplink Mapping fp-eth0 uplink0</t>
  </si>
  <si>
    <t>MGMT Edge Node 1 Uplink Mapping fp-eth0 uplink1</t>
  </si>
  <si>
    <t>MGMT Edge Node 1 Uplink Mapping fp-eth1 uplink0</t>
  </si>
  <si>
    <t>MGMT Edge Node 1 Uplink Mapping fp-eth1 uplink1</t>
  </si>
  <si>
    <t>FQDN - Proxy</t>
  </si>
  <si>
    <t>MGMT Edge Node 2 Uplink Mapping fp-eth0 uplink0</t>
  </si>
  <si>
    <t>MGMT Edge Node 2 Uplink Mapping fp-eth0 uplink1</t>
  </si>
  <si>
    <t>MGMT Edge Node 2 Uplink Mapping fp-eth1 uplink0</t>
  </si>
  <si>
    <t>MGMT Edge Node 2 Uplink Mapping fp-eth1 uplink1</t>
  </si>
  <si>
    <t>IP - Proxy</t>
  </si>
  <si>
    <t>HOSTNAME - Platform Node #1</t>
  </si>
  <si>
    <t>WLD Edge Node 1 Uplink Mapping fp-eth0 uplink0</t>
  </si>
  <si>
    <t>WLD Edge Node 1 Uplink Mapping fp-eth0 uplink1</t>
  </si>
  <si>
    <t>WLD Edge Node 1 Uplink Mapping fp-eth1 uplink0</t>
  </si>
  <si>
    <t>HOSTNAME - Proxy</t>
  </si>
  <si>
    <t>WLD Edge Node 1 Uplink Mapping fp-eth1 uplink1</t>
  </si>
  <si>
    <t>WLD Edge Node 2 Uplink Mapping fp-eth0 uplink0</t>
  </si>
  <si>
    <t>WLD Edge Node 2 Uplink Mapping fp-eth0 uplink1</t>
  </si>
  <si>
    <t>WLD Edge Node 2 Uplink Mapping fp-eth1 uplink0</t>
  </si>
  <si>
    <t>WLD Edge Node 2 Uplink Mapping fp-eth1 uplink1</t>
  </si>
  <si>
    <t>vSAN Witness Zone - MGMT VLAN ID</t>
  </si>
  <si>
    <t>vSAN Witness Zone - MGMT Gateway</t>
  </si>
  <si>
    <t>vSAN Witness Zone - MGMT CIDR Notation</t>
  </si>
  <si>
    <t>vSAN Witness Zone - MGMT MTU</t>
  </si>
  <si>
    <t>secondaryAzOverlayVlanId</t>
  </si>
  <si>
    <t>Host  1 FQDN - AZ2</t>
  </si>
  <si>
    <t>Host 2 FQDN - AZ2</t>
  </si>
  <si>
    <t>Host 3 FQDN - AZ2</t>
  </si>
  <si>
    <t>Host 4 FQDN  - AZ2</t>
  </si>
  <si>
    <t>Host 5 FQDN - AZ2</t>
  </si>
  <si>
    <t>Host 6 FQDN - AZ2</t>
  </si>
  <si>
    <t>Host 7 FQDN - AZ2</t>
  </si>
  <si>
    <t>Host 8 FQDN - AZ2</t>
  </si>
  <si>
    <t>Host 9 FQDN - AZ2</t>
  </si>
  <si>
    <t>Host 10 FQDN - AZ2</t>
  </si>
  <si>
    <t>Host 11 FQDN - AZ2</t>
  </si>
  <si>
    <t>Host 12 FQDN - AZ2</t>
  </si>
  <si>
    <t>Host 13 FQDN - AZ2</t>
  </si>
  <si>
    <t>Host 14 FQDN - AZ2</t>
  </si>
  <si>
    <t>Host 15 FQDN - AZ2</t>
  </si>
  <si>
    <t>Host 16 FQDN - AZ2</t>
  </si>
  <si>
    <t>VCF Automation FQDN</t>
  </si>
  <si>
    <t>Configure VCF  Automation  {Fleet Manager}</t>
  </si>
  <si>
    <t>Select Subnet</t>
  </si>
  <si>
    <t>Node portgroup</t>
  </si>
  <si>
    <t>Password Alias</t>
  </si>
  <si>
    <t>Password Description</t>
  </si>
  <si>
    <t>Static Reference Tables</t>
  </si>
  <si>
    <t>The following values are used for lookups throughout the rest of the workbook</t>
  </si>
  <si>
    <t>Sizing Value References</t>
  </si>
  <si>
    <t>Include / Exclude</t>
  </si>
  <si>
    <t>Constant</t>
  </si>
  <si>
    <t>vCenter Appliance Size List</t>
  </si>
  <si>
    <t>Tiny</t>
  </si>
  <si>
    <t>Excluded</t>
  </si>
  <si>
    <t>Yes / No</t>
  </si>
  <si>
    <t xml:space="preserve">Instance </t>
  </si>
  <si>
    <t>First Instance</t>
  </si>
  <si>
    <t>Additional Instance</t>
  </si>
  <si>
    <t>Yes</t>
  </si>
  <si>
    <t>Deploy a new VCF fleet</t>
  </si>
  <si>
    <t>Deploy a VCF Instance in an existing VCF fleet</t>
  </si>
  <si>
    <t>X-Large</t>
  </si>
  <si>
    <t>vCenter Storage Size List</t>
  </si>
  <si>
    <t>Create Cluster</t>
  </si>
  <si>
    <t>None</t>
  </si>
  <si>
    <t>Full Instance</t>
  </si>
  <si>
    <t>One Or More VVDs</t>
  </si>
  <si>
    <t>NSX-T Manager Size List</t>
  </si>
  <si>
    <t>Extra_Small</t>
  </si>
  <si>
    <t>None Chosen</t>
  </si>
  <si>
    <t>Workload Domain</t>
  </si>
  <si>
    <t>NSX-T Edge Size List</t>
  </si>
  <si>
    <t>vCenter Size</t>
  </si>
  <si>
    <t>Supported Limits</t>
  </si>
  <si>
    <t>10 Hosts 100 VMs</t>
  </si>
  <si>
    <t>Lookup Tables</t>
  </si>
  <si>
    <t>100 Hosts 1000 VMs</t>
  </si>
  <si>
    <t>400 Hosts - 4000 VM</t>
  </si>
  <si>
    <t>CPU</t>
  </si>
  <si>
    <t>1000 Hosts - 10000 VMs</t>
  </si>
  <si>
    <t>RAM</t>
  </si>
  <si>
    <t>2000 Hosts - 35000 VMS</t>
  </si>
  <si>
    <t>Disk</t>
  </si>
  <si>
    <t>vCenter Appliance CPU</t>
  </si>
  <si>
    <t>NSX Size</t>
  </si>
  <si>
    <t>Cloud Service Manager Only</t>
  </si>
  <si>
    <t>POC only</t>
  </si>
  <si>
    <t>128 Hosts - 5 vSphere Clusters</t>
  </si>
  <si>
    <t>1024 Hosts - 256 vSphere Clusters</t>
  </si>
  <si>
    <t>2048 Hosts - 512 vSphere Clusters</t>
  </si>
  <si>
    <t>vCenter Appliance RAM</t>
  </si>
  <si>
    <t>vSAN MAX VDS Profile</t>
  </si>
  <si>
    <t>Standard VDS Profile</t>
  </si>
  <si>
    <t>VVF VDS Profile</t>
  </si>
  <si>
    <t>vSAN Max Storage Traffic Separation</t>
  </si>
  <si>
    <t>vCenter Disk</t>
  </si>
  <si>
    <t>vSAN Max Storage Traffic and NSX Traffic Separation</t>
  </si>
  <si>
    <t>Storage Traffic Separation</t>
  </si>
  <si>
    <t>TinyDefault</t>
  </si>
  <si>
    <t>NSX Traffic Separation</t>
  </si>
  <si>
    <t>Custom Switch Configuration</t>
  </si>
  <si>
    <t>TinyLarge</t>
  </si>
  <si>
    <t>Storage Traffic and NSX Traffic Separation</t>
  </si>
  <si>
    <t>SmallDefault</t>
  </si>
  <si>
    <t>SmallLarge</t>
  </si>
  <si>
    <t>MediumDefault</t>
  </si>
  <si>
    <t>MediumLarge</t>
  </si>
  <si>
    <t>LargeDefault</t>
  </si>
  <si>
    <t>LargeLarge</t>
  </si>
  <si>
    <t>NSX-T Manager CPU</t>
  </si>
  <si>
    <t>NSX-T Manager RAM</t>
  </si>
  <si>
    <t>NSX-T Manager Disk</t>
  </si>
  <si>
    <t>NSX-T Edge CPU</t>
  </si>
  <si>
    <t>NSX-T Edge RAM</t>
  </si>
  <si>
    <t>NSX-T Edge Disk</t>
  </si>
  <si>
    <t>Extra Small</t>
  </si>
  <si>
    <t>Extra Large</t>
  </si>
  <si>
    <t>VCF Automation CPU</t>
  </si>
  <si>
    <t>VCF Automation RAM</t>
  </si>
  <si>
    <t>VCF Automation Disk</t>
  </si>
  <si>
    <t>vRLI CPU</t>
  </si>
  <si>
    <t>vRLI RAM</t>
  </si>
  <si>
    <t>vRLI Disk</t>
  </si>
  <si>
    <t>VCF Operations CPU</t>
  </si>
  <si>
    <t>VCF Operations RAM</t>
  </si>
  <si>
    <t>VCF Operations Disk</t>
  </si>
  <si>
    <t>VCF Operations Proxy CPU</t>
  </si>
  <si>
    <t>VCF Operations Proxy RAM</t>
  </si>
  <si>
    <t>VCF Operations Proxy Disk</t>
  </si>
  <si>
    <t>VRMS CPU</t>
  </si>
  <si>
    <t>Light</t>
  </si>
  <si>
    <t>VRMS RAM</t>
  </si>
  <si>
    <t>VRMS Disk</t>
  </si>
  <si>
    <t>SRM CPU</t>
  </si>
  <si>
    <t>SRM RAM</t>
  </si>
  <si>
    <t>SRM Disk</t>
  </si>
  <si>
    <t>Health Reporting and Monitoring - HVM</t>
  </si>
  <si>
    <t>VCF Operations for networks CPU</t>
  </si>
  <si>
    <t>VCF Operations for networks RAM</t>
  </si>
  <si>
    <t xml:space="preserve">VCF Operations for networks DISK </t>
  </si>
  <si>
    <t>VCF Operations for networks - Collector CPU</t>
  </si>
  <si>
    <t>VCF Operations for networks - Collector RAM</t>
  </si>
  <si>
    <t xml:space="preserve">VCF Operations for networks - Collecter DISK </t>
  </si>
  <si>
    <t>Cloud-Based Ransomware</t>
  </si>
  <si>
    <t>Cross-Cloud Mobility - HCX Conn</t>
  </si>
  <si>
    <t>AVI Load Balancer CPU</t>
  </si>
  <si>
    <t>AVI Load Balancer Ram</t>
  </si>
  <si>
    <t>AVI Load Balancer Disk</t>
  </si>
  <si>
    <t>SSP CPU</t>
  </si>
  <si>
    <t xml:space="preserve">SSP RAM </t>
  </si>
  <si>
    <t>SSP Disk</t>
  </si>
  <si>
    <t>Mask</t>
  </si>
  <si>
    <t>255.255.255.255</t>
  </si>
  <si>
    <t>255.255.255.254</t>
  </si>
  <si>
    <t>255.255.255.252</t>
  </si>
  <si>
    <t>255.255.255.248</t>
  </si>
  <si>
    <t>255.255.255.240</t>
  </si>
  <si>
    <t>255.255.255.224</t>
  </si>
  <si>
    <t>255.255.255.192</t>
  </si>
  <si>
    <t>255.255.255.128</t>
  </si>
  <si>
    <t>255.255.254.0</t>
  </si>
  <si>
    <t>255.255.252.0</t>
  </si>
  <si>
    <t>255.255.248.0</t>
  </si>
  <si>
    <t>255.255.240.0</t>
  </si>
  <si>
    <t>255.255.224.0</t>
  </si>
  <si>
    <t>255.255.192.0</t>
  </si>
  <si>
    <t>255.255.128.0</t>
  </si>
  <si>
    <t>255.255.0.0</t>
  </si>
  <si>
    <t>255.254.0.0</t>
  </si>
  <si>
    <t>255.252.0.0</t>
  </si>
  <si>
    <t>255.248.0.0</t>
  </si>
  <si>
    <t>255.240.0.0</t>
  </si>
  <si>
    <t>255.224.0.0</t>
  </si>
  <si>
    <t>255.192.0.0</t>
  </si>
  <si>
    <t>255.128.0.0</t>
  </si>
  <si>
    <t>255.0.0.0</t>
  </si>
  <si>
    <t>254.0.0.0</t>
  </si>
  <si>
    <t>252.0.0.0</t>
  </si>
  <si>
    <t>248.0.0.0</t>
  </si>
  <si>
    <t>240.0.0.0</t>
  </si>
  <si>
    <t>224.0.0.0</t>
  </si>
  <si>
    <t>192.0.0.0</t>
  </si>
  <si>
    <t>128.0.0.0</t>
  </si>
  <si>
    <t>0.0.0.0</t>
  </si>
  <si>
    <t>NSX-T Deployment</t>
  </si>
  <si>
    <t>Shared</t>
  </si>
  <si>
    <t>Dedicated - Single Node</t>
  </si>
  <si>
    <t>Dedicated - HA Cluster</t>
  </si>
  <si>
    <t>AMD Opteron Generation 1 (Rev. E)</t>
  </si>
  <si>
    <t>AMD Opteron Generation 2 (Rev. F)</t>
  </si>
  <si>
    <t>AMD Opteron Generation 3 (Greyhound)</t>
  </si>
  <si>
    <t>AMD Opteron Generation 3 (no 3Dnow!) (Greyhound)</t>
  </si>
  <si>
    <t>AMD Opteron Generation 4 (Bulldozer)</t>
  </si>
  <si>
    <t>AMD Opteron "Piledriver" Generation</t>
  </si>
  <si>
    <t>AMD Opteron "Steamroller" Generation</t>
  </si>
  <si>
    <t>AMD "Zen" Generation</t>
  </si>
  <si>
    <t>AMD "Zen 2" Generation</t>
  </si>
  <si>
    <t>AMD "Zen 3" Generation</t>
  </si>
  <si>
    <t>AMD "Zen 4" Generation</t>
  </si>
  <si>
    <t>Intel "Merom" Generation (Intel Xeon Core 2)</t>
  </si>
  <si>
    <t>Intel "Penryn" Generation (Intel Xeon 45nm Core2)</t>
  </si>
  <si>
    <t>Intel "Nehalem" Generation (Intel Xeon Core i7)</t>
  </si>
  <si>
    <t>Intel "Westmere" Generation (Intel Xeon 32nm Core i7)</t>
  </si>
  <si>
    <t>Intel "Sandy Bridge" Generation</t>
  </si>
  <si>
    <t>Intel "Ivy Bridge" Generation</t>
  </si>
  <si>
    <t>Intel "Haswell" Generation</t>
  </si>
  <si>
    <t>Intel "Broadwell" Generation</t>
  </si>
  <si>
    <t>Intel "Skylake" Generation</t>
  </si>
  <si>
    <t>Intel "Cascade Lake" Generation</t>
  </si>
  <si>
    <t>Intel "Ice Lake" Generation</t>
  </si>
  <si>
    <t>Intel "Sapphire Rapids" Generation</t>
  </si>
  <si>
    <t>MGMT Domain 5.x Storage Option</t>
  </si>
  <si>
    <t>vSAN-OSA</t>
  </si>
  <si>
    <t>WLD Domain 5.x Storage Option</t>
  </si>
  <si>
    <t>vSAN Storage Cluster</t>
  </si>
  <si>
    <t>vSAN Compute Cluster</t>
  </si>
  <si>
    <t>NFSv3</t>
  </si>
  <si>
    <t>VMFS on Fibre Channel (FC)</t>
  </si>
  <si>
    <t>vSphere Lifecycle Manager - OSA</t>
  </si>
  <si>
    <t>Images</t>
  </si>
  <si>
    <t>Baselines</t>
  </si>
  <si>
    <t>vSphere Lifecycle Manager  - ESA</t>
  </si>
  <si>
    <t xml:space="preserve">AWS Regions </t>
  </si>
  <si>
    <t>Asia Pacific (Osaka)</t>
  </si>
  <si>
    <t>Asia Pacific (Mumbai)</t>
  </si>
  <si>
    <t>Asia Pacific (Hyderabad)</t>
  </si>
  <si>
    <t>Asia Pacific (Singapore)</t>
  </si>
  <si>
    <t>Asia Pacific (Sydney)</t>
  </si>
  <si>
    <t>Asia Pacific (Jakarta)</t>
  </si>
  <si>
    <t>Asia Pacific (Melbourne)</t>
  </si>
  <si>
    <t>Canada (Central)</t>
  </si>
  <si>
    <t>China (Beijing)</t>
  </si>
  <si>
    <t>China (Ningxia)</t>
  </si>
  <si>
    <t>Europe (Frankfurt)</t>
  </si>
  <si>
    <t>Europe (Zurich)</t>
  </si>
  <si>
    <t>Europe (Stockholm)</t>
  </si>
  <si>
    <t>Europe (Milan)</t>
  </si>
  <si>
    <t>Europe (Spain)</t>
  </si>
  <si>
    <t>Europe (Ireland)</t>
  </si>
  <si>
    <t>Europe (London)</t>
  </si>
  <si>
    <t>Europe (Paris)</t>
  </si>
  <si>
    <t>Israel (Tel Aviv)</t>
  </si>
  <si>
    <t>Middle East (UAE)</t>
  </si>
  <si>
    <t>Middle East (Bahrain)</t>
  </si>
  <si>
    <t>South America (Sao Paulo)</t>
  </si>
  <si>
    <t>US East (N. Virginia)</t>
  </si>
  <si>
    <t>US East (Ohio)</t>
  </si>
  <si>
    <t>AWS GovCloud (US-East)</t>
  </si>
  <si>
    <t>AWS GovCloud (US-West)</t>
  </si>
  <si>
    <t xml:space="preserve">US West (N. California) </t>
  </si>
  <si>
    <t>US West (Oregon)</t>
  </si>
  <si>
    <t xml:space="preserve">Storage FTT </t>
  </si>
  <si>
    <t>Auto-Policy management</t>
  </si>
  <si>
    <t>Cluster Type</t>
  </si>
  <si>
    <t>Dedicated Compute</t>
  </si>
  <si>
    <t>Dedicated Edge</t>
  </si>
  <si>
    <t>Shared Edge and Compute</t>
  </si>
  <si>
    <t>Rack number Include / Exclude</t>
  </si>
  <si>
    <t>Site Protection and Disaster Recovery</t>
  </si>
  <si>
    <t>Management Domain</t>
  </si>
  <si>
    <t>Group / Component</t>
  </si>
  <si>
    <t>Domain</t>
  </si>
  <si>
    <t>Reference Hostname</t>
  </si>
  <si>
    <t>Your Hostname</t>
  </si>
  <si>
    <t>n/a</t>
  </si>
  <si>
    <t>Incoming Storage Traffic Interface for vSphere Replication in Management Domain</t>
  </si>
  <si>
    <t>Management Interface for Site Recovery Manager in Management Domain</t>
  </si>
  <si>
    <t>Recovery NSX Tier-1 Service Interface</t>
  </si>
  <si>
    <t>Management Interface for vSphere Replication in VI Workload Domain</t>
  </si>
  <si>
    <t>Incoming Storage Traffic Interface for vSphere Replication in VI Workload Domain</t>
  </si>
  <si>
    <t>Management Interface for Site Recovery Manager in VI Workload Domain</t>
  </si>
  <si>
    <t>Site Protection and Disaster Recovery Inputs (Common)</t>
  </si>
  <si>
    <t>Recovery Site Details</t>
  </si>
  <si>
    <t>Site Protection and Disaster Recovery Inputs (Management Domain)</t>
  </si>
  <si>
    <t>vSphere Replcation</t>
  </si>
  <si>
    <t>VM Folder Name</t>
  </si>
  <si>
    <t>Initial Root Password</t>
  </si>
  <si>
    <t>Initial Admin Password</t>
  </si>
  <si>
    <t>Site Name</t>
  </si>
  <si>
    <t>Administrator Email Address</t>
  </si>
  <si>
    <t>Portgroup Name</t>
  </si>
  <si>
    <t>P12 Cert File Password</t>
  </si>
  <si>
    <t>Initial Database Password</t>
  </si>
  <si>
    <r>
      <t xml:space="preserve">Protection Group Name </t>
    </r>
    <r>
      <rPr>
        <i/>
        <sz val="12"/>
        <color theme="1"/>
        <rFont val="Arial"/>
        <family val="2"/>
      </rPr>
      <t>(VMware Aria Suite Lifecycle &amp; Clustered WSA)</t>
    </r>
  </si>
  <si>
    <t>Aria Suite Lifecycle &amp; Clustered Workspace ONE Access PG</t>
  </si>
  <si>
    <r>
      <t xml:space="preserve">Recovery Plan Name </t>
    </r>
    <r>
      <rPr>
        <i/>
        <sz val="12"/>
        <color theme="1"/>
        <rFont val="Arial"/>
        <family val="2"/>
      </rPr>
      <t>(VMware Aria Suite Lifecycle &amp; Clustered WSA)</t>
    </r>
  </si>
  <si>
    <t>Aria Suite Lifecycle &amp; Clustered Workspace ONE Access RP</t>
  </si>
  <si>
    <t>Private Cloud Automation PG</t>
  </si>
  <si>
    <t>Private Cloud Automation RP</t>
  </si>
  <si>
    <t>Load Balancer</t>
  </si>
  <si>
    <t>Recovery VMware Aria Load Balancer Deployment Method</t>
  </si>
  <si>
    <t>PowerShell</t>
  </si>
  <si>
    <t>PowerShell recommended to avoid lengthy and error prone UI configuration</t>
  </si>
  <si>
    <t>Existing: Recovery Site SSO Model</t>
  </si>
  <si>
    <t>Same SSO Domain</t>
  </si>
  <si>
    <t>Site Protection and Disaster Recovery Inputs (Workload Domain)</t>
  </si>
  <si>
    <t>Prepare VMware Aria Product for Site Protection</t>
  </si>
  <si>
    <t>Create a Virtual Machine Folder and Move the VMware Aria Suite Lifecycle Virtual Machine in the Protected VMware Cloud Foundation Instance</t>
  </si>
  <si>
    <t>&lt;protected_vcenter_server_fqdn&gt;</t>
  </si>
  <si>
    <t>Folder Name</t>
  </si>
  <si>
    <t>xint-m01-fd-lcm</t>
  </si>
  <si>
    <t>Create Virtual Machine Folders for SDDC Management Components in the Recovery VMware Cloud Foundation Instance</t>
  </si>
  <si>
    <t>&lt;recovery_vcenter_server_fqdn&gt;</t>
  </si>
  <si>
    <t>Folder Name (VMware Aria Suite Lifecycle)</t>
  </si>
  <si>
    <r>
      <t>Folder Name</t>
    </r>
    <r>
      <rPr>
        <i/>
        <sz val="12"/>
        <color theme="1"/>
        <rFont val="Arial"/>
        <family val="2"/>
      </rPr>
      <t xml:space="preserve"> (Clustered Workspace ONE Access)</t>
    </r>
  </si>
  <si>
    <t>xint-m01-fd-idm</t>
  </si>
  <si>
    <t>Folder Name (VMware Aria Operations)</t>
  </si>
  <si>
    <t>xint-m01-fd-operations</t>
  </si>
  <si>
    <r>
      <t xml:space="preserve">Folder Name </t>
    </r>
    <r>
      <rPr>
        <i/>
        <sz val="12"/>
        <color theme="1"/>
        <rFont val="Arial"/>
        <family val="2"/>
      </rPr>
      <t>(VMware Aria Automation)</t>
    </r>
  </si>
  <si>
    <t>xint-m01-fd-automation</t>
  </si>
  <si>
    <t>Create a Standalone Tier-1 Gateway for the Load Balancer in the Recovery VMware Cloud Foundation Instance</t>
  </si>
  <si>
    <t>&lt;active_nsx_gm_fqdn&gt;</t>
  </si>
  <si>
    <t>Recovery Site NSX Location</t>
  </si>
  <si>
    <t>recovery-t1-gw01</t>
  </si>
  <si>
    <t>recovery-t1-gw01-si01</t>
  </si>
  <si>
    <t>IP Address / Mask</t>
  </si>
  <si>
    <t>Segment</t>
  </si>
  <si>
    <t>Scope</t>
  </si>
  <si>
    <t>Enable the Load Balancer Service on the Tier-1 Gateway in the Recovery VMware Cloud Foundation Instance</t>
  </si>
  <si>
    <t>recovery-lb01</t>
  </si>
  <si>
    <t>Import the Certificate of the Clustered Workspace ONE Access in NSX-T Data Center in the Recovery VMware Cloud Foundation Instance</t>
  </si>
  <si>
    <t>Create a Service Monitor for VMware Aria Operations in the Recovery VMware Cloud Foundation Instance</t>
  </si>
  <si>
    <t>vrops-https-monitor</t>
  </si>
  <si>
    <t>Create a Server Pool for VMware Aria Operations in the Recovery VMware Cloud Foundation Instance</t>
  </si>
  <si>
    <t>vrops-server-pool</t>
  </si>
  <si>
    <r>
      <t>Name</t>
    </r>
    <r>
      <rPr>
        <i/>
        <sz val="12"/>
        <color theme="1"/>
        <rFont val="Arial"/>
        <family val="2"/>
      </rPr>
      <t xml:space="preserve"> (Member 1)</t>
    </r>
  </si>
  <si>
    <t>vrops01svr01a</t>
  </si>
  <si>
    <r>
      <t xml:space="preserve">IP </t>
    </r>
    <r>
      <rPr>
        <i/>
        <sz val="12"/>
        <color theme="1"/>
        <rFont val="Arial"/>
        <family val="2"/>
      </rPr>
      <t>(Member 1)</t>
    </r>
  </si>
  <si>
    <r>
      <t>Name</t>
    </r>
    <r>
      <rPr>
        <i/>
        <sz val="12"/>
        <color theme="1"/>
        <rFont val="Arial"/>
        <family val="2"/>
      </rPr>
      <t xml:space="preserve"> (Member 2)</t>
    </r>
  </si>
  <si>
    <t>vrops01svr01b</t>
  </si>
  <si>
    <r>
      <t xml:space="preserve">IP </t>
    </r>
    <r>
      <rPr>
        <i/>
        <sz val="12"/>
        <color theme="1"/>
        <rFont val="Arial"/>
        <family val="2"/>
      </rPr>
      <t>(Member 2)</t>
    </r>
  </si>
  <si>
    <r>
      <t xml:space="preserve">Name </t>
    </r>
    <r>
      <rPr>
        <i/>
        <sz val="12"/>
        <color theme="1"/>
        <rFont val="Arial"/>
        <family val="2"/>
      </rPr>
      <t>(Member 3)</t>
    </r>
  </si>
  <si>
    <t>vrops01svr01c</t>
  </si>
  <si>
    <r>
      <t xml:space="preserve">IP </t>
    </r>
    <r>
      <rPr>
        <i/>
        <sz val="12"/>
        <color theme="1"/>
        <rFont val="Arial"/>
        <family val="2"/>
      </rPr>
      <t>(Member 3)</t>
    </r>
  </si>
  <si>
    <r>
      <t>Name</t>
    </r>
    <r>
      <rPr>
        <i/>
        <sz val="12"/>
        <color theme="1"/>
        <rFont val="Arial"/>
        <family val="2"/>
      </rPr>
      <t xml:space="preserve"> (Monitor)</t>
    </r>
  </si>
  <si>
    <t>Create Application Profiles for VMware Aria Operations in the Recovery VMware Cloud Foundation Instance</t>
  </si>
  <si>
    <r>
      <t>Name</t>
    </r>
    <r>
      <rPr>
        <i/>
        <sz val="12"/>
        <color theme="1"/>
        <rFont val="Arial"/>
        <family val="2"/>
      </rPr>
      <t xml:space="preserve"> (TCP Application Profile)</t>
    </r>
  </si>
  <si>
    <t>vrops-tcp-app-profile</t>
  </si>
  <si>
    <r>
      <t xml:space="preserve">Name </t>
    </r>
    <r>
      <rPr>
        <i/>
        <sz val="12"/>
        <color theme="1"/>
        <rFont val="Arial"/>
        <family val="2"/>
      </rPr>
      <t>(HTTP Redirect Profile)</t>
    </r>
  </si>
  <si>
    <t>vrops-http-app-profile-redirect</t>
  </si>
  <si>
    <r>
      <t>Name</t>
    </r>
    <r>
      <rPr>
        <i/>
        <sz val="12"/>
        <color theme="1"/>
        <rFont val="Arial"/>
        <family val="2"/>
      </rPr>
      <t xml:space="preserve"> (Persistence Profile)</t>
    </r>
  </si>
  <si>
    <t>vrops-source-ip-persistence-profile</t>
  </si>
  <si>
    <t>Create Virtual Servers for VMware Aria Operations in the Recovery VMware Cloud Foundation Instance</t>
  </si>
  <si>
    <r>
      <t>Name</t>
    </r>
    <r>
      <rPr>
        <i/>
        <sz val="12"/>
        <color theme="1"/>
        <rFont val="Arial"/>
        <family val="2"/>
      </rPr>
      <t xml:space="preserve"> (HTTPS Virtual Server)</t>
    </r>
  </si>
  <si>
    <t>vrops-https</t>
  </si>
  <si>
    <r>
      <t xml:space="preserve">IP Address </t>
    </r>
    <r>
      <rPr>
        <i/>
        <sz val="12"/>
        <color theme="1"/>
        <rFont val="Arial"/>
        <family val="2"/>
      </rPr>
      <t>(HTTPS Virtual Server)</t>
    </r>
  </si>
  <si>
    <r>
      <t xml:space="preserve">Load Balancer </t>
    </r>
    <r>
      <rPr>
        <i/>
        <sz val="12"/>
        <color theme="1"/>
        <rFont val="Arial"/>
        <family val="2"/>
      </rPr>
      <t>(HTTPS Virtual Server)</t>
    </r>
  </si>
  <si>
    <r>
      <t xml:space="preserve">Server Pool </t>
    </r>
    <r>
      <rPr>
        <i/>
        <sz val="12"/>
        <color theme="1"/>
        <rFont val="Arial"/>
        <family val="2"/>
      </rPr>
      <t>(HTTPS Virtual Server)</t>
    </r>
  </si>
  <si>
    <r>
      <t>Source IP</t>
    </r>
    <r>
      <rPr>
        <i/>
        <sz val="12"/>
        <color theme="1"/>
        <rFont val="Arial"/>
        <family val="2"/>
      </rPr>
      <t xml:space="preserve"> (HTTPS Virtual Server)</t>
    </r>
  </si>
  <si>
    <r>
      <t>Application Profile</t>
    </r>
    <r>
      <rPr>
        <i/>
        <sz val="12"/>
        <color theme="1"/>
        <rFont val="Arial"/>
        <family val="2"/>
      </rPr>
      <t xml:space="preserve"> (HTTPS Virtual Server)</t>
    </r>
  </si>
  <si>
    <r>
      <t xml:space="preserve">Name </t>
    </r>
    <r>
      <rPr>
        <i/>
        <sz val="12"/>
        <color theme="1"/>
        <rFont val="Arial"/>
        <family val="2"/>
      </rPr>
      <t>(HTTP Redirect Virtual Server)</t>
    </r>
  </si>
  <si>
    <t>vrops-http-redirect</t>
  </si>
  <si>
    <r>
      <t xml:space="preserve">IP Address </t>
    </r>
    <r>
      <rPr>
        <i/>
        <sz val="12"/>
        <color theme="1"/>
        <rFont val="Arial"/>
        <family val="2"/>
      </rPr>
      <t>(HTTP Redirect Virtual Server)</t>
    </r>
  </si>
  <si>
    <r>
      <t>Load Balancer</t>
    </r>
    <r>
      <rPr>
        <i/>
        <sz val="12"/>
        <color theme="1"/>
        <rFont val="Arial"/>
        <family val="2"/>
      </rPr>
      <t xml:space="preserve"> (HTTP Redirect Virtual Server)</t>
    </r>
  </si>
  <si>
    <r>
      <t xml:space="preserve">Application Profile </t>
    </r>
    <r>
      <rPr>
        <i/>
        <sz val="12"/>
        <color theme="1"/>
        <rFont val="Arial"/>
        <family val="2"/>
      </rPr>
      <t>(HTTP Redirect Virtual Server)</t>
    </r>
  </si>
  <si>
    <t>wsa-http-app-profile-redirect</t>
  </si>
  <si>
    <t>Create a Service Monitor for VMware Aria Automation in the Recovery VMware Cloud Foundation Instance</t>
  </si>
  <si>
    <t>vra-http-monitor</t>
  </si>
  <si>
    <t>Create a Server Pool for VMware Aria Automation in the Recovery VMware Cloud Foundation Instance</t>
  </si>
  <si>
    <t>vra-server-pool</t>
  </si>
  <si>
    <r>
      <t xml:space="preserve">Name </t>
    </r>
    <r>
      <rPr>
        <i/>
        <sz val="12"/>
        <color theme="1"/>
        <rFont val="Arial"/>
        <family val="2"/>
      </rPr>
      <t>(Member 1)</t>
    </r>
  </si>
  <si>
    <t>vra01svr01a</t>
  </si>
  <si>
    <r>
      <t xml:space="preserve">Name </t>
    </r>
    <r>
      <rPr>
        <i/>
        <sz val="12"/>
        <color theme="1"/>
        <rFont val="Arial"/>
        <family val="2"/>
      </rPr>
      <t>(Member 2)</t>
    </r>
  </si>
  <si>
    <t>vra01svr01b</t>
  </si>
  <si>
    <r>
      <t>Name</t>
    </r>
    <r>
      <rPr>
        <i/>
        <sz val="12"/>
        <color theme="1"/>
        <rFont val="Arial"/>
        <family val="2"/>
      </rPr>
      <t xml:space="preserve"> (Member 3)</t>
    </r>
  </si>
  <si>
    <t>vra01svr01c</t>
  </si>
  <si>
    <t>Create Application Profiles for VMware Aria Automation in the Recovery VMware Cloud Foundation Instance</t>
  </si>
  <si>
    <t>vra-tcp-app-profile</t>
  </si>
  <si>
    <t>vra-http-app-profile-redirect</t>
  </si>
  <si>
    <t>Create Virtual Servers for VMware Aria Automation in the Recovery VMware Cloud Foundation Instance</t>
  </si>
  <si>
    <t>vra-https</t>
  </si>
  <si>
    <r>
      <t>IP Address</t>
    </r>
    <r>
      <rPr>
        <i/>
        <sz val="12"/>
        <color theme="1"/>
        <rFont val="Arial"/>
        <family val="2"/>
      </rPr>
      <t xml:space="preserve"> (HTTPS Virtual Server)</t>
    </r>
  </si>
  <si>
    <r>
      <t>Server Pool</t>
    </r>
    <r>
      <rPr>
        <i/>
        <sz val="12"/>
        <color theme="1"/>
        <rFont val="Arial"/>
        <family val="2"/>
      </rPr>
      <t xml:space="preserve"> (HTTPS Virtual Server)</t>
    </r>
  </si>
  <si>
    <r>
      <t xml:space="preserve">Application Profile </t>
    </r>
    <r>
      <rPr>
        <i/>
        <sz val="12"/>
        <color theme="1"/>
        <rFont val="Arial"/>
        <family val="2"/>
      </rPr>
      <t>(HTTPS Virtual Server)</t>
    </r>
  </si>
  <si>
    <r>
      <t>Name</t>
    </r>
    <r>
      <rPr>
        <i/>
        <sz val="12"/>
        <color theme="1"/>
        <rFont val="Arial"/>
        <family val="2"/>
      </rPr>
      <t xml:space="preserve"> (HTTP Redirect Virtual Server)</t>
    </r>
  </si>
  <si>
    <t>vra-http-redirect</t>
  </si>
  <si>
    <r>
      <t>Application Profile</t>
    </r>
    <r>
      <rPr>
        <i/>
        <sz val="12"/>
        <color theme="1"/>
        <rFont val="Arial"/>
        <family val="2"/>
      </rPr>
      <t xml:space="preserve"> (HTTP Redirect Virtual Server)</t>
    </r>
  </si>
  <si>
    <t>Implementation of vSphere Replication for the VI Workload Domain</t>
  </si>
  <si>
    <t>Create a Virtual Machine Folder for vSphere Replication</t>
  </si>
  <si>
    <t>Deploy vSphere Replication</t>
  </si>
  <si>
    <t>Virtual Machine Name</t>
  </si>
  <si>
    <t>Folder</t>
  </si>
  <si>
    <t>Compute Resource</t>
  </si>
  <si>
    <t>Network 1</t>
  </si>
  <si>
    <r>
      <t>Password</t>
    </r>
    <r>
      <rPr>
        <i/>
        <sz val="12"/>
        <color theme="1"/>
        <rFont val="Arial"/>
        <family val="2"/>
      </rPr>
      <t xml:space="preserve"> (Initial Root)</t>
    </r>
  </si>
  <si>
    <r>
      <t xml:space="preserve">Password </t>
    </r>
    <r>
      <rPr>
        <i/>
        <sz val="12"/>
        <color theme="1"/>
        <rFont val="Arial"/>
        <family val="2"/>
      </rPr>
      <t>(Initial Admin)</t>
    </r>
  </si>
  <si>
    <t>Domain Search</t>
  </si>
  <si>
    <t>Domain Name Servers</t>
  </si>
  <si>
    <t>Network 1 IP Address</t>
  </si>
  <si>
    <t>Network 1 IP Netprefix</t>
  </si>
  <si>
    <t>Replace the Certificate of vSphere Replication</t>
  </si>
  <si>
    <t>&lt;vrms_fqdn&gt;</t>
  </si>
  <si>
    <r>
      <t xml:space="preserve">Password </t>
    </r>
    <r>
      <rPr>
        <i/>
        <sz val="12"/>
        <color theme="1"/>
        <rFont val="Arial"/>
        <family val="2"/>
      </rPr>
      <t>(P12 Cert File)</t>
    </r>
  </si>
  <si>
    <t>Register vSphere Replication with vCenter Single Sign-On</t>
  </si>
  <si>
    <t>PSC host name</t>
  </si>
  <si>
    <t>Administrator email</t>
  </si>
  <si>
    <t>Local Host</t>
  </si>
  <si>
    <t>Create a Port Group for vSphere Replication Traffic</t>
  </si>
  <si>
    <t>distributed_switch</t>
  </si>
  <si>
    <t>vSphere Replication Network</t>
  </si>
  <si>
    <t>Add a Network Adapter and Configure Static Routes for vSphere Replication</t>
  </si>
  <si>
    <t>vsphere_replication_appliance</t>
  </si>
  <si>
    <t>New network</t>
  </si>
  <si>
    <t>vrms_fqdn</t>
  </si>
  <si>
    <t>IPv4 Address (eth1)</t>
  </si>
  <si>
    <t>Ipv4 address prefix (eth1)</t>
  </si>
  <si>
    <t>IPv4 gateway (eth1)</t>
  </si>
  <si>
    <t>IP Address for incoming Storage Traffic</t>
  </si>
  <si>
    <t>source_vrms_network_gateway</t>
  </si>
  <si>
    <t>target_vrms_network_cidr</t>
  </si>
  <si>
    <t>Create a VMkernel Adapter on the ESXi Hosts for vSphere Replication Traffic</t>
  </si>
  <si>
    <t>Availability Zone 1 Hosts</t>
  </si>
  <si>
    <t>vSphere Replication IP (ESXi Host 1)</t>
  </si>
  <si>
    <t>vSphere Replication IP (ESXi Host 2)</t>
  </si>
  <si>
    <t>vSphere Replication IP (ESXi Host 3)</t>
  </si>
  <si>
    <t>vSphere Replication IP (ESXi Host 4)</t>
  </si>
  <si>
    <t>vSphere Replication IP (ESXi Host 5)</t>
  </si>
  <si>
    <t>vSphere Replication IP (ESXi Host 6)</t>
  </si>
  <si>
    <t>vSphere Replication IP (ESXi Host 7)</t>
  </si>
  <si>
    <t>vSphere Replication IP (ESXi Host 8)</t>
  </si>
  <si>
    <t>vSphere Replication IP (ESXi Host 9)</t>
  </si>
  <si>
    <t>vSphere Replication IP (ESXi Host 10)</t>
  </si>
  <si>
    <t>vSphere Replication IP (ESXi Host 11)</t>
  </si>
  <si>
    <t>vSphere Replication IP (ESXi Host 12)</t>
  </si>
  <si>
    <t>vSphere Replication IP (ESXi Host 13)</t>
  </si>
  <si>
    <t>vSphere Replication IP (ESXi Host 14)</t>
  </si>
  <si>
    <t>vSphere Replication IP (ESXi Host 15)</t>
  </si>
  <si>
    <t>vSphere Replication IP (ESXi Host 16)</t>
  </si>
  <si>
    <t>Availability Zone 2 Hosts</t>
  </si>
  <si>
    <t>Configure ESXi Host Static Routes for vSphere Replication</t>
  </si>
  <si>
    <r>
      <t>&lt;host_fqdn&gt;</t>
    </r>
    <r>
      <rPr>
        <i/>
        <sz val="12"/>
        <color theme="1"/>
        <rFont val="Arial"/>
        <family val="2"/>
      </rPr>
      <t xml:space="preserve"> (Host 1)</t>
    </r>
  </si>
  <si>
    <r>
      <t>source_vrms_network_gateway</t>
    </r>
    <r>
      <rPr>
        <i/>
        <sz val="12"/>
        <color theme="1"/>
        <rFont val="Arial"/>
        <family val="2"/>
      </rPr>
      <t xml:space="preserve"> (Host 1)</t>
    </r>
  </si>
  <si>
    <r>
      <t xml:space="preserve">target_vrms_network_cidr </t>
    </r>
    <r>
      <rPr>
        <i/>
        <sz val="12"/>
        <color theme="1"/>
        <rFont val="Arial"/>
        <family val="2"/>
      </rPr>
      <t>(Host 1)</t>
    </r>
  </si>
  <si>
    <r>
      <t xml:space="preserve">&lt;host_fqdn&gt; </t>
    </r>
    <r>
      <rPr>
        <i/>
        <sz val="12"/>
        <color theme="1"/>
        <rFont val="Arial"/>
        <family val="2"/>
      </rPr>
      <t>(Host 2)</t>
    </r>
  </si>
  <si>
    <r>
      <t>source_vrms_network_gateway</t>
    </r>
    <r>
      <rPr>
        <i/>
        <sz val="12"/>
        <color theme="1"/>
        <rFont val="Arial"/>
        <family val="2"/>
      </rPr>
      <t xml:space="preserve"> (Host 2)</t>
    </r>
  </si>
  <si>
    <r>
      <t>target_vrms_network_cidr</t>
    </r>
    <r>
      <rPr>
        <i/>
        <sz val="12"/>
        <color theme="1"/>
        <rFont val="Arial"/>
        <family val="2"/>
      </rPr>
      <t xml:space="preserve"> (Host 2)</t>
    </r>
  </si>
  <si>
    <r>
      <t xml:space="preserve">&lt;host_fqdn&gt; </t>
    </r>
    <r>
      <rPr>
        <i/>
        <sz val="12"/>
        <color theme="1"/>
        <rFont val="Arial"/>
        <family val="2"/>
      </rPr>
      <t>(Host 3)</t>
    </r>
  </si>
  <si>
    <r>
      <t>source_vrms_network_gateway</t>
    </r>
    <r>
      <rPr>
        <i/>
        <sz val="12"/>
        <color theme="1"/>
        <rFont val="Arial"/>
        <family val="2"/>
      </rPr>
      <t xml:space="preserve"> (Host 3)</t>
    </r>
  </si>
  <si>
    <r>
      <t xml:space="preserve">target_vrms_network_cidr </t>
    </r>
    <r>
      <rPr>
        <i/>
        <sz val="12"/>
        <color theme="1"/>
        <rFont val="Arial"/>
        <family val="2"/>
      </rPr>
      <t>(Host 3)</t>
    </r>
  </si>
  <si>
    <r>
      <t xml:space="preserve">&lt;host_fqdn&gt; </t>
    </r>
    <r>
      <rPr>
        <i/>
        <sz val="12"/>
        <color theme="1"/>
        <rFont val="Arial"/>
        <family val="2"/>
      </rPr>
      <t>(Host 4)</t>
    </r>
  </si>
  <si>
    <r>
      <t>source_vrms_network_gateway</t>
    </r>
    <r>
      <rPr>
        <i/>
        <sz val="12"/>
        <color theme="1"/>
        <rFont val="Arial"/>
        <family val="2"/>
      </rPr>
      <t xml:space="preserve"> (Host 4)</t>
    </r>
  </si>
  <si>
    <r>
      <t xml:space="preserve">target_vrms_network_cidr </t>
    </r>
    <r>
      <rPr>
        <i/>
        <sz val="12"/>
        <color theme="1"/>
        <rFont val="Arial"/>
        <family val="2"/>
      </rPr>
      <t>(Host 4)</t>
    </r>
  </si>
  <si>
    <t>Implementation of Site Recovery Manager for the VI Workload Domain</t>
  </si>
  <si>
    <t>Create a Virtual Machine Folder for Site Recovery Manager</t>
  </si>
  <si>
    <t>Deploy Site Recovery Manager</t>
  </si>
  <si>
    <t>&lt;management_vcenter_server_fqdn&gt;</t>
  </si>
  <si>
    <r>
      <t xml:space="preserve">Password </t>
    </r>
    <r>
      <rPr>
        <i/>
        <sz val="12"/>
        <color theme="1"/>
        <rFont val="Arial"/>
        <family val="2"/>
      </rPr>
      <t>(Initial Database)</t>
    </r>
  </si>
  <si>
    <t>Replace the Certificate of Site Recovery Manager</t>
  </si>
  <si>
    <t>&lt;srm_fqdn&gt;</t>
  </si>
  <si>
    <t>Register Site Recovery Manager with vCenter Single Sign-On</t>
  </si>
  <si>
    <t>Assign Licenses to Site Recovery Manager</t>
  </si>
  <si>
    <t>Enter license keys</t>
  </si>
  <si>
    <t>License name</t>
  </si>
  <si>
    <t>Asset</t>
  </si>
  <si>
    <t>License</t>
  </si>
  <si>
    <t>Protection Site Configuration Tasks</t>
  </si>
  <si>
    <t>Create a Site Pair between Protected and the Recovery VMware Cloud Foundation Instances</t>
  </si>
  <si>
    <t>Local vCenter Server Instance</t>
  </si>
  <si>
    <t>Pair Type</t>
  </si>
  <si>
    <t>Pair with a peer vCenter Server located in the same SSO domain</t>
  </si>
  <si>
    <t>vCenter Server you want to pair</t>
  </si>
  <si>
    <t xml:space="preserve">        VMware Cloud Foundation Layer Cluster Deployment </t>
  </si>
  <si>
    <t>Initial Host Configuring - Rack 2</t>
  </si>
  <si>
    <t>Create Network Pool - Rack 2</t>
  </si>
  <si>
    <t xml:space="preserve">VCF Network Pool Type </t>
  </si>
  <si>
    <t>Start IP of vMotion Network Pool Range</t>
  </si>
  <si>
    <t>End IP of vMotion Network Pool Range</t>
  </si>
  <si>
    <t>Start IP of vSAN Network Pool Range</t>
  </si>
  <si>
    <t>End IP of vSAN Network Pool Range</t>
  </si>
  <si>
    <t>Commission Hosts - Rack 2</t>
  </si>
  <si>
    <t>Rack Profiles - Rack 2</t>
  </si>
  <si>
    <t xml:space="preserve">NSX Host Overlay Static IP Pool Type </t>
  </si>
  <si>
    <t>NSX Edge Overlay Network Pool Name</t>
  </si>
  <si>
    <t>NSX RTEP IP Pool Name</t>
  </si>
  <si>
    <t>Host Overlay Network - Rack 2</t>
  </si>
  <si>
    <t>Start IP of Host Overlay Network Pool Range</t>
  </si>
  <si>
    <t>End IP of Host Overlay Network Pool Range</t>
  </si>
  <si>
    <t>Initial Host Configuring - Rack 3</t>
  </si>
  <si>
    <t>Create Network Pool - Rack 3</t>
  </si>
  <si>
    <t>Commission Hosts - Rack 3</t>
  </si>
  <si>
    <t>Rack Profiles - Rack 3</t>
  </si>
  <si>
    <t>Host Overlay Network - Rack 3</t>
  </si>
  <si>
    <t>Initial Host Configuring - Rack 4</t>
  </si>
  <si>
    <t>Create Network Pool - Rack 4</t>
  </si>
  <si>
    <t>Start IP of the vMotion Network Pool Range</t>
  </si>
  <si>
    <t>End IP of the vMotion Network Pool Range</t>
  </si>
  <si>
    <t>Commission Hosts - Rack 4</t>
  </si>
  <si>
    <t>Rack Profiles - Rack 4</t>
  </si>
  <si>
    <t>Host Overlay Network - Rack 4</t>
  </si>
  <si>
    <t>End IP of  Host Overlay Network Pool Range</t>
  </si>
  <si>
    <t>Initial Host Configuring - Rack 5</t>
  </si>
  <si>
    <t>Create Network Pool - Rack 5</t>
  </si>
  <si>
    <t>Commission Hosts - Rack 5</t>
  </si>
  <si>
    <t>Rack Profiles - Rack 5</t>
  </si>
  <si>
    <t>Host Overlay Network - Rack 5</t>
  </si>
  <si>
    <t>Initial Host Configuring - Rack 6</t>
  </si>
  <si>
    <t>Create Network Pool - Rack 6</t>
  </si>
  <si>
    <t>Commission Hosts - Rack 6</t>
  </si>
  <si>
    <t>Rack Profiles - Rack 6</t>
  </si>
  <si>
    <t>Host Overlay Network - Rack 6</t>
  </si>
  <si>
    <t>Initial Host Configuring - Rack 7</t>
  </si>
  <si>
    <t>Create Network Pool - Rack 7</t>
  </si>
  <si>
    <t>Commission Hosts - Rack 7</t>
  </si>
  <si>
    <t>Rack Profiles - Rack 7</t>
  </si>
  <si>
    <t>Host Overlay Network - Rack 7</t>
  </si>
  <si>
    <t>Start IP of the Host Overlay Network Pool Range</t>
  </si>
  <si>
    <t>End IP of the Host Overlay Network Pool Range</t>
  </si>
  <si>
    <t>Initial Host Configuring - Rack 8</t>
  </si>
  <si>
    <t>Create Network Pool - Rack 8</t>
  </si>
  <si>
    <t>Start IP of the vSAN Network Pool Range</t>
  </si>
  <si>
    <t>End IP of the vSAN Network Pool Range</t>
  </si>
  <si>
    <t>Commission Hosts - Rack 8</t>
  </si>
  <si>
    <t>Rack Profiles - Rack 8</t>
  </si>
  <si>
    <t>Host Overlay Network - Rack 8</t>
  </si>
  <si>
    <t>Solution Interoperability</t>
  </si>
  <si>
    <t>Reconfigure DNS and Domain Search on the VCF Operations Fleet Management Appliance for Site Protection and Disaster Recovery for VMware Cloud Foundation</t>
  </si>
  <si>
    <t>&lt;vcf_operations_fm_fqdn&gt;</t>
  </si>
  <si>
    <t>10-eth0-static.network</t>
  </si>
  <si>
    <t>resolved.conf</t>
  </si>
  <si>
    <t>Domains</t>
  </si>
  <si>
    <t>Reconfigure NTP on the VCF Operations Fleet Management Appliance for Site Protection and Disaster Recovery for VMware Cloud Foundation</t>
  </si>
  <si>
    <t>&lt;vcf_operations_primary_node_fqdn&gt;</t>
  </si>
  <si>
    <t>VCF NTP Server 2</t>
  </si>
  <si>
    <t>FQDN / IP Address</t>
  </si>
  <si>
    <t>Reconfigure DNS and Domain Search on VCF Operations Nodes for Site Protection and Disaster Recovery for VMware Cloud Foundation</t>
  </si>
  <si>
    <t>Reconfigure NTP on the VCF Operations Cluster Nodes for Site Protection and Disaster Recovery for VMware Cloud Foundation</t>
  </si>
  <si>
    <t>NTP Server Address</t>
  </si>
  <si>
    <t>Reconfigure NTP on the VCF Operations for logs Nodes for Site Protection and Disaster Recovery for VMware Cloud Foundation</t>
  </si>
  <si>
    <t>Reconfigure NTP on the VCF Operations for networks Nodes for Site Protection and Disaster Recovery for VMware Cloud Foundation</t>
  </si>
  <si>
    <t>Reconfigure DNS on VCF Automation for Site Protection and Disaster Recovery for VMware Cloud Foundation</t>
  </si>
  <si>
    <t>&lt;vcf_operations_fqdn&gt;</t>
  </si>
  <si>
    <t>Components</t>
  </si>
  <si>
    <t>automation</t>
  </si>
  <si>
    <t>DNS Server</t>
  </si>
  <si>
    <t>Reconfigure NTP on VCF Automation for Site Protection and Disaster Recovery for VMware Cloud Foundation</t>
  </si>
  <si>
    <t>&lt;aria_automation_node_fqdn&gt; (1st Node)</t>
  </si>
  <si>
    <t>&lt;ntp_server_list&gt;</t>
  </si>
  <si>
    <t>Reconfigure DNS on VCF Identity Broker for Site Protection and Disaster Recovery for VMware Cloud Foundation</t>
  </si>
  <si>
    <t>identity broker</t>
  </si>
  <si>
    <t>Reconfigure NTP on VCF Identity Broker for Site Protection and Disaster Recovery for VMware Cloud Foundation</t>
  </si>
  <si>
    <t>Implementation of vSphere Replication for the Management Domain</t>
  </si>
  <si>
    <t>Deploy VMware Live Recovery for Site Protection and Disaster Recovery for VMware Cloud Foundation</t>
  </si>
  <si>
    <t>Management Interface for vSphere Replication in Management Domain</t>
  </si>
  <si>
    <t>Replace the Certificate of VMware Live Recovery for Site Protection and Disaster Recovery for VMware Cloud Foundation</t>
  </si>
  <si>
    <t>Organization unit</t>
  </si>
  <si>
    <t>IP addresses</t>
  </si>
  <si>
    <t>Certificate file</t>
  </si>
  <si>
    <t>csr.pem</t>
  </si>
  <si>
    <t>Create vCenter Single Sign-On User for Registering VMware Live Recovery for Site Protection and Disaster Recovery for VMware Cloud Foundation</t>
  </si>
  <si>
    <t>&lt;protected_vcenter_fqdn&gt;</t>
  </si>
  <si>
    <t>vsphere.local</t>
  </si>
  <si>
    <t>Username (vSphere Replication User)</t>
  </si>
  <si>
    <t>Password (vSphere Replication User)</t>
  </si>
  <si>
    <t>Assign vCenter Single Sign-On User with Group Role for Site Protection and Disaster Recovery for VMware Cloud Foundation</t>
  </si>
  <si>
    <t>user</t>
  </si>
  <si>
    <t>Register VMware Live Recovery with vCenter Single Sign-On for Site Protection and Disaster Recovery for VMware Cloud Foundation</t>
  </si>
  <si>
    <t>&lt;vlr_fqdn&gt;</t>
  </si>
  <si>
    <t>Create a Port Group for vSphere Replication Traffic for Site Protection and Disaster Recovery for VMware Cloud Foundation</t>
  </si>
  <si>
    <t>Create a VMkernel Adapter on the ESX Hosts for vSphere Replication Traffic for Site Protection and Disaster Recovery for VMware Cloud Foundation</t>
  </si>
  <si>
    <t>vSphere Replication IP (ESX Host 1)</t>
  </si>
  <si>
    <t>vSphere Replication IP (ESX Host 2)</t>
  </si>
  <si>
    <t>vSphere Replication IP (ESX Host 3)</t>
  </si>
  <si>
    <t>vSphere Replication IP (ESX Host 4)</t>
  </si>
  <si>
    <t>vSphere Replication IP (ESX Host 5)</t>
  </si>
  <si>
    <t>vSphere Replication IP (ESX Host 6)</t>
  </si>
  <si>
    <t>vSphere Replication IP (ESX Host 7)</t>
  </si>
  <si>
    <t>vSphere Replication IP (ESX Host 8)</t>
  </si>
  <si>
    <t>vSphere Replication IP (ESX Host 9)</t>
  </si>
  <si>
    <t>vSphere Replication IP (ESX Host 10)</t>
  </si>
  <si>
    <t>vSphere Replication IP (ESX Host 11)</t>
  </si>
  <si>
    <t>vSphere Replication IP (ESX Host 12)</t>
  </si>
  <si>
    <t>vSphere Replication IP (ESX Host 13)</t>
  </si>
  <si>
    <t>vSphere Replication IP (ESX Host 14)</t>
  </si>
  <si>
    <t>vSphere Replication IP (ESX Host 15)</t>
  </si>
  <si>
    <t>vSphere Replication IP (ESX Host 16)</t>
  </si>
  <si>
    <t>Protected Site Configuration Tasks for Site Protection and Disaster Recovery for VMware Cloud Foundation</t>
  </si>
  <si>
    <t>Create a Site Pair Between the Protected and Recovery VMware Cloud Foundation Instances</t>
  </si>
  <si>
    <t>&lt;management_vcenter_fqdn&gt;</t>
  </si>
  <si>
    <t>Assign Licenses to VMware Live Recovery using Offline Mode for Site Protection and Disaster Recovery for VMware Cloud Foundation</t>
  </si>
  <si>
    <t>Live Site Recovery Server</t>
  </si>
  <si>
    <t>Change request key</t>
  </si>
  <si>
    <t>XXXXX-XXXXX-XXXXX-XXXXX</t>
  </si>
  <si>
    <t>License Ley</t>
  </si>
  <si>
    <t>Configure Mappings between the Protected and the Recovery VMware Cloud Foundation Instances</t>
  </si>
  <si>
    <t>Site Pair tile</t>
  </si>
  <si>
    <r>
      <t xml:space="preserve">Network Mapping </t>
    </r>
    <r>
      <rPr>
        <i/>
        <sz val="12"/>
        <color theme="1"/>
        <rFont val="Arial"/>
        <family val="2"/>
      </rPr>
      <t>(Protected Network)</t>
    </r>
  </si>
  <si>
    <r>
      <t xml:space="preserve">Network Mapping </t>
    </r>
    <r>
      <rPr>
        <i/>
        <sz val="12"/>
        <color theme="1"/>
        <rFont val="Arial"/>
        <family val="2"/>
      </rPr>
      <t>(Recovery Network)</t>
    </r>
  </si>
  <si>
    <r>
      <t xml:space="preserve">Folder Mapping </t>
    </r>
    <r>
      <rPr>
        <i/>
        <sz val="12"/>
        <color theme="1"/>
        <rFont val="Arial"/>
        <family val="2"/>
      </rPr>
      <t>(Protected Folder)</t>
    </r>
  </si>
  <si>
    <r>
      <t xml:space="preserve">Folder Mapping </t>
    </r>
    <r>
      <rPr>
        <i/>
        <sz val="12"/>
        <color theme="1"/>
        <rFont val="Arial"/>
        <family val="2"/>
      </rPr>
      <t>(Recovery Folder)</t>
    </r>
  </si>
  <si>
    <r>
      <t xml:space="preserve">Resource Mapping </t>
    </r>
    <r>
      <rPr>
        <i/>
        <sz val="12"/>
        <color theme="1"/>
        <rFont val="Arial"/>
        <family val="2"/>
      </rPr>
      <t>(Protected Cluster)</t>
    </r>
  </si>
  <si>
    <r>
      <t xml:space="preserve">Resource Mapping </t>
    </r>
    <r>
      <rPr>
        <i/>
        <sz val="12"/>
        <color theme="1"/>
        <rFont val="Arial"/>
        <family val="2"/>
      </rPr>
      <t>(Recovery Cluster)</t>
    </r>
  </si>
  <si>
    <t>Configure Replication, Create a Protection Group and a Recovery Plan for VCF Operations for Site Protection and Disaster Recovery for VMware Cloud Foundation</t>
  </si>
  <si>
    <t>Virtual Machine</t>
  </si>
  <si>
    <t>Target Datastore</t>
  </si>
  <si>
    <t>Recovery Point Objective (RPO)</t>
  </si>
  <si>
    <t>Protection Group Name</t>
  </si>
  <si>
    <t>VCF-OPS-PG</t>
  </si>
  <si>
    <t>Recovery Plan Name</t>
  </si>
  <si>
    <t>VCF-OPS-RP</t>
  </si>
  <si>
    <t>Customize the Recovery Plan for VCF Operations for Site Protection and Disaster Recovery for VMware Cloud Foundation</t>
  </si>
  <si>
    <t>recovery_plan_name</t>
  </si>
  <si>
    <t>Virtual Machine (VCF Operations fleet management Node)</t>
  </si>
  <si>
    <t>Virtual Machine (VCF Operations Primary Node)</t>
  </si>
  <si>
    <t>Virtual Machine (VCF Operations Replica Node)</t>
  </si>
  <si>
    <t>Virtual Machine (VCF Operations Data Node)</t>
  </si>
  <si>
    <t>Configure Replication, Create a Protection Group and a Recovery Plan for VCF Operations for Logs for Site Protection and Disaster Recovery for  VMware Cloud Foundation</t>
  </si>
  <si>
    <t>Virtual Machine (VCF Operations for logs Primary Node)</t>
  </si>
  <si>
    <t>Virtual Machine (VCF Operations for logs Worker Node1)</t>
  </si>
  <si>
    <t>Virtual Machine (VCF Operations for logs Worker Node2)</t>
  </si>
  <si>
    <t>VCF-OPS-LOGS-PG</t>
  </si>
  <si>
    <t>VCF-OPS-LOGS-RP</t>
  </si>
  <si>
    <t>Customize the Recovery Plan for VCF Operations for logs for Site Protection and Disaster Recovery for VMware Cloud Foundation</t>
  </si>
  <si>
    <t>Configure Replication, Create a Protection Group and a Recovery Plan for VCF Operations for Networks for Site Protection and Disaster Recovery for VMware Cloud Foundation</t>
  </si>
  <si>
    <t>Virtual Machine (Platform Node 1)</t>
  </si>
  <si>
    <t>Virtual Machine (Platform Node 2)</t>
  </si>
  <si>
    <t>Virtual Machine (Platform Node 3)</t>
  </si>
  <si>
    <t>VCF-OPS-NET-PG</t>
  </si>
  <si>
    <t>VCF-OPS-NET-RP</t>
  </si>
  <si>
    <t>Customize the Recovery Plan for VCF Operations for Networks for Site Protection and Disaster Recovery for VMware Cloud Foundation</t>
  </si>
  <si>
    <t>Create Anti-Affinity Rules for the Placeholder Virtual Machines in the Recovery VMware Cloud Foundation Instance</t>
  </si>
  <si>
    <t>Name (VCF Operations)</t>
  </si>
  <si>
    <t>anti-affinity-rule-vcf-operations</t>
  </si>
  <si>
    <t>Virtual Machine (VCF Operations Cluster Primary Node)</t>
  </si>
  <si>
    <t>Virtual Machine (VCF Operations Cluster Replica Node)</t>
  </si>
  <si>
    <t>Virtual Machine (VCF Operations Cluster Data Node)</t>
  </si>
  <si>
    <t>Name (VCF Operations for Logs)</t>
  </si>
  <si>
    <t>anti-affinity-rule-vcf-logs</t>
  </si>
  <si>
    <t>Virtual Machine (Primary Node)</t>
  </si>
  <si>
    <t>Virtual Machine (Worker Node1)</t>
  </si>
  <si>
    <t>Virtual Machine (Worker Node2)</t>
  </si>
  <si>
    <t>Name (VCF Operations for Networks)</t>
  </si>
  <si>
    <t>anti-affinity-rule-vcf-networks</t>
  </si>
  <si>
    <t>Virtual Machine (Platform Node1)</t>
  </si>
  <si>
    <t>Virtual Machine (Platform Node2)</t>
  </si>
  <si>
    <t>Virtual Machine (Platform Node3)</t>
  </si>
  <si>
    <t>Create Virtual Machine Groups and Restart Order in the Recovery VMware Cloud Foundation Instance</t>
  </si>
  <si>
    <t>VM/Host Groups</t>
  </si>
  <si>
    <t>VM/Host Rules</t>
  </si>
  <si>
    <r>
      <t xml:space="preserve">Name </t>
    </r>
    <r>
      <rPr>
        <sz val="12"/>
        <color theme="1"/>
        <rFont val="Helvetica"/>
        <family val="2"/>
      </rPr>
      <t>(VCF Operations for Logs)</t>
    </r>
  </si>
  <si>
    <r>
      <t>Virtual Machine</t>
    </r>
    <r>
      <rPr>
        <sz val="12"/>
        <color theme="1"/>
        <rFont val="Helvetica"/>
        <family val="2"/>
      </rPr>
      <t xml:space="preserve"> (Primary Node)</t>
    </r>
  </si>
  <si>
    <r>
      <t xml:space="preserve">Virtual Machine </t>
    </r>
    <r>
      <rPr>
        <sz val="12"/>
        <color theme="1"/>
        <rFont val="Helvetica"/>
        <family val="2"/>
      </rPr>
      <t>(Worker Node1)</t>
    </r>
  </si>
  <si>
    <r>
      <t xml:space="preserve">Virtual Machine </t>
    </r>
    <r>
      <rPr>
        <sz val="12"/>
        <color theme="1"/>
        <rFont val="Helvetica"/>
        <family val="2"/>
      </rPr>
      <t>(Worker Node2)</t>
    </r>
  </si>
  <si>
    <r>
      <t xml:space="preserve">Name </t>
    </r>
    <r>
      <rPr>
        <sz val="12"/>
        <color theme="1"/>
        <rFont val="Helvetica"/>
        <family val="2"/>
      </rPr>
      <t>(VCF Operations for Networks)</t>
    </r>
  </si>
  <si>
    <r>
      <t>Virtual Machine</t>
    </r>
    <r>
      <rPr>
        <sz val="12"/>
        <color theme="1"/>
        <rFont val="Helvetica"/>
        <family val="2"/>
      </rPr>
      <t xml:space="preserve"> (Platform Node1)</t>
    </r>
  </si>
  <si>
    <r>
      <t xml:space="preserve">Virtual Machine </t>
    </r>
    <r>
      <rPr>
        <sz val="12"/>
        <color theme="1"/>
        <rFont val="Helvetica"/>
        <family val="2"/>
      </rPr>
      <t>(Platform Node2)</t>
    </r>
  </si>
  <si>
    <r>
      <t>Virtual Machine</t>
    </r>
    <r>
      <rPr>
        <sz val="12"/>
        <color theme="1"/>
        <rFont val="Helvetica"/>
        <family val="2"/>
      </rPr>
      <t xml:space="preserve"> (Platform Node3)</t>
    </r>
  </si>
  <si>
    <t>Name (VCF Operations )</t>
  </si>
  <si>
    <t>vm-vm-rule-idb-operations</t>
  </si>
  <si>
    <t>Restart for VM group (VCF Operations Analytics Cluster)</t>
  </si>
  <si>
    <t>VM dependency restart condition</t>
  </si>
  <si>
    <t>flt-vm-group-idb</t>
  </si>
  <si>
    <t>Name (VCF Automation)</t>
  </si>
  <si>
    <t>vm-vm-rule-idb-automation</t>
  </si>
  <si>
    <t>Restart for VM group(VCF Automation)</t>
  </si>
  <si>
    <t>flt-vm-group-vcf-automation</t>
  </si>
  <si>
    <t>Operational Guidance for Site Protection and Disaster Recovery for VMware Cloud Foundation</t>
  </si>
  <si>
    <t>Initiate a Planned Recovery of VCF Identity Broker for Site Protection and Disaster Recovery for VMware Cloud Foundation</t>
  </si>
  <si>
    <t>Infrastructure</t>
  </si>
  <si>
    <t>Certificate</t>
  </si>
  <si>
    <t>Cluster Virtual IP - FQDN</t>
  </si>
  <si>
    <t>Cluster Node IP Pool(IP or range, depending on the type of deployment)</t>
  </si>
  <si>
    <t>Initiate a Planned Recovery of VCF Automation for Site Protection and Disaster Recovery for VMware Cloud Foundation</t>
  </si>
  <si>
    <t>lax-m01-vc01.lax.rainpole.io</t>
  </si>
  <si>
    <t>lax-m01-cl01</t>
  </si>
  <si>
    <t>lax-m01-cl01-ds-vsan01</t>
  </si>
  <si>
    <t>Initiate a Disaster Recovery of VCF Identity Broker for Site Protection and Disaster Recovery for VMware Cloud Foundation</t>
  </si>
  <si>
    <t>Initiate a Disaster Recovery of VCF Automation for Site Protection and Disaster Recovery for VMware Cloud Foundation</t>
  </si>
  <si>
    <t>Create vSphere Single Sign-On Users for Integration with VMware Cloud Foundation Operations for Site Protection and Disaster Recovery for VMware Cloud Foundation</t>
  </si>
  <si>
    <r>
      <t xml:space="preserve">Username </t>
    </r>
    <r>
      <rPr>
        <i/>
        <sz val="12"/>
        <color theme="1"/>
        <rFont val="Arial"/>
        <family val="2"/>
      </rPr>
      <t>(VMware Live Site Recovery)</t>
    </r>
  </si>
  <si>
    <t>svc-vcfops-vlsr</t>
  </si>
  <si>
    <r>
      <t xml:space="preserve">Password </t>
    </r>
    <r>
      <rPr>
        <i/>
        <sz val="12"/>
        <color theme="1"/>
        <rFont val="Arial"/>
        <family val="2"/>
      </rPr>
      <t>(VMware Live Site Recovery)</t>
    </r>
  </si>
  <si>
    <r>
      <t xml:space="preserve">Username </t>
    </r>
    <r>
      <rPr>
        <i/>
        <sz val="12"/>
        <color theme="1"/>
        <rFont val="Arial"/>
        <family val="2"/>
      </rPr>
      <t>(vSphere Replication User)</t>
    </r>
  </si>
  <si>
    <t>svc-vcfops-vr</t>
  </si>
  <si>
    <r>
      <t xml:space="preserve">Password </t>
    </r>
    <r>
      <rPr>
        <i/>
        <sz val="12"/>
        <color theme="1"/>
        <rFont val="Arial"/>
        <family val="2"/>
      </rPr>
      <t>(vSphere Replication User)</t>
    </r>
  </si>
  <si>
    <t>Configure Service Account Permissions in vSphere for Integration with VMware Cloud Foundation Operations for VMware Cloud Foundation</t>
  </si>
  <si>
    <r>
      <t xml:space="preserve">User/Group </t>
    </r>
    <r>
      <rPr>
        <sz val="12"/>
        <color theme="1"/>
        <rFont val="Arial"/>
        <family val="2"/>
      </rPr>
      <t>(VMware Live Site Recovery User)</t>
    </r>
  </si>
  <si>
    <r>
      <t xml:space="preserve">Role </t>
    </r>
    <r>
      <rPr>
        <i/>
        <sz val="12"/>
        <color theme="1"/>
        <rFont val="Arial"/>
        <family val="2"/>
      </rPr>
      <t>(VMware Live Site Recovery User)</t>
    </r>
  </si>
  <si>
    <t>Read-Only</t>
  </si>
  <si>
    <r>
      <t xml:space="preserve">User/Group </t>
    </r>
    <r>
      <rPr>
        <i/>
        <sz val="12"/>
        <color theme="1"/>
        <rFont val="Arial"/>
        <family val="2"/>
      </rPr>
      <t>(vSphere Replication User)</t>
    </r>
  </si>
  <si>
    <r>
      <t xml:space="preserve">Role </t>
    </r>
    <r>
      <rPr>
        <i/>
        <sz val="12"/>
        <color theme="1"/>
        <rFont val="Arial"/>
        <family val="2"/>
      </rPr>
      <t>(vSphere Replication User)</t>
    </r>
  </si>
  <si>
    <t>VRM replication viewer</t>
  </si>
  <si>
    <t>Install the VMware Cloud Foundation Operations Management Packs for VMware Live Site Recovery for Site Protection and Disaster Recovery for VMware Cloud Foundation</t>
  </si>
  <si>
    <t>&lt;aria_operations_fqdn&gt;</t>
  </si>
  <si>
    <t>Management Pack</t>
  </si>
  <si>
    <t>vlsrAdapterPak-build_number.pak</t>
  </si>
  <si>
    <t>Add VMware Live Site Recovery Adapter Instances to VMware Cloud Foundation Operations for Site Protection and Disaster Recovery for VMware Cloud Foundation</t>
  </si>
  <si>
    <r>
      <t xml:space="preserve">Name </t>
    </r>
    <r>
      <rPr>
        <i/>
        <sz val="12"/>
        <color theme="1"/>
        <rFont val="Arial"/>
        <family val="2"/>
      </rPr>
      <t>(Management Domain)</t>
    </r>
  </si>
  <si>
    <r>
      <t>Site Recovery Manager Host</t>
    </r>
    <r>
      <rPr>
        <i/>
        <sz val="12"/>
        <color theme="1"/>
        <rFont val="Arial"/>
        <family val="2"/>
      </rPr>
      <t xml:space="preserve"> (Management Domain)</t>
    </r>
  </si>
  <si>
    <r>
      <t xml:space="preserve">Site Recovery Manager Port </t>
    </r>
    <r>
      <rPr>
        <i/>
        <sz val="12"/>
        <color theme="1"/>
        <rFont val="Arial"/>
        <family val="2"/>
      </rPr>
      <t>(Management Domain)</t>
    </r>
  </si>
  <si>
    <r>
      <t xml:space="preserve">Credential name </t>
    </r>
    <r>
      <rPr>
        <i/>
        <sz val="12"/>
        <color theme="1"/>
        <rFont val="Arial"/>
        <family val="2"/>
      </rPr>
      <t>(Management Domain)</t>
    </r>
  </si>
  <si>
    <r>
      <t xml:space="preserve">Use name </t>
    </r>
    <r>
      <rPr>
        <i/>
        <sz val="12"/>
        <color theme="1"/>
        <rFont val="Arial"/>
        <family val="2"/>
      </rPr>
      <t>(Management Domain)</t>
    </r>
  </si>
  <si>
    <r>
      <t xml:space="preserve">Password </t>
    </r>
    <r>
      <rPr>
        <i/>
        <sz val="12"/>
        <color theme="1"/>
        <rFont val="Arial"/>
        <family val="2"/>
      </rPr>
      <t>(Management Domain)</t>
    </r>
  </si>
  <si>
    <r>
      <t xml:space="preserve">Collector/Group </t>
    </r>
    <r>
      <rPr>
        <i/>
        <sz val="12"/>
        <color theme="1"/>
        <rFont val="Arial"/>
        <family val="2"/>
      </rPr>
      <t>(Management Domain)</t>
    </r>
  </si>
  <si>
    <t>Add vSphere Replication Adapter Instances to VMware Cloud Foundation Operations for Site Protection and Disaster Recovery for VMware Cloud Foundation</t>
  </si>
  <si>
    <r>
      <t xml:space="preserve">vCenter Server, where vSphere Replication is registered </t>
    </r>
    <r>
      <rPr>
        <i/>
        <sz val="12"/>
        <color theme="1"/>
        <rFont val="Arial"/>
        <family val="2"/>
      </rPr>
      <t>(Management Domain)</t>
    </r>
  </si>
  <si>
    <r>
      <t xml:space="preserve">User name </t>
    </r>
    <r>
      <rPr>
        <i/>
        <sz val="12"/>
        <color theme="1"/>
        <rFont val="Arial"/>
        <family val="2"/>
      </rPr>
      <t>(Management Domain)</t>
    </r>
  </si>
  <si>
    <t>Create Notifications in VMware Cloud Foundation Operations for Site Protection and Disaster Recovery for VMware Cloud Foundation</t>
  </si>
  <si>
    <t>Install and Configure the VCF Operations for logs Agent on the VMware Live Recovery Appliances for Site Protection and Disaster Recovery for VMware Cloud Foundation</t>
  </si>
  <si>
    <t>&lt;vcf_operations_logs_fqdn&gt;</t>
  </si>
  <si>
    <t>VLSR_environment_name</t>
  </si>
  <si>
    <t>SFO-M01-VLSR</t>
  </si>
  <si>
    <t>&lt;VR_environment_name&gt;</t>
  </si>
  <si>
    <t>SFO-M01-VR</t>
  </si>
  <si>
    <t>Deploy VMware Live Recovery for On-Premises Ransomware Recovery for VMware Cloud Foundation</t>
  </si>
  <si>
    <t>Password (Initial Root)</t>
  </si>
  <si>
    <t>Password (Initial Admin)</t>
  </si>
  <si>
    <t>Network 1 Prefix</t>
  </si>
  <si>
    <t>Replace the Certificate of VMware Live Recovery for On-Premises Ransomware Recovery for VMware Cloud Foundation</t>
  </si>
  <si>
    <t>Create vCenter Single Sign-On User for Registering VMware Live Recovery for On-Premises Ransomware Recovery for VMware Cloud Foundation</t>
  </si>
  <si>
    <t>Assign vCenter Single Sign-On User with Group Role for On-Premises Ransomware Recovery for VMware Cloud Foundation</t>
  </si>
  <si>
    <t>Register VMware Live Recovery with vCenter Single Sign-On for On-Premises Ransomware Recovery for VMware Cloud Foundation</t>
  </si>
  <si>
    <t>vrl-administrator@rainpole.io</t>
  </si>
  <si>
    <t>Create a Port Group for vSphere Replication Traffic for On-Premises Ransomware Recovery for VMware Cloud Foundation</t>
  </si>
  <si>
    <t>Create a VMkernel Adapter on the ESX Hosts for vSphere Replication Traffic for On-Premises Ransomware Recovery for VMware Cloud Foundation</t>
  </si>
  <si>
    <t>&lt;host_fqdn&gt; (Host 1)</t>
  </si>
  <si>
    <t>IPv4 address (Host 1)</t>
  </si>
  <si>
    <t>Subnet Mask (Host 1)</t>
  </si>
  <si>
    <t>&lt;host_fqdn&gt; (Host 2)</t>
  </si>
  <si>
    <t>IPv4 address (Host 2)</t>
  </si>
  <si>
    <t>Subnet Mask (Host 2)</t>
  </si>
  <si>
    <t>&lt;host_fqdn&gt; (Host 3)</t>
  </si>
  <si>
    <t>IPv4 address (Host 3)</t>
  </si>
  <si>
    <t>Subnet Mask (Host 3)</t>
  </si>
  <si>
    <t>&lt;host_fqdn&gt; (Host 4)</t>
  </si>
  <si>
    <t>IPv4 address (Host 4)</t>
  </si>
  <si>
    <t>Subnet Mask (Host 4)</t>
  </si>
  <si>
    <t>Configure ESX Host Static Routes for vSphere Replication for On-Premises Ransomware Recovery for VMware Cloud Foundation</t>
  </si>
  <si>
    <t>&lt;source_vrms_network_gateway&gt; (Host 1)</t>
  </si>
  <si>
    <t>&lt;target_vrms_network_cidr&gt; (Host 1)</t>
  </si>
  <si>
    <t>&lt;target_vlr_mgmt_network_cidr&gt; (Host 1)</t>
  </si>
  <si>
    <t>&lt;source_vrms_network_gateway&gt; (Host 2)</t>
  </si>
  <si>
    <t>&lt;target_vrms_network_cidr&gt; (Host 2)</t>
  </si>
  <si>
    <t>&lt;target_vlr_mgmt_network_cidr&gt; (Host 2)</t>
  </si>
  <si>
    <t>&lt;source_vrms_network_gateway&gt; (Host 3)</t>
  </si>
  <si>
    <t>&lt;target_vrms_network_cidr&gt; (Host 3)</t>
  </si>
  <si>
    <t>&lt;target_vlr_mgmt_network_cidr&gt; (Host 3)</t>
  </si>
  <si>
    <t>&lt;source_vrms_network_gateway&gt; (Host 4)</t>
  </si>
  <si>
    <t>&lt;target_vrms_network_cidr&gt; (Host 4)</t>
  </si>
  <si>
    <t>&lt;target_vlr_mgmt_network_cidr&gt; (Host 4)</t>
  </si>
  <si>
    <t>Add a Tier-1 Gateway, Network Segment, and Configure DHCP Service for On-Premises Ransomware Recovery for VMware Cloud Foundation</t>
  </si>
  <si>
    <t>&lt;nsx_manager_cluster_fqdn&gt;</t>
  </si>
  <si>
    <t>Add DHCP Profile</t>
  </si>
  <si>
    <t>DHCP Name</t>
  </si>
  <si>
    <t>tier1_dhcp_profile</t>
  </si>
  <si>
    <t>Profile Type</t>
  </si>
  <si>
    <t>DHCP Server</t>
  </si>
  <si>
    <t>Server IP Address</t>
  </si>
  <si>
    <t>192.168.90.2/24</t>
  </si>
  <si>
    <t>Edge cluster</t>
  </si>
  <si>
    <t>Add Tier-1 Gateways</t>
  </si>
  <si>
    <t>Add Segments</t>
  </si>
  <si>
    <t>Segment Name</t>
  </si>
  <si>
    <t>Connected Gateway</t>
  </si>
  <si>
    <t>Transport Zone</t>
  </si>
  <si>
    <t>Gateway CIDR IPV4</t>
  </si>
  <si>
    <t>192.168.90.1/24</t>
  </si>
  <si>
    <t>Set DHCP Config</t>
  </si>
  <si>
    <t>DHCP Profile</t>
  </si>
  <si>
    <t>DHCP server address</t>
  </si>
  <si>
    <t>192.168.90.3/24</t>
  </si>
  <si>
    <t>DHCP Ranges</t>
  </si>
  <si>
    <t>192.168.90.100-192.168.90.200</t>
  </si>
  <si>
    <t>Create a Virtual Machine Folder for Workload VMs for On-Premises Ransomware Recovery for VMware Cloud Foundation</t>
  </si>
  <si>
    <t>Data Center</t>
  </si>
  <si>
    <t>Protected Site Configuration Tasks for On-Premises Ransomware Recovery for VMware Cloud Foundation</t>
  </si>
  <si>
    <t>Create a Site Pair Between the Protected and Recovery Instances</t>
  </si>
  <si>
    <t>svc_lax-w01-vlr01_lax-w01-vc01@lax-w01.local</t>
  </si>
  <si>
    <t>Llicense key</t>
  </si>
  <si>
    <t>Configure Mappings between the Protected and the Recovery Instances</t>
  </si>
  <si>
    <t>Network Mapping (Protected Network)</t>
  </si>
  <si>
    <t>Network Mapping (Recovery Network)</t>
  </si>
  <si>
    <t xml:space="preserve">Compute Cluster </t>
  </si>
  <si>
    <t>Folder Mapping (Protected Folder)</t>
  </si>
  <si>
    <t>Folder Mapping (Recovery Folder)</t>
  </si>
  <si>
    <t>Resource Mapping (Protected Cluster)</t>
  </si>
  <si>
    <t>Resource Mapping (Recovery Cluster)</t>
  </si>
  <si>
    <t>Configure Replication, Create a Protection Group and a Recovery Plan for Workload VMs for On-Premises Ransomware Recovery for VMware Cloud Foundation</t>
  </si>
  <si>
    <t>workload-VM, ex: win2022</t>
  </si>
  <si>
    <t>24 Hours</t>
  </si>
  <si>
    <t xml:space="preserve">Value can be customized if required. </t>
  </si>
  <si>
    <t>Total instances</t>
  </si>
  <si>
    <t>workload PG</t>
  </si>
  <si>
    <t>workload RP</t>
  </si>
  <si>
    <t>Perform Recovery of a Business Critical Workloads for On-Premises Ransomware Recovery for VMware Cloud Foundation</t>
  </si>
  <si>
    <t>&lt;recovery_vcenter_fqdn&gt;</t>
  </si>
  <si>
    <t>Network adapter</t>
  </si>
  <si>
    <t>Create vSphere Single Sign-On Users for Integration with VCF Operations for On-Premises Ransomware Recovery for VMware Cloud Foundation</t>
  </si>
  <si>
    <t>Username (VMware Live Site Recovery)</t>
  </si>
  <si>
    <t>Password (VMware Live Site Recovery)</t>
  </si>
  <si>
    <t>Configure Service Account Permissions in vSphere for Integration with VCF Operations for VMware Cloud Foundation</t>
  </si>
  <si>
    <t>User/Group (VMware Live Site Recovery User)</t>
  </si>
  <si>
    <t>Role (VMware Live Site Recovery)</t>
  </si>
  <si>
    <t>User/Group (vSphere Replication User)</t>
  </si>
  <si>
    <t>Role (vSphere Replication User)</t>
  </si>
  <si>
    <t>Install the VCF Operations Management Packs for VMware Live Site Recovery for On-Premises Ransomware Recovery for VMware Cloud Foundation</t>
  </si>
  <si>
    <t>Management pack</t>
  </si>
  <si>
    <t>Add VMware Live Site Recovery Adapter Instances to VCF Operations for On-Premises Ransomware Recovery for VMware Cloud Foundation</t>
  </si>
  <si>
    <t>VMware Live Site Recovery Host</t>
  </si>
  <si>
    <t>VMware Live Site Recovery Port</t>
  </si>
  <si>
    <t>Credential name</t>
  </si>
  <si>
    <t>Collector/Group</t>
  </si>
  <si>
    <t>Add vSphere Replication Adapter Instances to VCF Operations for On-Premises Ransomware Recovery for VMware Cloud Foundation</t>
  </si>
  <si>
    <t>vCenter Server, where vSphere Replication is registered</t>
  </si>
  <si>
    <t>Create Notifications in VCF Operations for On-Premises Ransomware Recovery for VMware Cloud Foundation</t>
  </si>
  <si>
    <t xml:space="preserve">         VMware Cloud Foundation Management Domain Post-Deployment as Built </t>
  </si>
  <si>
    <t>NSX Network Connectivity for MGMT Workload Domain Reference Sheet</t>
  </si>
  <si>
    <t>NSX Routing for Managment Domain</t>
  </si>
  <si>
    <t>Management Domain BGP Requirements</t>
  </si>
  <si>
    <t>FQDNS</t>
  </si>
  <si>
    <t>Overlay IP Address #02 for Edge Node 1</t>
  </si>
  <si>
    <t>AVI Load Balancer Reference Sheet</t>
  </si>
  <si>
    <t>FQDNs</t>
  </si>
  <si>
    <t>Stretched Cluster Reference Sheet</t>
  </si>
  <si>
    <t>Witness Network</t>
  </si>
  <si>
    <t>Stretched L2</t>
  </si>
  <si>
    <t>ESX Hosts</t>
  </si>
  <si>
    <t xml:space="preserve">Should this be a different network </t>
  </si>
  <si>
    <t>RTEP Network</t>
  </si>
  <si>
    <t xml:space="preserve">         VMware Cloud Foundation Workload Domain Post-Deployment </t>
  </si>
  <si>
    <t>NSX Routing for Workload Domain</t>
  </si>
  <si>
    <t>Workload Domain BGP Requirements</t>
  </si>
  <si>
    <t>AVI Load Balancer</t>
  </si>
  <si>
    <t>Host Overlay</t>
  </si>
  <si>
    <t>History</t>
  </si>
  <si>
    <t>Date</t>
  </si>
  <si>
    <t xml:space="preserve">Details </t>
  </si>
  <si>
    <t>- Initial Release</t>
  </si>
  <si>
    <t xml:space="preserve">File Version Availability </t>
  </si>
  <si>
    <t>This file changes as new versions of VMware Cloud Foundation / VMware Validated Solutions are released. To verify you have the correct and most accurate version of this file please visit  https://techdocs.broadcom.com/us/en/vmware-cis.html</t>
  </si>
  <si>
    <t>xxxxx-xxxxx-xxxxx-xxxxx-xxxxx</t>
  </si>
  <si>
    <t>&lt;csp_console_fqdn&gt;</t>
  </si>
  <si>
    <t>console.cloud.vmware.com</t>
  </si>
  <si>
    <t>Console User</t>
  </si>
  <si>
    <t>Network IP Address Allocation</t>
  </si>
  <si>
    <t>Subnet mask</t>
  </si>
  <si>
    <t>vCenter Server IP address</t>
  </si>
  <si>
    <t xml:space="preserve">         VMware Cloud Foundation and VMware vSphere Foundation Planning</t>
  </si>
  <si>
    <t>Use this page to select your options for a VMware Cloud Foundation Deployment</t>
  </si>
  <si>
    <t>VMware Values</t>
  </si>
  <si>
    <t>At VMware we value inclusion. To foster this principle within our customer, partner, and internal community, we are replacing some of the terminology in our content. We have updated this document to remove instances of non-inclusive language.</t>
  </si>
  <si>
    <t>VMware Cloud Foundation</t>
  </si>
  <si>
    <t xml:space="preserve">Deployment Specification </t>
  </si>
  <si>
    <t>Instance to perform operation on</t>
  </si>
  <si>
    <t>Operation to be performed</t>
  </si>
  <si>
    <t>Prerequisite Checklist</t>
  </si>
  <si>
    <t>The following pre-requisites need to be completed before proceeding with deployments</t>
  </si>
  <si>
    <t>Hardware (Management Domain)</t>
  </si>
  <si>
    <t>Server Component</t>
  </si>
  <si>
    <t>Minimum Requirements</t>
  </si>
  <si>
    <t>Server Type</t>
  </si>
  <si>
    <t>Refer to the VMware Compatibility Guide at https://compatibilityguide.broadcom.com/ for supported configurations. Note that VMware Cloud Foundation supports three node vSAN clusters in Workload Domains. VMware recommends a minimum of four nodes for production.</t>
  </si>
  <si>
    <t>Supported Configurations</t>
  </si>
  <si>
    <t>Memory</t>
  </si>
  <si>
    <r>
      <t xml:space="preserve">Rainpole example suggests
- 1TB per host based on 4 hosts with ability to tolerate failure of a single host.
</t>
    </r>
    <r>
      <rPr>
        <b/>
        <sz val="12"/>
        <color theme="1"/>
        <rFont val="Arial"/>
        <family val="2"/>
      </rPr>
      <t>Use Management Domain Sizing for sizing based on your chosen options.</t>
    </r>
  </si>
  <si>
    <t>Storage (Boot)</t>
  </si>
  <si>
    <t>Supported configurations</t>
  </si>
  <si>
    <t>SD-Cards are considered legacy and not recommended.</t>
  </si>
  <si>
    <t>Storage VSAN-OSA  (Cache)</t>
  </si>
  <si>
    <r>
      <t xml:space="preserve">Rainpole example suggests 
- 1.2TB of Raw Capacity for the Caching Tier (All-Flash) per host. 
- Two disk groups, 600GB cache per disk group.
Ensure no existing partitions exist on disks intended for use
See Designing and Sizing a vSAN Cluster from the VMware vSAN documentation for guidelines about cache sizing.
</t>
    </r>
    <r>
      <rPr>
        <b/>
        <sz val="12"/>
        <color theme="1"/>
        <rFont val="Arial"/>
        <family val="2"/>
      </rPr>
      <t>Use Management Domain Sizing for sizing based on your chosen options.</t>
    </r>
  </si>
  <si>
    <t>Storage vSAN-OSA (Capacity)</t>
  </si>
  <si>
    <r>
      <t xml:space="preserve">Rainpole example suggests
- 12.5TB of Raw Capacity for the Capacity Tier (All-Flash) per host.
- Two disk groups, 6.25TB per disk group
Ensure no existing partitions exist on disks intended for use
</t>
    </r>
    <r>
      <rPr>
        <b/>
        <sz val="12"/>
        <color theme="1"/>
        <rFont val="Arial"/>
        <family val="2"/>
      </rPr>
      <t>Use Management Domain Sizing for sizing based on your chosen options.</t>
    </r>
  </si>
  <si>
    <t xml:space="preserve">Storage vSAN-ESA </t>
  </si>
  <si>
    <r>
      <t xml:space="preserve">Rainpole example suggests
- 12.5TB of Raw Capacity for the Capacity Tier (All-Flash) per host.
 - 4 x 3.2TB NVME SSD Drives per node.
Ensure no existing partitions exist on disks intended for use
</t>
    </r>
    <r>
      <rPr>
        <b/>
        <sz val="12"/>
        <color theme="1"/>
        <rFont val="Arial"/>
        <family val="2"/>
      </rPr>
      <t>Use Management Domain Sizing for sizing based on your chosen options.</t>
    </r>
  </si>
  <si>
    <t>Storage NFS</t>
  </si>
  <si>
    <t>Use Management Domain Sizing for sizing based on your chosen options.</t>
  </si>
  <si>
    <t>Storage FC</t>
  </si>
  <si>
    <t>NICs per server</t>
  </si>
  <si>
    <t>- One 10 GbE NICs
- One 1 GbE BMC NIC</t>
  </si>
  <si>
    <t xml:space="preserve">Single NIC is supported with API Only
25GbE NICs are recommended for vSAN ESA 
</t>
  </si>
  <si>
    <t>Hardware (Workload Domain)</t>
  </si>
  <si>
    <t>Type</t>
  </si>
  <si>
    <t>Three Supported Servers</t>
  </si>
  <si>
    <t>Refer to the VMware Compatibility Guide at https://www.vmware.com/resources/compatibility/search.php for supported configurations. Note that VMware Cloud Foundation supports three node vSAN clusters in Workload Domains. VMware recommends a minimum of four nodes for production.
Ensure no existing partitions exist on disks intended for use</t>
  </si>
  <si>
    <t>Storage vSAN-OSA (Cache)</t>
  </si>
  <si>
    <t>Storage vSAN-OSA(Capacity)</t>
  </si>
  <si>
    <t xml:space="preserve">Single NIC is supported with API Only
VI Workload Domain: Supports a maximum of 64 x pNICs per host
25GbE NICs are recommended for vSAN ESA </t>
  </si>
  <si>
    <t>Network Requirements</t>
  </si>
  <si>
    <t>Physical Network</t>
  </si>
  <si>
    <t>Jumbo frames</t>
  </si>
  <si>
    <t>Required for the following traffic types:
- vSAN
- vSphere vMotion
- ESX Host Overlay
- NSX Edge Overlay
- NFS</t>
  </si>
  <si>
    <t>BGP adjacency and BGP autonomous system (AS) numbers</t>
  </si>
  <si>
    <t>Required for Dynamic routing in the SDDC</t>
  </si>
  <si>
    <t>Teaming Configurations</t>
  </si>
  <si>
    <t>Use teaming options within vSphere Distributed Switch to provide load-balancing and failover.</t>
  </si>
  <si>
    <t>Multi-path routing</t>
  </si>
  <si>
    <t>Verfiy that Equal-cost multi-path routing (ECMP) is supported on interfaces between NSX Edge uplinks and Top-of Rack Switchs (ToRs)</t>
  </si>
  <si>
    <t>Stretched Network Requirements
(Multiple Availability Zone Environments Only)</t>
  </si>
  <si>
    <t>Verify that routing is in place between ESXI Management IP  subnets of  Availability Zone 1 (AZ1) and Availability Zone 2 (AZ2).
Verify that the following networks from AZ1 are are stretched across the two availability zones.
- VM Management network
- Uplink01 (If NSX Centralized Connectivity is enabled for Management Domain, or Centralized Connectivity is enabled for Workload Domain)
- Uplink02 (If NSX Centralized Connectivity is enabled for Management Domain, or Centralized Connectivity is enabled for Workload Domain)
- Edge Overlay (If NSX Centralized Connectivity is enabled for Management Domain, or Centralized Connectivity is enabled for Workload Domain)</t>
  </si>
  <si>
    <t>VMware Software, Scripts, and Tools</t>
  </si>
  <si>
    <t>Software</t>
  </si>
  <si>
    <t>Download Location</t>
  </si>
  <si>
    <t>Download</t>
  </si>
  <si>
    <t>VMware Cloud Foundation Installer</t>
  </si>
  <si>
    <t>support.broadcom.com</t>
  </si>
  <si>
    <t>vSAN Witness Appliance</t>
  </si>
  <si>
    <t>VMware-VirtualSAN-Witness-x.x.x-xxxxxxxx.ova</t>
  </si>
  <si>
    <t>Third Party Software</t>
  </si>
  <si>
    <t>Vendor</t>
  </si>
  <si>
    <t>Product / Version</t>
  </si>
  <si>
    <t xml:space="preserve">Virtual Infrastructure
</t>
  </si>
  <si>
    <t>Any Supported</t>
  </si>
  <si>
    <t>Operating system for VMware vSphere® deployment.</t>
  </si>
  <si>
    <t>Active Directory</t>
  </si>
  <si>
    <t>Active Directory Element</t>
  </si>
  <si>
    <t>Domain Instance</t>
  </si>
  <si>
    <t>Active Directory Forest Configuration</t>
  </si>
  <si>
    <t>Parent Active Directory</t>
  </si>
  <si>
    <t>Contains Domain Name System (DNS) server, time server, SDDC users,  local and global groups.  Contains DNS records that replicate to all DNS servers in the forest.</t>
  </si>
  <si>
    <t>Active Directory Connectivity</t>
  </si>
  <si>
    <t>All Active Directory domain controllers must be accessible by all management components within the SDDC.</t>
  </si>
  <si>
    <t>Active Directory Version</t>
  </si>
  <si>
    <t>Windows Server 2019 and Windows Server 2022 are supported.</t>
  </si>
  <si>
    <t>DHCP</t>
  </si>
  <si>
    <t>DHCP Server (Optional)</t>
  </si>
  <si>
    <t>The subnet and associated VLAN that provides IPv4 transport for the ESXi Host Overlay VMkernel ports can be configured for IPv4 address auto-assignment by using DHCP. You will need 1 IP address per NIC, per host available in the DHCP scope e.g a 4 node cluster with 2 NICs per node would require a minimum of 8 IP addresses in the DHCP scope.</t>
  </si>
  <si>
    <t>Entries</t>
  </si>
  <si>
    <t>DNS host entries</t>
  </si>
  <si>
    <t>Parent Instance</t>
  </si>
  <si>
    <t>Contains DNS Entries for Parent Domain</t>
  </si>
  <si>
    <t xml:space="preserve">DNS Entries resides in the parent domain. </t>
  </si>
  <si>
    <t>Child Instances</t>
  </si>
  <si>
    <t>Contain DNS Entries for Respective Child Domains</t>
  </si>
  <si>
    <t xml:space="preserve">Configure both DNS servers with the following settings
- Create PTR and A Records for all FQDNS listed in the Management Domain Creation, Workload Domain Creation and Cluster Creation Tabs 
- FQDNS and IP Address must be unique
- Dynamic updates for the domain set to Nonsecure and secure. 
- Zone replication scope for the domain set to All DNS server in this forest. </t>
  </si>
  <si>
    <t>DNS Configuration</t>
  </si>
  <si>
    <t>All Instances</t>
  </si>
  <si>
    <t>Configure a DNS Canonical Name (CNAME) record that maps the two time sources to one DNS name.</t>
  </si>
  <si>
    <t>Target</t>
  </si>
  <si>
    <t>NTP Sources</t>
  </si>
  <si>
    <t>NTP Configuration</t>
  </si>
  <si>
    <t>SMTP Mail Relay</t>
  </si>
  <si>
    <t>SMTP mail relay</t>
  </si>
  <si>
    <t>A mail relay instance, must be reachable from each SDDC component. As a best practice, limit the relay function to the management IP range(s) of the SDDC deployment.</t>
  </si>
  <si>
    <t>CA must be able to ingest a Certificate Signing Request (CSR) from the SDDC components and issue a signed certificate.
Microsoft CAs must support basic authentication.</t>
  </si>
  <si>
    <t>CA must be able to ingest a Certificate Signing Request (CSR) from the SDDC components and issue a signed certificate.
For this validated design, use the Microsoft Windows Enterprise CA that is available in the Windows Server 2016 operating system of a root domain controller. The domain controller must be configured with the Certificate Authority Service and the Certificate Authority Web Enrollment roles.</t>
  </si>
  <si>
    <t>Host Machine Access</t>
  </si>
  <si>
    <t xml:space="preserve">         VMware Cloud Foundation Management Domain Deployment using VCF Installer</t>
  </si>
  <si>
    <t>This page contains all user required values used during the deployment of a VMware Cloud Foundation Management Domain. Each table and value maps directly to a process in the deployment guidance documentation.</t>
  </si>
  <si>
    <t>Download Binaries</t>
  </si>
  <si>
    <t>Depot Settings and Binary Management</t>
  </si>
  <si>
    <t>Depot Type</t>
  </si>
  <si>
    <t>Online</t>
  </si>
  <si>
    <t>Offline Depot - Hostname</t>
  </si>
  <si>
    <t>my-offline-depot.rainpole.io</t>
  </si>
  <si>
    <t xml:space="preserve">Offline Depot - Port </t>
  </si>
  <si>
    <t>rqkOYDQRWJJbO7FIxdMgfgcKFOzPZRg4</t>
  </si>
  <si>
    <t>Enable Proxy Server</t>
  </si>
  <si>
    <t>VCF Fleet</t>
  </si>
  <si>
    <t>HTTPS</t>
  </si>
  <si>
    <t>internet-proxy.rainpole.io</t>
  </si>
  <si>
    <t>VCF Automation</t>
  </si>
  <si>
    <t>Authenticated</t>
  </si>
  <si>
    <t>my_proxy_username@rainpole.io</t>
  </si>
  <si>
    <t>Deploy</t>
  </si>
  <si>
    <t>Deployment Wizard</t>
  </si>
  <si>
    <t>Values are set based on selections made in VCF VVF Planning Tab</t>
  </si>
  <si>
    <t>Existing Components</t>
  </si>
  <si>
    <t>Select the existing components you want to reuse in this VCF fleet</t>
  </si>
  <si>
    <t>Minimum 3 Characters</t>
  </si>
  <si>
    <t>Management domain name</t>
  </si>
  <si>
    <t xml:space="preserve">Deployment model </t>
  </si>
  <si>
    <t>High Availability (Three-node)</t>
  </si>
  <si>
    <t>This selection applies to newly deployed appliances of VCF Operations, VCF Automation and NSX Manager.</t>
  </si>
  <si>
    <t>Enter the configuration details for the VCF Operations appliances.</t>
  </si>
  <si>
    <t>Administrator Password</t>
  </si>
  <si>
    <t>Load Balancer FQDN</t>
  </si>
  <si>
    <t>Fleet management appliance</t>
  </si>
  <si>
    <t>Appliance FQDN</t>
  </si>
  <si>
    <t>Use same password as VCF Operations</t>
  </si>
  <si>
    <t>Enter the configuration details for VCF Automation appliance</t>
  </si>
  <si>
    <t>Enter the configuration details for the management domain vCenter.</t>
  </si>
  <si>
    <t>SSO Username</t>
  </si>
  <si>
    <t>Enter configuration details for the NSX Manager to be deployed.</t>
  </si>
  <si>
    <t>Select your desired storage type and fill out the corresponding fields</t>
  </si>
  <si>
    <t>Datastore Name</t>
  </si>
  <si>
    <t>Failures to Tolerate</t>
  </si>
  <si>
    <t>Path to NFS Share</t>
  </si>
  <si>
    <t>NFS Server IP Address</t>
  </si>
  <si>
    <t>NFS Datastore with datastore bound to vmknic</t>
  </si>
  <si>
    <t>Hosts</t>
  </si>
  <si>
    <t>Add Hosts</t>
  </si>
  <si>
    <t xml:space="preserve">Host #1 FQDN </t>
  </si>
  <si>
    <t xml:space="preserve">Host #2 FQDN </t>
  </si>
  <si>
    <t xml:space="preserve">Host #3 FQDN </t>
  </si>
  <si>
    <t xml:space="preserve">Host #4 FQDN </t>
  </si>
  <si>
    <t xml:space="preserve">Host #5 FQDN </t>
  </si>
  <si>
    <t xml:space="preserve">Host #6 FQDN </t>
  </si>
  <si>
    <t xml:space="preserve">Host #7 FQDN </t>
  </si>
  <si>
    <t xml:space="preserve">Host #8 FQDN </t>
  </si>
  <si>
    <t xml:space="preserve">Host #9 FQDN </t>
  </si>
  <si>
    <t xml:space="preserve">Host #10 FQDN </t>
  </si>
  <si>
    <t xml:space="preserve">Host #11 FQDN </t>
  </si>
  <si>
    <t xml:space="preserve">Host #12 FQDN </t>
  </si>
  <si>
    <t xml:space="preserve">Host #13 FQDN </t>
  </si>
  <si>
    <t xml:space="preserve">Host #14 FQDN </t>
  </si>
  <si>
    <t xml:space="preserve">Host #15 FQDN </t>
  </si>
  <si>
    <t xml:space="preserve">Host #16 FQDN </t>
  </si>
  <si>
    <t>Networks</t>
  </si>
  <si>
    <t>NFS IP Address Range - Start</t>
  </si>
  <si>
    <t>NFS IP Address Range - End</t>
  </si>
  <si>
    <t>Provide the vSphere Distributed Switch configuration to be applied to the hosts in the cluster.</t>
  </si>
  <si>
    <t>Selected Profile</t>
  </si>
  <si>
    <t>Distributed Switch Name</t>
  </si>
  <si>
    <t>Network Traffic: NFS</t>
  </si>
  <si>
    <t>Operational Mode</t>
  </si>
  <si>
    <t>Enhanced Datapath Standard</t>
  </si>
  <si>
    <t>Route Based on the Source of the Port ID</t>
  </si>
  <si>
    <t>IP Pool</t>
  </si>
  <si>
    <t>vmnic2</t>
  </si>
  <si>
    <t>vmnic3</t>
  </si>
  <si>
    <t>vmnic4</t>
  </si>
  <si>
    <t>vmnic5</t>
  </si>
  <si>
    <t>Enter the configuration details for the SDDC Manager appliance.</t>
  </si>
  <si>
    <t xml:space="preserve">VCF Installer deployed location </t>
  </si>
  <si>
    <t>Deployed on one of the hosts in the management domain</t>
  </si>
  <si>
    <t>VCF Password</t>
  </si>
  <si>
    <t xml:space="preserve">VCF MGMT Domain FQDN and IP Addresses </t>
  </si>
  <si>
    <t xml:space="preserve">Use this additional table to capture IP addressed required for each appliance being deployed </t>
  </si>
  <si>
    <t xml:space="preserve">VCF Operations </t>
  </si>
  <si>
    <t xml:space="preserve">        VMware Cloud Foundation Management Domain Sizing Inputs</t>
  </si>
  <si>
    <t>Management Domain Assumptions</t>
  </si>
  <si>
    <t>Management Domain Virtual Machine Requirement Summary</t>
  </si>
  <si>
    <t>Host Requirement Summary</t>
  </si>
  <si>
    <t>Component</t>
  </si>
  <si>
    <t>Nodes</t>
  </si>
  <si>
    <t>vCPU</t>
  </si>
  <si>
    <t>RAM (GB)</t>
  </si>
  <si>
    <t>Disk (GB)</t>
  </si>
  <si>
    <t>Management Hosts</t>
  </si>
  <si>
    <t>Host and Operations Reserve (%)</t>
  </si>
  <si>
    <t>Hosts count based on User Specification</t>
  </si>
  <si>
    <t>Storage Estimated Growth (%)</t>
  </si>
  <si>
    <t>CPU usage Per Host (based on N-1 hosts)</t>
  </si>
  <si>
    <t>RAM usage Per Host (based on N-1 hosts)</t>
  </si>
  <si>
    <t xml:space="preserve">Management Domain Host Parameters </t>
  </si>
  <si>
    <t>Attribute</t>
  </si>
  <si>
    <t>Management Domain NSX Edges</t>
  </si>
  <si>
    <t>vSAN Storage Requirements if used as Primary Storage</t>
  </si>
  <si>
    <t>CPU Cores</t>
  </si>
  <si>
    <t>Management Domain AVI Load Balancer</t>
  </si>
  <si>
    <t>RAM Count (GB)</t>
  </si>
  <si>
    <t>GB</t>
  </si>
  <si>
    <t>CPU Oversubscription (X:1)</t>
  </si>
  <si>
    <t>Virtual Machine Capacity Requirements</t>
  </si>
  <si>
    <t>Memory Oversubscription (X:1)</t>
  </si>
  <si>
    <t>Swap File Requirements</t>
  </si>
  <si>
    <t>Workload Domain AVI Load Balancer</t>
  </si>
  <si>
    <t>Interim Total  (VM Capacity + Swap File)</t>
  </si>
  <si>
    <t>Workload Domain Security Services Platform</t>
  </si>
  <si>
    <t>Storage per Host (based on N-1 hosts)</t>
  </si>
  <si>
    <t>VCF Operations for networks</t>
  </si>
  <si>
    <t>VCF Operations for networks collector</t>
  </si>
  <si>
    <t>Totals</t>
  </si>
  <si>
    <t>Select</t>
  </si>
  <si>
    <t>vCenter               CPUs : RAM</t>
  </si>
  <si>
    <t>vCenter         Disk</t>
  </si>
  <si>
    <t>NSX Model</t>
  </si>
  <si>
    <t>Avi LB                 CPU : RAM : Disk</t>
  </si>
  <si>
    <t>m01</t>
  </si>
  <si>
    <t>Included</t>
  </si>
  <si>
    <t>Workload Domains</t>
  </si>
  <si>
    <t>vCenter                CPUs : RAM</t>
  </si>
  <si>
    <t>vCenter          Disk</t>
  </si>
  <si>
    <t>NSX LM                 CPU : RAM : Disk</t>
  </si>
  <si>
    <t>Federation</t>
  </si>
  <si>
    <t>NSX GM                  CPU : RAM : Disk</t>
  </si>
  <si>
    <t>Site Protection DR                   CPU : RAM : Disk</t>
  </si>
  <si>
    <t>w01</t>
  </si>
  <si>
    <t>w02</t>
  </si>
  <si>
    <t>w03</t>
  </si>
  <si>
    <t>w04</t>
  </si>
  <si>
    <t>w05</t>
  </si>
  <si>
    <t>w06</t>
  </si>
  <si>
    <t>w07</t>
  </si>
  <si>
    <t>w08</t>
  </si>
  <si>
    <t>w09</t>
  </si>
  <si>
    <t>w10</t>
  </si>
  <si>
    <t>w11</t>
  </si>
  <si>
    <t>w12</t>
  </si>
  <si>
    <t>w13</t>
  </si>
  <si>
    <t>w14</t>
  </si>
  <si>
    <t>w15</t>
  </si>
  <si>
    <t>w16</t>
  </si>
  <si>
    <t>w17</t>
  </si>
  <si>
    <t>w18</t>
  </si>
  <si>
    <t>w19</t>
  </si>
  <si>
    <t>w20</t>
  </si>
  <si>
    <t>w21</t>
  </si>
  <si>
    <t>w22</t>
  </si>
  <si>
    <t>w23</t>
  </si>
  <si>
    <t>w24</t>
  </si>
  <si>
    <t>Site Protection and Disaster Recovery for VMware Cloud Foundation</t>
  </si>
  <si>
    <t>On Premise Ransomware Recovery for VMware Cloud Foundation</t>
  </si>
  <si>
    <t xml:space="preserve">Memory </t>
  </si>
  <si>
    <t>VMware Live Recovery Appliance Size MGMT Domain</t>
  </si>
  <si>
    <t>No sizing optionality for the appliance</t>
  </si>
  <si>
    <t xml:space="preserve">On Premise Ransomware Recovery </t>
  </si>
  <si>
    <t>VMware Live Recovery Appliance Size</t>
  </si>
  <si>
    <t>Portgroup should be created manually on Primary Distributed Switch post Deployment. Used for NSX Edge MGMT Interface.</t>
  </si>
  <si>
    <t>NSX Configuration for Availability Zone 2</t>
  </si>
  <si>
    <t>Stretch a vSAN cluster using the SDDC Manager API</t>
  </si>
  <si>
    <t>Deploy and Configure vSAN Witness Host  {vCenter}</t>
  </si>
  <si>
    <t>VDS Uplinks</t>
  </si>
  <si>
    <t>LAG Name</t>
  </si>
  <si>
    <t>LACP Mode</t>
  </si>
  <si>
    <t>LAG Load Balancing</t>
  </si>
  <si>
    <t>LACP Time Out</t>
  </si>
  <si>
    <t>Slow</t>
  </si>
  <si>
    <t>Source MAC</t>
  </si>
  <si>
    <t>vLAN</t>
  </si>
  <si>
    <t>Destination MAC</t>
  </si>
  <si>
    <t>Source and destination MAC</t>
  </si>
  <si>
    <t>Destination IP and vLAN</t>
  </si>
  <si>
    <t>Source IP and vLAN</t>
  </si>
  <si>
    <t>Source and destination IP and vLAN</t>
  </si>
  <si>
    <t>Destination TCP/UDP port</t>
  </si>
  <si>
    <t>Source TCP/UDP port</t>
  </si>
  <si>
    <t>Source and destination TCP/UDP port</t>
  </si>
  <si>
    <t>Destination IP and TCP/UDP port</t>
  </si>
  <si>
    <t>Source IP and TCP/UDP port</t>
  </si>
  <si>
    <t>Destination IP and TCP/UDP port and vLAN</t>
  </si>
  <si>
    <t>Source IP and TCP/UDP port and vLAN</t>
  </si>
  <si>
    <t>Source and destination IP and TCP/UDP port and vLAN</t>
  </si>
  <si>
    <t>Destination IP</t>
  </si>
  <si>
    <t>Source IP</t>
  </si>
  <si>
    <t>vLAN source port ID</t>
  </si>
  <si>
    <t>Lag Name</t>
  </si>
  <si>
    <t>Primary Distributed Switch</t>
  </si>
  <si>
    <t>Source and destination IP and TCP/UDP port</t>
  </si>
  <si>
    <t>Source and destination IP</t>
  </si>
  <si>
    <t>Primary Distributed Switch Name</t>
  </si>
  <si>
    <t>Fast</t>
  </si>
  <si>
    <t>input_vvs_dr_ntp1_ip</t>
  </si>
  <si>
    <t>input_cluster_vsan_type</t>
  </si>
  <si>
    <t>input_flt_vidb_deployment_mode</t>
  </si>
  <si>
    <t>input_mgmt_ec_gateway_type</t>
  </si>
  <si>
    <t>input_wld_cl01_vsan_client_network_chosen</t>
  </si>
  <si>
    <t>input_xreg_logs_nodea_hostname</t>
  </si>
  <si>
    <t>input_xreg_logs_nodeb_hostname</t>
  </si>
  <si>
    <t>input_xreg_logs_nodec_hostname</t>
  </si>
  <si>
    <t>input_xreg_net_nodea_hostname</t>
  </si>
  <si>
    <t>input_xreg_net_nodeb_hostname</t>
  </si>
  <si>
    <t>input_xreg_net_nodec_hostname</t>
  </si>
  <si>
    <t>input_xreg_vrops_flt_hostname</t>
  </si>
  <si>
    <t>input_vvs_dr_ntp1_server</t>
  </si>
  <si>
    <t>cluster_vsan_type_chosen</t>
  </si>
  <si>
    <t>flt_vidb_chosen</t>
  </si>
  <si>
    <t>mgmt_vns_chosen</t>
  </si>
  <si>
    <t>wld_cl01_vsan_client_network_chosen</t>
  </si>
  <si>
    <t>vvs_dr_flt_logs_nodea_hostname</t>
  </si>
  <si>
    <t>vvs_dr_flt_logs_nodeb_hostname</t>
  </si>
  <si>
    <t>vvs_dr_flt_logs_nodec_hostname</t>
  </si>
  <si>
    <t>vvs_dr_flt_net_nodea_hostname</t>
  </si>
  <si>
    <t>vvs_dr_flt_net_nodeb_hostname</t>
  </si>
  <si>
    <t>vvs_dr_flt_fleet_manager_hostname</t>
  </si>
  <si>
    <t>New</t>
  </si>
  <si>
    <t>Old</t>
  </si>
  <si>
    <t>wld_multirack_chosen</t>
  </si>
  <si>
    <t>wld_multirack_calc</t>
  </si>
  <si>
    <t>cluster_vsan_type</t>
  </si>
  <si>
    <t>wld_cl01_vsan_client_network</t>
  </si>
  <si>
    <t xml:space="preserve"> sample_mgmt_nsxt_gm_vip_ip</t>
  </si>
  <si>
    <t>sample_mgmt_nsxt_gm_ip</t>
  </si>
  <si>
    <t>input_mgmt_nsxt_gm_vip_ip</t>
  </si>
  <si>
    <t>input_mgmt_nsxt_gm_ip</t>
  </si>
  <si>
    <t>mgmt_nsxt_gm_vip_ip</t>
  </si>
  <si>
    <t>mgmt_nsxt_gm_ip</t>
  </si>
  <si>
    <t>sample_mgmt_nsxt_vip_ip</t>
  </si>
  <si>
    <t>sample_mgmt_nsxt_ip</t>
  </si>
  <si>
    <t>input_mgmt_nsxt_vip_ip</t>
  </si>
  <si>
    <t>input_mgmt_nsxt_ip</t>
  </si>
  <si>
    <t>mgmt_nsxt_vip_ip</t>
  </si>
  <si>
    <t>mgmt_nsxt_ip</t>
  </si>
  <si>
    <t>sample_wld_nsxt_gm_vip_ip</t>
  </si>
  <si>
    <t>sample_wld_nsxt_gm_ip</t>
  </si>
  <si>
    <t>input_wld_nsxt_gm_vip_ip</t>
  </si>
  <si>
    <t>input_wld_nsxt_gm_ip</t>
  </si>
  <si>
    <t>wld_nsxt_gm_vip_ip</t>
  </si>
  <si>
    <t>wld_nsxt_gm_ip</t>
  </si>
  <si>
    <t>sample_wld_nsxt_vip_ip</t>
  </si>
  <si>
    <t>sample_wld_nsxt_ip</t>
  </si>
  <si>
    <t>input_wld_nsxt_vip_ip</t>
  </si>
  <si>
    <t>input_wld_nsxt_ip</t>
  </si>
  <si>
    <t>wld_nsxt_vip_ip</t>
  </si>
  <si>
    <t>mgmt_wld_ip</t>
  </si>
  <si>
    <t>flt_vidb_fqdn</t>
  </si>
  <si>
    <t>flt_vidb_vip_fqdn</t>
  </si>
  <si>
    <t>sample_flt_vidb_vip_fqdn</t>
  </si>
  <si>
    <t>input_flt_vidb_vip_fqdn</t>
  </si>
  <si>
    <t>sample_flt_vidb_fqdn</t>
  </si>
  <si>
    <t>input_flt_vidb_fqdn</t>
  </si>
  <si>
    <r>
      <t xml:space="preserve">If MTU, Static Pools for Host TEP or custom configuration is required then use </t>
    </r>
    <r>
      <rPr>
        <b/>
        <sz val="12"/>
        <color theme="1"/>
        <rFont val="Arial"/>
        <family val="2"/>
      </rPr>
      <t>Copy from Preconfigured Profile</t>
    </r>
    <r>
      <rPr>
        <sz val="12"/>
        <color theme="1"/>
        <rFont val="Arial"/>
        <family val="2"/>
      </rPr>
      <t xml:space="preserve"> option</t>
    </r>
  </si>
  <si>
    <t>Should be created manually on Primary Distributed Switch post Deployment. Used for NSX Edge MGMT Interface.</t>
  </si>
  <si>
    <t>IP Address must be in the same subnet as the VM Management Network for the Management Workload Domain</t>
  </si>
  <si>
    <t xml:space="preserve">Workflow will auto generate the Datastore name. Datastore can be changed to the desired value post deployment. </t>
  </si>
  <si>
    <t xml:space="preserve">Is configured as part of the Global Fabric setting </t>
  </si>
  <si>
    <t xml:space="preserve">vSAN Stretched Cluster </t>
  </si>
  <si>
    <t>vSAN Stretched Cluster {API}</t>
  </si>
  <si>
    <t>sizing_m01_nsxt_model_chosen</t>
  </si>
  <si>
    <t xml:space="preserve">sizing_wld_nsxt_model_chosen </t>
  </si>
  <si>
    <t xml:space="preserve">sizing_m01_vcenter_appliance_size_chosen </t>
  </si>
  <si>
    <t>sizing_m01_vcenter_storage_size_chosen</t>
  </si>
  <si>
    <t>mgmt_nsxt_appliance_size_chosen</t>
  </si>
  <si>
    <t>wld_nsxt_appliance_size_chosen</t>
  </si>
  <si>
    <t>mgmt_vcenter_appliance_size_chosen</t>
  </si>
  <si>
    <t>mgmt_vcenter_appliance_storage_size_chosen</t>
  </si>
  <si>
    <t>XLarge</t>
  </si>
  <si>
    <t>TinyXLarge</t>
  </si>
  <si>
    <t>SmallXLarge</t>
  </si>
  <si>
    <t>MediumXLarge</t>
  </si>
  <si>
    <t>LargeXLarge</t>
  </si>
  <si>
    <t>XLargeDefault</t>
  </si>
  <si>
    <t>XLargeLarge</t>
  </si>
  <si>
    <t>XLargeXLarge</t>
  </si>
  <si>
    <t>mgmt_vcfops_appliance_size_chosen</t>
  </si>
  <si>
    <t>xreg_vrops_appliance_size_chosen</t>
  </si>
  <si>
    <t>NSX Network Connectivity for  Workload Domain Reference Sheet</t>
  </si>
  <si>
    <t>9.1.0.0</t>
  </si>
  <si>
    <t>Deploy new VMware vSphere Foundation</t>
  </si>
  <si>
    <t>Network Options</t>
  </si>
  <si>
    <t>The deployment model and size that you select does not impact existing components that you maybe using in your VCF fleet or VCF Instance</t>
  </si>
  <si>
    <t xml:space="preserve">Size </t>
  </si>
  <si>
    <t>Distributed connectivity</t>
  </si>
  <si>
    <t>Storage Options</t>
  </si>
  <si>
    <t>Storage Option</t>
  </si>
  <si>
    <t>I have an existing vCenter instance</t>
  </si>
  <si>
    <t>I have an existing VCF Operations 9.1 instance</t>
  </si>
  <si>
    <t>9.0 PnP Fields</t>
  </si>
  <si>
    <t>Gateway CIDR</t>
  </si>
  <si>
    <t>MGMT Rack 1 Network Gateways CIDRs (Primary AZ)</t>
  </si>
  <si>
    <t>Network options are set to the recommended values by default. Review them below, and customize any settings that need changes. Select how your management traffic is set up - level of segregation/isolation</t>
  </si>
  <si>
    <t xml:space="preserve">VM management network </t>
  </si>
  <si>
    <t>Use a separate dedicated network</t>
  </si>
  <si>
    <t>VCF Management Services</t>
  </si>
  <si>
    <t>Scale Options</t>
  </si>
  <si>
    <t>Aria Automation Node E</t>
  </si>
  <si>
    <t>Aria Automation Node F</t>
  </si>
  <si>
    <t>WLD Witness MGMT Gateway</t>
  </si>
  <si>
    <t>WLD Witness MGMT Network</t>
  </si>
  <si>
    <t>WLD Witness MGMT Mask</t>
  </si>
  <si>
    <t xml:space="preserve">MGMT Witness Network </t>
  </si>
  <si>
    <t xml:space="preserve">MGMT Witness Mask </t>
  </si>
  <si>
    <t>Small HA</t>
  </si>
  <si>
    <t>VCFMS Worker Node</t>
  </si>
  <si>
    <t>VCFMS Worker Node CPU</t>
  </si>
  <si>
    <t xml:space="preserve">VCFMS Worker Node RAM </t>
  </si>
  <si>
    <t>VCFMS Worker Node Disk</t>
  </si>
  <si>
    <t xml:space="preserve">VCFMS Control Node RAM </t>
  </si>
  <si>
    <t>VCFMS Control Node Disk</t>
  </si>
  <si>
    <t>VCFMS Control Node CPU</t>
  </si>
  <si>
    <t>Management Domain NSX Managers (Local / Global)</t>
  </si>
  <si>
    <t>VCF management network</t>
  </si>
  <si>
    <t>VPC Gateway Connectivity</t>
  </si>
  <si>
    <t xml:space="preserve">IP Scheme </t>
  </si>
  <si>
    <t>vMotion network IP scheme</t>
  </si>
  <si>
    <t>IPv4</t>
  </si>
  <si>
    <t>Storage network IP scheme</t>
  </si>
  <si>
    <t>Activate vSAN Deduplication and Compression</t>
  </si>
  <si>
    <t>Activate vSAN Data-in-Transit encryption</t>
  </si>
  <si>
    <t>IPv4 gateway (CIDR notation)</t>
  </si>
  <si>
    <t>IPv6 gateway (CIDR notation)</t>
  </si>
  <si>
    <t>VCF Management Network</t>
  </si>
  <si>
    <t>IPv4 address Range From</t>
  </si>
  <si>
    <t>IPv4 address Range To</t>
  </si>
  <si>
    <t>IPv6 address Range From</t>
  </si>
  <si>
    <t>IPv6 address Range To</t>
  </si>
  <si>
    <t>IP address Range From</t>
  </si>
  <si>
    <t>IP address Range To</t>
  </si>
  <si>
    <t>External Network for Distributed Transit Gateway</t>
  </si>
  <si>
    <t>License Server</t>
  </si>
  <si>
    <t>VCF services runtime FQDN</t>
  </si>
  <si>
    <t>VVF</t>
  </si>
  <si>
    <t>Use VM management network</t>
  </si>
  <si>
    <t>VCF services runtime</t>
  </si>
  <si>
    <t>Real-time metrics</t>
  </si>
  <si>
    <t>VCF services runtime worker nodes</t>
  </si>
  <si>
    <t>Management Domain Security Services Platform</t>
  </si>
  <si>
    <t>Workload Domain NSX Managers (Local / Global)</t>
  </si>
  <si>
    <t>VCF services runtime control nodes</t>
  </si>
  <si>
    <t>Deploy deferred components</t>
  </si>
  <si>
    <t>Edge Node MGMT CIDR</t>
  </si>
  <si>
    <t>VCF Management services</t>
  </si>
  <si>
    <t>Identity Broker FQDN</t>
  </si>
  <si>
    <t>At least one of the provided DNS addresses needs to match the address used by the VCF Installer Appliance</t>
  </si>
  <si>
    <t>At least one of the provided NTP addresses needs to match the address used by the VCF Installer Appliance.</t>
  </si>
  <si>
    <t>Default hostname DNS suffix</t>
  </si>
  <si>
    <t>IPv4 Gateway (CIDR notation)</t>
  </si>
  <si>
    <t>Fleet components</t>
  </si>
  <si>
    <t>Instance component</t>
  </si>
  <si>
    <t>Identity Broker</t>
  </si>
  <si>
    <t>VCF management services</t>
  </si>
  <si>
    <t>VCF Installer</t>
  </si>
  <si>
    <t xml:space="preserve">VCF MS Service Runtime </t>
  </si>
  <si>
    <t xml:space="preserve">VCF MS Intance Components </t>
  </si>
  <si>
    <t xml:space="preserve">Licence Server </t>
  </si>
  <si>
    <t xml:space="preserve">VCF MS Fleet Components </t>
  </si>
  <si>
    <t>VCF Operations Load Balancer</t>
  </si>
  <si>
    <t>Cluster Node IP Pool #5</t>
  </si>
  <si>
    <t>Cluster Node IP Pool #6</t>
  </si>
  <si>
    <t>Cloud Proxy</t>
  </si>
  <si>
    <t>Primary node FQDN</t>
  </si>
  <si>
    <t>VCFA Node End IP</t>
  </si>
  <si>
    <t>VCFA Node start IP</t>
  </si>
  <si>
    <t>VCFMS Node start IP</t>
  </si>
  <si>
    <t>VCFMS Node end IP</t>
  </si>
  <si>
    <t>Replica FQDN</t>
  </si>
  <si>
    <t>Data node FQDN</t>
  </si>
  <si>
    <t>IPV6 Prefix</t>
  </si>
  <si>
    <t>2001:db8:0:</t>
  </si>
  <si>
    <t xml:space="preserve">MGMT Fleet Deployment network </t>
  </si>
  <si>
    <t>IP Scheme</t>
  </si>
  <si>
    <t>IPv4 IP Range End :</t>
  </si>
  <si>
    <t>IPv4 IP Range Start :</t>
  </si>
  <si>
    <t>IPv4 Gateway (CIDR Notation)</t>
  </si>
  <si>
    <t>IPv6 Gateway (CIDR Notation)</t>
  </si>
  <si>
    <t>IPv6 IP Range Start :</t>
  </si>
  <si>
    <t>IPv6 IP Range End :</t>
  </si>
  <si>
    <t>2001:db8:0:1315::101/64</t>
  </si>
  <si>
    <t>2001:db8:0:1315::116/64</t>
  </si>
  <si>
    <t xml:space="preserve">IP Assignment </t>
  </si>
  <si>
    <t>IPv4 Range Start:</t>
  </si>
  <si>
    <t>IPv4 Range End:</t>
  </si>
  <si>
    <t>IPv6 Range Start:</t>
  </si>
  <si>
    <t>IPv6 Range End:</t>
  </si>
  <si>
    <t>Dual Stack (IPv6 and IPv4) Networking</t>
  </si>
  <si>
    <t>NSX Manager Appliances</t>
  </si>
  <si>
    <t>Create new NSX Manager instance</t>
  </si>
  <si>
    <t>Distributed Connectivity</t>
  </si>
  <si>
    <t>Virtual Network Appliance-1 FQDN</t>
  </si>
  <si>
    <t>Virtual Network Appliance-2 FQDN</t>
  </si>
  <si>
    <t>Data-in-Transit encryption</t>
  </si>
  <si>
    <t>Rekey interval</t>
  </si>
  <si>
    <t>1 Day</t>
  </si>
  <si>
    <t xml:space="preserve">NFS: Folder </t>
  </si>
  <si>
    <t>NFS: Server IP Address</t>
  </si>
  <si>
    <t>172.29.0.0/16</t>
  </si>
  <si>
    <t>WLD Rack 1 Network Gateways CIDRs (Primary AZ)</t>
  </si>
  <si>
    <t xml:space="preserve">VM Management Network can be used for the NSX Edge Node Management Interface </t>
  </si>
  <si>
    <t>Full deployment with cluster</t>
  </si>
  <si>
    <t>IPv6</t>
  </si>
  <si>
    <t>Custom allows you set an interval in minutes between 30-10080</t>
  </si>
  <si>
    <t>By Applying default operation mode configured in NSX Manager, Enhanced Datapath Standard will be enabled.</t>
  </si>
  <si>
    <t>Note: Only Single Zone vSphere Supervisor with NSX VPC Networking can be deployed during WLD Creation.</t>
  </si>
  <si>
    <t>Use vSphere Client or vCenter API for other topologies</t>
  </si>
  <si>
    <t>Rekey mode</t>
  </si>
  <si>
    <t>Rekey interval - Default</t>
  </si>
  <si>
    <t>Rekey interval - Custom</t>
  </si>
  <si>
    <t xml:space="preserve">Customize appliance sizing during install. </t>
  </si>
  <si>
    <t>Download Service ID</t>
  </si>
  <si>
    <t>Activation Code</t>
  </si>
  <si>
    <t>Proxy FQDN or IP address</t>
  </si>
  <si>
    <t>Simple</t>
  </si>
  <si>
    <t>Distributed Switch Profile</t>
  </si>
  <si>
    <t>Dual stack networking</t>
  </si>
  <si>
    <t>When dual stack networking is enabled, you must select either IPv4 or IPv6 for the vMotion and vSAN networks</t>
  </si>
  <si>
    <t>SDDC Manager FQDN</t>
  </si>
  <si>
    <t>SSO Administrator username</t>
  </si>
  <si>
    <t>SSO Administrator password</t>
  </si>
  <si>
    <t>Scale options</t>
  </si>
  <si>
    <t>This selection applies to newly deployed appliances of VCF Operations and VCF Automation</t>
  </si>
  <si>
    <t>Port group for VCF management traffic</t>
  </si>
  <si>
    <t>Gateway (CIDR notation)</t>
  </si>
  <si>
    <t>VCF management traffic Network</t>
  </si>
  <si>
    <t>Activate Edge cluster sync and import NSX Edge node VMs</t>
  </si>
  <si>
    <t>Default project</t>
  </si>
  <si>
    <t>Span</t>
  </si>
  <si>
    <t>Default Span</t>
  </si>
  <si>
    <t>Note: You cannot modify BFD, BGP Peer ASN and BGP Peer Password fields because the BGP Peer IP you have entered is the same as the uplink 2 of edge sfo-m01-r01-en01.</t>
  </si>
  <si>
    <t>Auto generate passwords and manage them via VCF Ops</t>
  </si>
  <si>
    <t xml:space="preserve">Log Management FQDN </t>
  </si>
  <si>
    <t>Number Of Replicas</t>
  </si>
  <si>
    <t xml:space="preserve">Deployment Size </t>
  </si>
  <si>
    <t xml:space="preserve">Configure VMware Cloud Foundation Authentication </t>
  </si>
  <si>
    <t>IP Assignment</t>
  </si>
  <si>
    <t>IPv4 Only</t>
  </si>
  <si>
    <t>TEP IP Address Type</t>
  </si>
  <si>
    <t>Configure overlay using ESX Management VMkernel Networking</t>
  </si>
  <si>
    <t>Size</t>
  </si>
  <si>
    <t>VCF Instance</t>
  </si>
  <si>
    <t>Identity broker FQDN</t>
  </si>
  <si>
    <t>Display Name</t>
  </si>
  <si>
    <t>Used to identify Identity broker when multiple instances are present.</t>
  </si>
  <si>
    <t>Dual Stack</t>
  </si>
  <si>
    <t>IPv4 Address - Collector Node</t>
  </si>
  <si>
    <t>IPv4 Address - Platform Node</t>
  </si>
  <si>
    <t>IPv6 Address - Platform Node</t>
  </si>
  <si>
    <t>IPv6 Address - Collector Node</t>
  </si>
  <si>
    <t>VMware Cloud Foudation Management Domain Appliance Sizing - Only supported via API. Option is not visible VCF installer UI</t>
  </si>
  <si>
    <t>Passwords</t>
  </si>
  <si>
    <t xml:space="preserve">Visability </t>
  </si>
  <si>
    <t xml:space="preserve">External </t>
  </si>
  <si>
    <t>Excluded Ips</t>
  </si>
  <si>
    <t>Reserved for Specific Subnet</t>
  </si>
  <si>
    <t xml:space="preserve"> VCF installer | SDDC Manager | vCenter</t>
  </si>
  <si>
    <t xml:space="preserve">Network Traffic: ESX Management </t>
  </si>
  <si>
    <t>Network Traffic: VCF Management</t>
  </si>
  <si>
    <t xml:space="preserve">VCF Management Network </t>
  </si>
  <si>
    <t>MGMT Rack 1 Portgroup uplink  (Primary AZ)</t>
  </si>
  <si>
    <t>High Availability</t>
  </si>
  <si>
    <t>Deployment Size Control Node</t>
  </si>
  <si>
    <t>High Availability (Three-Node)</t>
  </si>
  <si>
    <t>Deploy the VCF OPs and VCF Auto to a specific vDPG or NSX segment</t>
  </si>
  <si>
    <t>VCF Management Services IP Range</t>
  </si>
  <si>
    <t>VCF Automation IP Range</t>
  </si>
  <si>
    <t>Fleet components FQDN</t>
  </si>
  <si>
    <t>Instance components FQDN</t>
  </si>
  <si>
    <t>VCF MGMT services</t>
  </si>
  <si>
    <t>Identity Broker CPU</t>
  </si>
  <si>
    <t>Identity Broker RAM</t>
  </si>
  <si>
    <t>Identity Broker Disk</t>
  </si>
  <si>
    <t xml:space="preserve">Availability model </t>
  </si>
  <si>
    <t>Instance Model</t>
  </si>
  <si>
    <t>VCF Fleet Components</t>
  </si>
  <si>
    <t>VCF Instance Profile</t>
  </si>
  <si>
    <t xml:space="preserve">Software Depot (Additional Instance) </t>
  </si>
  <si>
    <t>Identity Broker (Additional Instance)</t>
  </si>
  <si>
    <t>Virtual Network Appliance A</t>
  </si>
  <si>
    <t>Virtual Network Appliance B</t>
  </si>
  <si>
    <t xml:space="preserve">Virtual Network Appliance </t>
  </si>
  <si>
    <t xml:space="preserve">Form Factor </t>
  </si>
  <si>
    <t xml:space="preserve">Node Name (FQDN) </t>
  </si>
  <si>
    <t xml:space="preserve">vSphere Cluster </t>
  </si>
  <si>
    <t>IP Address Type</t>
  </si>
  <si>
    <t xml:space="preserve">Management CIDR </t>
  </si>
  <si>
    <t xml:space="preserve">VPC Services </t>
  </si>
  <si>
    <t>Virtual Network Appliance 02</t>
  </si>
  <si>
    <t>Virtual Network Appliance 01</t>
  </si>
  <si>
    <t>Sample VCF Installer FQDN</t>
  </si>
  <si>
    <t>Private</t>
  </si>
  <si>
    <t>Not Set</t>
  </si>
  <si>
    <t>VPC External IP Blocks Pool Name</t>
  </si>
  <si>
    <t>Private - Transit Gateway IP Blocks Pool Name</t>
  </si>
  <si>
    <t>NOTE: Passwords will be automatically generated and can be managed via VCF Operations Password Management.</t>
  </si>
  <si>
    <t>172.16.0.0/16</t>
  </si>
  <si>
    <t>Supervisor Management {vCenter}</t>
  </si>
  <si>
    <t>Select a networking stack</t>
  </si>
  <si>
    <t>Supervisor location</t>
  </si>
  <si>
    <t>Cluster Deployment</t>
  </si>
  <si>
    <t>Supervisor name</t>
  </si>
  <si>
    <t xml:space="preserve">VCF Networking with VPC </t>
  </si>
  <si>
    <t xml:space="preserve">Enable control plane high-availability </t>
  </si>
  <si>
    <t>vSphere Zone name</t>
  </si>
  <si>
    <t>Control Plane Storage Policy</t>
  </si>
  <si>
    <t>Ephemeral Disks Storage Policy</t>
  </si>
  <si>
    <t>Image Cache Storage Policy</t>
  </si>
  <si>
    <t>vCenter Server and Network</t>
  </si>
  <si>
    <t>IP Assignment Mode</t>
  </si>
  <si>
    <t>IP Addresses</t>
  </si>
  <si>
    <t>DNS Search Domains</t>
  </si>
  <si>
    <t>NTP Servers(s)</t>
  </si>
  <si>
    <t>Workload Network</t>
  </si>
  <si>
    <t>External IP Blocks</t>
  </si>
  <si>
    <t>Private (Transit Gateway) IP Blocks</t>
  </si>
  <si>
    <t>Private (VPC) CIDRs</t>
  </si>
  <si>
    <t>DNS Server(s</t>
  </si>
  <si>
    <t>NTP Server(s)</t>
  </si>
  <si>
    <t>Default VPC Connectivtiy Profile</t>
  </si>
  <si>
    <t>Advanced Settings</t>
  </si>
  <si>
    <t>Supervisor Control Plane Size</t>
  </si>
  <si>
    <t>API Server DNS Name(s)</t>
  </si>
  <si>
    <t xml:space="preserve">Management Supervisor </t>
  </si>
  <si>
    <t>VCF Networking with VPC</t>
  </si>
  <si>
    <t>172.32.0.0/16</t>
  </si>
  <si>
    <t>172.31.0.0/16</t>
  </si>
  <si>
    <t xml:space="preserve">Management VPC Configuration  </t>
  </si>
  <si>
    <t xml:space="preserve">Workload VPC Configuration   </t>
  </si>
  <si>
    <t xml:space="preserve">Workload Supervisor </t>
  </si>
  <si>
    <t>The existing vCenter is registered with NSX Manager</t>
  </si>
  <si>
    <t>I have an existing VCF Automation Instance or I will deploy later</t>
  </si>
  <si>
    <t>Configure the storage settings for the primary cluster in the management domain.</t>
  </si>
  <si>
    <t>VCF-A</t>
  </si>
  <si>
    <t>VCF services runtime nodes CIDR</t>
  </si>
  <si>
    <t>VCF Automation IP Address</t>
  </si>
  <si>
    <t xml:space="preserve">VCF services runtime IP Address </t>
  </si>
  <si>
    <t>VCF Automation  IP Address</t>
  </si>
  <si>
    <t>VCF services runtime IP Address</t>
  </si>
  <si>
    <t>Cloud Proxy IP</t>
  </si>
  <si>
    <t>License Server IP</t>
  </si>
  <si>
    <t>VCF Automation IP</t>
  </si>
  <si>
    <t xml:space="preserve"> VCF Operations Primary node IP</t>
  </si>
  <si>
    <t xml:space="preserve"> VCF Operations Replica IP</t>
  </si>
  <si>
    <t xml:space="preserve"> VCF Operations Data node IP</t>
  </si>
  <si>
    <t xml:space="preserve"> VCF Operations Load Balancer IP</t>
  </si>
  <si>
    <t>Identity broker IP</t>
  </si>
  <si>
    <t xml:space="preserve">SSP License </t>
  </si>
  <si>
    <t>IP range for the nodes of the VCF services runtime for VCF Automation.</t>
  </si>
  <si>
    <t>4 addresses are used for active nodes, and 1 is used when recreating a node during rolling upgrades.</t>
  </si>
  <si>
    <t>FQDN to access the hosted fleet-level components which do not require a separate FQDN, for example, the fleet lifecycle component.</t>
  </si>
  <si>
    <t>FQDN to access the hosted instance-level components which do not require a separate FQDN, for example, the SDDC lifecycle and real-time metrics components.</t>
  </si>
  <si>
    <t>FQDN to access the VCF services runtime component to troubleshoot issues, restart components, etc. The hostname from this FQDN is prefixed to the names of its node VMs and related objects.</t>
  </si>
  <si>
    <t xml:space="preserve">Value is set based on VLAN  for Edge node 1 </t>
  </si>
  <si>
    <t>Configure VCF Authentication</t>
  </si>
  <si>
    <t>Automation Service Runtime IP</t>
  </si>
  <si>
    <t xml:space="preserve">Gateway </t>
  </si>
  <si>
    <t xml:space="preserve">VDS </t>
  </si>
  <si>
    <t>172.30.0.0/16</t>
  </si>
  <si>
    <t>You must first enable the protocol in SDDC Manager</t>
  </si>
  <si>
    <t>Deploying Automation using VCF OPS UI  does not allow you to choose a network or vDPG. Cidr has to reside within the VM MGMT Network</t>
  </si>
  <si>
    <t>VCF services runtime FQDN must resolve to IP addresses that fall outside of the provided CIDR.</t>
  </si>
  <si>
    <t>VCF Automation FQDN must resolve to IP addresses that fall outside of the provided CIDR.</t>
  </si>
  <si>
    <t xml:space="preserve">Deploy Deffered Components </t>
  </si>
  <si>
    <t>Cloud Proxy FQDN</t>
  </si>
  <si>
    <t>License Server FQDN</t>
  </si>
  <si>
    <t>VRA FQDN</t>
  </si>
  <si>
    <t>Automation Service Runtime FQDN</t>
  </si>
  <si>
    <t>Management Domain vCenter</t>
  </si>
  <si>
    <t>Workload Domain vCenter</t>
  </si>
  <si>
    <t>Log Management</t>
  </si>
  <si>
    <t>Real-time Metrics</t>
  </si>
  <si>
    <t>Log Management Replicas</t>
  </si>
  <si>
    <t>Protection Blueprint Sizing Details</t>
  </si>
  <si>
    <t>Protection Blueprint: Deployment</t>
  </si>
  <si>
    <t xml:space="preserve">         Site Protection and Disaster Recovery Protection Blueprint </t>
  </si>
  <si>
    <t>This page contains all user required values used during the deployment of the Site Protection and Disaster Recovery Protection Blueprint . Each table and value maps directly to a process in the deployment guidance documentation.</t>
  </si>
  <si>
    <t xml:space="preserve">         VMware Cloud Foundation Live Recovery for Ransomware Recovery Protection Blueprint </t>
  </si>
  <si>
    <t>Protection Blueprint Requirements</t>
  </si>
  <si>
    <t>VMware Live Recovery Appliance Size Workload Domain</t>
  </si>
  <si>
    <t>Create Workload Domain</t>
  </si>
  <si>
    <t>Workload Domain Type</t>
  </si>
  <si>
    <t>Import Workload Domain</t>
  </si>
  <si>
    <t xml:space="preserve">Deploy Workload Domain </t>
  </si>
  <si>
    <t>Deploy a Workload Domain</t>
  </si>
  <si>
    <t xml:space="preserve">        VMware Cloud Foundation Workload Domain Post-Deployment </t>
  </si>
  <si>
    <t>NSX Network Connectivity for Workload Domain</t>
  </si>
  <si>
    <t>Site Protection &amp; Disaster Recovery References (Workload Domain)</t>
  </si>
  <si>
    <t>Isolated Workload Domain SSO Domain</t>
  </si>
  <si>
    <t>Isolated Workload Domain SSO Password</t>
  </si>
  <si>
    <t>VCF License server</t>
  </si>
  <si>
    <t xml:space="preserve"> VCF services runtime for VCF Automation</t>
  </si>
  <si>
    <t>VCF Management Services IPv4 address Range From</t>
  </si>
  <si>
    <t>VCF Management Services IPv4 address Range To</t>
  </si>
  <si>
    <t xml:space="preserve">Deploy AVI Load Balancer </t>
  </si>
  <si>
    <t>Deploy Log management</t>
  </si>
  <si>
    <t>Replica node FQDN</t>
  </si>
  <si>
    <t>VCF services runtime for VCF Automation</t>
  </si>
  <si>
    <t xml:space="preserve"> VCF Operations Replica node IP</t>
  </si>
  <si>
    <t>Deploy VCF Automation  {Using VMware Cloud Foundation Operations}</t>
  </si>
  <si>
    <t>Choose a Deployment mode</t>
  </si>
  <si>
    <t xml:space="preserve">Deploy AVI Load balancer </t>
  </si>
  <si>
    <t>Virtual Infrastructure Workload Domain: Post-Deployment Options</t>
  </si>
  <si>
    <t>Virtual Infrastructure Workload Domain: Deployment</t>
  </si>
  <si>
    <t>Configure User and Group Provisioning  {VMware Cloud Foundation Operations}</t>
  </si>
  <si>
    <t>Deploy VCF Operations for Networks {VMware Cloud Foundation Operations}</t>
  </si>
  <si>
    <t>Value is set based on choice in the Virtual Infrastructure Workload Domain: Deployment Options</t>
  </si>
  <si>
    <t>Can only be enabled on vSAN OSA Datastore</t>
  </si>
  <si>
    <t>Value is based on Primary Storage selection in the Virtual Infrastructure Workload Domain: Deployment Options</t>
  </si>
  <si>
    <t>Management Domain Virtual Network Appliances</t>
  </si>
  <si>
    <t>NSX Edge Small</t>
  </si>
  <si>
    <t>NSX Edge Medium</t>
  </si>
  <si>
    <t>NSX Edge Large</t>
  </si>
  <si>
    <t>NSX Edge XLarge</t>
  </si>
  <si>
    <t>VNA Small</t>
  </si>
  <si>
    <t>VNA Medium</t>
  </si>
  <si>
    <t>VNA Large</t>
  </si>
  <si>
    <t>VNA XLarge</t>
  </si>
  <si>
    <t>Implementation of Cyber Recovery for VMware Cloud Foundation</t>
  </si>
  <si>
    <t>Deploy the Protection and Recovery Appliance for Cyber Recovery for VMware Cloud Foundation</t>
  </si>
  <si>
    <t>Host Network IP Address Family</t>
  </si>
  <si>
    <t>Host Network Mode</t>
  </si>
  <si>
    <t>10.11.10.1</t>
  </si>
  <si>
    <t>STATIC</t>
  </si>
  <si>
    <t>Create vCenter Single Sign-On User for Registering Protection and Recovery for Cyber Recovery for VMware Cloud Foundation</t>
  </si>
  <si>
    <t>Assign vCenter Single Sign-On User with Group Role for Cyber Recovery for VMware Cloud Foundation</t>
  </si>
  <si>
    <t>vCenter host name</t>
  </si>
  <si>
    <t>Configure the Protection and Recovery Appliance for Cyber Recovery for VMware Cloud Foundation</t>
  </si>
  <si>
    <t>Create a Port Group for vSphere Replication Traffic for Cyber Recovery for VMware Cloud Foundation</t>
  </si>
  <si>
    <t>Select an existing network</t>
  </si>
  <si>
    <t>Create a VMkernel Adapter on the ESX Hosts for vSphere Replication Traffic for Cyber Recovery for VMware Cloud Foundation</t>
  </si>
  <si>
    <t>Create a Virtual Machine Folder for workload VMs for Cyber Recovery for VMware Cloud Foundation</t>
  </si>
  <si>
    <t>Create Site and Cluster Pairing for Cyber Recovery for VMware Cloud Foundation</t>
  </si>
  <si>
    <t>vCenter hostname</t>
  </si>
  <si>
    <t>Pair clusters</t>
  </si>
  <si>
    <t>Cloud region</t>
  </si>
  <si>
    <t>Set Up the Clean Room Orchestrator for Cyber Recovery for VMware Cloud Foundation</t>
  </si>
  <si>
    <t>Apply Protection and Recovery License for Cyber Recovery for VMware Cloud Foundation</t>
  </si>
  <si>
    <t>License key</t>
  </si>
  <si>
    <t>Enabling Ransomware Recovery Services for Cyber Recovery for VMware Cloud Foundation</t>
  </si>
  <si>
    <t>Activate Integrated Analysis - Preference</t>
  </si>
  <si>
    <t>Carbon Black - Country</t>
  </si>
  <si>
    <t>CrowdStrike instance</t>
  </si>
  <si>
    <t>Create and Name the Clean Room for Cyber Recovery for VMware Cloud Foundation</t>
  </si>
  <si>
    <t>Name (isolated clean room)</t>
  </si>
  <si>
    <t>Deploy and Configure the Connector VM for Cyber Recovery for VMware Cloud Foundation</t>
  </si>
  <si>
    <t>Connector appliance OVA URL</t>
  </si>
  <si>
    <t>vSphere client on the recovery site</t>
  </si>
  <si>
    <t>Virtual machine name</t>
  </si>
  <si>
    <t>Register vCenter with Clean Room for Cyber Recovery for VMware Cloud Foundation</t>
  </si>
  <si>
    <t>vCenter administrator user name</t>
  </si>
  <si>
    <t>Select an Isolated Recovery VPC for Cyber Recovery for VMware Cloud Foundation</t>
  </si>
  <si>
    <t>Isolated recovery VPC</t>
  </si>
  <si>
    <t>Deploy Cyber Recovery Sensor Appliance for Cyber Recovery for VMware Cloud Foundation</t>
  </si>
  <si>
    <t>VM name</t>
  </si>
  <si>
    <t>Network segment</t>
  </si>
  <si>
    <t>Network configuration</t>
  </si>
  <si>
    <t>VM folder</t>
  </si>
  <si>
    <t>Compute</t>
  </si>
  <si>
    <t>Content library datastore</t>
  </si>
  <si>
    <t>Network Mapping (Test networks)</t>
  </si>
  <si>
    <t>Network Mapping (Ransomware networks)</t>
  </si>
  <si>
    <t>Create a vSAN Protection Group for Cyber Recovery for VMware Cloud Foundation</t>
  </si>
  <si>
    <t>Protection group name</t>
  </si>
  <si>
    <t>Protection type</t>
  </si>
  <si>
    <t>Site</t>
  </si>
  <si>
    <t>Peer cluster</t>
  </si>
  <si>
    <t xml:space="preserve">Configure Mappings between the Protected and the Recovery Instances for Cyber Recovery for VMware Cloud Foundation			</t>
  </si>
  <si>
    <t>Create a Ransomware Recovery Plan for Cyber Recovery for VMware Cloud Foundation</t>
  </si>
  <si>
    <t>Direction</t>
  </si>
  <si>
    <t>Protection Groups</t>
  </si>
  <si>
    <t xml:space="preserve">Perform a Ransomware Recovery </t>
  </si>
  <si>
    <t>Ransomware recovery plan - Name</t>
  </si>
  <si>
    <t>xxx-xxxx</t>
  </si>
  <si>
    <t>us-west</t>
  </si>
  <si>
    <t>Carbon Black</t>
  </si>
  <si>
    <t>VCF-CR-Clean-Room</t>
  </si>
  <si>
    <t>https://44-229-115-216-us-west-2.console.ds-stg.vmware.com/recovery/vmware-cloud-connector.ova</t>
  </si>
  <si>
    <t>vmware-cloud-connector</t>
  </si>
  <si>
    <t>44-229-115-216-us-west-2.console.ds-stg.vmware.com</t>
  </si>
  <si>
    <t>vcf-cr-ca01</t>
  </si>
  <si>
    <t>xxxx-xxxx-xxxx-xxxx-xxxx</t>
  </si>
  <si>
    <t>RWR-VPC</t>
  </si>
  <si>
    <t>carbon-black-installer</t>
  </si>
  <si>
    <t>Isolated Network (Auto Created)</t>
  </si>
  <si>
    <t>rwr-vsan-pg</t>
  </si>
  <si>
    <t>Replication</t>
  </si>
  <si>
    <t>rwr-rp</t>
  </si>
  <si>
    <t>Cyber Recovery</t>
  </si>
  <si>
    <t xml:space="preserve">         Cyber Recovery for VMware Cloud Foundation Blueprint </t>
  </si>
  <si>
    <t>pnr_fqdn</t>
  </si>
  <si>
    <t>This page contains all user required values used during the deployment of the Cyber Recovery Blueprint.</t>
  </si>
  <si>
    <t xml:space="preserve">vmwarebyBroadcom#1 </t>
  </si>
  <si>
    <t>svc_lax-w01-pnr01_lax-w01-vc01@lax-w01.local</t>
  </si>
  <si>
    <t>VCF-SDDC-Manager-Appliance-9.1.x.0.xxxxxxxx</t>
  </si>
  <si>
    <t>Two Supported Servers - Simple Deployment ( NFS / FC)
Three Supported Servers - Simple Deployment ( vSAN)
Four Supported Servers - High Availability  Deployment</t>
  </si>
  <si>
    <t xml:space="preserve">A host machine in the data center that has access to the ESX management and VM Management Network. </t>
  </si>
  <si>
    <t>ESX hosts
AD domain controllers
Virtual appliances of the management applications</t>
  </si>
  <si>
    <t>An NTP source must be available and accessible from all nodes of the SDDC.
Use the ToR switches in the Management Workload Domain as the NTP servers or the upstream physical router. These switches must synchronize with different upstream NTP servers and provide time synchronization capabilities in the SDDC. As a best practice, make the NTP servers available under a friendly FQDN, e.g. ntp.sfo.rainpole.io.</t>
  </si>
  <si>
    <t>An SFTP server must be used to provide backups for VMware NSX Data Center instances and SDDC Manager which is configured through SDDC Manager.</t>
  </si>
  <si>
    <t>A virtual machine or physical server must be available to that is permitted to route to
- ESXi Management network
- VM Management network
- VCF Management network
- Internet for software downloads</t>
  </si>
  <si>
    <t>vDefend and AVI Licensing Hub</t>
  </si>
  <si>
    <t xml:space="preserve">These settings only applies to newly deployed components </t>
  </si>
  <si>
    <t>SLAAC</t>
  </si>
  <si>
    <t>sdfSDFsdfsdfDFFDSFSDF23SDFHJBSVBF</t>
  </si>
  <si>
    <t>Value is set based on Virtual Infrastructure Workload Domain: Deployment options chosen</t>
  </si>
  <si>
    <t>Traffic Type is set based on your Selected VDS Profile</t>
  </si>
  <si>
    <t>mgmt_az1_dtgw_gateway_cidr</t>
  </si>
  <si>
    <t>vCenter Appliance Size</t>
  </si>
  <si>
    <t>vCenter Storage Size</t>
  </si>
  <si>
    <t xml:space="preserve">VCF OPS </t>
  </si>
  <si>
    <t>VCF OPS Collector</t>
  </si>
  <si>
    <t>lstorage</t>
  </si>
  <si>
    <t>Smalllstorage</t>
  </si>
  <si>
    <t>Smallxlstorage</t>
  </si>
  <si>
    <t>XLargelstorage</t>
  </si>
  <si>
    <t>Largelstorage</t>
  </si>
  <si>
    <t>Largexlstorage</t>
  </si>
  <si>
    <t>Xlargexlstorage</t>
  </si>
  <si>
    <t>Mediumlstorage</t>
  </si>
  <si>
    <t>Mediumxlstorage</t>
  </si>
  <si>
    <t>Tinyxlstorage</t>
  </si>
  <si>
    <t>Tinylstorage</t>
  </si>
  <si>
    <t>Advanced Management Domain Sizing</t>
  </si>
  <si>
    <t>NSX Manager Model</t>
  </si>
  <si>
    <t>NSX Manager Size</t>
  </si>
  <si>
    <t>VCF Operations Model</t>
  </si>
  <si>
    <t>VCF Operations Size</t>
  </si>
  <si>
    <t>w25</t>
  </si>
  <si>
    <t>w26</t>
  </si>
  <si>
    <t>w27</t>
  </si>
  <si>
    <t>w28</t>
  </si>
  <si>
    <t>w29</t>
  </si>
  <si>
    <t>w30</t>
  </si>
  <si>
    <t>w31</t>
  </si>
  <si>
    <t>w32</t>
  </si>
  <si>
    <t>w33</t>
  </si>
  <si>
    <t>w34</t>
  </si>
  <si>
    <t>w35</t>
  </si>
  <si>
    <t>Active Standby</t>
  </si>
  <si>
    <t>Active Standy</t>
  </si>
  <si>
    <t>Note: This is a VCF services runtime dedicated for VCFA and is not the same as the VCF services runtime used in the VCF MGMT Services</t>
  </si>
  <si>
    <t xml:space="preserve">Deploy Deferred Components </t>
  </si>
  <si>
    <t>Deploy Deferred Components - Only supported via API. Option is not visible VCF installer UI</t>
  </si>
  <si>
    <t>Port group for Cloud Proxy VM</t>
  </si>
  <si>
    <t>Define the port group that the traffic from VCF operations and VCF Automation will use</t>
  </si>
  <si>
    <t xml:space="preserve">Customize proxy portgroup and networking  during install. </t>
  </si>
  <si>
    <t xml:space="preserve">Root Password </t>
  </si>
  <si>
    <t>Ops Admin Password</t>
  </si>
  <si>
    <t xml:space="preserve">Ops Proxy Root Password </t>
  </si>
  <si>
    <t xml:space="preserve">Ops Root Password </t>
  </si>
  <si>
    <t>VCFA Admin Password</t>
  </si>
  <si>
    <t>Proxy Cidr</t>
  </si>
  <si>
    <t>Proxy dPG</t>
  </si>
  <si>
    <t>Use VCF.JSONGenerator to generate the JSON File once PnP is complete,Option is not visible VCF installer UI</t>
  </si>
  <si>
    <t>Directory display name</t>
  </si>
  <si>
    <t>Deployed in WLD</t>
  </si>
  <si>
    <t>wld_az1_rack2_mgmt_vm_gateway_cidr</t>
  </si>
  <si>
    <t>WLD Rack 2 Network Gateways CIDRs (Primary AZ)</t>
  </si>
  <si>
    <t>wld_az1_rack3_mgmt_vm_gateway_cidr</t>
  </si>
  <si>
    <t>wld_az1_rack4_mgmt_vm_gateway_cidr</t>
  </si>
  <si>
    <t>wld_az1_rack8_mgmt_vm_gateway_cidr</t>
  </si>
  <si>
    <t>wld_az1_rack7_mgmt_vm_gateway_cidr</t>
  </si>
  <si>
    <t>wld_az1_rack6_mgmt_vm_gateway_cidr</t>
  </si>
  <si>
    <t>wld_az1_rack5_mgmt_vm_gateway_cidr</t>
  </si>
  <si>
    <t>WLD Rack 6 Network Gateways CIDRs (Primary AZ)</t>
  </si>
  <si>
    <t>WLD Rack 5 Network Gateways CIDRs (Primary AZ)</t>
  </si>
  <si>
    <t>WLD Rack 4 Network Gateways CIDRs (Primary AZ)</t>
  </si>
  <si>
    <t>WLD Rack 3 Network Gateways CIDRs (Primary AZ)</t>
  </si>
  <si>
    <t xml:space="preserve">Internal Cluster Cidr </t>
  </si>
  <si>
    <t>Deploy Log Management {VMware Cloud Foundation Operations}</t>
  </si>
  <si>
    <t>License Hub for vDefend and Avi</t>
  </si>
  <si>
    <t xml:space="preserve">Not Required for bring up. </t>
  </si>
  <si>
    <t>Mandatory - HA Cluster</t>
  </si>
  <si>
    <t>IPv4 Static List - Edge Node 2: Edge TEP 1 IP</t>
  </si>
  <si>
    <t xml:space="preserve">IPv4 Static List - Edge Node 2: Edge TEP 2 IP </t>
  </si>
  <si>
    <t>12 hours</t>
  </si>
  <si>
    <t>vSan Data-in-Transit encryption, encrypts all vSAN storage traffic between the vSAN Hosts</t>
  </si>
  <si>
    <t>First InstanceHigh AvailabilitySmall</t>
  </si>
  <si>
    <t>First InstanceHigh AvailabilityMedium</t>
  </si>
  <si>
    <t>First InstanceHigh AvailabilityLarge</t>
  </si>
  <si>
    <t>Additional InstanceHigh AvailabilitySmall</t>
  </si>
  <si>
    <t>Additional InstanceHigh AvailabilityMedium</t>
  </si>
  <si>
    <t>Additional InstanceHigh AvailabilityLarge</t>
  </si>
  <si>
    <t xml:space="preserve">Customer Workload </t>
  </si>
  <si>
    <t xml:space="preserve">VCF Operations Continous Availability </t>
  </si>
  <si>
    <t>DNS suffix</t>
  </si>
  <si>
    <t>Autogenerate password</t>
  </si>
  <si>
    <t>Auto-generate passwords</t>
  </si>
  <si>
    <t>Primary Node Root Password</t>
  </si>
  <si>
    <t>Replica Node Root Password</t>
  </si>
  <si>
    <t>Data Node Root Password</t>
  </si>
  <si>
    <t>Internal cluster CIDR IPv4</t>
  </si>
  <si>
    <t>Internal Cluster CIDR IPv4</t>
  </si>
  <si>
    <t>Log Managment CPU Per Replica</t>
  </si>
  <si>
    <t>VODAP RAM Per Replica</t>
  </si>
  <si>
    <t>VODAP CPU Per Replica</t>
  </si>
  <si>
    <t>First InstanceSimpleSmall</t>
  </si>
  <si>
    <t>Additional InstanceSimpleSmall</t>
  </si>
  <si>
    <t xml:space="preserve">VCFMS Calculations </t>
  </si>
  <si>
    <t>Number of Nodes CPU</t>
  </si>
  <si>
    <t>Number of Nodes Ram</t>
  </si>
  <si>
    <t xml:space="preserve">Ram Requirements </t>
  </si>
  <si>
    <t xml:space="preserve">CPU Requirements </t>
  </si>
  <si>
    <t>High AvailabilityLarge</t>
  </si>
  <si>
    <t>High AvailabilityMedium</t>
  </si>
  <si>
    <t>High AvailabilitySmall</t>
  </si>
  <si>
    <t>SimpleSmall</t>
  </si>
  <si>
    <t>Storage(GB)</t>
  </si>
  <si>
    <t>VPC Network Configuration</t>
  </si>
  <si>
    <t>Full Stack VPC</t>
  </si>
  <si>
    <t>Allow auto claim of HCL incompatible disks</t>
  </si>
  <si>
    <t>240.0.0.0/15</t>
  </si>
  <si>
    <t>9.1.1.0</t>
  </si>
  <si>
    <t>v1.9.1.101</t>
  </si>
  <si>
    <t>August-28-2026</t>
  </si>
  <si>
    <t>NSX LM               CPU : RAM : Disk</t>
  </si>
  <si>
    <t xml:space="preserve">Management Domain Supervisor </t>
  </si>
  <si>
    <t>Host Rebuild and Operations Reserve</t>
  </si>
  <si>
    <t>Redundancy based on FTT1</t>
  </si>
  <si>
    <t>Estimated Growth</t>
  </si>
  <si>
    <t>NSX GM           CPU : RAM : Disk</t>
  </si>
  <si>
    <t>Centralized connectivity</t>
  </si>
  <si>
    <t>vSphere Zone Deployment</t>
  </si>
  <si>
    <t xml:space="preserve">Supervisor  </t>
  </si>
  <si>
    <t>Xlarge</t>
  </si>
  <si>
    <t xml:space="preserve">Day-N Calculations </t>
  </si>
  <si>
    <t>NSX Connectivity    CPU : RAM : Disk</t>
  </si>
  <si>
    <t xml:space="preserve">  Supervisor Control Plane</t>
  </si>
  <si>
    <t>Skip HCL compatibility disk pre-check</t>
  </si>
  <si>
    <t>Auditor Password</t>
  </si>
  <si>
    <t>Use ESXi Management VMK Settings for VNA Management</t>
  </si>
  <si>
    <t>VNA Appliances IPs should to be within the VM Management Network</t>
  </si>
  <si>
    <t>This can be a VPC subnet, port group, or NSX segment.</t>
  </si>
  <si>
    <t>VCF services runtime nodes IP pool</t>
  </si>
  <si>
    <t>VCF services runtime nodes Individual IPs</t>
  </si>
  <si>
    <t>Individual Ips</t>
  </si>
  <si>
    <t xml:space="preserve">Gateway (CIDR notation) </t>
  </si>
  <si>
    <t>Port group for Platform Node management traffic</t>
  </si>
  <si>
    <t>Port group for Collector Node management traffic</t>
  </si>
  <si>
    <t>XXL</t>
  </si>
  <si>
    <t>XL</t>
  </si>
  <si>
    <t>Logs 8.x/9.0.x Appliance FQDN</t>
  </si>
  <si>
    <t xml:space="preserve">Software Depot </t>
  </si>
  <si>
    <t xml:space="preserve">Identity Broker </t>
  </si>
  <si>
    <t>Log Managment RAM Per Replica</t>
  </si>
  <si>
    <t>Gateway Interface IP (CIDR)</t>
  </si>
  <si>
    <t>MGMT DIT Rekey Custom Interval</t>
  </si>
  <si>
    <t>MGMT DIT Rekey Default Interval</t>
  </si>
  <si>
    <t>WLD DIT Rekey Custom Interval</t>
  </si>
  <si>
    <t>WLD DIT Rekey Default Interval</t>
  </si>
  <si>
    <t>DITA CALC WLD</t>
  </si>
  <si>
    <t>DITA CALC MGMT</t>
  </si>
  <si>
    <t xml:space="preserve">DITA CALC Cluster </t>
  </si>
  <si>
    <t xml:space="preserve">vSAN Cluster Type </t>
  </si>
  <si>
    <t>3 Days</t>
  </si>
  <si>
    <t>Salt</t>
  </si>
  <si>
    <t>Salt Raas</t>
  </si>
  <si>
    <t>Telemetry Acceptor</t>
  </si>
  <si>
    <t>Fleet LCM</t>
  </si>
  <si>
    <t>SDDC LCM</t>
  </si>
  <si>
    <t xml:space="preserve">Day-0 Calculations </t>
  </si>
  <si>
    <t>Selecting this option will skip the deployment of a new VCF Automation in this flow.</t>
  </si>
  <si>
    <t xml:space="preserve">These settings only apply to newly deployed components </t>
  </si>
  <si>
    <t xml:space="preserve">Host Overlay MTU Value is inherited from the associated Distributed Switch. </t>
  </si>
  <si>
    <t>Configure two time sources per instance that are external to the SDDC. These sources can be physical radio or GPS time servers, or even NTP servers running on physical routers or servers. You may share the same time sources across instances if they are part of the same fault domain / location. Different time sources should be used if the instances are in different fault domains / locations. Within DNS, ensure that you have two identical hostnames referencing the individual IP addresses of your time sources, and one CNAME that references the identical hostname. This provides round robin high availability via a single FQDN which is important when setting NTP on Cross-Instance components. Also consider placing the individual NTP servers on different networks to further improve high availability e.g. 
A Records
ntpserver.sfo.rainpole.io -&gt; 172.16.10.251
ntpserver.sfo.rainpole.io -&gt; 172.16.30.251
CNAME
ntp.sfo.rainpole.io -&gt; ntpserver.sfo.rainpole.io
If desired have two additional A Records for direct management of the NTP servers via FQDN e.g 
A Records
ntp0.sfo.rainpole.io -&gt; 172.16.10.251
ntp1.sfo.rainpole.io -&gt; 172.16.30.251
Ensure that the external time servers are synchronized to different time sources to ensure desirable NTP dispersion.
Ensure that NTP is configured properly in your Microsoft Active Directory Domain.
See https://blogs.technet.microsoft.com/nepapfe/2013/03/01/its-simple-time-configuration-in-active-directory/ and https://blogs.technet.microsoft.com/nepapfe/2013/03/01/its-simple-time-configuration-in-active-directory/</t>
  </si>
  <si>
    <t>Available after host is commissioned in SDDC Manager</t>
  </si>
  <si>
    <t xml:space="preserve">Create or Re-use an existing VCF Network Pool </t>
  </si>
  <si>
    <t xml:space="preserve">Use this section if VCF Automation was skipped during the initial deployment. </t>
  </si>
  <si>
    <t>NSX RTEP overlay</t>
  </si>
  <si>
    <t xml:space="preserve">MGMT Edges Share host overlay </t>
  </si>
  <si>
    <t>You use this when deploying a witness appliance to a different fault domain when adding secondary availability zones.</t>
  </si>
  <si>
    <t>Witness Mask</t>
  </si>
  <si>
    <t>Overlay Gateway MTU</t>
  </si>
  <si>
    <t xml:space="preserve">NSX GM Size calculations </t>
  </si>
  <si>
    <t>mgmt_az1_vcf_mgmt_gateway_ipv6_cidr</t>
  </si>
  <si>
    <t>mgmt_depot_activation_code</t>
  </si>
  <si>
    <t>Node Name (FQDN)</t>
  </si>
  <si>
    <t>vCenter Import Result</t>
  </si>
  <si>
    <t>Prefix</t>
  </si>
  <si>
    <t>SSP Workers</t>
  </si>
  <si>
    <t>SSP Controller</t>
  </si>
  <si>
    <t>SSPI</t>
  </si>
  <si>
    <t>SSPI CPU</t>
  </si>
  <si>
    <t xml:space="preserve"> RAM</t>
  </si>
  <si>
    <t xml:space="preserve">SSPI Table </t>
  </si>
  <si>
    <t>Security Services Platform         CPU : RAM : Disk</t>
  </si>
  <si>
    <t>SSP               CPU : RAM : Disk</t>
  </si>
  <si>
    <t>Security Services Platform Installer</t>
  </si>
  <si>
    <t>§</t>
  </si>
  <si>
    <t>Port group for Proxy Node management traffic</t>
  </si>
  <si>
    <t>Gateway (CIDR notation) - Collector Node</t>
  </si>
  <si>
    <t>Gateway (CIDR notation) - Platform Node</t>
  </si>
  <si>
    <t>Platform Node management traffic gateway cidr</t>
  </si>
  <si>
    <t>Proxy Node Gateway Cidr</t>
  </si>
  <si>
    <t>VDS LAG</t>
  </si>
  <si>
    <t>System User password (vmware-system-user)</t>
  </si>
  <si>
    <t>Dedicated Management Network</t>
  </si>
  <si>
    <t xml:space="preserve">Primary node Root Password </t>
  </si>
  <si>
    <t>Replica node Root Password</t>
  </si>
  <si>
    <t>Data node  Root Password</t>
  </si>
  <si>
    <t xml:space="preserve">Ops Replica Root Password </t>
  </si>
  <si>
    <t xml:space="preserve">Ops Data Root Password </t>
  </si>
  <si>
    <t>DNS Record for Cloud Proxy must be on the same network as MGMT vCenter</t>
  </si>
  <si>
    <t>Skip VCF Automation</t>
  </si>
  <si>
    <t>32.1.3</t>
  </si>
  <si>
    <t>250.0.0.0/15</t>
  </si>
  <si>
    <t>Individual IPs</t>
  </si>
  <si>
    <t>Gateway Cidr</t>
  </si>
  <si>
    <t>Managemnt Network</t>
  </si>
  <si>
    <t xml:space="preserve">Rutime IPS </t>
  </si>
  <si>
    <t>VLAN backed VPC</t>
  </si>
  <si>
    <t>General Guidance
• This sizing sheet is a standalone calculation. Inputs from other tabs within the workbook do not affect the final calculation.
• Deployment Model and Size sets the predefined values as determined by VCF Installer.
• Configure the Assumptions and Host parameters according to your preference.
• The over-subscription ratio of 2:1 are designed to ensure a performant management domain for most deployments. Higher Ratios are supported. Regardless of the ratios you choose, you should monitor the platform continuously and add hardware if consistent performance bottlenecks are observed
• Appliance sizes are listed per appliance. Totals are calculated in the requirements summary table 
• Select the principle storage as VCF 9.x Supports vSAN and Non-vSAN Storage in the Management Domain
Customer Workload
• Add additonal vCPU, RAM or Disk requirements that may be required to accurately size the Management Domain.
vSphere and NSX Sizing
• As each workload domain requires additional vSphere and, optionally, NSX components to be deployed, this tab allows you to correctly calculate the requirements for your management domain by selecting the intended number and profile of workload domains you plan to deploy.
• The management domain is mandatory and cannot be deselected. Its NSX Manager instance is required and can be shared with future workload domains. 
• A maximum of four NSX Local Manager instances may be federated by a single NSX Global Manager instance. This includes inter-region and intra-region NSX Local Manager instances. Factor in this maximum when deciding whether to include Global Manager resources for a new workload domain.
VCF Operations and Automation Sizing
• If VCF Operations already exist, then sizing input is not required for VCF Operations. Similar for VCF Automation.
• Cloud Proxy selection is automatic, if you are deploying VCF Operations or have an Exisiting VCF Operations.
VCF services runtime
• Components such as Software depot , LCM, Identity broker, SALT are enabled by default when deploying VCF service runtime on the first VCF Instance.
• Components Realtime Data, Software depot and Identity broker are configured within the VCFMS instance. No additional appliances are deployed. 
• Real-time Metric, Log management, are enabled as part of day 2 deployment and are deployed within the VCFMS instance. 
• Log management size should not be larger and Instance Profile. The VCFMS Cluster will scale to accomodate the Log Managment Deployment.
• Software depot and Identity broker are deployed, sized by default in the First VCF Instance. Optional Software depots and Identity broker deployments can be sized for additional VCF Instances. vCPU and RAM requirements for these compontent are allocated from the exisitng VCFMS cluster.
Security Service Platform:
• License Hub for vDefend and Avi is required if deploying Avi Load Balancers or Security Service Platform. A single License Hub is required per VCF Fleet.
• SSPI = Security Services Platform Installer; SSP = Security Services Platform; A single SSP installer can manage up to 5 SSP instances.
• The SSP form factor selection is based on the respective management or workload domain NSX Manager appliance size. A medium form factor is required to activate Security Intelligence. For a larger configuration and inventory scale, you must use the large or extra-large form factor.
• To activate all vDefend Advanced Threat Prevention capabilities, including Malware Prevention Service, Network Traffic Analysis, NDR Sensor, and Network Detection and Response, you need a large SSP form factor with at least 8 worker nodes.</t>
  </si>
  <si>
    <t>AVI Load Balancer  {VCFOPs}</t>
  </si>
  <si>
    <t>Select Size</t>
  </si>
  <si>
    <t xml:space="preserve">VCF Ops Admin Password </t>
  </si>
  <si>
    <t>AVI LB (root) MGMT</t>
  </si>
  <si>
    <t>AVI LB vrops MGMT</t>
  </si>
  <si>
    <t>AVI LB (root) WLD</t>
  </si>
  <si>
    <t>AVI LB vrops WLD</t>
  </si>
  <si>
    <t>v1.9.1.102</t>
  </si>
  <si>
    <t>September-11-2026</t>
  </si>
  <si>
    <t>- Updates to sizing guidance for Security Service Platform
Added support for VCF JSON Generator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</si>
</sst>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2"/>
      <color theme="1"/>
      <name val="Calibri"/>
      <family val="2"/>
      <scheme val="minor"/>
    </font>
    <font>
      <sz val="12"/>
      <color theme="1"/>
      <name val="Calibri"/>
      <family val="2"/>
      <scheme val="minor"/>
    </font>
    <font>
      <sz val="12"/>
      <color theme="0"/>
      <name val="Calibri"/>
      <family val="2"/>
      <scheme val="minor"/>
    </font>
    <font>
      <sz val="11"/>
      <color theme="1"/>
      <name val="Calibri"/>
      <family val="2"/>
      <scheme val="minor"/>
    </font>
    <font>
      <b/>
      <sz val="12"/>
      <color theme="1"/>
      <name val="Helvetica"/>
      <family val="2"/>
    </font>
    <font>
      <u/>
      <sz val="10"/>
      <color indexed="12"/>
      <name val="Verdana"/>
      <family val="2"/>
    </font>
    <font>
      <u/>
      <sz val="12"/>
      <color theme="10"/>
      <name val="Calibri"/>
      <family val="2"/>
      <scheme val="minor"/>
    </font>
    <font>
      <sz val="12"/>
      <color rgb="FF006100"/>
      <name val="Calibri"/>
      <family val="2"/>
      <scheme val="minor"/>
    </font>
    <font>
      <sz val="12"/>
      <color theme="1"/>
      <name val="Arial"/>
      <family val="2"/>
    </font>
    <font>
      <sz val="12"/>
      <color rgb="FF000000"/>
      <name val="Arial"/>
      <family val="2"/>
    </font>
    <font>
      <b/>
      <sz val="12"/>
      <color theme="0"/>
      <name val="Arial"/>
      <family val="2"/>
    </font>
    <font>
      <b/>
      <sz val="12"/>
      <color theme="1"/>
      <name val="Arial"/>
      <family val="2"/>
    </font>
    <font>
      <b/>
      <sz val="12"/>
      <color rgb="FFFF0000"/>
      <name val="Arial"/>
      <family val="2"/>
    </font>
    <font>
      <sz val="12"/>
      <color theme="0"/>
      <name val="Arial"/>
      <family val="2"/>
    </font>
    <font>
      <b/>
      <sz val="24"/>
      <color theme="0"/>
      <name val="Arial"/>
      <family val="2"/>
    </font>
    <font>
      <b/>
      <sz val="12"/>
      <color rgb="FF000000"/>
      <name val="Arial"/>
      <family val="2"/>
    </font>
    <font>
      <b/>
      <sz val="12"/>
      <color rgb="FF002439"/>
      <name val="Arial"/>
      <family val="2"/>
    </font>
    <font>
      <sz val="12"/>
      <color rgb="FFFF0000"/>
      <name val="Arial"/>
      <family val="2"/>
    </font>
    <font>
      <sz val="12"/>
      <color rgb="FF006100"/>
      <name val="Arial"/>
      <family val="2"/>
    </font>
    <font>
      <b/>
      <sz val="12"/>
      <color rgb="FFFFFFFF"/>
      <name val="Arial"/>
      <family val="2"/>
    </font>
    <font>
      <b/>
      <sz val="14"/>
      <color theme="0"/>
      <name val="Arial"/>
      <family val="2"/>
    </font>
    <font>
      <b/>
      <sz val="12"/>
      <color rgb="FF808080"/>
      <name val="Arial"/>
      <family val="2"/>
    </font>
    <font>
      <u/>
      <sz val="12"/>
      <color theme="10"/>
      <name val="Arial"/>
      <family val="2"/>
    </font>
    <font>
      <sz val="11.5"/>
      <color theme="1"/>
      <name val="Arial"/>
      <family val="2"/>
    </font>
    <font>
      <sz val="12"/>
      <color rgb="FF505E69"/>
      <name val="Arial"/>
      <family val="2"/>
    </font>
    <font>
      <b/>
      <sz val="12"/>
      <name val="Arial"/>
      <family val="2"/>
    </font>
    <font>
      <sz val="12"/>
      <color rgb="FF4F5F69"/>
      <name val="Arial"/>
      <family val="2"/>
    </font>
    <font>
      <b/>
      <sz val="28"/>
      <color theme="0"/>
      <name val="Arial"/>
      <family val="2"/>
    </font>
    <font>
      <sz val="14"/>
      <color theme="1"/>
      <name val="Arial"/>
      <family val="2"/>
    </font>
    <font>
      <u/>
      <sz val="12"/>
      <color theme="1"/>
      <name val="Arial"/>
      <family val="2"/>
    </font>
    <font>
      <b/>
      <sz val="26"/>
      <color theme="0"/>
      <name val="Arial"/>
      <family val="2"/>
    </font>
    <font>
      <b/>
      <sz val="13"/>
      <color theme="0"/>
      <name val="Arial"/>
      <family val="2"/>
    </font>
    <font>
      <b/>
      <sz val="24"/>
      <color theme="1"/>
      <name val="Arial"/>
      <family val="2"/>
    </font>
    <font>
      <u/>
      <sz val="12"/>
      <color theme="0"/>
      <name val="Arial"/>
      <family val="2"/>
    </font>
    <font>
      <sz val="12"/>
      <color rgb="FFFFFFFF"/>
      <name val="Arial"/>
      <family val="2"/>
    </font>
    <font>
      <i/>
      <sz val="12"/>
      <color theme="1"/>
      <name val="Arial"/>
      <family val="2"/>
    </font>
    <font>
      <sz val="12"/>
      <name val="Arial"/>
      <family val="2"/>
    </font>
    <font>
      <b/>
      <sz val="14"/>
      <color rgb="FFFFFFFF"/>
      <name val="Arial"/>
      <family val="2"/>
    </font>
    <font>
      <sz val="12"/>
      <color rgb="FF506069"/>
      <name val="Arial"/>
      <family val="2"/>
    </font>
    <font>
      <sz val="12"/>
      <color rgb="FF9CDCFE"/>
      <name val="Arial"/>
      <family val="2"/>
    </font>
    <font>
      <sz val="12"/>
      <color rgb="FF9C0006"/>
      <name val="Arial"/>
      <family val="2"/>
    </font>
    <font>
      <sz val="12"/>
      <color theme="9" tint="-0.249977111117893"/>
      <name val="Arial"/>
      <family val="2"/>
    </font>
    <font>
      <b/>
      <sz val="18"/>
      <color theme="0"/>
      <name val="Arial"/>
      <family val="2"/>
    </font>
    <font>
      <b/>
      <u/>
      <sz val="12"/>
      <color theme="0"/>
      <name val="Arial"/>
      <family val="2"/>
    </font>
    <font>
      <sz val="12"/>
      <color theme="9"/>
      <name val="Arial"/>
      <family val="2"/>
    </font>
    <font>
      <b/>
      <sz val="11"/>
      <color theme="1"/>
      <name val="Arial"/>
      <family val="2"/>
    </font>
    <font>
      <sz val="12"/>
      <color rgb="FF0E223A"/>
      <name val="Arial"/>
      <family val="2"/>
    </font>
    <font>
      <b/>
      <sz val="24"/>
      <color rgb="FFFFFFFF"/>
      <name val="Arial"/>
      <family val="2"/>
    </font>
    <font>
      <b/>
      <sz val="12"/>
      <color rgb="FF000000"/>
      <name val="Helvetica"/>
      <family val="2"/>
    </font>
    <font>
      <b/>
      <sz val="12"/>
      <color rgb="FF0E223A"/>
      <name val="Arial"/>
      <family val="2"/>
    </font>
    <font>
      <sz val="14"/>
      <color theme="0"/>
      <name val="Arial"/>
      <family val="2"/>
    </font>
    <font>
      <sz val="12"/>
      <color rgb="FF000000"/>
      <name val="Calibri"/>
      <family val="2"/>
      <scheme val="minor"/>
    </font>
    <font>
      <i/>
      <sz val="12"/>
      <color rgb="FF000000"/>
      <name val="Arial"/>
      <family val="2"/>
    </font>
    <font>
      <sz val="12"/>
      <color theme="1"/>
      <name val="Helvetica"/>
      <family val="2"/>
    </font>
    <font>
      <sz val="8"/>
      <name val="Calibri"/>
      <family val="2"/>
      <scheme val="minor"/>
    </font>
    <font>
      <b/>
      <sz val="14"/>
      <color rgb="FF0E223A"/>
      <name val="Arial"/>
      <family val="2"/>
    </font>
    <font>
      <sz val="12"/>
      <color rgb="FFCC082E"/>
      <name val="Arial"/>
      <family val="2"/>
    </font>
    <font>
      <sz val="12"/>
      <color theme="10"/>
      <name val="Arial"/>
      <family val="2"/>
    </font>
    <font>
      <b/>
      <sz val="12"/>
      <color theme="1"/>
      <name val="Helvetica Neue"/>
      <family val="2"/>
    </font>
  </fonts>
  <fills count="54">
    <fill>
      <patternFill patternType="none"/>
    </fill>
    <fill>
      <patternFill patternType="gray125"/>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rgb="FF9BC2E6"/>
        <bgColor rgb="FF000000"/>
      </patternFill>
    </fill>
    <fill>
      <patternFill patternType="solid">
        <fgColor theme="0" tint="-0.249977111117893"/>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rgb="FFC6EFCE"/>
      </patternFill>
    </fill>
    <fill>
      <patternFill patternType="solid">
        <fgColor theme="8"/>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C7CE"/>
        <bgColor rgb="FF000000"/>
      </patternFill>
    </fill>
    <fill>
      <patternFill patternType="solid">
        <fgColor rgb="FFFFFF00"/>
        <bgColor indexed="64"/>
      </patternFill>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rgb="FFC6EFCE"/>
        <bgColor rgb="FF000000"/>
      </patternFill>
    </fill>
    <fill>
      <patternFill patternType="solid">
        <fgColor rgb="FF9BC2E6"/>
      </patternFill>
    </fill>
    <fill>
      <patternFill patternType="solid">
        <fgColor rgb="FFF8CBAD"/>
        <bgColor indexed="64"/>
      </patternFill>
    </fill>
    <fill>
      <patternFill patternType="solid">
        <fgColor rgb="FF808080"/>
        <bgColor rgb="FF000000"/>
      </patternFill>
    </fill>
    <fill>
      <patternFill patternType="solid">
        <fgColor rgb="FF808080"/>
        <bgColor indexed="64"/>
      </patternFill>
    </fill>
    <fill>
      <patternFill patternType="solid">
        <fgColor rgb="FFEFFDE3"/>
        <bgColor indexed="64"/>
      </patternFill>
    </fill>
    <fill>
      <patternFill patternType="solid">
        <fgColor rgb="FFE5F7FF"/>
        <bgColor indexed="64"/>
      </patternFill>
    </fill>
    <fill>
      <patternFill patternType="solid">
        <fgColor rgb="FF0E223A"/>
        <bgColor indexed="64"/>
      </patternFill>
    </fill>
    <fill>
      <patternFill patternType="solid">
        <fgColor rgb="FF506069"/>
        <bgColor indexed="64"/>
      </patternFill>
    </fill>
    <fill>
      <patternFill patternType="solid">
        <fgColor rgb="FFF2F7F9"/>
        <bgColor indexed="64"/>
      </patternFill>
    </fill>
    <fill>
      <patternFill patternType="solid">
        <fgColor rgb="FFC65600"/>
        <bgColor indexed="64"/>
      </patternFill>
    </fill>
    <fill>
      <patternFill patternType="solid">
        <fgColor rgb="FF002439"/>
        <bgColor indexed="64"/>
      </patternFill>
    </fill>
    <fill>
      <patternFill patternType="solid">
        <fgColor rgb="FFE5F7FF"/>
      </patternFill>
    </fill>
    <fill>
      <patternFill patternType="solid">
        <fgColor rgb="FFE5F7FF"/>
        <bgColor rgb="FF000000"/>
      </patternFill>
    </fill>
    <fill>
      <patternFill patternType="solid">
        <fgColor rgb="FFF2F7F9"/>
        <bgColor rgb="FF000000"/>
      </patternFill>
    </fill>
    <fill>
      <patternFill patternType="solid">
        <fgColor rgb="FF4F5F69"/>
        <bgColor indexed="64"/>
      </patternFill>
    </fill>
    <fill>
      <patternFill patternType="solid">
        <fgColor rgb="FF0E223A"/>
        <bgColor rgb="FF000000"/>
      </patternFill>
    </fill>
    <fill>
      <patternFill patternType="solid">
        <fgColor rgb="FFE5F8FF"/>
        <bgColor indexed="64"/>
      </patternFill>
    </fill>
    <fill>
      <patternFill patternType="solid">
        <fgColor rgb="FFF2F8F9"/>
        <bgColor indexed="64"/>
      </patternFill>
    </fill>
    <fill>
      <patternFill patternType="solid">
        <fgColor rgb="FF505E69"/>
        <bgColor indexed="64"/>
      </patternFill>
    </fill>
    <fill>
      <patternFill patternType="solid">
        <fgColor rgb="FFEFFDE3"/>
        <bgColor rgb="FF000000"/>
      </patternFill>
    </fill>
    <fill>
      <patternFill patternType="solid">
        <fgColor rgb="FFF2F8F9"/>
        <bgColor rgb="FF000000"/>
      </patternFill>
    </fill>
    <fill>
      <patternFill patternType="solid">
        <fgColor rgb="FFF9CBAD"/>
        <bgColor rgb="FF000000"/>
      </patternFill>
    </fill>
    <fill>
      <patternFill patternType="solid">
        <fgColor rgb="FF454545"/>
        <bgColor indexed="64"/>
      </patternFill>
    </fill>
    <fill>
      <patternFill patternType="solid">
        <fgColor rgb="FF595959"/>
        <bgColor indexed="64"/>
      </patternFill>
    </fill>
    <fill>
      <patternFill patternType="solid">
        <fgColor rgb="FF505F69"/>
        <bgColor indexed="64"/>
      </patternFill>
    </fill>
    <fill>
      <patternFill patternType="solid">
        <fgColor rgb="FFFFBE29"/>
        <bgColor indexed="64"/>
      </patternFill>
    </fill>
    <fill>
      <patternFill patternType="solid">
        <fgColor rgb="FF808080"/>
      </patternFill>
    </fill>
    <fill>
      <patternFill patternType="solid">
        <fgColor rgb="FF506069"/>
        <bgColor rgb="FF000000"/>
      </patternFill>
    </fill>
    <fill>
      <patternFill patternType="solid">
        <fgColor rgb="FFF8CBAD"/>
        <bgColor rgb="FF000000"/>
      </patternFill>
    </fill>
    <fill>
      <patternFill patternType="solid">
        <fgColor rgb="FFA6A6A6"/>
        <bgColor rgb="FF000000"/>
      </patternFill>
    </fill>
    <fill>
      <patternFill patternType="solid">
        <fgColor rgb="FFEFFEE3"/>
        <bgColor indexed="64"/>
      </patternFill>
    </fill>
    <fill>
      <patternFill patternType="solid">
        <fgColor rgb="FFFFBD29"/>
        <bgColor rgb="FF000000"/>
      </patternFill>
    </fill>
    <fill>
      <patternFill patternType="solid">
        <fgColor rgb="FFFFBD29"/>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70A8"/>
      </left>
      <right style="thin">
        <color rgb="FF0070A8"/>
      </right>
      <top style="thin">
        <color rgb="FF0070A8"/>
      </top>
      <bottom style="thin">
        <color rgb="FF0070A8"/>
      </bottom>
      <diagonal/>
    </border>
    <border>
      <left style="thick">
        <color theme="5" tint="-0.249977111117893"/>
      </left>
      <right/>
      <top/>
      <bottom/>
      <diagonal/>
    </border>
    <border>
      <left/>
      <right style="thick">
        <color theme="5" tint="-0.249977111117893"/>
      </right>
      <top/>
      <bottom/>
      <diagonal/>
    </border>
    <border>
      <left/>
      <right/>
      <top/>
      <bottom style="thick">
        <color theme="9" tint="-0.249977111117893"/>
      </bottom>
      <diagonal/>
    </border>
    <border>
      <left style="thick">
        <color theme="9" tint="-0.249977111117893"/>
      </left>
      <right/>
      <top/>
      <bottom/>
      <diagonal/>
    </border>
    <border>
      <left/>
      <right style="thick">
        <color theme="9" tint="-0.249977111117893"/>
      </right>
      <top/>
      <bottom/>
      <diagonal/>
    </border>
    <border>
      <left style="thick">
        <color theme="9" tint="-0.249977111117893"/>
      </left>
      <right/>
      <top/>
      <bottom style="thick">
        <color theme="9" tint="-0.249977111117893"/>
      </bottom>
      <diagonal/>
    </border>
    <border>
      <left/>
      <right style="thick">
        <color theme="9" tint="-0.249977111117893"/>
      </right>
      <top/>
      <bottom style="thick">
        <color theme="9" tint="-0.249977111117893"/>
      </bottom>
      <diagonal/>
    </border>
    <border>
      <left style="thick">
        <color theme="5" tint="-0.249977111117893"/>
      </left>
      <right/>
      <top/>
      <bottom style="thick">
        <color theme="5" tint="-0.249977111117893"/>
      </bottom>
      <diagonal/>
    </border>
    <border>
      <left/>
      <right/>
      <top/>
      <bottom style="thick">
        <color theme="5" tint="-0.249977111117893"/>
      </bottom>
      <diagonal/>
    </border>
    <border>
      <left/>
      <right style="thick">
        <color theme="5" tint="-0.249977111117893"/>
      </right>
      <top/>
      <bottom style="thick">
        <color theme="5" tint="-0.249977111117893"/>
      </bottom>
      <diagonal/>
    </border>
    <border>
      <left/>
      <right style="thick">
        <color rgb="FF0070A8"/>
      </right>
      <top/>
      <bottom/>
      <diagonal/>
    </border>
    <border>
      <left/>
      <right/>
      <top/>
      <bottom style="thick">
        <color rgb="FF0070A8"/>
      </bottom>
      <diagonal/>
    </border>
    <border>
      <left/>
      <right style="thick">
        <color rgb="FF0070A8"/>
      </right>
      <top style="thick">
        <color rgb="FF0070A8"/>
      </top>
      <bottom style="thick">
        <color rgb="FF0070A8"/>
      </bottom>
      <diagonal/>
    </border>
    <border>
      <left/>
      <right style="thick">
        <color rgb="FF0070A8"/>
      </right>
      <top style="thick">
        <color rgb="FF0070A8"/>
      </top>
      <bottom/>
      <diagonal/>
    </border>
    <border>
      <left/>
      <right style="thick">
        <color rgb="FF0070A8"/>
      </right>
      <top/>
      <bottom style="thick">
        <color rgb="FF0070A8"/>
      </bottom>
      <diagonal/>
    </border>
    <border>
      <left style="thick">
        <color theme="9" tint="-0.249977111117893"/>
      </left>
      <right style="thick">
        <color rgb="FF0070A8"/>
      </right>
      <top/>
      <bottom/>
      <diagonal/>
    </border>
    <border>
      <left style="thick">
        <color rgb="FF0070A8"/>
      </left>
      <right style="thick">
        <color rgb="FF0070A8"/>
      </right>
      <top style="thick">
        <color theme="3" tint="0.249977111117893"/>
      </top>
      <bottom style="thick">
        <color rgb="FF0070A8"/>
      </bottom>
      <diagonal/>
    </border>
    <border>
      <left style="thick">
        <color rgb="FF0070A8"/>
      </left>
      <right style="thick">
        <color rgb="FF0070A8"/>
      </right>
      <top style="thick">
        <color rgb="FF0070A8"/>
      </top>
      <bottom style="thick">
        <color rgb="FF0070A8"/>
      </bottom>
      <diagonal/>
    </border>
    <border>
      <left style="thick">
        <color rgb="FF0070A8"/>
      </left>
      <right style="thick">
        <color rgb="FF0070A8"/>
      </right>
      <top/>
      <bottom style="thick">
        <color theme="3" tint="0.249977111117893"/>
      </bottom>
      <diagonal/>
    </border>
    <border>
      <left style="thick">
        <color rgb="FF0070A8"/>
      </left>
      <right/>
      <top style="thick">
        <color rgb="FF0070A8"/>
      </top>
      <bottom style="thick">
        <color rgb="FF0070A8"/>
      </bottom>
      <diagonal/>
    </border>
    <border>
      <left/>
      <right/>
      <top style="thick">
        <color rgb="FF0070A8"/>
      </top>
      <bottom style="thick">
        <color rgb="FF0070A8"/>
      </bottom>
      <diagonal/>
    </border>
    <border>
      <left style="thin">
        <color theme="1"/>
      </left>
      <right style="thin">
        <color theme="1"/>
      </right>
      <top style="thin">
        <color theme="1"/>
      </top>
      <bottom style="thin">
        <color theme="1"/>
      </bottom>
      <diagonal/>
    </border>
    <border>
      <left style="thin">
        <color rgb="FF0070A8"/>
      </left>
      <right style="thin">
        <color rgb="FF0070A8"/>
      </right>
      <top style="thin">
        <color rgb="FF0070A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thin">
        <color theme="1"/>
      </right>
      <top style="thin">
        <color theme="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top style="thin">
        <color theme="1"/>
      </top>
      <bottom style="thin">
        <color theme="1"/>
      </bottom>
      <diagonal/>
    </border>
    <border>
      <left style="thin">
        <color theme="1"/>
      </left>
      <right/>
      <top/>
      <bottom style="thin">
        <color indexed="64"/>
      </bottom>
      <diagonal/>
    </border>
  </borders>
  <cellStyleXfs count="15">
    <xf numFmtId="0" fontId="0" fillId="0" borderId="0"/>
    <xf numFmtId="0" fontId="1" fillId="2" borderId="0"/>
    <xf numFmtId="0" fontId="1" fillId="2" borderId="0"/>
    <xf numFmtId="0" fontId="1" fillId="3" borderId="0"/>
    <xf numFmtId="0" fontId="1" fillId="3" borderId="0"/>
    <xf numFmtId="0" fontId="2" fillId="4" borderId="0"/>
    <xf numFmtId="0" fontId="2" fillId="4" borderId="0"/>
    <xf numFmtId="0" fontId="7" fillId="11" borderId="0"/>
    <xf numFmtId="0" fontId="7" fillId="11" borderId="0"/>
    <xf numFmtId="0" fontId="6" fillId="0" borderId="0"/>
    <xf numFmtId="0" fontId="5" fillId="0" borderId="0">
      <alignment vertical="top"/>
      <protection locked="0"/>
    </xf>
    <xf numFmtId="0" fontId="3" fillId="0" borderId="0"/>
    <xf numFmtId="0" fontId="1" fillId="0" borderId="0"/>
    <xf numFmtId="0" fontId="1" fillId="0" borderId="0"/>
    <xf numFmtId="0" fontId="4" fillId="21" borderId="1">
      <alignment horizontal="left" vertical="center" wrapText="1" indent="1"/>
    </xf>
  </cellStyleXfs>
  <cellXfs count="691">
    <xf numFmtId="0" fontId="0" fillId="0" borderId="0" xfId="0"/>
    <xf numFmtId="0" fontId="8" fillId="0" borderId="0" xfId="0" applyFont="1" applyAlignment="1" applyProtection="1">
      <alignment horizontal="left" vertical="center" indent="1"/>
      <protection locked="0"/>
    </xf>
    <xf numFmtId="0" fontId="8" fillId="0" borderId="0" xfId="0" applyFont="1" applyAlignment="1">
      <alignment horizontal="left" vertical="center" indent="1"/>
    </xf>
    <xf numFmtId="0" fontId="8" fillId="0" borderId="0" xfId="0" applyFont="1" applyAlignment="1">
      <alignment horizontal="left" vertical="center" wrapText="1" indent="1"/>
    </xf>
    <xf numFmtId="0" fontId="11" fillId="0" borderId="1" xfId="0" applyFont="1" applyBorder="1" applyAlignment="1">
      <alignment horizontal="left" vertical="center" indent="1"/>
    </xf>
    <xf numFmtId="0" fontId="12" fillId="0" borderId="1" xfId="0" applyFont="1" applyBorder="1" applyAlignment="1">
      <alignment horizontal="left" vertical="center" indent="1"/>
    </xf>
    <xf numFmtId="0" fontId="11" fillId="0" borderId="0" xfId="0" applyFont="1" applyAlignment="1">
      <alignment horizontal="left" vertical="center" indent="1"/>
    </xf>
    <xf numFmtId="0" fontId="8" fillId="17" borderId="0" xfId="0" applyFont="1" applyFill="1" applyAlignment="1">
      <alignment horizontal="left" vertical="center" indent="1"/>
    </xf>
    <xf numFmtId="0" fontId="8" fillId="0" borderId="1" xfId="0" applyFont="1" applyBorder="1" applyAlignment="1">
      <alignment horizontal="left" vertical="center" indent="1"/>
    </xf>
    <xf numFmtId="0" fontId="8" fillId="0" borderId="0" xfId="0" applyFont="1"/>
    <xf numFmtId="0" fontId="8" fillId="6" borderId="1" xfId="0" applyFont="1" applyFill="1" applyBorder="1" applyAlignment="1">
      <alignment horizontal="left" vertical="center" indent="1"/>
    </xf>
    <xf numFmtId="49" fontId="8" fillId="0" borderId="0" xfId="0" applyNumberFormat="1" applyFont="1" applyAlignment="1">
      <alignment horizontal="left" vertical="center" indent="1"/>
    </xf>
    <xf numFmtId="0" fontId="10" fillId="27" borderId="7" xfId="6" applyFont="1" applyFill="1" applyBorder="1" applyAlignment="1">
      <alignment horizontal="left" vertical="center" indent="1"/>
    </xf>
    <xf numFmtId="0" fontId="10" fillId="27" borderId="9" xfId="6" applyFont="1" applyFill="1" applyBorder="1" applyAlignment="1">
      <alignment horizontal="left" vertical="center" indent="1"/>
    </xf>
    <xf numFmtId="0" fontId="10" fillId="31" borderId="7" xfId="6" applyFont="1" applyFill="1" applyBorder="1" applyAlignment="1">
      <alignment horizontal="left" vertical="center" indent="1"/>
    </xf>
    <xf numFmtId="0" fontId="10" fillId="31" borderId="9" xfId="6" applyFont="1" applyFill="1" applyBorder="1" applyAlignment="1">
      <alignment horizontal="left" vertical="center" indent="1"/>
    </xf>
    <xf numFmtId="0" fontId="10" fillId="31" borderId="8" xfId="6" applyFont="1" applyFill="1" applyBorder="1" applyAlignment="1">
      <alignment horizontal="left" vertical="center" indent="1"/>
    </xf>
    <xf numFmtId="0" fontId="10" fillId="24" borderId="1" xfId="2" applyFont="1" applyFill="1" applyBorder="1" applyAlignment="1">
      <alignment horizontal="left" vertical="center" wrapText="1" indent="1"/>
    </xf>
    <xf numFmtId="0" fontId="10" fillId="24" borderId="1" xfId="4" applyFont="1" applyFill="1" applyBorder="1" applyAlignment="1">
      <alignment horizontal="left" vertical="center" wrapText="1" indent="1"/>
    </xf>
    <xf numFmtId="0" fontId="10" fillId="24" borderId="1" xfId="2" applyFont="1" applyFill="1" applyBorder="1" applyAlignment="1">
      <alignment horizontal="left" vertical="center" wrapText="1"/>
    </xf>
    <xf numFmtId="0" fontId="10" fillId="24" borderId="1" xfId="4" applyFont="1" applyFill="1" applyBorder="1" applyAlignment="1">
      <alignment horizontal="left" vertical="center" wrapText="1"/>
    </xf>
    <xf numFmtId="0" fontId="13" fillId="0" borderId="0" xfId="0" applyFont="1" applyAlignment="1">
      <alignment horizontal="left" vertical="center" indent="1"/>
    </xf>
    <xf numFmtId="0" fontId="11" fillId="16" borderId="1" xfId="0" applyFont="1" applyFill="1" applyBorder="1" applyAlignment="1">
      <alignment horizontal="left" vertical="center" indent="1"/>
    </xf>
    <xf numFmtId="0" fontId="15" fillId="0" borderId="1" xfId="0" applyFont="1" applyBorder="1" applyAlignment="1">
      <alignment horizontal="left" vertical="center" indent="1"/>
    </xf>
    <xf numFmtId="0" fontId="16" fillId="0" borderId="1" xfId="0" applyFont="1" applyBorder="1" applyAlignment="1">
      <alignment horizontal="left" vertical="center" indent="1"/>
    </xf>
    <xf numFmtId="0" fontId="8" fillId="17" borderId="0" xfId="0" applyFont="1" applyFill="1"/>
    <xf numFmtId="0" fontId="8" fillId="0" borderId="1" xfId="0" applyFont="1" applyBorder="1" applyAlignment="1">
      <alignment horizontal="left" vertical="center" wrapText="1" indent="1"/>
    </xf>
    <xf numFmtId="0" fontId="10" fillId="31" borderId="1" xfId="6" applyFont="1" applyFill="1" applyBorder="1" applyAlignment="1">
      <alignment horizontal="left" vertical="center" indent="1"/>
    </xf>
    <xf numFmtId="0" fontId="11" fillId="0" borderId="1" xfId="0" applyFont="1" applyBorder="1" applyAlignment="1">
      <alignment horizontal="left" vertical="center" wrapText="1" indent="1"/>
    </xf>
    <xf numFmtId="0" fontId="12" fillId="0" borderId="13" xfId="0" applyFont="1" applyBorder="1" applyAlignment="1">
      <alignment horizontal="left" vertical="center" indent="1"/>
    </xf>
    <xf numFmtId="0" fontId="15" fillId="0" borderId="13" xfId="0" applyFont="1" applyBorder="1" applyAlignment="1">
      <alignment horizontal="left" vertical="center" indent="1"/>
    </xf>
    <xf numFmtId="0" fontId="11" fillId="0" borderId="7" xfId="0" applyFont="1" applyBorder="1" applyAlignment="1">
      <alignment horizontal="left" vertical="center" wrapText="1" indent="1"/>
    </xf>
    <xf numFmtId="0" fontId="11" fillId="0" borderId="0" xfId="0" applyFont="1" applyAlignment="1">
      <alignment horizontal="left" vertical="center" wrapText="1" indent="1"/>
    </xf>
    <xf numFmtId="0" fontId="13" fillId="0" borderId="0" xfId="0" applyFont="1"/>
    <xf numFmtId="0" fontId="17" fillId="0" borderId="1" xfId="0" applyFont="1" applyBorder="1" applyAlignment="1">
      <alignment horizontal="left" vertical="center" indent="1"/>
    </xf>
    <xf numFmtId="0" fontId="17" fillId="0" borderId="0" xfId="0" applyFont="1" applyAlignment="1">
      <alignment horizontal="left" vertical="center" indent="1"/>
    </xf>
    <xf numFmtId="0" fontId="17" fillId="0" borderId="0" xfId="0" applyFont="1"/>
    <xf numFmtId="0" fontId="15" fillId="0" borderId="1" xfId="0" applyFont="1" applyBorder="1" applyAlignment="1">
      <alignment horizontal="left" vertical="center" wrapText="1" indent="1"/>
    </xf>
    <xf numFmtId="0" fontId="11" fillId="17" borderId="0" xfId="0" applyFont="1" applyFill="1" applyAlignment="1">
      <alignment horizontal="left" vertical="center" wrapText="1" indent="1"/>
    </xf>
    <xf numFmtId="0" fontId="13" fillId="0" borderId="1" xfId="0" applyFont="1" applyBorder="1" applyAlignment="1">
      <alignment horizontal="left" vertical="center" indent="1"/>
    </xf>
    <xf numFmtId="0" fontId="11" fillId="17" borderId="1" xfId="0" applyFont="1" applyFill="1" applyBorder="1" applyAlignment="1">
      <alignment horizontal="left" vertical="center" indent="1"/>
    </xf>
    <xf numFmtId="0" fontId="18" fillId="20" borderId="1" xfId="0" applyFont="1" applyFill="1" applyBorder="1" applyAlignment="1">
      <alignment horizontal="left" vertical="center" indent="1"/>
    </xf>
    <xf numFmtId="0" fontId="8" fillId="0" borderId="1" xfId="0" applyFont="1" applyBorder="1"/>
    <xf numFmtId="0" fontId="8" fillId="0" borderId="1" xfId="0" applyFont="1" applyBorder="1" applyAlignment="1">
      <alignment horizontal="left" indent="1"/>
    </xf>
    <xf numFmtId="0" fontId="11" fillId="17" borderId="0" xfId="0" applyFont="1" applyFill="1" applyAlignment="1">
      <alignment horizontal="left" vertical="center" indent="1"/>
    </xf>
    <xf numFmtId="0" fontId="19" fillId="36" borderId="7" xfId="0" applyFont="1" applyFill="1" applyBorder="1" applyAlignment="1">
      <alignment horizontal="left" vertical="center" indent="1"/>
    </xf>
    <xf numFmtId="0" fontId="19" fillId="36" borderId="9" xfId="0" applyFont="1" applyFill="1" applyBorder="1" applyAlignment="1">
      <alignment horizontal="left" vertical="center" indent="1"/>
    </xf>
    <xf numFmtId="0" fontId="9" fillId="0" borderId="0" xfId="0" applyFont="1" applyAlignment="1">
      <alignment horizontal="left" vertical="center" indent="1"/>
    </xf>
    <xf numFmtId="0" fontId="19" fillId="23" borderId="13" xfId="0" applyFont="1" applyFill="1" applyBorder="1" applyAlignment="1">
      <alignment horizontal="left" vertical="center" wrapText="1" indent="1"/>
    </xf>
    <xf numFmtId="0" fontId="19" fillId="23" borderId="4" xfId="0" applyFont="1" applyFill="1" applyBorder="1" applyAlignment="1">
      <alignment horizontal="left" vertical="center" wrapText="1" indent="1"/>
    </xf>
    <xf numFmtId="0" fontId="16" fillId="0" borderId="13" xfId="0" applyFont="1" applyBorder="1" applyAlignment="1">
      <alignment horizontal="left" vertical="center" indent="1"/>
    </xf>
    <xf numFmtId="0" fontId="10" fillId="8" borderId="0" xfId="0" applyFont="1" applyFill="1" applyAlignment="1">
      <alignment horizontal="left" vertical="center" indent="1"/>
    </xf>
    <xf numFmtId="0" fontId="8" fillId="17" borderId="0" xfId="0" applyFont="1" applyFill="1" applyAlignment="1" applyProtection="1">
      <alignment horizontal="left" vertical="center" indent="1"/>
      <protection locked="0"/>
    </xf>
    <xf numFmtId="0" fontId="8" fillId="17" borderId="0" xfId="0" applyFont="1" applyFill="1" applyAlignment="1">
      <alignment horizontal="left" vertical="center" wrapText="1" indent="1"/>
    </xf>
    <xf numFmtId="0" fontId="20" fillId="27" borderId="7" xfId="5" applyFont="1" applyFill="1" applyBorder="1" applyAlignment="1">
      <alignment horizontal="left" vertical="center" indent="1"/>
    </xf>
    <xf numFmtId="0" fontId="20" fillId="27" borderId="9" xfId="5" applyFont="1" applyFill="1" applyBorder="1" applyAlignment="1">
      <alignment horizontal="left" vertical="center" indent="1"/>
    </xf>
    <xf numFmtId="0" fontId="20" fillId="27" borderId="8" xfId="5" applyFont="1" applyFill="1" applyBorder="1" applyAlignment="1">
      <alignment horizontal="left" vertical="center" indent="1"/>
    </xf>
    <xf numFmtId="0" fontId="10" fillId="17" borderId="0" xfId="5" applyFont="1" applyFill="1" applyAlignment="1">
      <alignment horizontal="left" vertical="center" indent="1"/>
    </xf>
    <xf numFmtId="0" fontId="10" fillId="24" borderId="7" xfId="0" applyFont="1" applyFill="1" applyBorder="1" applyAlignment="1">
      <alignment horizontal="left" vertical="center" indent="1"/>
    </xf>
    <xf numFmtId="0" fontId="10" fillId="24" borderId="9" xfId="0" applyFont="1" applyFill="1" applyBorder="1" applyAlignment="1">
      <alignment horizontal="left" vertical="center" indent="1"/>
    </xf>
    <xf numFmtId="0" fontId="10" fillId="24" borderId="8" xfId="0" applyFont="1" applyFill="1" applyBorder="1" applyAlignment="1">
      <alignment horizontal="left" vertical="center" indent="1"/>
    </xf>
    <xf numFmtId="0" fontId="10" fillId="17" borderId="0" xfId="0" applyFont="1" applyFill="1" applyAlignment="1">
      <alignment horizontal="left" vertical="center" indent="1"/>
    </xf>
    <xf numFmtId="0" fontId="11" fillId="37" borderId="1" xfId="1" applyFont="1" applyFill="1" applyBorder="1" applyAlignment="1">
      <alignment horizontal="left" vertical="center" wrapText="1" indent="1"/>
    </xf>
    <xf numFmtId="0" fontId="11" fillId="26" borderId="1" xfId="1" applyFont="1" applyFill="1" applyBorder="1" applyAlignment="1">
      <alignment horizontal="left" vertical="center" wrapText="1" indent="1"/>
    </xf>
    <xf numFmtId="0" fontId="11" fillId="17" borderId="7" xfId="1" applyFont="1" applyFill="1" applyBorder="1" applyAlignment="1">
      <alignment horizontal="left" vertical="center" wrapText="1" indent="1"/>
    </xf>
    <xf numFmtId="0" fontId="8" fillId="38" borderId="1" xfId="0" applyFont="1" applyFill="1" applyBorder="1" applyAlignment="1">
      <alignment horizontal="left" vertical="center" indent="1"/>
    </xf>
    <xf numFmtId="0" fontId="8" fillId="0" borderId="1" xfId="0" applyFont="1" applyBorder="1" applyAlignment="1" applyProtection="1">
      <alignment horizontal="left" vertical="center" indent="1"/>
      <protection locked="0"/>
    </xf>
    <xf numFmtId="0" fontId="11" fillId="0" borderId="7" xfId="0" applyFont="1" applyBorder="1" applyAlignment="1">
      <alignment horizontal="left" vertical="center" indent="1"/>
    </xf>
    <xf numFmtId="0" fontId="8" fillId="0" borderId="8" xfId="0" applyFont="1" applyBorder="1" applyAlignment="1" applyProtection="1">
      <alignment horizontal="left" vertical="center" indent="1"/>
      <protection locked="0"/>
    </xf>
    <xf numFmtId="0" fontId="8" fillId="17" borderId="29" xfId="0" applyFont="1" applyFill="1" applyBorder="1" applyAlignment="1">
      <alignment horizontal="left" vertical="center" indent="1"/>
    </xf>
    <xf numFmtId="0" fontId="8" fillId="17" borderId="28" xfId="0" applyFont="1" applyFill="1" applyBorder="1" applyAlignment="1">
      <alignment horizontal="left" vertical="center" indent="1"/>
    </xf>
    <xf numFmtId="0" fontId="11" fillId="17" borderId="0" xfId="0" applyFont="1" applyFill="1"/>
    <xf numFmtId="0" fontId="8" fillId="17" borderId="31" xfId="0" applyFont="1" applyFill="1" applyBorder="1"/>
    <xf numFmtId="0" fontId="11" fillId="17" borderId="29" xfId="0" applyFont="1" applyFill="1" applyBorder="1"/>
    <xf numFmtId="0" fontId="8" fillId="17" borderId="29" xfId="0" applyFont="1" applyFill="1" applyBorder="1"/>
    <xf numFmtId="0" fontId="8" fillId="17" borderId="28" xfId="0" applyFont="1" applyFill="1" applyBorder="1"/>
    <xf numFmtId="0" fontId="11" fillId="17" borderId="28" xfId="0" applyFont="1" applyFill="1" applyBorder="1"/>
    <xf numFmtId="0" fontId="8" fillId="17" borderId="38" xfId="0" applyFont="1" applyFill="1" applyBorder="1" applyAlignment="1">
      <alignment horizontal="left" indent="2"/>
    </xf>
    <xf numFmtId="0" fontId="8" fillId="17" borderId="30" xfId="0" applyFont="1" applyFill="1" applyBorder="1" applyAlignment="1">
      <alignment horizontal="left" indent="2"/>
    </xf>
    <xf numFmtId="0" fontId="8" fillId="17" borderId="26" xfId="0" applyFont="1" applyFill="1" applyBorder="1"/>
    <xf numFmtId="0" fontId="8" fillId="0" borderId="8" xfId="0" applyFont="1" applyBorder="1"/>
    <xf numFmtId="0" fontId="8" fillId="17" borderId="19" xfId="0" applyFont="1" applyFill="1" applyBorder="1"/>
    <xf numFmtId="0" fontId="8" fillId="17" borderId="18" xfId="0" applyFont="1" applyFill="1" applyBorder="1"/>
    <xf numFmtId="0" fontId="8" fillId="17" borderId="20" xfId="0" applyFont="1" applyFill="1" applyBorder="1"/>
    <xf numFmtId="0" fontId="8" fillId="17" borderId="21" xfId="0" applyFont="1" applyFill="1" applyBorder="1"/>
    <xf numFmtId="0" fontId="8" fillId="17" borderId="22" xfId="0" applyFont="1" applyFill="1" applyBorder="1"/>
    <xf numFmtId="0" fontId="8" fillId="17" borderId="33" xfId="0" applyFont="1" applyFill="1" applyBorder="1"/>
    <xf numFmtId="0" fontId="22" fillId="0" borderId="1" xfId="9" applyFont="1" applyBorder="1" applyAlignment="1">
      <alignment horizontal="left" vertical="center" indent="1"/>
    </xf>
    <xf numFmtId="0" fontId="8" fillId="17" borderId="23" xfId="0" applyFont="1" applyFill="1" applyBorder="1"/>
    <xf numFmtId="0" fontId="8" fillId="17" borderId="24" xfId="0" applyFont="1" applyFill="1" applyBorder="1"/>
    <xf numFmtId="0" fontId="11" fillId="0" borderId="3" xfId="0" applyFont="1" applyBorder="1" applyAlignment="1">
      <alignment horizontal="left" vertical="center" indent="1"/>
    </xf>
    <xf numFmtId="0" fontId="8" fillId="17" borderId="25" xfId="0" applyFont="1" applyFill="1" applyBorder="1"/>
    <xf numFmtId="0" fontId="8" fillId="17" borderId="27" xfId="0" applyFont="1" applyFill="1" applyBorder="1"/>
    <xf numFmtId="0" fontId="8" fillId="17" borderId="32" xfId="0" applyFont="1" applyFill="1" applyBorder="1"/>
    <xf numFmtId="49" fontId="23" fillId="17" borderId="0" xfId="0" applyNumberFormat="1" applyFont="1" applyFill="1" applyAlignment="1">
      <alignment horizontal="left" vertical="top" wrapText="1"/>
    </xf>
    <xf numFmtId="0" fontId="11" fillId="0" borderId="15" xfId="0" applyFont="1" applyBorder="1" applyAlignment="1">
      <alignment horizontal="left" vertical="center" indent="1"/>
    </xf>
    <xf numFmtId="0" fontId="24" fillId="39" borderId="1" xfId="0" applyFont="1" applyFill="1" applyBorder="1" applyAlignment="1" applyProtection="1">
      <alignment horizontal="left" vertical="center" indent="1"/>
      <protection locked="0"/>
    </xf>
    <xf numFmtId="0" fontId="11" fillId="0" borderId="9" xfId="0" applyFont="1" applyBorder="1" applyAlignment="1">
      <alignment horizontal="left" vertical="center" indent="1"/>
    </xf>
    <xf numFmtId="0" fontId="8" fillId="0" borderId="9" xfId="0" applyFont="1" applyBorder="1"/>
    <xf numFmtId="0" fontId="9" fillId="40" borderId="1" xfId="0" applyFont="1" applyFill="1" applyBorder="1" applyAlignment="1">
      <alignment horizontal="left" vertical="center" indent="1"/>
    </xf>
    <xf numFmtId="0" fontId="9" fillId="38" borderId="1" xfId="0" applyFont="1" applyFill="1" applyBorder="1" applyAlignment="1">
      <alignment horizontal="left" vertical="center" indent="1"/>
    </xf>
    <xf numFmtId="0" fontId="9" fillId="40" borderId="1" xfId="0" applyFont="1" applyFill="1" applyBorder="1" applyAlignment="1" applyProtection="1">
      <alignment horizontal="left" vertical="center" indent="1"/>
      <protection locked="0"/>
    </xf>
    <xf numFmtId="0" fontId="8" fillId="0" borderId="9" xfId="0" applyFont="1" applyBorder="1" applyAlignment="1">
      <alignment horizontal="left" vertical="center" indent="1"/>
    </xf>
    <xf numFmtId="0" fontId="8" fillId="29" borderId="1" xfId="0" applyFont="1" applyFill="1" applyBorder="1" applyAlignment="1">
      <alignment horizontal="left" vertical="center" indent="1"/>
    </xf>
    <xf numFmtId="0" fontId="8" fillId="38" borderId="15" xfId="0" applyFont="1" applyFill="1" applyBorder="1" applyAlignment="1">
      <alignment horizontal="left" vertical="center" indent="1"/>
    </xf>
    <xf numFmtId="0" fontId="9" fillId="41" borderId="1" xfId="0" applyFont="1" applyFill="1" applyBorder="1" applyAlignment="1">
      <alignment horizontal="left" vertical="center" indent="1"/>
    </xf>
    <xf numFmtId="0" fontId="8" fillId="38" borderId="7" xfId="0" applyFont="1" applyFill="1" applyBorder="1" applyAlignment="1">
      <alignment horizontal="left" vertical="center" indent="1"/>
    </xf>
    <xf numFmtId="0" fontId="8" fillId="0" borderId="15" xfId="0" applyFont="1" applyBorder="1" applyAlignment="1" applyProtection="1">
      <alignment horizontal="left" vertical="center" indent="1"/>
      <protection locked="0"/>
    </xf>
    <xf numFmtId="0" fontId="8" fillId="29" borderId="46" xfId="0" applyFont="1" applyFill="1" applyBorder="1" applyAlignment="1">
      <alignment horizontal="left" vertical="center" indent="1"/>
    </xf>
    <xf numFmtId="0" fontId="8" fillId="29" borderId="1" xfId="0" applyFont="1" applyFill="1" applyBorder="1" applyAlignment="1">
      <alignment horizontal="left" vertical="center" wrapText="1" indent="1"/>
    </xf>
    <xf numFmtId="0" fontId="11" fillId="0" borderId="12" xfId="0" applyFont="1" applyBorder="1" applyAlignment="1">
      <alignment horizontal="left" vertical="center" indent="1"/>
    </xf>
    <xf numFmtId="0" fontId="11" fillId="0" borderId="15" xfId="0" applyFont="1" applyBorder="1" applyAlignment="1" applyProtection="1">
      <alignment horizontal="left" vertical="center" indent="1"/>
      <protection locked="0"/>
    </xf>
    <xf numFmtId="0" fontId="8" fillId="0" borderId="0" xfId="0" applyFont="1" applyAlignment="1">
      <alignment horizontal="left" indent="1"/>
    </xf>
    <xf numFmtId="0" fontId="25" fillId="0" borderId="1" xfId="0" applyFont="1" applyBorder="1" applyAlignment="1">
      <alignment horizontal="left" vertical="center" indent="1"/>
    </xf>
    <xf numFmtId="0" fontId="8" fillId="0" borderId="7" xfId="0" applyFont="1" applyBorder="1" applyAlignment="1" applyProtection="1">
      <alignment horizontal="left" vertical="center" indent="1"/>
      <protection locked="0"/>
    </xf>
    <xf numFmtId="0" fontId="8" fillId="14" borderId="1" xfId="0" applyFont="1" applyFill="1" applyBorder="1" applyAlignment="1" applyProtection="1">
      <alignment horizontal="left" vertical="center" indent="1"/>
      <protection locked="0"/>
    </xf>
    <xf numFmtId="0" fontId="8" fillId="0" borderId="1" xfId="11" applyFont="1" applyBorder="1" applyAlignment="1" applyProtection="1">
      <alignment horizontal="left" vertical="center" indent="1"/>
      <protection locked="0"/>
    </xf>
    <xf numFmtId="0" fontId="20" fillId="27" borderId="1" xfId="5" applyFont="1" applyFill="1" applyBorder="1" applyAlignment="1">
      <alignment horizontal="left" vertical="center" indent="1"/>
    </xf>
    <xf numFmtId="0" fontId="11" fillId="26" borderId="1" xfId="0" applyFont="1" applyFill="1" applyBorder="1" applyAlignment="1">
      <alignment horizontal="left" vertical="center" indent="1"/>
    </xf>
    <xf numFmtId="0" fontId="11" fillId="26" borderId="1" xfId="3" applyFont="1" applyFill="1" applyBorder="1" applyAlignment="1">
      <alignment horizontal="left" vertical="center" wrapText="1" indent="1"/>
    </xf>
    <xf numFmtId="0" fontId="8" fillId="17" borderId="1" xfId="0" applyFont="1" applyFill="1" applyBorder="1" applyAlignment="1">
      <alignment horizontal="left" vertical="center" indent="1"/>
    </xf>
    <xf numFmtId="0" fontId="8" fillId="17" borderId="1" xfId="0" applyFont="1" applyFill="1" applyBorder="1" applyAlignment="1">
      <alignment horizontal="left" vertical="center" wrapText="1" indent="1"/>
    </xf>
    <xf numFmtId="0" fontId="8" fillId="29" borderId="39" xfId="0" applyFont="1" applyFill="1" applyBorder="1" applyAlignment="1">
      <alignment horizontal="left" vertical="center" indent="1"/>
    </xf>
    <xf numFmtId="0" fontId="8" fillId="0" borderId="1" xfId="0" applyFont="1" applyBorder="1" applyAlignment="1" applyProtection="1">
      <alignment horizontal="left" vertical="center" wrapText="1" indent="1"/>
      <protection locked="0"/>
    </xf>
    <xf numFmtId="0" fontId="11" fillId="26" borderId="1" xfId="0" applyFont="1" applyFill="1" applyBorder="1" applyAlignment="1">
      <alignment horizontal="left" vertical="center" wrapText="1" indent="1"/>
    </xf>
    <xf numFmtId="0" fontId="28" fillId="0" borderId="0" xfId="0" applyFont="1" applyAlignment="1">
      <alignment horizontal="left" vertical="center" indent="1"/>
    </xf>
    <xf numFmtId="0" fontId="20" fillId="27" borderId="5" xfId="5" applyFont="1" applyFill="1" applyBorder="1" applyAlignment="1">
      <alignment horizontal="left" vertical="center" indent="1"/>
    </xf>
    <xf numFmtId="0" fontId="20" fillId="27" borderId="0" xfId="5" applyFont="1" applyFill="1" applyAlignment="1">
      <alignment horizontal="left" vertical="center" indent="1"/>
    </xf>
    <xf numFmtId="0" fontId="8" fillId="0" borderId="0" xfId="0" applyFont="1" applyAlignment="1">
      <alignment vertical="top" wrapText="1"/>
    </xf>
    <xf numFmtId="0" fontId="11" fillId="26" borderId="8" xfId="1" applyFont="1" applyFill="1" applyBorder="1" applyAlignment="1">
      <alignment horizontal="left" vertical="center" wrapText="1" indent="1"/>
    </xf>
    <xf numFmtId="0" fontId="11" fillId="32" borderId="1" xfId="1" applyFont="1" applyFill="1" applyBorder="1" applyAlignment="1">
      <alignment horizontal="left" vertical="center" wrapText="1" indent="1"/>
    </xf>
    <xf numFmtId="0" fontId="11" fillId="32" borderId="7" xfId="1" applyFont="1" applyFill="1" applyBorder="1" applyAlignment="1">
      <alignment horizontal="left" vertical="center" wrapText="1" indent="1"/>
    </xf>
    <xf numFmtId="0" fontId="11" fillId="32" borderId="9" xfId="1" applyFont="1" applyFill="1" applyBorder="1" applyAlignment="1">
      <alignment horizontal="left" vertical="center" wrapText="1" indent="1"/>
    </xf>
    <xf numFmtId="0" fontId="8" fillId="25" borderId="8" xfId="0" applyFont="1" applyFill="1" applyBorder="1" applyAlignment="1" applyProtection="1">
      <alignment horizontal="left" vertical="center" indent="1"/>
      <protection locked="0"/>
    </xf>
    <xf numFmtId="0" fontId="8" fillId="0" borderId="7" xfId="0" applyFont="1" applyBorder="1" applyAlignment="1">
      <alignment horizontal="left" vertical="center" indent="1"/>
    </xf>
    <xf numFmtId="0" fontId="20" fillId="27" borderId="12" xfId="5" applyFont="1" applyFill="1" applyBorder="1" applyAlignment="1">
      <alignment horizontal="left" vertical="center" indent="1"/>
    </xf>
    <xf numFmtId="0" fontId="13" fillId="45" borderId="1" xfId="0" applyFont="1" applyFill="1" applyBorder="1" applyAlignment="1" applyProtection="1">
      <alignment horizontal="left" vertical="center" wrapText="1" indent="1"/>
      <protection locked="0"/>
    </xf>
    <xf numFmtId="0" fontId="8" fillId="17" borderId="1" xfId="0" applyFont="1" applyFill="1" applyBorder="1" applyAlignment="1" applyProtection="1">
      <alignment horizontal="left" vertical="center" wrapText="1" indent="1"/>
      <protection locked="0"/>
    </xf>
    <xf numFmtId="0" fontId="8" fillId="0" borderId="7" xfId="0" applyFont="1" applyBorder="1" applyAlignment="1" applyProtection="1">
      <alignment horizontal="left" vertical="center" wrapText="1" indent="1"/>
      <protection locked="0"/>
    </xf>
    <xf numFmtId="0" fontId="13" fillId="35" borderId="1" xfId="0" applyFont="1" applyFill="1" applyBorder="1" applyAlignment="1" applyProtection="1">
      <alignment horizontal="left" vertical="center" wrapText="1" indent="1"/>
      <protection locked="0"/>
    </xf>
    <xf numFmtId="0" fontId="8" fillId="0" borderId="1" xfId="11" applyFont="1" applyBorder="1" applyAlignment="1">
      <alignment horizontal="left" vertical="center" indent="1"/>
    </xf>
    <xf numFmtId="0" fontId="18" fillId="30" borderId="1" xfId="7" applyFont="1" applyFill="1" applyBorder="1" applyAlignment="1" applyProtection="1">
      <alignment horizontal="left" vertical="center" indent="1"/>
      <protection locked="0"/>
    </xf>
    <xf numFmtId="0" fontId="13" fillId="45" borderId="1" xfId="7" applyFont="1" applyFill="1" applyBorder="1" applyAlignment="1" applyProtection="1">
      <alignment horizontal="left" vertical="center" indent="1"/>
      <protection locked="0"/>
    </xf>
    <xf numFmtId="0" fontId="13" fillId="45" borderId="1" xfId="11" applyFont="1" applyFill="1" applyBorder="1" applyAlignment="1" applyProtection="1">
      <alignment horizontal="left" vertical="center" indent="1"/>
      <protection locked="0"/>
    </xf>
    <xf numFmtId="11" fontId="13" fillId="45" borderId="1" xfId="7" applyNumberFormat="1" applyFont="1" applyFill="1" applyBorder="1" applyAlignment="1" applyProtection="1">
      <alignment horizontal="left" vertical="center" indent="1"/>
      <protection locked="0"/>
    </xf>
    <xf numFmtId="0" fontId="8" fillId="0" borderId="0" xfId="0" applyFont="1" applyProtection="1">
      <protection locked="0"/>
    </xf>
    <xf numFmtId="0" fontId="29" fillId="0" borderId="0" xfId="9" applyFont="1"/>
    <xf numFmtId="0" fontId="9" fillId="0" borderId="0" xfId="0" applyFont="1"/>
    <xf numFmtId="0" fontId="14" fillId="17" borderId="5" xfId="0" applyFont="1" applyFill="1" applyBorder="1" applyAlignment="1">
      <alignment horizontal="left" vertical="center" indent="1"/>
    </xf>
    <xf numFmtId="0" fontId="33" fillId="35" borderId="41" xfId="9" applyFont="1" applyFill="1" applyBorder="1" applyAlignment="1" applyProtection="1">
      <alignment horizontal="left" vertical="center" indent="1"/>
      <protection locked="0"/>
    </xf>
    <xf numFmtId="0" fontId="33" fillId="17" borderId="0" xfId="9" applyFont="1" applyFill="1" applyAlignment="1" applyProtection="1">
      <alignment horizontal="left" vertical="center" indent="1"/>
      <protection locked="0"/>
    </xf>
    <xf numFmtId="0" fontId="33" fillId="17" borderId="44" xfId="9" applyFont="1" applyFill="1" applyBorder="1" applyAlignment="1" applyProtection="1">
      <alignment horizontal="left" vertical="center" indent="1"/>
      <protection locked="0"/>
    </xf>
    <xf numFmtId="0" fontId="34" fillId="23" borderId="1" xfId="0" applyFont="1" applyFill="1" applyBorder="1" applyAlignment="1" applyProtection="1">
      <alignment horizontal="left" vertical="center" indent="1"/>
      <protection locked="0"/>
    </xf>
    <xf numFmtId="0" fontId="8" fillId="38" borderId="1" xfId="0" applyFont="1" applyFill="1" applyBorder="1" applyAlignment="1">
      <alignment horizontal="left" vertical="center" wrapText="1" indent="1"/>
    </xf>
    <xf numFmtId="0" fontId="8" fillId="29" borderId="1" xfId="0" applyFont="1" applyFill="1" applyBorder="1" applyAlignment="1" applyProtection="1">
      <alignment horizontal="left" vertical="center" indent="1"/>
      <protection locked="0"/>
    </xf>
    <xf numFmtId="0" fontId="11" fillId="0" borderId="1" xfId="0" applyFont="1" applyBorder="1" applyAlignment="1">
      <alignment horizontal="left" indent="1"/>
    </xf>
    <xf numFmtId="0" fontId="8" fillId="6" borderId="1" xfId="0" applyFont="1" applyFill="1" applyBorder="1" applyAlignment="1" applyProtection="1">
      <alignment horizontal="left" vertical="center" indent="1"/>
      <protection locked="0"/>
    </xf>
    <xf numFmtId="0" fontId="10" fillId="27" borderId="7" xfId="5" applyFont="1" applyFill="1" applyBorder="1" applyAlignment="1">
      <alignment horizontal="left" vertical="center" indent="1"/>
    </xf>
    <xf numFmtId="0" fontId="10" fillId="27" borderId="9" xfId="5" applyFont="1" applyFill="1" applyBorder="1" applyAlignment="1">
      <alignment horizontal="left" vertical="center" indent="1"/>
    </xf>
    <xf numFmtId="0" fontId="10" fillId="27" borderId="8" xfId="5" applyFont="1" applyFill="1" applyBorder="1" applyAlignment="1">
      <alignment horizontal="left" vertical="center" indent="1"/>
    </xf>
    <xf numFmtId="0" fontId="11" fillId="37" borderId="1" xfId="3" applyFont="1" applyFill="1" applyBorder="1" applyAlignment="1">
      <alignment horizontal="left" vertical="center" wrapText="1" indent="1"/>
    </xf>
    <xf numFmtId="0" fontId="9" fillId="34" borderId="4" xfId="0" applyFont="1" applyFill="1" applyBorder="1" applyAlignment="1">
      <alignment horizontal="left" vertical="center" wrapText="1" indent="1"/>
    </xf>
    <xf numFmtId="0" fontId="9" fillId="19" borderId="4" xfId="0" applyFont="1" applyFill="1" applyBorder="1" applyAlignment="1">
      <alignment horizontal="left" vertical="center" wrapText="1" indent="1"/>
    </xf>
    <xf numFmtId="0" fontId="8" fillId="29" borderId="1" xfId="5" applyFont="1" applyFill="1" applyBorder="1" applyAlignment="1">
      <alignment horizontal="left" vertical="center" indent="1"/>
    </xf>
    <xf numFmtId="0" fontId="13" fillId="13" borderId="1" xfId="5" applyFont="1" applyFill="1" applyBorder="1" applyAlignment="1" applyProtection="1">
      <alignment horizontal="left" vertical="center" indent="1"/>
      <protection locked="0"/>
    </xf>
    <xf numFmtId="0" fontId="9" fillId="34" borderId="1" xfId="0" applyFont="1" applyFill="1" applyBorder="1" applyAlignment="1">
      <alignment horizontal="left" vertical="center" indent="1"/>
    </xf>
    <xf numFmtId="0" fontId="9" fillId="34" borderId="13" xfId="0" applyFont="1" applyFill="1" applyBorder="1" applyAlignment="1">
      <alignment horizontal="left" vertical="center" indent="1"/>
    </xf>
    <xf numFmtId="0" fontId="9" fillId="41" borderId="13" xfId="0" applyFont="1" applyFill="1" applyBorder="1" applyAlignment="1">
      <alignment horizontal="left" vertical="center" indent="1"/>
    </xf>
    <xf numFmtId="0" fontId="9" fillId="38" borderId="13" xfId="0" applyFont="1" applyFill="1" applyBorder="1" applyAlignment="1">
      <alignment horizontal="left" vertical="center" indent="1"/>
    </xf>
    <xf numFmtId="0" fontId="8" fillId="38" borderId="1" xfId="5" applyFont="1" applyFill="1" applyBorder="1" applyAlignment="1">
      <alignment horizontal="left" vertical="center" indent="1"/>
    </xf>
    <xf numFmtId="0" fontId="8" fillId="17" borderId="1" xfId="0" applyFont="1" applyFill="1" applyBorder="1" applyAlignment="1" applyProtection="1">
      <alignment horizontal="left" vertical="center" indent="1"/>
      <protection locked="0"/>
    </xf>
    <xf numFmtId="0" fontId="8" fillId="38" borderId="7" xfId="0" applyFont="1" applyFill="1" applyBorder="1" applyAlignment="1">
      <alignment horizontal="left" vertical="center" wrapText="1" indent="1"/>
    </xf>
    <xf numFmtId="0" fontId="8" fillId="38" borderId="0" xfId="0" applyFont="1" applyFill="1" applyAlignment="1">
      <alignment horizontal="left" vertical="center" indent="1"/>
    </xf>
    <xf numFmtId="0" fontId="36" fillId="0" borderId="1" xfId="0" applyFont="1" applyBorder="1" applyAlignment="1">
      <alignment horizontal="left" vertical="center" indent="1"/>
    </xf>
    <xf numFmtId="0" fontId="8" fillId="38" borderId="1" xfId="0" applyFont="1" applyFill="1" applyBorder="1" applyAlignment="1">
      <alignment horizontal="left" indent="1"/>
    </xf>
    <xf numFmtId="0" fontId="8" fillId="25" borderId="1" xfId="11" applyFont="1" applyFill="1" applyBorder="1" applyAlignment="1" applyProtection="1">
      <alignment horizontal="left" vertical="center" indent="1"/>
      <protection locked="0"/>
    </xf>
    <xf numFmtId="0" fontId="8" fillId="17" borderId="1" xfId="11" applyFont="1" applyFill="1" applyBorder="1" applyAlignment="1" applyProtection="1">
      <alignment horizontal="left" vertical="center" indent="1"/>
      <protection locked="0"/>
    </xf>
    <xf numFmtId="0" fontId="8" fillId="0" borderId="1" xfId="0" applyFont="1" applyBorder="1" applyAlignment="1">
      <alignment vertical="center"/>
    </xf>
    <xf numFmtId="0" fontId="8" fillId="22" borderId="1" xfId="0" applyFont="1" applyFill="1" applyBorder="1" applyAlignment="1" applyProtection="1">
      <alignment horizontal="left" vertical="center" indent="1"/>
      <protection locked="0"/>
    </xf>
    <xf numFmtId="0" fontId="9" fillId="34" borderId="1" xfId="0" applyFont="1" applyFill="1" applyBorder="1" applyAlignment="1">
      <alignment horizontal="left" vertical="center" wrapText="1" indent="1"/>
    </xf>
    <xf numFmtId="0" fontId="11" fillId="17" borderId="1" xfId="1" applyFont="1" applyFill="1" applyBorder="1" applyAlignment="1">
      <alignment horizontal="left" vertical="center" wrapText="1" indent="1"/>
    </xf>
    <xf numFmtId="0" fontId="8" fillId="6" borderId="1" xfId="0" applyFont="1" applyFill="1" applyBorder="1" applyAlignment="1" applyProtection="1">
      <alignment horizontal="left" vertical="center" wrapText="1" indent="1"/>
      <protection locked="0"/>
    </xf>
    <xf numFmtId="0" fontId="11" fillId="0" borderId="13" xfId="0" applyFont="1" applyBorder="1" applyAlignment="1">
      <alignment horizontal="left" vertical="center" indent="1"/>
    </xf>
    <xf numFmtId="0" fontId="9" fillId="0" borderId="1" xfId="0" applyFont="1" applyBorder="1" applyAlignment="1">
      <alignment horizontal="left" vertical="center" indent="1"/>
    </xf>
    <xf numFmtId="0" fontId="37" fillId="36" borderId="7" xfId="0" applyFont="1" applyFill="1" applyBorder="1" applyAlignment="1">
      <alignment horizontal="left" vertical="center" indent="1"/>
    </xf>
    <xf numFmtId="0" fontId="37" fillId="36" borderId="9" xfId="0" applyFont="1" applyFill="1" applyBorder="1" applyAlignment="1">
      <alignment horizontal="left" vertical="center" indent="1"/>
    </xf>
    <xf numFmtId="0" fontId="37" fillId="36" borderId="8" xfId="0" applyFont="1" applyFill="1" applyBorder="1" applyAlignment="1">
      <alignment horizontal="left" vertical="center" indent="1"/>
    </xf>
    <xf numFmtId="0" fontId="19" fillId="23" borderId="2" xfId="0" applyFont="1" applyFill="1" applyBorder="1" applyAlignment="1">
      <alignment horizontal="left" vertical="center" indent="1"/>
    </xf>
    <xf numFmtId="0" fontId="19" fillId="23" borderId="3" xfId="0" applyFont="1" applyFill="1" applyBorder="1" applyAlignment="1">
      <alignment horizontal="left" vertical="center" indent="1"/>
    </xf>
    <xf numFmtId="0" fontId="19" fillId="23" borderId="4" xfId="0" applyFont="1" applyFill="1" applyBorder="1" applyAlignment="1">
      <alignment horizontal="left" vertical="center" indent="1"/>
    </xf>
    <xf numFmtId="0" fontId="15" fillId="33" borderId="13" xfId="0" applyFont="1" applyFill="1" applyBorder="1" applyAlignment="1">
      <alignment horizontal="left" vertical="center" wrapText="1" indent="1"/>
    </xf>
    <xf numFmtId="0" fontId="15" fillId="33" borderId="4" xfId="0" applyFont="1" applyFill="1" applyBorder="1" applyAlignment="1">
      <alignment horizontal="left" vertical="center" wrapText="1" indent="1"/>
    </xf>
    <xf numFmtId="0" fontId="9" fillId="41" borderId="4" xfId="0" applyFont="1" applyFill="1" applyBorder="1" applyAlignment="1">
      <alignment horizontal="left" vertical="center" indent="1"/>
    </xf>
    <xf numFmtId="0" fontId="9" fillId="0" borderId="4" xfId="0" applyFont="1" applyBorder="1"/>
    <xf numFmtId="0" fontId="9" fillId="0" borderId="4" xfId="0" applyFont="1" applyBorder="1" applyAlignment="1">
      <alignment horizontal="left" vertical="center" indent="1"/>
    </xf>
    <xf numFmtId="0" fontId="37" fillId="36" borderId="1" xfId="0" applyFont="1" applyFill="1" applyBorder="1" applyAlignment="1">
      <alignment horizontal="left" vertical="center" indent="1"/>
    </xf>
    <xf numFmtId="0" fontId="9" fillId="42" borderId="1" xfId="0" applyFont="1" applyFill="1" applyBorder="1" applyAlignment="1">
      <alignment horizontal="left" vertical="center" indent="1"/>
    </xf>
    <xf numFmtId="0" fontId="9" fillId="42" borderId="1" xfId="0" applyFont="1" applyFill="1" applyBorder="1" applyAlignment="1" applyProtection="1">
      <alignment horizontal="left" vertical="center" indent="1"/>
      <protection locked="0"/>
    </xf>
    <xf numFmtId="0" fontId="9" fillId="40" borderId="1" xfId="0" applyFont="1" applyFill="1" applyBorder="1" applyAlignment="1">
      <alignment horizontal="left" vertical="center" wrapText="1" indent="1"/>
    </xf>
    <xf numFmtId="0" fontId="11" fillId="2" borderId="1" xfId="1" applyFont="1" applyBorder="1" applyAlignment="1">
      <alignment horizontal="left" vertical="center" wrapText="1" indent="1"/>
    </xf>
    <xf numFmtId="0" fontId="11" fillId="3" borderId="1" xfId="3" applyFont="1" applyBorder="1" applyAlignment="1">
      <alignment horizontal="left" vertical="center" wrapText="1" indent="1"/>
    </xf>
    <xf numFmtId="0" fontId="15" fillId="0" borderId="0" xfId="0" applyFont="1" applyAlignment="1">
      <alignment horizontal="left" vertical="center" indent="1"/>
    </xf>
    <xf numFmtId="0" fontId="33" fillId="35" borderId="45" xfId="9" applyFont="1" applyFill="1" applyBorder="1" applyAlignment="1" applyProtection="1">
      <alignment horizontal="left" vertical="center" indent="1"/>
      <protection locked="0"/>
    </xf>
    <xf numFmtId="0" fontId="33" fillId="17" borderId="0" xfId="9" applyFont="1" applyFill="1" applyAlignment="1">
      <alignment horizontal="left" vertical="center" indent="1"/>
    </xf>
    <xf numFmtId="0" fontId="8" fillId="0" borderId="1" xfId="11" applyFont="1" applyBorder="1" applyAlignment="1">
      <alignment horizontal="left" vertical="center" wrapText="1" indent="1"/>
    </xf>
    <xf numFmtId="0" fontId="8" fillId="38" borderId="13" xfId="0" applyFont="1" applyFill="1" applyBorder="1" applyAlignment="1">
      <alignment horizontal="left" vertical="center" wrapText="1" indent="1"/>
    </xf>
    <xf numFmtId="0" fontId="8" fillId="0" borderId="13" xfId="0" applyFont="1" applyBorder="1" applyAlignment="1" applyProtection="1">
      <alignment horizontal="left" vertical="center" indent="1"/>
      <protection locked="0"/>
    </xf>
    <xf numFmtId="0" fontId="8" fillId="29" borderId="13" xfId="0" applyFont="1" applyFill="1" applyBorder="1" applyAlignment="1">
      <alignment horizontal="left" vertical="center" wrapText="1" indent="1"/>
    </xf>
    <xf numFmtId="0" fontId="8" fillId="46" borderId="1" xfId="0" applyFont="1" applyFill="1" applyBorder="1" applyAlignment="1" applyProtection="1">
      <alignment horizontal="left" vertical="center" indent="1"/>
      <protection locked="0"/>
    </xf>
    <xf numFmtId="0" fontId="9" fillId="34" borderId="13" xfId="0" applyFont="1" applyFill="1" applyBorder="1" applyAlignment="1">
      <alignment horizontal="left" vertical="center" wrapText="1" indent="1"/>
    </xf>
    <xf numFmtId="0" fontId="8" fillId="46" borderId="1" xfId="0" applyFont="1" applyFill="1" applyBorder="1" applyAlignment="1">
      <alignment horizontal="left" vertical="center" indent="1"/>
    </xf>
    <xf numFmtId="0" fontId="39" fillId="0" borderId="1" xfId="0" applyFont="1" applyBorder="1"/>
    <xf numFmtId="0" fontId="8" fillId="17" borderId="15" xfId="0" applyFont="1" applyFill="1" applyBorder="1" applyAlignment="1">
      <alignment horizontal="left" vertical="center" indent="1"/>
    </xf>
    <xf numFmtId="0" fontId="8" fillId="17" borderId="39" xfId="0" applyFont="1" applyFill="1" applyBorder="1" applyAlignment="1">
      <alignment horizontal="left" vertical="center" indent="1"/>
    </xf>
    <xf numFmtId="0" fontId="8" fillId="38" borderId="1" xfId="1" applyFont="1" applyFill="1" applyBorder="1" applyAlignment="1">
      <alignment horizontal="left" vertical="center" wrapText="1" indent="1"/>
    </xf>
    <xf numFmtId="0" fontId="8" fillId="17" borderId="1" xfId="3" applyFont="1" applyFill="1" applyBorder="1" applyAlignment="1">
      <alignment horizontal="left" vertical="center" wrapText="1" indent="1"/>
    </xf>
    <xf numFmtId="0" fontId="27" fillId="12" borderId="9" xfId="0" applyFont="1" applyFill="1" applyBorder="1" applyAlignment="1">
      <alignment horizontal="left" vertical="center" indent="1"/>
    </xf>
    <xf numFmtId="0" fontId="20" fillId="31" borderId="1" xfId="5" applyFont="1" applyFill="1" applyBorder="1" applyAlignment="1">
      <alignment horizontal="left" vertical="center" indent="1"/>
    </xf>
    <xf numFmtId="0" fontId="20" fillId="31" borderId="1" xfId="6" applyFont="1" applyFill="1" applyBorder="1" applyAlignment="1">
      <alignment horizontal="left" vertical="center" indent="1"/>
    </xf>
    <xf numFmtId="0" fontId="10" fillId="24" borderId="1" xfId="1" applyFont="1" applyFill="1" applyBorder="1" applyAlignment="1">
      <alignment horizontal="left" vertical="center" wrapText="1" indent="1"/>
    </xf>
    <xf numFmtId="0" fontId="10" fillId="24" borderId="1" xfId="3" applyFont="1" applyFill="1" applyBorder="1" applyAlignment="1">
      <alignment horizontal="left" vertical="center" wrapText="1" indent="1"/>
    </xf>
    <xf numFmtId="0" fontId="20" fillId="31" borderId="7" xfId="5" applyFont="1" applyFill="1" applyBorder="1" applyAlignment="1">
      <alignment horizontal="left" vertical="center" indent="1"/>
    </xf>
    <xf numFmtId="0" fontId="20" fillId="31" borderId="8" xfId="5" applyFont="1" applyFill="1" applyBorder="1" applyAlignment="1">
      <alignment horizontal="left" vertical="center" indent="1"/>
    </xf>
    <xf numFmtId="0" fontId="11" fillId="0" borderId="16" xfId="0" applyFont="1" applyBorder="1" applyAlignment="1">
      <alignment horizontal="left" vertical="center" indent="1"/>
    </xf>
    <xf numFmtId="0" fontId="8" fillId="0" borderId="15" xfId="0" applyFont="1" applyBorder="1" applyAlignment="1">
      <alignment horizontal="left" vertical="center" indent="1"/>
    </xf>
    <xf numFmtId="0" fontId="8" fillId="0" borderId="17" xfId="0" applyFont="1" applyBorder="1" applyAlignment="1">
      <alignment horizontal="left" vertical="center" indent="1"/>
    </xf>
    <xf numFmtId="0" fontId="15" fillId="5" borderId="1" xfId="0" applyFont="1" applyFill="1" applyBorder="1" applyAlignment="1">
      <alignment horizontal="left" vertical="center" wrapText="1" indent="1"/>
    </xf>
    <xf numFmtId="0" fontId="36" fillId="0" borderId="1" xfId="0" applyFont="1" applyBorder="1" applyAlignment="1">
      <alignment horizontal="left" vertical="center" wrapText="1" indent="1"/>
    </xf>
    <xf numFmtId="0" fontId="36" fillId="0" borderId="0" xfId="0" applyFont="1" applyAlignment="1">
      <alignment horizontal="left" vertical="center" wrapText="1" indent="1"/>
    </xf>
    <xf numFmtId="0" fontId="15" fillId="5" borderId="40" xfId="0" applyFont="1" applyFill="1" applyBorder="1" applyAlignment="1">
      <alignment horizontal="left" vertical="center" wrapText="1" indent="1"/>
    </xf>
    <xf numFmtId="0" fontId="9" fillId="0" borderId="13" xfId="0" applyFont="1" applyBorder="1" applyAlignment="1">
      <alignment horizontal="left" vertical="center" indent="1"/>
    </xf>
    <xf numFmtId="0" fontId="9" fillId="0" borderId="1" xfId="0" applyFont="1" applyBorder="1" applyAlignment="1">
      <alignment horizontal="left" vertical="center" wrapText="1" indent="1"/>
    </xf>
    <xf numFmtId="0" fontId="9" fillId="0" borderId="13" xfId="0" applyFont="1" applyBorder="1" applyAlignment="1">
      <alignment horizontal="left" vertical="center" wrapText="1" indent="1"/>
    </xf>
    <xf numFmtId="1" fontId="8" fillId="0" borderId="1" xfId="0" applyNumberFormat="1" applyFont="1" applyBorder="1" applyAlignment="1">
      <alignment horizontal="left" vertical="center" indent="1"/>
    </xf>
    <xf numFmtId="49" fontId="8" fillId="0" borderId="1" xfId="0" applyNumberFormat="1" applyFont="1" applyBorder="1" applyAlignment="1">
      <alignment horizontal="left" vertical="center" indent="1"/>
    </xf>
    <xf numFmtId="0" fontId="15" fillId="5" borderId="15" xfId="0" applyFont="1" applyFill="1" applyBorder="1" applyAlignment="1">
      <alignment horizontal="left" vertical="center" wrapText="1" indent="1"/>
    </xf>
    <xf numFmtId="0" fontId="25" fillId="0" borderId="4" xfId="0" applyFont="1" applyBorder="1" applyAlignment="1">
      <alignment horizontal="left" vertical="center" indent="1"/>
    </xf>
    <xf numFmtId="0" fontId="41" fillId="0" borderId="0" xfId="0" applyFont="1" applyAlignment="1">
      <alignment horizontal="left" vertical="center" indent="1"/>
    </xf>
    <xf numFmtId="0" fontId="8" fillId="6" borderId="1" xfId="0" applyFont="1" applyFill="1" applyBorder="1" applyAlignment="1">
      <alignment horizontal="left" vertical="center" wrapText="1" indent="1"/>
    </xf>
    <xf numFmtId="0" fontId="8" fillId="17" borderId="1" xfId="0" applyFont="1" applyFill="1" applyBorder="1"/>
    <xf numFmtId="0" fontId="8" fillId="10" borderId="1" xfId="0" applyFont="1" applyFill="1" applyBorder="1" applyAlignment="1">
      <alignment horizontal="left" vertical="center" indent="1"/>
    </xf>
    <xf numFmtId="0" fontId="11" fillId="26" borderId="1" xfId="14" applyFont="1" applyFill="1">
      <alignment horizontal="left" vertical="center" wrapText="1" indent="1"/>
    </xf>
    <xf numFmtId="0" fontId="43" fillId="27" borderId="1" xfId="9" applyFont="1" applyFill="1" applyBorder="1" applyAlignment="1">
      <alignment horizontal="left" vertical="center" wrapText="1" indent="1"/>
    </xf>
    <xf numFmtId="0" fontId="15" fillId="0" borderId="13" xfId="0" applyFont="1" applyBorder="1" applyAlignment="1">
      <alignment horizontal="left" indent="1"/>
    </xf>
    <xf numFmtId="0" fontId="9" fillId="0" borderId="4" xfId="0" applyFont="1" applyBorder="1" applyAlignment="1">
      <alignment horizontal="left" indent="1"/>
    </xf>
    <xf numFmtId="0" fontId="40" fillId="15" borderId="1" xfId="0" applyFont="1" applyFill="1" applyBorder="1" applyAlignment="1">
      <alignment horizontal="left" vertical="center" indent="1"/>
    </xf>
    <xf numFmtId="0" fontId="11" fillId="17" borderId="1" xfId="0" applyFont="1" applyFill="1" applyBorder="1" applyAlignment="1">
      <alignment horizontal="left" vertical="center" wrapText="1" indent="1"/>
    </xf>
    <xf numFmtId="0" fontId="11" fillId="26" borderId="0" xfId="4" applyFont="1" applyFill="1" applyAlignment="1">
      <alignment horizontal="left" vertical="center" indent="1"/>
    </xf>
    <xf numFmtId="0" fontId="44" fillId="0" borderId="1" xfId="0" applyFont="1" applyBorder="1" applyAlignment="1" applyProtection="1">
      <alignment horizontal="left" vertical="center" indent="1"/>
      <protection locked="0"/>
    </xf>
    <xf numFmtId="0" fontId="8" fillId="25" borderId="1" xfId="0" applyFont="1" applyFill="1" applyBorder="1" applyAlignment="1" applyProtection="1">
      <alignment horizontal="left" vertical="center" indent="1"/>
      <protection locked="0"/>
    </xf>
    <xf numFmtId="49" fontId="8" fillId="0" borderId="1" xfId="0" applyNumberFormat="1" applyFont="1" applyBorder="1" applyAlignment="1">
      <alignment horizontal="left" vertical="center" wrapText="1" indent="1"/>
    </xf>
    <xf numFmtId="49" fontId="10" fillId="24" borderId="1" xfId="1" applyNumberFormat="1" applyFont="1" applyFill="1" applyBorder="1" applyAlignment="1">
      <alignment horizontal="left" vertical="center" wrapText="1" indent="1"/>
    </xf>
    <xf numFmtId="0" fontId="46" fillId="40" borderId="1" xfId="0" applyFont="1" applyFill="1" applyBorder="1" applyAlignment="1">
      <alignment horizontal="left" vertical="center" indent="1"/>
    </xf>
    <xf numFmtId="0" fontId="47" fillId="19" borderId="5" xfId="0" applyFont="1" applyFill="1" applyBorder="1" applyAlignment="1">
      <alignment horizontal="left" vertical="center" indent="1"/>
    </xf>
    <xf numFmtId="0" fontId="19" fillId="19" borderId="0" xfId="0" applyFont="1" applyFill="1" applyAlignment="1">
      <alignment horizontal="left" vertical="center" indent="1"/>
    </xf>
    <xf numFmtId="0" fontId="9" fillId="19" borderId="0" xfId="0" applyFont="1" applyFill="1"/>
    <xf numFmtId="0" fontId="10" fillId="23" borderId="1" xfId="0" applyFont="1" applyFill="1" applyBorder="1" applyAlignment="1">
      <alignment horizontal="left" vertical="center" wrapText="1" indent="1"/>
    </xf>
    <xf numFmtId="0" fontId="10" fillId="47" borderId="1" xfId="1" applyFont="1" applyFill="1" applyBorder="1" applyAlignment="1">
      <alignment horizontal="left" vertical="center" wrapText="1" indent="1"/>
    </xf>
    <xf numFmtId="0" fontId="45" fillId="17" borderId="18" xfId="0" applyFont="1" applyFill="1" applyBorder="1" applyAlignment="1">
      <alignment horizontal="left" indent="1"/>
    </xf>
    <xf numFmtId="0" fontId="9" fillId="0" borderId="8" xfId="0" applyFont="1" applyBorder="1" applyAlignment="1">
      <alignment horizontal="left" vertical="center" indent="1"/>
    </xf>
    <xf numFmtId="1" fontId="8" fillId="0" borderId="1" xfId="11" applyNumberFormat="1" applyFont="1" applyBorder="1" applyAlignment="1" applyProtection="1">
      <alignment horizontal="left" vertical="center" indent="1"/>
      <protection locked="0"/>
    </xf>
    <xf numFmtId="0" fontId="19" fillId="36" borderId="8" xfId="0" applyFont="1" applyFill="1" applyBorder="1" applyAlignment="1">
      <alignment horizontal="left" vertical="center" indent="1"/>
    </xf>
    <xf numFmtId="0" fontId="9" fillId="41" borderId="8" xfId="0" applyFont="1" applyFill="1" applyBorder="1" applyAlignment="1">
      <alignment horizontal="left" vertical="center" indent="1"/>
    </xf>
    <xf numFmtId="0" fontId="8" fillId="40" borderId="1" xfId="0" applyFont="1" applyFill="1" applyBorder="1" applyAlignment="1">
      <alignment horizontal="left" vertical="center" indent="1"/>
    </xf>
    <xf numFmtId="0" fontId="8" fillId="18" borderId="1" xfId="0" applyFont="1" applyFill="1" applyBorder="1" applyAlignment="1">
      <alignment horizontal="left" vertical="center"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6" borderId="9" xfId="0" applyFont="1" applyFill="1" applyBorder="1" applyAlignment="1">
      <alignment horizontal="left" vertical="center" indent="1"/>
    </xf>
    <xf numFmtId="0" fontId="15" fillId="0" borderId="13" xfId="0" applyFont="1" applyBorder="1" applyAlignment="1">
      <alignment horizontal="left" vertical="center" wrapText="1" indent="1"/>
    </xf>
    <xf numFmtId="0" fontId="9" fillId="34" borderId="4" xfId="0" applyFont="1" applyFill="1" applyBorder="1" applyAlignment="1">
      <alignment horizontal="left" vertical="center" indent="1"/>
    </xf>
    <xf numFmtId="0" fontId="15" fillId="0" borderId="4" xfId="0" applyFont="1" applyBorder="1" applyAlignment="1">
      <alignment horizontal="left" vertical="center" indent="1"/>
    </xf>
    <xf numFmtId="0" fontId="26" fillId="18" borderId="7" xfId="0" applyFont="1" applyFill="1" applyBorder="1" applyAlignment="1" applyProtection="1">
      <alignment horizontal="left" vertical="center" indent="1"/>
      <protection locked="0"/>
    </xf>
    <xf numFmtId="0" fontId="26" fillId="18" borderId="1" xfId="0" applyFont="1" applyFill="1" applyBorder="1" applyAlignment="1" applyProtection="1">
      <alignment horizontal="left" vertical="center" indent="1"/>
      <protection locked="0"/>
    </xf>
    <xf numFmtId="0" fontId="9" fillId="18" borderId="1" xfId="0" applyFont="1" applyFill="1" applyBorder="1" applyAlignment="1" applyProtection="1">
      <alignment horizontal="left" vertical="center" indent="1"/>
      <protection locked="0"/>
    </xf>
    <xf numFmtId="0" fontId="38" fillId="18" borderId="1" xfId="0" applyFont="1" applyFill="1" applyBorder="1" applyAlignment="1" applyProtection="1">
      <alignment horizontal="left" vertical="center" indent="1"/>
      <protection locked="0"/>
    </xf>
    <xf numFmtId="0" fontId="26" fillId="18" borderId="7" xfId="0" applyFont="1" applyFill="1" applyBorder="1" applyAlignment="1">
      <alignment horizontal="left" vertical="center" indent="1"/>
    </xf>
    <xf numFmtId="0" fontId="26" fillId="18" borderId="1" xfId="0" applyFont="1" applyFill="1" applyBorder="1" applyAlignment="1">
      <alignment horizontal="left" vertical="center" indent="1"/>
    </xf>
    <xf numFmtId="0" fontId="38" fillId="18" borderId="1" xfId="0" applyFont="1" applyFill="1" applyBorder="1" applyAlignment="1">
      <alignment horizontal="left" vertical="center" indent="1"/>
    </xf>
    <xf numFmtId="0" fontId="24" fillId="18" borderId="1" xfId="0" applyFont="1" applyFill="1" applyBorder="1" applyAlignment="1" applyProtection="1">
      <alignment horizontal="left" vertical="center" indent="1"/>
      <protection locked="0"/>
    </xf>
    <xf numFmtId="0" fontId="8" fillId="0" borderId="15" xfId="0" applyFont="1" applyBorder="1" applyAlignment="1">
      <alignment horizontal="center" vertical="center"/>
    </xf>
    <xf numFmtId="0" fontId="8" fillId="0" borderId="15" xfId="0" applyFont="1" applyBorder="1" applyAlignment="1">
      <alignment horizontal="left" vertical="center" wrapText="1" indent="1"/>
    </xf>
    <xf numFmtId="0" fontId="46" fillId="0" borderId="1" xfId="11" applyFont="1" applyBorder="1" applyAlignment="1">
      <alignment horizontal="left" vertical="center" indent="1"/>
    </xf>
    <xf numFmtId="0" fontId="8" fillId="0" borderId="8" xfId="0" applyFont="1" applyBorder="1" applyAlignment="1">
      <alignment horizontal="left" indent="1"/>
    </xf>
    <xf numFmtId="0" fontId="26" fillId="0" borderId="1" xfId="0" applyFont="1" applyBorder="1" applyAlignment="1">
      <alignment horizontal="left" vertical="center" indent="1"/>
    </xf>
    <xf numFmtId="0" fontId="38" fillId="0" borderId="1" xfId="0" applyFont="1" applyBorder="1" applyAlignment="1">
      <alignment horizontal="left" vertical="center" indent="1"/>
    </xf>
    <xf numFmtId="0" fontId="13" fillId="13" borderId="1" xfId="5" applyFont="1" applyFill="1" applyBorder="1" applyAlignment="1">
      <alignment horizontal="left" vertical="center" indent="1"/>
    </xf>
    <xf numFmtId="0" fontId="11" fillId="29" borderId="1" xfId="0" applyFont="1" applyFill="1" applyBorder="1" applyAlignment="1">
      <alignment horizontal="left" vertical="center" indent="1"/>
    </xf>
    <xf numFmtId="0" fontId="11" fillId="38" borderId="1" xfId="0" applyFont="1" applyFill="1" applyBorder="1" applyAlignment="1">
      <alignment horizontal="left" vertical="center" indent="1"/>
    </xf>
    <xf numFmtId="0" fontId="34" fillId="48" borderId="1" xfId="0" applyFont="1" applyFill="1" applyBorder="1" applyAlignment="1" applyProtection="1">
      <alignment horizontal="left" vertical="center" indent="1"/>
      <protection locked="0"/>
    </xf>
    <xf numFmtId="0" fontId="34" fillId="48" borderId="1" xfId="0" applyFont="1" applyFill="1" applyBorder="1" applyAlignment="1">
      <alignment horizontal="left" vertical="center" indent="1"/>
    </xf>
    <xf numFmtId="0" fontId="8" fillId="0" borderId="8" xfId="0" applyFont="1" applyBorder="1" applyAlignment="1">
      <alignment horizontal="left" vertical="center" indent="1"/>
    </xf>
    <xf numFmtId="0" fontId="9" fillId="34" borderId="54" xfId="0" applyFont="1" applyFill="1" applyBorder="1" applyAlignment="1">
      <alignment horizontal="left" vertical="center" indent="1"/>
    </xf>
    <xf numFmtId="0" fontId="9" fillId="49" borderId="1" xfId="0" applyFont="1" applyFill="1" applyBorder="1" applyAlignment="1" applyProtection="1">
      <alignment horizontal="left" vertical="center" indent="1"/>
      <protection locked="0"/>
    </xf>
    <xf numFmtId="0" fontId="9" fillId="34" borderId="55" xfId="0" applyFont="1" applyFill="1" applyBorder="1" applyAlignment="1">
      <alignment horizontal="left" vertical="center" indent="1"/>
    </xf>
    <xf numFmtId="0" fontId="6" fillId="0" borderId="1" xfId="9" applyBorder="1" applyAlignment="1">
      <alignment horizontal="left" vertical="center" indent="1"/>
    </xf>
    <xf numFmtId="0" fontId="4" fillId="0" borderId="1" xfId="0" applyFont="1" applyBorder="1" applyAlignment="1">
      <alignment horizontal="left" indent="1"/>
    </xf>
    <xf numFmtId="0" fontId="9" fillId="0" borderId="1" xfId="0" applyFont="1" applyBorder="1" applyAlignment="1">
      <alignment horizontal="left" indent="1"/>
    </xf>
    <xf numFmtId="0" fontId="4" fillId="0" borderId="0" xfId="0" applyFont="1"/>
    <xf numFmtId="0" fontId="48" fillId="0" borderId="13" xfId="0" applyFont="1" applyBorder="1" applyAlignment="1">
      <alignment horizontal="left" vertical="center" indent="1"/>
    </xf>
    <xf numFmtId="0" fontId="9" fillId="34" borderId="56" xfId="0" applyFont="1" applyFill="1" applyBorder="1" applyAlignment="1">
      <alignment horizontal="left" vertical="center" indent="1"/>
    </xf>
    <xf numFmtId="0" fontId="48" fillId="0" borderId="0" xfId="0" applyFont="1" applyAlignment="1">
      <alignment horizontal="left" vertical="center" indent="1"/>
    </xf>
    <xf numFmtId="0" fontId="8" fillId="27" borderId="0" xfId="0" applyFont="1" applyFill="1"/>
    <xf numFmtId="0" fontId="4" fillId="0" borderId="1" xfId="0" applyFont="1" applyBorder="1" applyAlignment="1">
      <alignment horizontal="left" vertical="center" indent="1"/>
    </xf>
    <xf numFmtId="0" fontId="11" fillId="0" borderId="0" xfId="0" applyFont="1" applyAlignment="1">
      <alignment horizontal="left" indent="1"/>
    </xf>
    <xf numFmtId="0" fontId="11" fillId="0" borderId="1" xfId="0" applyFont="1" applyBorder="1" applyAlignment="1">
      <alignment horizontal="left" vertical="center"/>
    </xf>
    <xf numFmtId="0" fontId="4" fillId="0" borderId="0" xfId="0" applyFont="1" applyAlignment="1">
      <alignment horizontal="left" vertical="center" indent="1"/>
    </xf>
    <xf numFmtId="0" fontId="8" fillId="40" borderId="1" xfId="0" applyFont="1" applyFill="1" applyBorder="1" applyAlignment="1" applyProtection="1">
      <alignment horizontal="left" vertical="center" indent="1"/>
      <protection locked="0"/>
    </xf>
    <xf numFmtId="0" fontId="49" fillId="0" borderId="1" xfId="0" applyFont="1" applyBorder="1" applyAlignment="1">
      <alignment horizontal="left" vertical="center" indent="1"/>
    </xf>
    <xf numFmtId="0" fontId="15" fillId="0" borderId="2" xfId="0" applyFont="1" applyBorder="1" applyAlignment="1">
      <alignment horizontal="left" indent="1"/>
    </xf>
    <xf numFmtId="0" fontId="13" fillId="17" borderId="1" xfId="0" applyFont="1" applyFill="1" applyBorder="1" applyAlignment="1">
      <alignment horizontal="left" vertical="center" indent="1"/>
    </xf>
    <xf numFmtId="0" fontId="0" fillId="0" borderId="0" xfId="0" applyAlignment="1">
      <alignment horizontal="left" vertical="center" indent="1"/>
    </xf>
    <xf numFmtId="0" fontId="6" fillId="0" borderId="0" xfId="9" applyAlignment="1">
      <alignment horizontal="left" indent="1"/>
    </xf>
    <xf numFmtId="0" fontId="46" fillId="24" borderId="1" xfId="0" applyFont="1" applyFill="1" applyBorder="1" applyAlignment="1">
      <alignment horizontal="left" vertical="center" indent="1"/>
    </xf>
    <xf numFmtId="0" fontId="8" fillId="0" borderId="3" xfId="0" applyFont="1" applyBorder="1" applyAlignment="1">
      <alignment horizontal="left" vertical="center" indent="1"/>
    </xf>
    <xf numFmtId="0" fontId="15" fillId="33" borderId="1" xfId="0" applyFont="1" applyFill="1" applyBorder="1" applyAlignment="1">
      <alignment horizontal="left" vertical="center" wrapText="1" indent="1"/>
    </xf>
    <xf numFmtId="0" fontId="15" fillId="33" borderId="8" xfId="0" applyFont="1" applyFill="1" applyBorder="1" applyAlignment="1">
      <alignment horizontal="left" vertical="center" wrapText="1" indent="1"/>
    </xf>
    <xf numFmtId="0" fontId="50" fillId="27" borderId="8" xfId="5" applyFont="1" applyFill="1" applyBorder="1" applyAlignment="1">
      <alignment horizontal="left" vertical="center" indent="1"/>
    </xf>
    <xf numFmtId="0" fontId="8" fillId="26" borderId="1" xfId="1" applyFont="1" applyFill="1" applyBorder="1" applyAlignment="1">
      <alignment horizontal="left" vertical="center" wrapText="1" indent="1"/>
    </xf>
    <xf numFmtId="0" fontId="22" fillId="0" borderId="0" xfId="9" applyFont="1" applyProtection="1">
      <protection locked="0"/>
    </xf>
    <xf numFmtId="0" fontId="10" fillId="24" borderId="7" xfId="5" applyFont="1" applyFill="1" applyBorder="1" applyAlignment="1">
      <alignment horizontal="left" vertical="center" indent="1"/>
    </xf>
    <xf numFmtId="0" fontId="10" fillId="24" borderId="9" xfId="5" applyFont="1" applyFill="1" applyBorder="1" applyAlignment="1">
      <alignment horizontal="left" vertical="center" indent="1"/>
    </xf>
    <xf numFmtId="0" fontId="9" fillId="17" borderId="1" xfId="0" applyFont="1" applyFill="1" applyBorder="1" applyAlignment="1">
      <alignment horizontal="left" vertical="center" indent="1"/>
    </xf>
    <xf numFmtId="0" fontId="9" fillId="17" borderId="13" xfId="0" applyFont="1" applyFill="1" applyBorder="1" applyAlignment="1">
      <alignment horizontal="left" vertical="center" indent="1"/>
    </xf>
    <xf numFmtId="0" fontId="8" fillId="17" borderId="1" xfId="1" applyFont="1" applyFill="1" applyBorder="1" applyAlignment="1">
      <alignment horizontal="left" vertical="center" wrapText="1" indent="1"/>
    </xf>
    <xf numFmtId="0" fontId="13" fillId="0" borderId="7" xfId="0" applyFont="1" applyBorder="1" applyAlignment="1" applyProtection="1">
      <alignment horizontal="left" vertical="center" indent="1"/>
      <protection locked="0"/>
    </xf>
    <xf numFmtId="0" fontId="11" fillId="26" borderId="9" xfId="0" applyFont="1" applyFill="1" applyBorder="1" applyAlignment="1">
      <alignment horizontal="left" vertical="center" indent="1"/>
    </xf>
    <xf numFmtId="0" fontId="11" fillId="26" borderId="8" xfId="0" applyFont="1" applyFill="1" applyBorder="1" applyAlignment="1">
      <alignment horizontal="left" vertical="center" indent="1"/>
    </xf>
    <xf numFmtId="0" fontId="15" fillId="5" borderId="13" xfId="0" applyFont="1" applyFill="1" applyBorder="1" applyAlignment="1">
      <alignment horizontal="left" vertical="center" wrapText="1" indent="1"/>
    </xf>
    <xf numFmtId="0" fontId="8" fillId="0" borderId="1" xfId="9" applyFont="1" applyBorder="1" applyAlignment="1" applyProtection="1">
      <alignment horizontal="left" vertical="center" indent="1"/>
      <protection locked="0"/>
    </xf>
    <xf numFmtId="0" fontId="9" fillId="19" borderId="13" xfId="0" applyFont="1" applyFill="1" applyBorder="1" applyAlignment="1">
      <alignment horizontal="left" vertical="center" indent="1"/>
    </xf>
    <xf numFmtId="0" fontId="9" fillId="19" borderId="1" xfId="0" applyFont="1" applyFill="1" applyBorder="1" applyAlignment="1">
      <alignment horizontal="left" vertical="center" indent="1"/>
    </xf>
    <xf numFmtId="0" fontId="10" fillId="28" borderId="8" xfId="0" applyFont="1" applyFill="1" applyBorder="1" applyAlignment="1">
      <alignment horizontal="left" vertical="center" indent="1"/>
    </xf>
    <xf numFmtId="0" fontId="11" fillId="0" borderId="0" xfId="0" applyFont="1"/>
    <xf numFmtId="0" fontId="51" fillId="0" borderId="0" xfId="0" applyFont="1"/>
    <xf numFmtId="0" fontId="0" fillId="0" borderId="0" xfId="0" applyAlignment="1">
      <alignment horizontal="left"/>
    </xf>
    <xf numFmtId="0" fontId="9" fillId="52" borderId="1" xfId="0" applyFont="1" applyFill="1" applyBorder="1" applyAlignment="1">
      <alignment horizontal="left" vertical="center" indent="1"/>
    </xf>
    <xf numFmtId="0" fontId="10" fillId="24" borderId="7" xfId="5" applyFont="1" applyFill="1" applyBorder="1" applyAlignment="1">
      <alignment horizontal="left" vertical="center" wrapText="1" indent="1"/>
    </xf>
    <xf numFmtId="0" fontId="10" fillId="24" borderId="9" xfId="5" applyFont="1" applyFill="1" applyBorder="1" applyAlignment="1">
      <alignment horizontal="left" vertical="center" wrapText="1" indent="1"/>
    </xf>
    <xf numFmtId="0" fontId="10" fillId="24" borderId="8" xfId="5" applyFont="1" applyFill="1" applyBorder="1" applyAlignment="1">
      <alignment horizontal="left" vertical="center" wrapText="1" indent="1"/>
    </xf>
    <xf numFmtId="0" fontId="10" fillId="24" borderId="1" xfId="5" applyFont="1" applyFill="1" applyBorder="1" applyAlignment="1">
      <alignment horizontal="left" vertical="center" wrapText="1" indent="1"/>
    </xf>
    <xf numFmtId="0" fontId="10" fillId="24" borderId="1" xfId="5" applyFont="1" applyFill="1" applyBorder="1" applyAlignment="1">
      <alignment horizontal="left" vertical="center" indent="1"/>
    </xf>
    <xf numFmtId="0" fontId="19" fillId="23" borderId="7" xfId="0" applyFont="1" applyFill="1" applyBorder="1" applyAlignment="1">
      <alignment horizontal="left" vertical="center" wrapText="1" indent="1"/>
    </xf>
    <xf numFmtId="0" fontId="19" fillId="23" borderId="9" xfId="0" applyFont="1" applyFill="1" applyBorder="1" applyAlignment="1">
      <alignment horizontal="left" vertical="center" wrapText="1" indent="1"/>
    </xf>
    <xf numFmtId="0" fontId="8" fillId="38" borderId="9" xfId="0" applyFont="1" applyFill="1" applyBorder="1" applyAlignment="1">
      <alignment horizontal="left" vertical="center" indent="1"/>
    </xf>
    <xf numFmtId="0" fontId="8" fillId="0" borderId="4" xfId="0" applyFont="1" applyBorder="1" applyAlignment="1">
      <alignment horizontal="left" indent="1"/>
    </xf>
    <xf numFmtId="0" fontId="8" fillId="0" borderId="0" xfId="0" applyFont="1" applyAlignment="1">
      <alignment horizontal="left"/>
    </xf>
    <xf numFmtId="0" fontId="8" fillId="0" borderId="9" xfId="0" applyFont="1" applyBorder="1" applyAlignment="1" applyProtection="1">
      <alignment horizontal="left" vertical="center" indent="1"/>
      <protection locked="0"/>
    </xf>
    <xf numFmtId="0" fontId="15" fillId="0" borderId="1" xfId="0" applyFont="1" applyBorder="1" applyAlignment="1">
      <alignment horizontal="left" indent="1"/>
    </xf>
    <xf numFmtId="0" fontId="0" fillId="0" borderId="1" xfId="0" applyBorder="1" applyAlignment="1">
      <alignment horizontal="left" vertical="center" indent="1"/>
    </xf>
    <xf numFmtId="0" fontId="8" fillId="17" borderId="37" xfId="0" applyFont="1" applyFill="1" applyBorder="1" applyAlignment="1">
      <alignment horizontal="left" vertical="center" indent="2"/>
    </xf>
    <xf numFmtId="0" fontId="8" fillId="17" borderId="35" xfId="0" applyFont="1" applyFill="1" applyBorder="1" applyAlignment="1">
      <alignment horizontal="left" vertical="center" indent="2"/>
    </xf>
    <xf numFmtId="0" fontId="8" fillId="17" borderId="36" xfId="0" applyFont="1" applyFill="1" applyBorder="1" applyAlignment="1">
      <alignment horizontal="left" vertical="center" indent="2"/>
    </xf>
    <xf numFmtId="0" fontId="8" fillId="17" borderId="34" xfId="0" applyFont="1" applyFill="1" applyBorder="1" applyAlignment="1">
      <alignment horizontal="left" vertical="center" indent="2"/>
    </xf>
    <xf numFmtId="0" fontId="6" fillId="0" borderId="1" xfId="9" applyBorder="1" applyAlignment="1" applyProtection="1">
      <alignment horizontal="left" vertical="center" indent="1"/>
      <protection locked="0"/>
    </xf>
    <xf numFmtId="0" fontId="9" fillId="40" borderId="13" xfId="0" applyFont="1" applyFill="1" applyBorder="1" applyAlignment="1">
      <alignment horizontal="left" vertical="center" wrapText="1" indent="1"/>
    </xf>
    <xf numFmtId="0" fontId="46" fillId="42" borderId="1" xfId="0" applyFont="1" applyFill="1" applyBorder="1" applyAlignment="1" applyProtection="1">
      <alignment horizontal="left" vertical="center" indent="1"/>
      <protection locked="0"/>
    </xf>
    <xf numFmtId="0" fontId="56" fillId="0" borderId="0" xfId="0" applyFont="1" applyAlignment="1">
      <alignment horizontal="left" vertical="center" indent="1"/>
    </xf>
    <xf numFmtId="0" fontId="9" fillId="34" borderId="8" xfId="0" applyFont="1" applyFill="1" applyBorder="1" applyAlignment="1">
      <alignment horizontal="left" vertical="center" indent="1"/>
    </xf>
    <xf numFmtId="0" fontId="15" fillId="0" borderId="7" xfId="0" applyFont="1" applyBorder="1" applyAlignment="1">
      <alignment horizontal="left" vertical="center" indent="1"/>
    </xf>
    <xf numFmtId="0" fontId="11" fillId="0" borderId="8" xfId="0" applyFont="1" applyBorder="1" applyAlignment="1">
      <alignment horizontal="left" indent="1"/>
    </xf>
    <xf numFmtId="0" fontId="57" fillId="0" borderId="0" xfId="9" applyFont="1" applyAlignment="1" applyProtection="1">
      <alignment horizontal="left" vertical="center" indent="1"/>
      <protection locked="0"/>
    </xf>
    <xf numFmtId="0" fontId="57" fillId="0" borderId="1" xfId="9" applyFont="1" applyBorder="1" applyAlignment="1" applyProtection="1">
      <alignment horizontal="left" vertical="center" indent="1"/>
      <protection locked="0"/>
    </xf>
    <xf numFmtId="0" fontId="9" fillId="42" borderId="4" xfId="0" applyFont="1" applyFill="1" applyBorder="1" applyAlignment="1" applyProtection="1">
      <alignment horizontal="left" vertical="center" indent="1"/>
      <protection locked="0"/>
    </xf>
    <xf numFmtId="0" fontId="15" fillId="18" borderId="0" xfId="0" applyFont="1" applyFill="1" applyAlignment="1">
      <alignment horizontal="left" vertical="center" wrapText="1" indent="1"/>
    </xf>
    <xf numFmtId="0" fontId="17" fillId="0" borderId="1" xfId="0" applyFont="1" applyBorder="1" applyAlignment="1">
      <alignment horizontal="left" indent="1"/>
    </xf>
    <xf numFmtId="0" fontId="58" fillId="0" borderId="1" xfId="0" applyFont="1" applyBorder="1" applyAlignment="1">
      <alignment horizontal="left" vertical="center" indent="1"/>
    </xf>
    <xf numFmtId="0" fontId="0" fillId="0" borderId="1" xfId="0" applyBorder="1"/>
    <xf numFmtId="0" fontId="58" fillId="0" borderId="0" xfId="0" applyFont="1"/>
    <xf numFmtId="0" fontId="9" fillId="19" borderId="8" xfId="0" applyFont="1" applyFill="1" applyBorder="1" applyAlignment="1">
      <alignment horizontal="left" vertical="center" indent="1"/>
    </xf>
    <xf numFmtId="0" fontId="56" fillId="0" borderId="0" xfId="0" applyFont="1" applyAlignment="1">
      <alignment horizontal="left" vertical="center"/>
    </xf>
    <xf numFmtId="0" fontId="8" fillId="17" borderId="1" xfId="3" applyFont="1" applyFill="1" applyBorder="1" applyAlignment="1" applyProtection="1">
      <alignment horizontal="left" vertical="center" wrapText="1" indent="1"/>
      <protection locked="0"/>
    </xf>
    <xf numFmtId="0" fontId="20" fillId="31" borderId="10" xfId="5" applyFont="1" applyFill="1" applyBorder="1" applyAlignment="1">
      <alignment horizontal="left" vertical="center" indent="1"/>
    </xf>
    <xf numFmtId="0" fontId="20" fillId="31" borderId="12" xfId="5" applyFont="1" applyFill="1" applyBorder="1" applyAlignment="1">
      <alignment horizontal="left" vertical="center" indent="1"/>
    </xf>
    <xf numFmtId="0" fontId="8" fillId="51" borderId="1" xfId="0" applyFont="1" applyFill="1" applyBorder="1" applyAlignment="1" applyProtection="1">
      <alignment horizontal="left" vertical="center" indent="1"/>
      <protection locked="0"/>
    </xf>
    <xf numFmtId="0" fontId="11" fillId="26" borderId="7" xfId="1" applyFont="1" applyFill="1" applyBorder="1" applyAlignment="1">
      <alignment horizontal="left" vertical="center" wrapText="1" indent="1"/>
    </xf>
    <xf numFmtId="0" fontId="11" fillId="26" borderId="9" xfId="1" applyFont="1" applyFill="1" applyBorder="1" applyAlignment="1">
      <alignment horizontal="left" vertical="center" wrapText="1" indent="1"/>
    </xf>
    <xf numFmtId="0" fontId="11" fillId="0" borderId="8" xfId="0" applyFont="1" applyBorder="1" applyAlignment="1">
      <alignment horizontal="left" vertical="center" indent="1"/>
    </xf>
    <xf numFmtId="0" fontId="8" fillId="0" borderId="9" xfId="0" applyFont="1" applyBorder="1" applyAlignment="1">
      <alignment horizontal="left" vertical="center" wrapText="1" indent="1"/>
    </xf>
    <xf numFmtId="0" fontId="20" fillId="27" borderId="3" xfId="5" applyFont="1" applyFill="1" applyBorder="1" applyAlignment="1">
      <alignment horizontal="left" vertical="center" indent="1"/>
    </xf>
    <xf numFmtId="0" fontId="11" fillId="32" borderId="8" xfId="1" applyFont="1" applyFill="1" applyBorder="1" applyAlignment="1">
      <alignment horizontal="left" vertical="center" wrapText="1" indent="1"/>
    </xf>
    <xf numFmtId="0" fontId="20" fillId="27" borderId="2" xfId="5" applyFont="1" applyFill="1" applyBorder="1" applyAlignment="1">
      <alignment horizontal="left" vertical="center" indent="1"/>
    </xf>
    <xf numFmtId="0" fontId="10" fillId="24" borderId="8" xfId="5" applyFont="1" applyFill="1" applyBorder="1" applyAlignment="1">
      <alignment horizontal="left" vertical="center" indent="1"/>
    </xf>
    <xf numFmtId="0" fontId="10" fillId="9" borderId="7" xfId="5" applyFont="1" applyFill="1" applyBorder="1" applyAlignment="1">
      <alignment horizontal="left" vertical="center" indent="1"/>
    </xf>
    <xf numFmtId="0" fontId="10" fillId="9" borderId="9" xfId="5" applyFont="1" applyFill="1" applyBorder="1" applyAlignment="1">
      <alignment horizontal="left" vertical="center" indent="1"/>
    </xf>
    <xf numFmtId="0" fontId="10" fillId="9" borderId="8" xfId="5" applyFont="1" applyFill="1" applyBorder="1" applyAlignment="1">
      <alignment horizontal="left" vertical="center" indent="1"/>
    </xf>
    <xf numFmtId="0" fontId="20" fillId="27" borderId="4" xfId="5" applyFont="1" applyFill="1" applyBorder="1" applyAlignment="1">
      <alignment horizontal="left" vertical="center" indent="1"/>
    </xf>
    <xf numFmtId="0" fontId="8" fillId="0" borderId="13" xfId="0" applyFont="1" applyBorder="1" applyAlignment="1">
      <alignment horizontal="left" vertical="center" indent="1"/>
    </xf>
    <xf numFmtId="0" fontId="22" fillId="0" borderId="7" xfId="9" applyFont="1" applyBorder="1" applyAlignment="1">
      <alignment horizontal="left" vertical="center" indent="1"/>
    </xf>
    <xf numFmtId="0" fontId="22" fillId="0" borderId="9" xfId="9" applyFont="1" applyBorder="1" applyAlignment="1">
      <alignment horizontal="left" vertical="center" indent="1"/>
    </xf>
    <xf numFmtId="0" fontId="22" fillId="0" borderId="8" xfId="9" applyFont="1" applyBorder="1" applyAlignment="1">
      <alignment horizontal="left" vertical="center" indent="1"/>
    </xf>
    <xf numFmtId="0" fontId="56" fillId="0" borderId="12" xfId="0" applyFont="1" applyBorder="1" applyAlignment="1">
      <alignment horizontal="left" vertical="center"/>
    </xf>
    <xf numFmtId="0" fontId="11" fillId="2" borderId="13" xfId="1" applyFont="1" applyBorder="1" applyAlignment="1">
      <alignment horizontal="left" vertical="center" wrapText="1" indent="1"/>
    </xf>
    <xf numFmtId="0" fontId="8" fillId="29" borderId="0" xfId="0" applyFont="1" applyFill="1" applyAlignment="1">
      <alignment horizontal="left" vertical="center" indent="1"/>
    </xf>
    <xf numFmtId="0" fontId="8" fillId="0" borderId="1" xfId="0" applyFont="1" applyBorder="1" applyAlignment="1">
      <alignment horizontal="left" vertical="center" indent="2"/>
    </xf>
    <xf numFmtId="0" fontId="15" fillId="33" borderId="4" xfId="0" applyFont="1" applyFill="1" applyBorder="1" applyAlignment="1" applyProtection="1">
      <alignment horizontal="left" vertical="center" wrapText="1" indent="1"/>
      <protection locked="0"/>
    </xf>
    <xf numFmtId="0" fontId="9" fillId="0" borderId="4" xfId="0" applyFont="1" applyBorder="1" applyAlignment="1" applyProtection="1">
      <alignment horizontal="left" vertical="center" indent="1"/>
      <protection locked="0"/>
    </xf>
    <xf numFmtId="0" fontId="10" fillId="24" borderId="7" xfId="1" applyFont="1" applyFill="1" applyBorder="1" applyAlignment="1">
      <alignment horizontal="left" vertical="center" wrapText="1" indent="1"/>
    </xf>
    <xf numFmtId="0" fontId="20" fillId="31" borderId="7" xfId="6" applyFont="1" applyFill="1" applyBorder="1" applyAlignment="1">
      <alignment horizontal="left" vertical="center" indent="1"/>
    </xf>
    <xf numFmtId="0" fontId="15" fillId="5" borderId="8" xfId="0" applyFont="1" applyFill="1" applyBorder="1" applyAlignment="1">
      <alignment horizontal="left" vertical="center" wrapText="1" indent="1"/>
    </xf>
    <xf numFmtId="0" fontId="8" fillId="0" borderId="13" xfId="0" applyFont="1" applyBorder="1" applyAlignment="1">
      <alignment horizontal="left" vertical="center" wrapText="1" indent="1"/>
    </xf>
    <xf numFmtId="0" fontId="8" fillId="0" borderId="7" xfId="0" applyFont="1" applyBorder="1" applyAlignment="1">
      <alignment horizontal="left" vertical="center"/>
    </xf>
    <xf numFmtId="0" fontId="8" fillId="0" borderId="9" xfId="0" applyFont="1" applyBorder="1" applyAlignment="1">
      <alignment horizontal="left" vertical="center"/>
    </xf>
    <xf numFmtId="0" fontId="8" fillId="0" borderId="8" xfId="0" applyFont="1" applyBorder="1" applyAlignment="1">
      <alignment horizontal="left" vertical="center"/>
    </xf>
    <xf numFmtId="0" fontId="13" fillId="24" borderId="9" xfId="0" applyFont="1" applyFill="1" applyBorder="1" applyAlignment="1" applyProtection="1">
      <alignment horizontal="left" vertical="center" indent="1"/>
      <protection locked="0"/>
    </xf>
    <xf numFmtId="0" fontId="15" fillId="33" borderId="7" xfId="0" applyFont="1" applyFill="1" applyBorder="1" applyAlignment="1" applyProtection="1">
      <alignment horizontal="left" vertical="center" wrapText="1" indent="1"/>
      <protection locked="0"/>
    </xf>
    <xf numFmtId="0" fontId="8" fillId="17" borderId="7" xfId="0" applyFont="1" applyFill="1" applyBorder="1" applyAlignment="1">
      <alignment horizontal="left" vertical="center" indent="1"/>
    </xf>
    <xf numFmtId="0" fontId="8" fillId="17" borderId="10" xfId="0" applyFont="1" applyFill="1" applyBorder="1" applyAlignment="1">
      <alignment horizontal="left" vertical="center" indent="1"/>
    </xf>
    <xf numFmtId="0" fontId="8" fillId="17" borderId="57" xfId="0" applyFont="1" applyFill="1" applyBorder="1" applyAlignment="1">
      <alignment horizontal="left" vertical="center" indent="1"/>
    </xf>
    <xf numFmtId="0" fontId="11" fillId="17" borderId="7" xfId="0" applyFont="1" applyFill="1" applyBorder="1" applyAlignment="1">
      <alignment horizontal="left" vertical="center" indent="1"/>
    </xf>
    <xf numFmtId="0" fontId="30" fillId="27" borderId="7" xfId="0" applyFont="1" applyFill="1" applyBorder="1" applyAlignment="1">
      <alignment horizontal="left" vertical="center" indent="1"/>
    </xf>
    <xf numFmtId="0" fontId="30" fillId="27" borderId="9" xfId="0" applyFont="1" applyFill="1" applyBorder="1" applyAlignment="1">
      <alignment horizontal="left" vertical="center" indent="1"/>
    </xf>
    <xf numFmtId="0" fontId="30" fillId="27" borderId="8" xfId="0" applyFont="1" applyFill="1" applyBorder="1" applyAlignment="1">
      <alignment horizontal="left" vertical="center" indent="1"/>
    </xf>
    <xf numFmtId="0" fontId="20" fillId="27" borderId="7" xfId="5" applyFont="1" applyFill="1" applyBorder="1" applyAlignment="1">
      <alignment horizontal="left" vertical="center" indent="1"/>
    </xf>
    <xf numFmtId="0" fontId="20" fillId="27" borderId="9" xfId="5" applyFont="1" applyFill="1" applyBorder="1" applyAlignment="1">
      <alignment horizontal="left" vertical="center" indent="1"/>
    </xf>
    <xf numFmtId="0" fontId="20" fillId="27"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6" borderId="1" xfId="1" applyFont="1" applyFill="1" applyBorder="1" applyAlignment="1">
      <alignment horizontal="left" vertical="center" wrapText="1" indent="1"/>
    </xf>
    <xf numFmtId="0" fontId="32" fillId="17" borderId="10" xfId="0" applyFont="1" applyFill="1" applyBorder="1" applyAlignment="1">
      <alignment horizontal="center" vertical="center"/>
    </xf>
    <xf numFmtId="0" fontId="32" fillId="17" borderId="12" xfId="0" applyFont="1" applyFill="1" applyBorder="1" applyAlignment="1">
      <alignment horizontal="center" vertical="center"/>
    </xf>
    <xf numFmtId="0" fontId="32" fillId="17" borderId="11" xfId="0" applyFont="1" applyFill="1" applyBorder="1" applyAlignment="1">
      <alignment horizontal="center" vertical="center"/>
    </xf>
    <xf numFmtId="0" fontId="32" fillId="17" borderId="2" xfId="0" applyFont="1" applyFill="1" applyBorder="1" applyAlignment="1">
      <alignment horizontal="center" vertical="center"/>
    </xf>
    <xf numFmtId="0" fontId="32" fillId="17" borderId="3" xfId="0" applyFont="1" applyFill="1" applyBorder="1" applyAlignment="1">
      <alignment horizontal="center" vertical="center"/>
    </xf>
    <xf numFmtId="0" fontId="32" fillId="17" borderId="4" xfId="0" applyFont="1" applyFill="1" applyBorder="1" applyAlignment="1">
      <alignment horizontal="center" vertical="center"/>
    </xf>
    <xf numFmtId="0" fontId="31" fillId="27" borderId="1" xfId="5" applyFont="1" applyFill="1" applyBorder="1" applyAlignment="1">
      <alignment horizontal="left" vertical="center" indent="1"/>
    </xf>
    <xf numFmtId="0" fontId="10" fillId="28" borderId="7" xfId="0" applyFont="1" applyFill="1" applyBorder="1" applyAlignment="1">
      <alignment horizontal="left" vertical="center" indent="1"/>
    </xf>
    <xf numFmtId="0" fontId="10" fillId="28" borderId="9" xfId="0" applyFont="1" applyFill="1" applyBorder="1" applyAlignment="1">
      <alignment horizontal="left" vertical="center" indent="1"/>
    </xf>
    <xf numFmtId="0" fontId="27" fillId="27" borderId="0" xfId="0" applyFont="1" applyFill="1" applyAlignment="1">
      <alignment horizontal="left" vertical="center" indent="1"/>
    </xf>
    <xf numFmtId="0" fontId="10" fillId="8" borderId="0" xfId="0" applyFont="1" applyFill="1" applyAlignment="1">
      <alignment horizontal="left" vertical="center" indent="1"/>
    </xf>
    <xf numFmtId="0" fontId="8" fillId="0" borderId="1" xfId="0" applyFont="1" applyBorder="1" applyAlignment="1">
      <alignment horizontal="left" vertical="center" wrapText="1" indent="1"/>
    </xf>
    <xf numFmtId="0" fontId="8" fillId="0" borderId="1" xfId="0" applyFont="1" applyBorder="1" applyAlignment="1">
      <alignment horizontal="left" vertical="center" indent="1"/>
    </xf>
    <xf numFmtId="0" fontId="10" fillId="24" borderId="1" xfId="1" applyFont="1" applyFill="1" applyBorder="1" applyAlignment="1">
      <alignment horizontal="left" vertical="center" wrapText="1" indent="1"/>
    </xf>
    <xf numFmtId="0" fontId="20" fillId="27" borderId="1" xfId="5" applyFont="1" applyFill="1" applyBorder="1" applyAlignment="1">
      <alignment horizontal="left" vertical="center" indent="1"/>
    </xf>
    <xf numFmtId="0" fontId="8" fillId="0" borderId="1" xfId="0" applyFont="1" applyBorder="1" applyAlignment="1">
      <alignment horizontal="left" vertical="top" wrapText="1" indent="1"/>
    </xf>
    <xf numFmtId="49" fontId="8" fillId="0" borderId="7" xfId="0" applyNumberFormat="1" applyFont="1" applyBorder="1" applyAlignment="1">
      <alignment horizontal="left" vertical="center" wrapText="1" indent="1"/>
    </xf>
    <xf numFmtId="49" fontId="8" fillId="0" borderId="8" xfId="0" applyNumberFormat="1" applyFont="1" applyBorder="1" applyAlignment="1">
      <alignment horizontal="left" vertical="center" wrapText="1" indent="1"/>
    </xf>
    <xf numFmtId="49" fontId="8" fillId="0" borderId="1" xfId="0" applyNumberFormat="1" applyFont="1" applyBorder="1" applyAlignment="1">
      <alignment horizontal="left" vertical="center" wrapText="1" indent="1"/>
    </xf>
    <xf numFmtId="0" fontId="10" fillId="47" borderId="1" xfId="1" applyFont="1" applyFill="1" applyBorder="1" applyAlignment="1">
      <alignment horizontal="left" vertical="center" wrapText="1" indent="1"/>
    </xf>
    <xf numFmtId="0" fontId="8" fillId="0" borderId="1" xfId="0" applyFont="1" applyBorder="1" applyAlignment="1">
      <alignment horizontal="left" vertical="center" wrapText="1"/>
    </xf>
    <xf numFmtId="0" fontId="8" fillId="0" borderId="15" xfId="0" applyFont="1" applyBorder="1" applyAlignment="1">
      <alignment horizontal="left" vertical="center" indent="1"/>
    </xf>
    <xf numFmtId="0" fontId="8" fillId="0" borderId="16" xfId="0" applyFont="1" applyBorder="1" applyAlignment="1">
      <alignment horizontal="left" vertical="center" indent="1"/>
    </xf>
    <xf numFmtId="0" fontId="8" fillId="0" borderId="13" xfId="0" applyFont="1" applyBorder="1" applyAlignment="1">
      <alignment horizontal="left" vertical="center"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0" borderId="10" xfId="0" applyFont="1" applyBorder="1" applyAlignment="1">
      <alignment horizontal="left" vertical="center" wrapText="1" indent="1"/>
    </xf>
    <xf numFmtId="0" fontId="8" fillId="0" borderId="11" xfId="0" applyFont="1" applyBorder="1" applyAlignment="1">
      <alignment horizontal="left" vertical="center" wrapText="1" indent="1"/>
    </xf>
    <xf numFmtId="0" fontId="8" fillId="0" borderId="5" xfId="0" applyFont="1" applyBorder="1" applyAlignment="1">
      <alignment horizontal="left" vertical="center" wrapText="1" indent="1"/>
    </xf>
    <xf numFmtId="0" fontId="8" fillId="0" borderId="6" xfId="0" applyFont="1" applyBorder="1" applyAlignment="1">
      <alignment horizontal="left" vertical="center" wrapText="1" indent="1"/>
    </xf>
    <xf numFmtId="0" fontId="56" fillId="0" borderId="0" xfId="0" applyFont="1" applyAlignment="1">
      <alignment horizontal="left" vertical="center"/>
    </xf>
    <xf numFmtId="0" fontId="11" fillId="32" borderId="7" xfId="1" applyFont="1" applyFill="1" applyBorder="1" applyAlignment="1">
      <alignment horizontal="left" vertical="center" wrapText="1" indent="1"/>
    </xf>
    <xf numFmtId="0" fontId="11" fillId="32" borderId="8" xfId="1" applyFont="1" applyFill="1" applyBorder="1" applyAlignment="1">
      <alignment horizontal="left" vertical="center" wrapText="1" indent="1"/>
    </xf>
    <xf numFmtId="0" fontId="11" fillId="0" borderId="7" xfId="0" applyFont="1" applyBorder="1" applyAlignment="1">
      <alignment horizontal="left" vertical="center" wrapText="1" indent="1"/>
    </xf>
    <xf numFmtId="0" fontId="11" fillId="0" borderId="8" xfId="0" applyFont="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8" fillId="51" borderId="7" xfId="0" applyFont="1" applyFill="1" applyBorder="1" applyAlignment="1" applyProtection="1">
      <alignment horizontal="left" vertical="center" indent="1"/>
      <protection locked="0"/>
    </xf>
    <xf numFmtId="0" fontId="8" fillId="51" borderId="8" xfId="0" applyFont="1" applyFill="1" applyBorder="1" applyAlignment="1" applyProtection="1">
      <alignment horizontal="left" vertical="center" indent="1"/>
      <protection locked="0"/>
    </xf>
    <xf numFmtId="0" fontId="20" fillId="27" borderId="5" xfId="5" applyFont="1" applyFill="1" applyBorder="1" applyAlignment="1">
      <alignment horizontal="left" vertical="center" indent="1"/>
    </xf>
    <xf numFmtId="0" fontId="20" fillId="27" borderId="0" xfId="5" applyFont="1" applyFill="1" applyAlignment="1">
      <alignment horizontal="left" vertical="center" indent="1"/>
    </xf>
    <xf numFmtId="0" fontId="8" fillId="0" borderId="7" xfId="0" applyFont="1" applyBorder="1" applyAlignment="1" applyProtection="1">
      <alignment horizontal="left" vertical="center" wrapText="1" indent="1"/>
      <protection locked="0"/>
    </xf>
    <xf numFmtId="0" fontId="8" fillId="0" borderId="8" xfId="0" applyFont="1" applyBorder="1" applyAlignment="1" applyProtection="1">
      <alignment horizontal="left" vertical="center" wrapText="1" indent="1"/>
      <protection locked="0"/>
    </xf>
    <xf numFmtId="0" fontId="8" fillId="0" borderId="7" xfId="0" applyFont="1" applyBorder="1" applyAlignment="1" applyProtection="1">
      <alignment horizontal="left" vertical="center" indent="1"/>
      <protection locked="0"/>
    </xf>
    <xf numFmtId="0" fontId="8" fillId="0" borderId="8" xfId="0" applyFont="1" applyBorder="1" applyAlignment="1" applyProtection="1">
      <alignment horizontal="left" vertical="center" indent="1"/>
      <protection locked="0"/>
    </xf>
    <xf numFmtId="0" fontId="8" fillId="0" borderId="7" xfId="0" applyFont="1" applyBorder="1" applyAlignment="1">
      <alignment horizontal="left" vertical="center"/>
    </xf>
    <xf numFmtId="0" fontId="8" fillId="0" borderId="9" xfId="0" applyFont="1" applyBorder="1" applyAlignment="1">
      <alignment horizontal="left" vertical="center"/>
    </xf>
    <xf numFmtId="0" fontId="8" fillId="0" borderId="8" xfId="0" applyFont="1" applyBorder="1" applyAlignment="1">
      <alignment horizontal="left" vertical="center"/>
    </xf>
    <xf numFmtId="0" fontId="11" fillId="32" borderId="9" xfId="1" applyFont="1" applyFill="1" applyBorder="1" applyAlignment="1">
      <alignment horizontal="left" vertical="center" wrapText="1" indent="1"/>
    </xf>
    <xf numFmtId="0" fontId="11" fillId="0" borderId="9" xfId="0" applyFont="1" applyBorder="1" applyAlignment="1">
      <alignment horizontal="left" vertical="center" indent="1"/>
    </xf>
    <xf numFmtId="0" fontId="9" fillId="0" borderId="7" xfId="0" applyFont="1" applyBorder="1" applyAlignment="1" applyProtection="1">
      <alignment horizontal="left" vertical="center" indent="1"/>
      <protection locked="0"/>
    </xf>
    <xf numFmtId="0" fontId="9" fillId="0" borderId="8" xfId="0" applyFont="1" applyBorder="1" applyAlignment="1" applyProtection="1">
      <alignment horizontal="left" vertical="center" indent="1"/>
      <protection locked="0"/>
    </xf>
    <xf numFmtId="0" fontId="9" fillId="51" borderId="7" xfId="0" applyFont="1" applyFill="1" applyBorder="1" applyAlignment="1" applyProtection="1">
      <alignment horizontal="left" vertical="center" indent="1"/>
      <protection locked="0"/>
    </xf>
    <xf numFmtId="0" fontId="9" fillId="51" borderId="8" xfId="0" applyFont="1" applyFill="1" applyBorder="1" applyAlignment="1" applyProtection="1">
      <alignment horizontal="left" vertical="center" indent="1"/>
      <protection locked="0"/>
    </xf>
    <xf numFmtId="0" fontId="8" fillId="0" borderId="7" xfId="0" applyFont="1" applyBorder="1" applyAlignment="1">
      <alignment horizontal="center" vertical="center"/>
    </xf>
    <xf numFmtId="0" fontId="8" fillId="0" borderId="9" xfId="0" applyFont="1" applyBorder="1" applyAlignment="1">
      <alignment horizontal="center" vertical="center"/>
    </xf>
    <xf numFmtId="0" fontId="8" fillId="0" borderId="8" xfId="0" applyFont="1" applyBorder="1" applyAlignment="1">
      <alignment horizontal="center" vertical="center"/>
    </xf>
    <xf numFmtId="0" fontId="8" fillId="17" borderId="7" xfId="0" applyFont="1" applyFill="1" applyBorder="1" applyAlignment="1">
      <alignment horizontal="left" vertical="center" wrapText="1" indent="1"/>
    </xf>
    <xf numFmtId="0" fontId="8" fillId="17" borderId="8" xfId="0" applyFont="1" applyFill="1" applyBorder="1" applyAlignment="1">
      <alignment horizontal="left" vertical="center" wrapText="1" indent="1"/>
    </xf>
    <xf numFmtId="0" fontId="11" fillId="26" borderId="7" xfId="1" applyFont="1" applyFill="1" applyBorder="1" applyAlignment="1">
      <alignment horizontal="left" vertical="center" wrapText="1" indent="1"/>
    </xf>
    <xf numFmtId="0" fontId="11" fillId="26" borderId="8" xfId="1" applyFont="1" applyFill="1" applyBorder="1" applyAlignment="1">
      <alignment horizontal="left" vertical="center" wrapText="1" indent="1"/>
    </xf>
    <xf numFmtId="0" fontId="11" fillId="26" borderId="9" xfId="1" applyFont="1" applyFill="1" applyBorder="1" applyAlignment="1">
      <alignment horizontal="left" vertical="center" wrapText="1" indent="1"/>
    </xf>
    <xf numFmtId="0" fontId="20" fillId="27" borderId="3" xfId="5" applyFont="1" applyFill="1" applyBorder="1" applyAlignment="1">
      <alignment horizontal="left" vertical="center" indent="1"/>
    </xf>
    <xf numFmtId="0" fontId="13" fillId="0" borderId="1" xfId="0" applyFont="1" applyBorder="1" applyAlignment="1">
      <alignment horizontal="left" vertical="center" indent="1"/>
    </xf>
    <xf numFmtId="0" fontId="13" fillId="0" borderId="7" xfId="0" applyFont="1" applyBorder="1" applyAlignment="1">
      <alignment horizontal="left" vertical="center" indent="1"/>
    </xf>
    <xf numFmtId="0" fontId="11" fillId="26" borderId="7" xfId="1" applyFont="1" applyFill="1" applyBorder="1" applyAlignment="1">
      <alignment horizontal="left" vertical="center" wrapText="1"/>
    </xf>
    <xf numFmtId="0" fontId="11" fillId="26" borderId="8" xfId="1" applyFont="1" applyFill="1" applyBorder="1" applyAlignment="1">
      <alignment horizontal="left" vertical="center" wrapText="1"/>
    </xf>
    <xf numFmtId="0" fontId="27" fillId="27" borderId="0" xfId="0" applyFont="1" applyFill="1" applyAlignment="1">
      <alignment vertical="center"/>
    </xf>
    <xf numFmtId="0" fontId="20" fillId="27" borderId="2" xfId="5" applyFont="1" applyFill="1" applyBorder="1" applyAlignment="1">
      <alignment horizontal="left" vertical="center" indent="1"/>
    </xf>
    <xf numFmtId="0" fontId="9" fillId="0" borderId="7" xfId="0" applyFont="1" applyBorder="1" applyAlignment="1">
      <alignment horizontal="left" vertical="center" indent="1"/>
    </xf>
    <xf numFmtId="0" fontId="9" fillId="0" borderId="9" xfId="0" applyFont="1" applyBorder="1" applyAlignment="1">
      <alignment horizontal="left" vertical="center" indent="1"/>
    </xf>
    <xf numFmtId="0" fontId="9" fillId="0" borderId="8" xfId="0" applyFont="1" applyBorder="1" applyAlignment="1">
      <alignment horizontal="left" vertical="center" indent="1"/>
    </xf>
    <xf numFmtId="0" fontId="8" fillId="0" borderId="0" xfId="0" applyFont="1" applyAlignment="1">
      <alignment horizontal="left" vertical="top" wrapText="1"/>
    </xf>
    <xf numFmtId="0" fontId="8" fillId="0" borderId="7" xfId="11" applyFont="1" applyBorder="1" applyAlignment="1" applyProtection="1">
      <alignment horizontal="left" vertical="center" indent="1"/>
      <protection locked="0"/>
    </xf>
    <xf numFmtId="0" fontId="8" fillId="0" borderId="9" xfId="11" applyFont="1" applyBorder="1" applyAlignment="1" applyProtection="1">
      <alignment horizontal="left" vertical="center" indent="1"/>
      <protection locked="0"/>
    </xf>
    <xf numFmtId="0" fontId="8" fillId="0" borderId="8" xfId="11" applyFont="1" applyBorder="1" applyAlignment="1" applyProtection="1">
      <alignment horizontal="left" vertical="center" indent="1"/>
      <protection locked="0"/>
    </xf>
    <xf numFmtId="0" fontId="8" fillId="0" borderId="7" xfId="11" applyFont="1" applyBorder="1" applyAlignment="1">
      <alignment horizontal="left" vertical="center" wrapText="1" indent="1"/>
    </xf>
    <xf numFmtId="0" fontId="8" fillId="0" borderId="9" xfId="11" applyFont="1" applyBorder="1" applyAlignment="1">
      <alignment horizontal="left" vertical="center" wrapText="1" indent="1"/>
    </xf>
    <xf numFmtId="0" fontId="8" fillId="0" borderId="8" xfId="11" applyFont="1" applyBorder="1" applyAlignment="1">
      <alignment horizontal="left" vertical="center" wrapText="1" indent="1"/>
    </xf>
    <xf numFmtId="0" fontId="20" fillId="4" borderId="1" xfId="5" applyFont="1" applyBorder="1" applyAlignment="1">
      <alignment horizontal="left" vertical="center" indent="1"/>
    </xf>
    <xf numFmtId="0" fontId="27" fillId="7" borderId="0" xfId="0" applyFont="1" applyFill="1" applyAlignment="1">
      <alignment horizontal="left" vertical="center" indent="1"/>
    </xf>
    <xf numFmtId="0" fontId="20" fillId="4" borderId="7" xfId="5" applyFont="1" applyBorder="1" applyAlignment="1">
      <alignment horizontal="left" vertical="center" indent="1"/>
    </xf>
    <xf numFmtId="0" fontId="20" fillId="4" borderId="8" xfId="5" applyFont="1" applyBorder="1" applyAlignment="1">
      <alignment horizontal="left" vertical="center" indent="1"/>
    </xf>
    <xf numFmtId="0" fontId="37" fillId="36" borderId="7" xfId="0" applyFont="1" applyFill="1" applyBorder="1" applyAlignment="1">
      <alignment horizontal="left" vertical="center" indent="1"/>
    </xf>
    <xf numFmtId="0" fontId="37" fillId="36" borderId="9" xfId="0" applyFont="1" applyFill="1" applyBorder="1" applyAlignment="1">
      <alignment horizontal="left" vertical="center" indent="1"/>
    </xf>
    <xf numFmtId="0" fontId="37" fillId="36" borderId="8" xfId="0" applyFont="1" applyFill="1" applyBorder="1" applyAlignment="1">
      <alignment horizontal="left" vertical="center" indent="1"/>
    </xf>
    <xf numFmtId="49" fontId="23" fillId="0" borderId="15" xfId="0" applyNumberFormat="1" applyFont="1" applyBorder="1" applyAlignment="1">
      <alignment horizontal="left" vertical="top" wrapText="1"/>
    </xf>
    <xf numFmtId="49" fontId="23" fillId="0" borderId="16" xfId="0" applyNumberFormat="1" applyFont="1" applyBorder="1" applyAlignment="1">
      <alignment horizontal="left" vertical="top" wrapText="1"/>
    </xf>
    <xf numFmtId="49" fontId="23" fillId="0" borderId="13" xfId="0" applyNumberFormat="1" applyFont="1" applyBorder="1" applyAlignment="1">
      <alignment horizontal="left" vertical="top" wrapText="1"/>
    </xf>
    <xf numFmtId="0" fontId="23" fillId="0" borderId="10" xfId="0" applyFont="1" applyBorder="1" applyAlignment="1">
      <alignment horizontal="left" vertical="top" wrapText="1"/>
    </xf>
    <xf numFmtId="0" fontId="23" fillId="0" borderId="12" xfId="0" applyFont="1" applyBorder="1" applyAlignment="1">
      <alignment horizontal="left" vertical="top" wrapText="1"/>
    </xf>
    <xf numFmtId="0" fontId="23" fillId="0" borderId="11"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15" fillId="5" borderId="9" xfId="0" applyFont="1" applyFill="1" applyBorder="1" applyAlignment="1">
      <alignment horizontal="left" vertical="center" wrapText="1" indent="1"/>
    </xf>
    <xf numFmtId="0" fontId="9" fillId="0" borderId="14" xfId="0" applyFont="1" applyBorder="1" applyAlignment="1">
      <alignment horizontal="left" vertical="center" indent="1"/>
    </xf>
    <xf numFmtId="0" fontId="15" fillId="18" borderId="3" xfId="0" applyFont="1" applyFill="1" applyBorder="1" applyAlignment="1">
      <alignment horizontal="left" vertical="center" wrapText="1" indent="1"/>
    </xf>
    <xf numFmtId="0" fontId="15" fillId="5" borderId="1" xfId="0" applyFont="1" applyFill="1" applyBorder="1" applyAlignment="1">
      <alignment horizontal="left" vertical="center" wrapText="1" indent="1"/>
    </xf>
    <xf numFmtId="0" fontId="10" fillId="24" borderId="7" xfId="0" applyFont="1" applyFill="1" applyBorder="1" applyAlignment="1">
      <alignment horizontal="left" vertical="center" indent="1"/>
    </xf>
    <xf numFmtId="0" fontId="10" fillId="24" borderId="9" xfId="0" applyFont="1" applyFill="1" applyBorder="1" applyAlignment="1">
      <alignment horizontal="left" vertical="center" indent="1"/>
    </xf>
    <xf numFmtId="0" fontId="10" fillId="24" borderId="8" xfId="0" applyFont="1" applyFill="1" applyBorder="1" applyAlignment="1">
      <alignment horizontal="left" vertical="center" indent="1"/>
    </xf>
    <xf numFmtId="0" fontId="14" fillId="27" borderId="0" xfId="0" applyFont="1" applyFill="1" applyAlignment="1">
      <alignment horizontal="left" vertical="center" indent="1"/>
    </xf>
    <xf numFmtId="0" fontId="14" fillId="27" borderId="6" xfId="0" applyFont="1" applyFill="1" applyBorder="1" applyAlignment="1">
      <alignment horizontal="left" vertical="center" indent="1"/>
    </xf>
    <xf numFmtId="0" fontId="10" fillId="44" borderId="0" xfId="0" applyFont="1" applyFill="1" applyAlignment="1">
      <alignment horizontal="left" vertical="center" indent="1"/>
    </xf>
    <xf numFmtId="0" fontId="10" fillId="44" borderId="6" xfId="0" applyFont="1" applyFill="1" applyBorder="1" applyAlignment="1">
      <alignment horizontal="left" vertical="center" indent="1"/>
    </xf>
    <xf numFmtId="0" fontId="10" fillId="24" borderId="7" xfId="0" applyFont="1" applyFill="1" applyBorder="1" applyAlignment="1">
      <alignment horizontal="left" vertical="center" wrapText="1" indent="1"/>
    </xf>
    <xf numFmtId="0" fontId="10" fillId="24" borderId="9" xfId="0" applyFont="1" applyFill="1" applyBorder="1" applyAlignment="1">
      <alignment horizontal="left" vertical="center" wrapText="1" indent="1"/>
    </xf>
    <xf numFmtId="0" fontId="10" fillId="24" borderId="8" xfId="0" applyFont="1" applyFill="1" applyBorder="1" applyAlignment="1">
      <alignment horizontal="left" vertical="center" wrapText="1" indent="1"/>
    </xf>
    <xf numFmtId="0" fontId="8" fillId="17" borderId="37" xfId="0" applyFont="1" applyFill="1" applyBorder="1" applyAlignment="1">
      <alignment horizontal="left" vertical="center" indent="2"/>
    </xf>
    <xf numFmtId="0" fontId="8" fillId="17" borderId="38" xfId="0" applyFont="1" applyFill="1" applyBorder="1" applyAlignment="1">
      <alignment horizontal="left" vertical="center" indent="2"/>
    </xf>
    <xf numFmtId="0" fontId="8" fillId="17" borderId="30" xfId="0" applyFont="1" applyFill="1" applyBorder="1" applyAlignment="1">
      <alignment horizontal="left" vertical="center" indent="2"/>
    </xf>
    <xf numFmtId="0" fontId="21" fillId="24" borderId="7" xfId="0" applyFont="1" applyFill="1" applyBorder="1" applyAlignment="1">
      <alignment horizontal="left" vertical="center" indent="1"/>
    </xf>
    <xf numFmtId="0" fontId="21" fillId="24" borderId="9" xfId="0" applyFont="1" applyFill="1" applyBorder="1" applyAlignment="1">
      <alignment horizontal="left" vertical="center" indent="1"/>
    </xf>
    <xf numFmtId="0" fontId="21" fillId="24" borderId="8" xfId="0" applyFont="1" applyFill="1" applyBorder="1" applyAlignment="1">
      <alignment horizontal="left" vertical="center" indent="1"/>
    </xf>
    <xf numFmtId="0" fontId="10" fillId="24" borderId="7" xfId="5" applyFont="1" applyFill="1" applyBorder="1" applyAlignment="1">
      <alignment horizontal="left" vertical="center" indent="1"/>
    </xf>
    <xf numFmtId="0" fontId="10" fillId="24" borderId="9" xfId="5" applyFont="1" applyFill="1" applyBorder="1" applyAlignment="1">
      <alignment horizontal="left" vertical="center" indent="1"/>
    </xf>
    <xf numFmtId="0" fontId="10" fillId="24" borderId="8" xfId="5" applyFont="1" applyFill="1" applyBorder="1" applyAlignment="1">
      <alignment horizontal="left" vertical="center" indent="1"/>
    </xf>
    <xf numFmtId="0" fontId="19" fillId="23" borderId="7" xfId="0" applyFont="1" applyFill="1" applyBorder="1" applyAlignment="1">
      <alignment horizontal="left" vertical="center" indent="1"/>
    </xf>
    <xf numFmtId="0" fontId="19" fillId="23" borderId="9" xfId="0" applyFont="1" applyFill="1" applyBorder="1" applyAlignment="1">
      <alignment horizontal="left" vertical="center" indent="1"/>
    </xf>
    <xf numFmtId="0" fontId="19" fillId="23" borderId="14" xfId="0" applyFont="1" applyFill="1" applyBorder="1" applyAlignment="1">
      <alignment horizontal="left" vertical="center" indent="1"/>
    </xf>
    <xf numFmtId="0" fontId="55" fillId="53" borderId="7" xfId="5" applyFont="1" applyFill="1" applyBorder="1" applyAlignment="1">
      <alignment horizontal="left" vertical="center" indent="1"/>
    </xf>
    <xf numFmtId="0" fontId="55" fillId="53" borderId="9" xfId="5" applyFont="1" applyFill="1" applyBorder="1" applyAlignment="1">
      <alignment horizontal="left" vertical="center" indent="1"/>
    </xf>
    <xf numFmtId="0" fontId="55" fillId="53" borderId="8" xfId="5" applyFont="1" applyFill="1" applyBorder="1" applyAlignment="1">
      <alignment horizontal="left" vertical="center" indent="1"/>
    </xf>
    <xf numFmtId="0" fontId="10" fillId="23" borderId="7" xfId="0" applyFont="1" applyFill="1" applyBorder="1" applyAlignment="1">
      <alignment horizontal="left" vertical="center" wrapText="1" indent="1"/>
    </xf>
    <xf numFmtId="0" fontId="10" fillId="23" borderId="9" xfId="0" applyFont="1" applyFill="1" applyBorder="1" applyAlignment="1">
      <alignment horizontal="left" vertical="center" wrapText="1" indent="1"/>
    </xf>
    <xf numFmtId="0" fontId="10" fillId="23" borderId="8" xfId="0" applyFont="1" applyFill="1" applyBorder="1" applyAlignment="1">
      <alignment horizontal="left" vertical="center" wrapText="1" indent="1"/>
    </xf>
    <xf numFmtId="0" fontId="10" fillId="24" borderId="3" xfId="5" applyFont="1" applyFill="1" applyBorder="1" applyAlignment="1">
      <alignment horizontal="left" vertical="center" indent="1"/>
    </xf>
    <xf numFmtId="0" fontId="10" fillId="27" borderId="7" xfId="5" applyFont="1" applyFill="1" applyBorder="1" applyAlignment="1">
      <alignment horizontal="left" vertical="center" wrapText="1" indent="1"/>
    </xf>
    <xf numFmtId="0" fontId="10" fillId="27" borderId="9" xfId="5" applyFont="1" applyFill="1" applyBorder="1" applyAlignment="1">
      <alignment horizontal="left" vertical="center" wrapText="1" indent="1"/>
    </xf>
    <xf numFmtId="0" fontId="10" fillId="27" borderId="8" xfId="5" applyFont="1" applyFill="1" applyBorder="1" applyAlignment="1">
      <alignment horizontal="left" vertical="center" wrapText="1" indent="1"/>
    </xf>
    <xf numFmtId="0" fontId="10" fillId="24" borderId="7" xfId="5" applyFont="1" applyFill="1" applyBorder="1" applyAlignment="1">
      <alignment horizontal="left" vertical="center" wrapText="1" indent="1"/>
    </xf>
    <xf numFmtId="0" fontId="10" fillId="24" borderId="9" xfId="5" applyFont="1" applyFill="1" applyBorder="1" applyAlignment="1">
      <alignment horizontal="left" vertical="center" wrapText="1" indent="1"/>
    </xf>
    <xf numFmtId="0" fontId="10" fillId="24" borderId="8" xfId="5" applyFont="1" applyFill="1" applyBorder="1" applyAlignment="1">
      <alignment horizontal="left" vertical="center" wrapText="1" indent="1"/>
    </xf>
    <xf numFmtId="0" fontId="10" fillId="27" borderId="7" xfId="5" applyFont="1" applyFill="1" applyBorder="1" applyAlignment="1" applyProtection="1">
      <alignment horizontal="left" vertical="center" indent="1"/>
      <protection locked="0"/>
    </xf>
    <xf numFmtId="0" fontId="10" fillId="27" borderId="9" xfId="5" applyFont="1" applyFill="1" applyBorder="1" applyAlignment="1" applyProtection="1">
      <alignment horizontal="left" vertical="center" indent="1"/>
      <protection locked="0"/>
    </xf>
    <xf numFmtId="0" fontId="10" fillId="27" borderId="8" xfId="5" applyFont="1" applyFill="1" applyBorder="1" applyAlignment="1" applyProtection="1">
      <alignment horizontal="left" vertical="center" indent="1"/>
      <protection locked="0"/>
    </xf>
    <xf numFmtId="0" fontId="10" fillId="27" borderId="7" xfId="5" applyFont="1" applyFill="1" applyBorder="1" applyAlignment="1">
      <alignment horizontal="left" vertical="center" indent="1"/>
    </xf>
    <xf numFmtId="0" fontId="10" fillId="27" borderId="9" xfId="5" applyFont="1" applyFill="1" applyBorder="1" applyAlignment="1">
      <alignment horizontal="left" vertical="center" indent="1"/>
    </xf>
    <xf numFmtId="0" fontId="10" fillId="27" borderId="8" xfId="5" applyFont="1" applyFill="1" applyBorder="1" applyAlignment="1">
      <alignment horizontal="left" vertical="center" indent="1"/>
    </xf>
    <xf numFmtId="0" fontId="10" fillId="27" borderId="43" xfId="5" applyFont="1" applyFill="1" applyBorder="1" applyAlignment="1" applyProtection="1">
      <alignment horizontal="left" vertical="center" wrapText="1" indent="1"/>
      <protection locked="0"/>
    </xf>
    <xf numFmtId="0" fontId="10" fillId="27" borderId="44" xfId="5" applyFont="1" applyFill="1" applyBorder="1" applyAlignment="1" applyProtection="1">
      <alignment horizontal="left" vertical="center" wrapText="1" indent="1"/>
      <protection locked="0"/>
    </xf>
    <xf numFmtId="0" fontId="10" fillId="27" borderId="42" xfId="5" applyFont="1" applyFill="1" applyBorder="1" applyAlignment="1" applyProtection="1">
      <alignment horizontal="left" vertical="center" wrapText="1" indent="1"/>
      <protection locked="0"/>
    </xf>
    <xf numFmtId="0" fontId="10" fillId="24" borderId="7" xfId="5" applyFont="1" applyFill="1" applyBorder="1" applyAlignment="1" applyProtection="1">
      <alignment horizontal="left" vertical="center" indent="1"/>
      <protection locked="0"/>
    </xf>
    <xf numFmtId="0" fontId="10" fillId="24" borderId="9" xfId="5" applyFont="1" applyFill="1" applyBorder="1" applyAlignment="1" applyProtection="1">
      <alignment horizontal="left" vertical="center" indent="1"/>
      <protection locked="0"/>
    </xf>
    <xf numFmtId="0" fontId="10" fillId="24" borderId="8" xfId="5" applyFont="1" applyFill="1" applyBorder="1" applyAlignment="1" applyProtection="1">
      <alignment horizontal="left" vertical="center" indent="1"/>
      <protection locked="0"/>
    </xf>
    <xf numFmtId="0" fontId="10" fillId="24" borderId="7" xfId="1" applyFont="1" applyFill="1" applyBorder="1" applyAlignment="1">
      <alignment horizontal="left" vertical="center" wrapText="1" indent="1"/>
    </xf>
    <xf numFmtId="0" fontId="10" fillId="24" borderId="9" xfId="1" applyFont="1" applyFill="1" applyBorder="1" applyAlignment="1">
      <alignment horizontal="left" vertical="center" wrapText="1" indent="1"/>
    </xf>
    <xf numFmtId="0" fontId="10" fillId="24" borderId="8" xfId="1" applyFont="1" applyFill="1" applyBorder="1" applyAlignment="1">
      <alignment horizontal="left" vertical="center" wrapText="1" indent="1"/>
    </xf>
    <xf numFmtId="0" fontId="14" fillId="27" borderId="1" xfId="0" applyFont="1" applyFill="1" applyBorder="1" applyAlignment="1">
      <alignment horizontal="left" vertical="center" indent="1"/>
    </xf>
    <xf numFmtId="0" fontId="10" fillId="24" borderId="1" xfId="0" applyFont="1" applyFill="1" applyBorder="1" applyAlignment="1">
      <alignment horizontal="left" vertical="center" indent="1"/>
    </xf>
    <xf numFmtId="0" fontId="10" fillId="27" borderId="1" xfId="5" applyFont="1" applyFill="1" applyBorder="1" applyAlignment="1" applyProtection="1">
      <alignment horizontal="left" vertical="center" wrapText="1" indent="1"/>
      <protection locked="0"/>
    </xf>
    <xf numFmtId="0" fontId="10" fillId="27" borderId="1" xfId="5" applyFont="1" applyFill="1" applyBorder="1" applyAlignment="1" applyProtection="1">
      <alignment horizontal="left" vertical="center" indent="1"/>
      <protection locked="0"/>
    </xf>
    <xf numFmtId="0" fontId="10" fillId="27" borderId="7" xfId="5" applyFont="1" applyFill="1" applyBorder="1" applyAlignment="1" applyProtection="1">
      <alignment horizontal="left" vertical="center" wrapText="1" indent="1"/>
      <protection locked="0"/>
    </xf>
    <xf numFmtId="0" fontId="10" fillId="27" borderId="9" xfId="5" applyFont="1" applyFill="1" applyBorder="1" applyAlignment="1" applyProtection="1">
      <alignment horizontal="left" vertical="center" wrapText="1" indent="1"/>
      <protection locked="0"/>
    </xf>
    <xf numFmtId="0" fontId="10" fillId="27" borderId="8" xfId="5" applyFont="1" applyFill="1" applyBorder="1" applyAlignment="1" applyProtection="1">
      <alignment horizontal="left" vertical="center" wrapText="1" indent="1"/>
      <protection locked="0"/>
    </xf>
    <xf numFmtId="0" fontId="10" fillId="24" borderId="2" xfId="5" applyFont="1" applyFill="1" applyBorder="1" applyAlignment="1">
      <alignment horizontal="left" vertical="center" indent="1"/>
    </xf>
    <xf numFmtId="0" fontId="10" fillId="24" borderId="4" xfId="5" applyFont="1" applyFill="1" applyBorder="1" applyAlignment="1">
      <alignment horizontal="left" vertical="center" indent="1"/>
    </xf>
    <xf numFmtId="0" fontId="49" fillId="53" borderId="7" xfId="5" applyFont="1" applyFill="1" applyBorder="1" applyAlignment="1">
      <alignment horizontal="left" vertical="center" indent="1"/>
    </xf>
    <xf numFmtId="0" fontId="49" fillId="53" borderId="9" xfId="5" applyFont="1" applyFill="1" applyBorder="1" applyAlignment="1">
      <alignment horizontal="left" vertical="center" indent="1"/>
    </xf>
    <xf numFmtId="0" fontId="49" fillId="53" borderId="8" xfId="5" applyFont="1" applyFill="1" applyBorder="1" applyAlignment="1">
      <alignment horizontal="left" vertical="center" indent="1"/>
    </xf>
    <xf numFmtId="0" fontId="10" fillId="27" borderId="47" xfId="5" applyFont="1" applyFill="1" applyBorder="1" applyAlignment="1">
      <alignment horizontal="left" vertical="center" wrapText="1" indent="1"/>
    </xf>
    <xf numFmtId="0" fontId="10" fillId="27" borderId="48" xfId="5" applyFont="1" applyFill="1" applyBorder="1" applyAlignment="1">
      <alignment horizontal="left" vertical="center" wrapText="1" indent="1"/>
    </xf>
    <xf numFmtId="0" fontId="10" fillId="27" borderId="49" xfId="5" applyFont="1" applyFill="1" applyBorder="1" applyAlignment="1">
      <alignment horizontal="left" vertical="center" wrapText="1" indent="1"/>
    </xf>
    <xf numFmtId="0" fontId="10" fillId="27" borderId="43" xfId="5" applyFont="1" applyFill="1" applyBorder="1" applyAlignment="1">
      <alignment horizontal="left" vertical="center" wrapText="1" indent="1"/>
    </xf>
    <xf numFmtId="0" fontId="10" fillId="27" borderId="44" xfId="5" applyFont="1" applyFill="1" applyBorder="1" applyAlignment="1">
      <alignment horizontal="left" vertical="center" wrapText="1" indent="1"/>
    </xf>
    <xf numFmtId="0" fontId="10" fillId="27" borderId="42" xfId="5" applyFont="1" applyFill="1" applyBorder="1" applyAlignment="1">
      <alignment horizontal="left" vertical="center" wrapText="1" indent="1"/>
    </xf>
    <xf numFmtId="0" fontId="10" fillId="24" borderId="51" xfId="5" applyFont="1" applyFill="1" applyBorder="1" applyAlignment="1">
      <alignment horizontal="left" vertical="center" indent="1"/>
    </xf>
    <xf numFmtId="0" fontId="10" fillId="24" borderId="52" xfId="5" applyFont="1" applyFill="1" applyBorder="1" applyAlignment="1">
      <alignment horizontal="left" vertical="center" indent="1"/>
    </xf>
    <xf numFmtId="0" fontId="10" fillId="24" borderId="53" xfId="5" applyFont="1" applyFill="1" applyBorder="1" applyAlignment="1">
      <alignment horizontal="left" vertical="center" indent="1"/>
    </xf>
    <xf numFmtId="0" fontId="10" fillId="24" borderId="1" xfId="5" applyFont="1" applyFill="1" applyBorder="1" applyAlignment="1">
      <alignment horizontal="left" vertical="center" indent="1"/>
    </xf>
    <xf numFmtId="0" fontId="14" fillId="27" borderId="7" xfId="0" applyFont="1" applyFill="1" applyBorder="1" applyAlignment="1">
      <alignment horizontal="left" vertical="center" indent="1"/>
    </xf>
    <xf numFmtId="0" fontId="14" fillId="27" borderId="9" xfId="0" applyFont="1" applyFill="1" applyBorder="1" applyAlignment="1">
      <alignment horizontal="left" vertical="center" indent="1"/>
    </xf>
    <xf numFmtId="0" fontId="14" fillId="27" borderId="8" xfId="0" applyFont="1" applyFill="1" applyBorder="1" applyAlignment="1">
      <alignment horizontal="left" vertical="center" indent="1"/>
    </xf>
    <xf numFmtId="0" fontId="10" fillId="8" borderId="7" xfId="0" applyFont="1" applyFill="1" applyBorder="1" applyAlignment="1">
      <alignment horizontal="left" vertical="center" indent="1"/>
    </xf>
    <xf numFmtId="0" fontId="10" fillId="8" borderId="9" xfId="0" applyFont="1" applyFill="1" applyBorder="1" applyAlignment="1">
      <alignment horizontal="left" vertical="center" indent="1"/>
    </xf>
    <xf numFmtId="0" fontId="10" fillId="8" borderId="8" xfId="0" applyFont="1" applyFill="1" applyBorder="1" applyAlignment="1">
      <alignment horizontal="left" vertical="center" indent="1"/>
    </xf>
    <xf numFmtId="0" fontId="10" fillId="27" borderId="1" xfId="5" applyFont="1" applyFill="1" applyBorder="1" applyAlignment="1">
      <alignment horizontal="left" vertical="center" wrapText="1" indent="1"/>
    </xf>
    <xf numFmtId="0" fontId="10" fillId="27" borderId="1" xfId="5" applyFont="1" applyFill="1" applyBorder="1" applyAlignment="1">
      <alignment horizontal="left" vertical="center" indent="1"/>
    </xf>
    <xf numFmtId="0" fontId="20" fillId="27" borderId="7" xfId="5" applyFont="1" applyFill="1" applyBorder="1" applyAlignment="1">
      <alignment horizontal="left" vertical="center" wrapText="1" indent="1"/>
    </xf>
    <xf numFmtId="0" fontId="20" fillId="27" borderId="9" xfId="5" applyFont="1" applyFill="1" applyBorder="1" applyAlignment="1">
      <alignment horizontal="left" vertical="center" wrapText="1" indent="1"/>
    </xf>
    <xf numFmtId="0" fontId="20" fillId="27" borderId="8" xfId="5" applyFont="1" applyFill="1" applyBorder="1" applyAlignment="1">
      <alignment horizontal="left" vertical="center" wrapText="1" indent="1"/>
    </xf>
    <xf numFmtId="0" fontId="10" fillId="24" borderId="1" xfId="5" applyFont="1" applyFill="1" applyBorder="1" applyAlignment="1">
      <alignment horizontal="left" vertical="center" wrapText="1" indent="1"/>
    </xf>
    <xf numFmtId="0" fontId="19" fillId="23" borderId="7" xfId="0" applyFont="1" applyFill="1" applyBorder="1" applyAlignment="1">
      <alignment horizontal="left" vertical="center" wrapText="1" indent="1"/>
    </xf>
    <xf numFmtId="0" fontId="19" fillId="23" borderId="9" xfId="0" applyFont="1" applyFill="1" applyBorder="1" applyAlignment="1">
      <alignment horizontal="left" vertical="center" wrapText="1" indent="1"/>
    </xf>
    <xf numFmtId="0" fontId="19" fillId="23" borderId="14" xfId="0" applyFont="1" applyFill="1" applyBorder="1" applyAlignment="1">
      <alignment horizontal="left" vertical="center" wrapText="1" indent="1"/>
    </xf>
    <xf numFmtId="0" fontId="15" fillId="0" borderId="9" xfId="0" applyFont="1" applyBorder="1" applyAlignment="1">
      <alignment horizontal="left" vertical="center" indent="1"/>
    </xf>
    <xf numFmtId="0" fontId="19" fillId="36" borderId="7" xfId="0" applyFont="1" applyFill="1" applyBorder="1" applyAlignment="1">
      <alignment horizontal="left" vertical="center" indent="1"/>
    </xf>
    <xf numFmtId="0" fontId="19" fillId="36" borderId="9" xfId="0" applyFont="1" applyFill="1" applyBorder="1" applyAlignment="1">
      <alignment horizontal="left" vertical="center" indent="1"/>
    </xf>
    <xf numFmtId="0" fontId="19" fillId="36" borderId="14" xfId="0" applyFont="1" applyFill="1" applyBorder="1" applyAlignment="1">
      <alignment horizontal="left" vertical="center" indent="1"/>
    </xf>
    <xf numFmtId="0" fontId="19" fillId="36" borderId="43" xfId="0" applyFont="1" applyFill="1" applyBorder="1" applyAlignment="1">
      <alignment horizontal="left" vertical="center" wrapText="1" indent="1"/>
    </xf>
    <xf numFmtId="0" fontId="19" fillId="36" borderId="44" xfId="0" applyFont="1" applyFill="1" applyBorder="1" applyAlignment="1">
      <alignment horizontal="left" vertical="center" wrapText="1" indent="1"/>
    </xf>
    <xf numFmtId="0" fontId="19" fillId="36" borderId="50" xfId="0" applyFont="1" applyFill="1" applyBorder="1" applyAlignment="1">
      <alignment horizontal="left" vertical="center" wrapText="1" indent="1"/>
    </xf>
    <xf numFmtId="0" fontId="10" fillId="27" borderId="7" xfId="6" applyFont="1" applyFill="1" applyBorder="1" applyAlignment="1">
      <alignment horizontal="left" vertical="center" indent="1"/>
    </xf>
    <xf numFmtId="0" fontId="10" fillId="27" borderId="9" xfId="6" applyFont="1" applyFill="1" applyBorder="1" applyAlignment="1">
      <alignment horizontal="left" vertical="center" indent="1"/>
    </xf>
    <xf numFmtId="0" fontId="14" fillId="31" borderId="0" xfId="0" applyFont="1" applyFill="1" applyAlignment="1">
      <alignment horizontal="left" vertical="center" indent="1"/>
    </xf>
    <xf numFmtId="0" fontId="10" fillId="31" borderId="7" xfId="6" applyFont="1" applyFill="1" applyBorder="1" applyAlignment="1">
      <alignment horizontal="left" vertical="center" indent="1"/>
    </xf>
    <xf numFmtId="0" fontId="10" fillId="31" borderId="9" xfId="6" applyFont="1" applyFill="1" applyBorder="1" applyAlignment="1">
      <alignment horizontal="left" vertical="center" indent="1"/>
    </xf>
    <xf numFmtId="0" fontId="10" fillId="31" borderId="8" xfId="6" applyFont="1" applyFill="1" applyBorder="1" applyAlignment="1">
      <alignment horizontal="left" vertical="center" indent="1"/>
    </xf>
    <xf numFmtId="0" fontId="20" fillId="31" borderId="7" xfId="6" applyFont="1" applyFill="1" applyBorder="1" applyAlignment="1">
      <alignment horizontal="left" vertical="center" indent="1"/>
    </xf>
    <xf numFmtId="0" fontId="20" fillId="31" borderId="8" xfId="6" applyFont="1" applyFill="1" applyBorder="1" applyAlignment="1">
      <alignment horizontal="left" vertical="center" indent="1"/>
    </xf>
    <xf numFmtId="0" fontId="20" fillId="31" borderId="7" xfId="5" applyFont="1" applyFill="1" applyBorder="1" applyAlignment="1">
      <alignment horizontal="left" vertical="center" indent="1"/>
    </xf>
    <xf numFmtId="0" fontId="20" fillId="31" borderId="8" xfId="5" applyFont="1" applyFill="1" applyBorder="1" applyAlignment="1">
      <alignment horizontal="left" vertical="center" indent="1"/>
    </xf>
    <xf numFmtId="0" fontId="20" fillId="31" borderId="9" xfId="5" applyFont="1" applyFill="1" applyBorder="1" applyAlignment="1">
      <alignment horizontal="left" vertical="center" indent="1"/>
    </xf>
    <xf numFmtId="0" fontId="20" fillId="31" borderId="1" xfId="5" applyFont="1" applyFill="1" applyBorder="1" applyAlignment="1">
      <alignment horizontal="left" vertical="center" indent="1"/>
    </xf>
    <xf numFmtId="0" fontId="27" fillId="7" borderId="9" xfId="0" applyFont="1" applyFill="1" applyBorder="1" applyAlignment="1">
      <alignment horizontal="left" vertical="center" indent="1"/>
    </xf>
    <xf numFmtId="0" fontId="27" fillId="7" borderId="8" xfId="0" applyFont="1" applyFill="1" applyBorder="1" applyAlignment="1">
      <alignment horizontal="left" vertical="center" indent="1"/>
    </xf>
    <xf numFmtId="0" fontId="10" fillId="8" borderId="13" xfId="0" applyFont="1" applyFill="1" applyBorder="1" applyAlignment="1">
      <alignment horizontal="left" vertical="center" indent="1"/>
    </xf>
    <xf numFmtId="0" fontId="10" fillId="8" borderId="1" xfId="0" applyFont="1" applyFill="1" applyBorder="1" applyAlignment="1">
      <alignment horizontal="left" vertical="center" indent="1"/>
    </xf>
    <xf numFmtId="0" fontId="27" fillId="12" borderId="7" xfId="0" applyFont="1" applyFill="1" applyBorder="1" applyAlignment="1">
      <alignment horizontal="left" vertical="center" indent="1"/>
    </xf>
    <xf numFmtId="0" fontId="27" fillId="12" borderId="9" xfId="0" applyFont="1" applyFill="1" applyBorder="1" applyAlignment="1">
      <alignment horizontal="left" vertical="center" indent="1"/>
    </xf>
    <xf numFmtId="0" fontId="10" fillId="9" borderId="7" xfId="5" applyFont="1" applyFill="1" applyBorder="1" applyAlignment="1">
      <alignment horizontal="left" vertical="center" indent="1"/>
    </xf>
    <xf numFmtId="0" fontId="10" fillId="9" borderId="9" xfId="5" applyFont="1" applyFill="1" applyBorder="1" applyAlignment="1">
      <alignment horizontal="left" vertical="center" indent="1"/>
    </xf>
    <xf numFmtId="0" fontId="10" fillId="9" borderId="8" xfId="5" applyFont="1" applyFill="1" applyBorder="1" applyAlignment="1">
      <alignment horizontal="left" vertical="center" indent="1"/>
    </xf>
    <xf numFmtId="0" fontId="10" fillId="13" borderId="7" xfId="5" applyFont="1" applyFill="1" applyBorder="1" applyAlignment="1">
      <alignment horizontal="left" vertical="center" indent="1"/>
    </xf>
    <xf numFmtId="0" fontId="10" fillId="13" borderId="9" xfId="5" applyFont="1" applyFill="1" applyBorder="1" applyAlignment="1">
      <alignment horizontal="left" vertical="center" indent="1"/>
    </xf>
    <xf numFmtId="0" fontId="10" fillId="13" borderId="8" xfId="5" applyFont="1" applyFill="1" applyBorder="1" applyAlignment="1">
      <alignment horizontal="left" vertical="center" indent="1"/>
    </xf>
    <xf numFmtId="0" fontId="20" fillId="4" borderId="9" xfId="5" applyFont="1" applyBorder="1" applyAlignment="1">
      <alignment horizontal="left" vertical="center" indent="1"/>
    </xf>
    <xf numFmtId="0" fontId="8" fillId="17" borderId="9" xfId="0" applyFont="1" applyFill="1" applyBorder="1" applyAlignment="1">
      <alignment horizontal="left" vertical="center" wrapText="1" indent="1"/>
    </xf>
    <xf numFmtId="0" fontId="10" fillId="13" borderId="7" xfId="1" applyFont="1" applyFill="1" applyBorder="1" applyAlignment="1">
      <alignment horizontal="left" vertical="center" wrapText="1" indent="1"/>
    </xf>
    <xf numFmtId="0" fontId="10" fillId="13" borderId="9" xfId="1" applyFont="1" applyFill="1" applyBorder="1" applyAlignment="1">
      <alignment horizontal="left" vertical="center" wrapText="1" indent="1"/>
    </xf>
    <xf numFmtId="0" fontId="10" fillId="13" borderId="8" xfId="1" applyFont="1" applyFill="1" applyBorder="1" applyAlignment="1">
      <alignment horizontal="left" vertical="center" wrapText="1" indent="1"/>
    </xf>
    <xf numFmtId="0" fontId="19" fillId="50" borderId="7" xfId="0" applyFont="1" applyFill="1" applyBorder="1" applyAlignment="1">
      <alignment horizontal="left" vertical="center" wrapText="1" indent="1"/>
    </xf>
    <xf numFmtId="0" fontId="19" fillId="50" borderId="9" xfId="0" applyFont="1" applyFill="1" applyBorder="1" applyAlignment="1">
      <alignment horizontal="left" vertical="center" wrapText="1" indent="1"/>
    </xf>
    <xf numFmtId="0" fontId="19" fillId="50" borderId="14" xfId="0" applyFont="1" applyFill="1" applyBorder="1" applyAlignment="1">
      <alignment horizontal="left" vertical="center" wrapText="1" indent="1"/>
    </xf>
    <xf numFmtId="0" fontId="42" fillId="27" borderId="7" xfId="0" applyFont="1" applyFill="1" applyBorder="1" applyAlignment="1">
      <alignment horizontal="left" vertical="center" indent="1"/>
    </xf>
    <xf numFmtId="0" fontId="42" fillId="27" borderId="9" xfId="0" applyFont="1" applyFill="1" applyBorder="1" applyAlignment="1">
      <alignment horizontal="left" vertical="center" indent="1"/>
    </xf>
    <xf numFmtId="0" fontId="42" fillId="27" borderId="8" xfId="0" applyFont="1" applyFill="1" applyBorder="1" applyAlignment="1">
      <alignment horizontal="left" vertical="center" indent="1"/>
    </xf>
    <xf numFmtId="0" fontId="10" fillId="43" borderId="7" xfId="0" applyFont="1" applyFill="1" applyBorder="1" applyAlignment="1">
      <alignment horizontal="left" vertical="center" indent="1"/>
    </xf>
    <xf numFmtId="0" fontId="10" fillId="43" borderId="9" xfId="0" applyFont="1" applyFill="1" applyBorder="1" applyAlignment="1">
      <alignment horizontal="left" vertical="center" indent="1"/>
    </xf>
    <xf numFmtId="0" fontId="10" fillId="43" borderId="8" xfId="0" applyFont="1" applyFill="1" applyBorder="1" applyAlignment="1">
      <alignment horizontal="left" vertical="center" indent="1"/>
    </xf>
    <xf numFmtId="0" fontId="19" fillId="36" borderId="8" xfId="0" applyFont="1" applyFill="1" applyBorder="1" applyAlignment="1">
      <alignment horizontal="left" vertical="center" indent="1"/>
    </xf>
    <xf numFmtId="0" fontId="8" fillId="0" borderId="7" xfId="0" applyFont="1" applyBorder="1" applyAlignment="1">
      <alignment horizontal="left" indent="1"/>
    </xf>
    <xf numFmtId="0" fontId="8" fillId="0" borderId="8" xfId="0" applyFont="1" applyBorder="1" applyAlignment="1">
      <alignment horizontal="left" indent="1"/>
    </xf>
    <xf numFmtId="0" fontId="8" fillId="29" borderId="7" xfId="0" applyFont="1" applyFill="1" applyBorder="1" applyAlignment="1">
      <alignment horizontal="left" vertical="center" indent="1"/>
    </xf>
    <xf numFmtId="0" fontId="8" fillId="29" borderId="9" xfId="0" applyFont="1" applyFill="1" applyBorder="1" applyAlignment="1">
      <alignment horizontal="left" vertical="center" indent="1"/>
    </xf>
    <xf numFmtId="0" fontId="8" fillId="29" borderId="8" xfId="0" applyFont="1" applyFill="1" applyBorder="1" applyAlignment="1">
      <alignment horizontal="left" vertical="center" indent="1"/>
    </xf>
    <xf numFmtId="0" fontId="8" fillId="29" borderId="1" xfId="0" applyFont="1" applyFill="1" applyBorder="1" applyAlignment="1">
      <alignment horizontal="left" vertical="center" indent="1"/>
    </xf>
    <xf numFmtId="0" fontId="8" fillId="38" borderId="7" xfId="0" applyFont="1" applyFill="1" applyBorder="1" applyAlignment="1">
      <alignment horizontal="left" vertical="center" indent="1"/>
    </xf>
    <xf numFmtId="0" fontId="8" fillId="38" borderId="9" xfId="0" applyFont="1" applyFill="1" applyBorder="1" applyAlignment="1">
      <alignment horizontal="left" vertical="center" indent="1"/>
    </xf>
    <xf numFmtId="0" fontId="8" fillId="38" borderId="8" xfId="0" applyFont="1" applyFill="1" applyBorder="1" applyAlignment="1">
      <alignment horizontal="left" vertical="center" indent="1"/>
    </xf>
    <xf numFmtId="0" fontId="11" fillId="26" borderId="10" xfId="1" applyFont="1" applyFill="1" applyBorder="1" applyAlignment="1">
      <alignment horizontal="left" vertical="center" wrapText="1" indent="1"/>
    </xf>
    <xf numFmtId="0" fontId="11" fillId="26" borderId="12" xfId="1" applyFont="1" applyFill="1" applyBorder="1" applyAlignment="1">
      <alignment horizontal="left" vertical="center" wrapText="1" indent="1"/>
    </xf>
    <xf numFmtId="0" fontId="8" fillId="29" borderId="7" xfId="0" applyFont="1" applyFill="1" applyBorder="1" applyAlignment="1">
      <alignment horizontal="left" vertical="center" wrapText="1" indent="1"/>
    </xf>
    <xf numFmtId="0" fontId="8" fillId="29" borderId="9" xfId="0" applyFont="1" applyFill="1" applyBorder="1" applyAlignment="1">
      <alignment horizontal="left" vertical="center" wrapText="1" indent="1"/>
    </xf>
    <xf numFmtId="0" fontId="8" fillId="29" borderId="8" xfId="0" applyFont="1" applyFill="1" applyBorder="1" applyAlignment="1">
      <alignment horizontal="left" vertical="center" wrapText="1" indent="1"/>
    </xf>
    <xf numFmtId="0" fontId="9" fillId="34" borderId="7" xfId="0" applyFont="1" applyFill="1" applyBorder="1" applyAlignment="1">
      <alignment horizontal="left" vertical="center" indent="1"/>
    </xf>
    <xf numFmtId="0" fontId="9" fillId="34" borderId="9" xfId="0" applyFont="1" applyFill="1" applyBorder="1" applyAlignment="1">
      <alignment horizontal="left" vertical="center" indent="1"/>
    </xf>
    <xf numFmtId="0" fontId="9" fillId="34" borderId="8" xfId="0" applyFont="1" applyFill="1" applyBorder="1" applyAlignment="1">
      <alignment horizontal="left" vertical="center" indent="1"/>
    </xf>
    <xf numFmtId="0" fontId="8" fillId="29" borderId="10" xfId="0" applyFont="1" applyFill="1" applyBorder="1" applyAlignment="1">
      <alignment horizontal="left" vertical="center" indent="1"/>
    </xf>
    <xf numFmtId="0" fontId="8" fillId="29" borderId="12" xfId="0" applyFont="1" applyFill="1" applyBorder="1" applyAlignment="1">
      <alignment horizontal="left" vertical="center" indent="1"/>
    </xf>
    <xf numFmtId="0" fontId="8" fillId="29" borderId="11" xfId="0" applyFont="1" applyFill="1" applyBorder="1" applyAlignment="1">
      <alignment horizontal="left" vertical="center" indent="1"/>
    </xf>
    <xf numFmtId="0" fontId="8" fillId="29" borderId="58" xfId="0" applyFont="1" applyFill="1" applyBorder="1" applyAlignment="1">
      <alignment horizontal="left" vertical="center" indent="1"/>
    </xf>
    <xf numFmtId="0" fontId="8" fillId="29" borderId="3" xfId="0" applyFont="1" applyFill="1" applyBorder="1" applyAlignment="1">
      <alignment horizontal="left" vertical="center" indent="1"/>
    </xf>
    <xf numFmtId="0" fontId="8" fillId="29" borderId="4" xfId="0" applyFont="1" applyFill="1" applyBorder="1" applyAlignment="1">
      <alignment horizontal="left" vertical="center" indent="1"/>
    </xf>
    <xf numFmtId="0" fontId="19" fillId="23" borderId="8" xfId="0" applyFont="1" applyFill="1" applyBorder="1" applyAlignment="1">
      <alignment horizontal="left" vertical="center" indent="1"/>
    </xf>
    <xf numFmtId="0" fontId="10" fillId="24" borderId="3" xfId="0" applyFont="1" applyFill="1" applyBorder="1" applyAlignment="1">
      <alignment horizontal="left" vertical="center" indent="1"/>
    </xf>
    <xf numFmtId="0" fontId="10" fillId="24" borderId="13" xfId="0" applyFont="1" applyFill="1" applyBorder="1" applyAlignment="1">
      <alignment horizontal="left" vertical="center" indent="1"/>
    </xf>
    <xf numFmtId="0" fontId="37" fillId="36" borderId="2" xfId="0" applyFont="1" applyFill="1" applyBorder="1" applyAlignment="1" applyProtection="1">
      <alignment horizontal="left" vertical="center" indent="1"/>
      <protection locked="0"/>
    </xf>
    <xf numFmtId="0" fontId="37" fillId="36" borderId="3" xfId="0" applyFont="1" applyFill="1" applyBorder="1" applyAlignment="1" applyProtection="1">
      <alignment horizontal="left" vertical="center" indent="1"/>
      <protection locked="0"/>
    </xf>
    <xf numFmtId="0" fontId="47" fillId="36" borderId="7" xfId="0" applyFont="1" applyFill="1" applyBorder="1" applyAlignment="1">
      <alignment horizontal="left" vertical="center" indent="1"/>
    </xf>
    <xf numFmtId="0" fontId="47" fillId="36" borderId="9" xfId="0" applyFont="1" applyFill="1" applyBorder="1" applyAlignment="1">
      <alignment horizontal="left" vertical="center" indent="1"/>
    </xf>
    <xf numFmtId="0" fontId="47" fillId="36" borderId="8" xfId="0" applyFont="1" applyFill="1" applyBorder="1" applyAlignment="1">
      <alignment horizontal="left" vertical="center" indent="1"/>
    </xf>
    <xf numFmtId="0" fontId="8" fillId="17" borderId="7" xfId="0" applyFont="1" applyFill="1" applyBorder="1" applyAlignment="1">
      <alignment horizontal="left" vertical="center" indent="1"/>
    </xf>
    <xf numFmtId="0" fontId="8" fillId="17" borderId="9" xfId="0" applyFont="1" applyFill="1" applyBorder="1" applyAlignment="1">
      <alignment horizontal="left" vertical="center" indent="1"/>
    </xf>
    <xf numFmtId="0" fontId="8" fillId="17" borderId="8" xfId="0" applyFont="1" applyFill="1" applyBorder="1" applyAlignment="1">
      <alignment horizontal="left" vertical="center" indent="1"/>
    </xf>
    <xf numFmtId="0" fontId="9" fillId="19" borderId="14" xfId="0" applyFont="1" applyFill="1" applyBorder="1" applyAlignment="1">
      <alignment horizontal="left" vertical="center" indent="1"/>
    </xf>
    <xf numFmtId="0" fontId="9" fillId="19" borderId="7" xfId="0" quotePrefix="1" applyFont="1" applyFill="1" applyBorder="1" applyAlignment="1">
      <alignment horizontal="left" vertical="center" indent="1"/>
    </xf>
    <xf numFmtId="0" fontId="9" fillId="19" borderId="7" xfId="0" quotePrefix="1" applyFont="1" applyFill="1" applyBorder="1" applyAlignment="1">
      <alignment horizontal="left" vertical="center" wrapText="1" indent="1"/>
    </xf>
  </cellXfs>
  <cellStyles count="15">
    <cellStyle name="60% - Accent5" xfId="1" builtinId="48"/>
    <cellStyle name="60% - Accent5 2" xfId="2" xr:uid="{00000000-0005-0000-0000-000001000000}"/>
    <cellStyle name="60% - Accent6" xfId="3" builtinId="52"/>
    <cellStyle name="60% - Accent6 2" xfId="4" xr:uid="{00000000-0005-0000-0000-000003000000}"/>
    <cellStyle name="Accent1" xfId="5" builtinId="29"/>
    <cellStyle name="Accent1 2" xfId="6" xr:uid="{00000000-0005-0000-0000-000005000000}"/>
    <cellStyle name="Good" xfId="7" builtinId="26"/>
    <cellStyle name="Good 2" xfId="8" xr:uid="{00000000-0005-0000-0000-000007000000}"/>
    <cellStyle name="Hyperlink" xfId="9" builtinId="8"/>
    <cellStyle name="Hyperlink 2" xfId="10" xr:uid="{00000000-0005-0000-0000-000009000000}"/>
    <cellStyle name="Normal" xfId="0" builtinId="0"/>
    <cellStyle name="Normal 2" xfId="11" xr:uid="{00000000-0005-0000-0000-00000B000000}"/>
    <cellStyle name="Normal 3" xfId="12" xr:uid="{00000000-0005-0000-0000-00000C000000}"/>
    <cellStyle name="Normal 3 2" xfId="13" xr:uid="{00000000-0005-0000-0000-00000D000000}"/>
    <cellStyle name="Style 5" xfId="14" xr:uid="{00000000-0005-0000-0000-00000E000000}"/>
  </cellStyles>
  <dxfs count="2319">
    <dxf>
      <font>
        <color rgb="FF4F5F69"/>
      </font>
      <fill>
        <patternFill>
          <bgColor rgb="FF4F5F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F9CBAD"/>
        </patternFill>
      </fill>
    </dxf>
    <dxf>
      <font>
        <color rgb="FF4F5F69"/>
      </font>
      <fill>
        <patternFill>
          <bgColor rgb="FF5060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5060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rgb="FF4F5F69"/>
      </font>
      <fill>
        <patternFill>
          <bgColor rgb="FF4F5F69"/>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theme="1"/>
      </font>
      <fill>
        <patternFill>
          <bgColor rgb="FFFFC000"/>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theme="1"/>
      </font>
      <fill>
        <patternFill>
          <bgColor rgb="FFEFFE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4F5F69"/>
      </font>
      <fill>
        <patternFill>
          <bgColor rgb="FF4F5F69"/>
        </patternFill>
      </fill>
    </dxf>
    <dxf>
      <font>
        <color theme="1"/>
      </font>
      <fill>
        <patternFill>
          <bgColor rgb="FFEFFE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rgb="FF50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0"/>
      </font>
      <fill>
        <patternFill>
          <bgColor rgb="FFCC092F"/>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4F5F69"/>
        </patternFill>
      </fill>
    </dxf>
    <dxf>
      <font>
        <color theme="1"/>
      </font>
      <fill>
        <patternFill>
          <bgColor rgb="FFFFBE29"/>
        </patternFill>
      </fill>
    </dxf>
    <dxf>
      <font>
        <color theme="1"/>
      </font>
      <fill>
        <patternFill>
          <bgColor rgb="FFEFFDE3"/>
        </patternFill>
      </fill>
    </dxf>
    <dxf>
      <font>
        <color theme="0"/>
      </font>
      <fill>
        <patternFill>
          <bgColor rgb="FF4F5F69"/>
        </patternFill>
      </fill>
    </dxf>
    <dxf>
      <font>
        <color theme="1"/>
      </font>
      <fill>
        <patternFill>
          <bgColor rgb="FFFFBE2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505F69"/>
      </font>
      <fill>
        <patternFill>
          <bgColor rgb="FF505F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rgb="FF506069"/>
      </font>
      <fill>
        <patternFill>
          <bgColor rgb="FF506069"/>
        </patternFill>
      </fill>
    </dxf>
    <dxf>
      <font>
        <color rgb="FF4F5F69"/>
      </font>
      <fill>
        <patternFill>
          <bgColor rgb="FF4F5F69"/>
        </patternFill>
      </fill>
    </dxf>
    <dxf>
      <font>
        <color rgb="FF505E69"/>
      </font>
      <fill>
        <patternFill>
          <bgColor rgb="FF505E6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ill>
        <patternFill>
          <bgColor theme="5" tint="0.59996337778862885"/>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ont>
        <color theme="0"/>
      </font>
      <fill>
        <patternFill>
          <bgColor rgb="FF506069"/>
        </patternFill>
      </fill>
    </dxf>
    <dxf>
      <font>
        <color theme="0"/>
      </font>
      <fill>
        <patternFill>
          <bgColor rgb="FFCC092F"/>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ont>
        <color theme="1"/>
      </font>
      <fill>
        <patternFill>
          <bgColor rgb="FFFFBE29"/>
        </patternFill>
      </fill>
    </dxf>
    <dxf>
      <font>
        <color theme="1"/>
      </font>
      <fill>
        <patternFill>
          <bgColor rgb="FFEFFDE3"/>
        </patternFill>
      </fill>
    </dxf>
    <dxf>
      <font>
        <color theme="0"/>
      </font>
      <fill>
        <patternFill>
          <bgColor rgb="FF506069"/>
        </patternFill>
      </fill>
    </dxf>
    <dxf>
      <fill>
        <patternFill>
          <bgColor rgb="FFEFFDE3"/>
        </patternFill>
      </fill>
    </dxf>
    <dxf>
      <font>
        <color theme="1"/>
      </font>
      <fill>
        <patternFill>
          <bgColor rgb="FFEFFDE3"/>
        </patternFill>
      </fill>
    </dxf>
    <dxf>
      <font>
        <color theme="0"/>
      </font>
      <fill>
        <patternFill>
          <bgColor rgb="FF4F5F69"/>
        </patternFill>
      </fill>
    </dxf>
    <dxf>
      <font>
        <color theme="0"/>
      </font>
      <fill>
        <patternFill>
          <bgColor rgb="FF505F69"/>
        </patternFill>
      </fill>
    </dxf>
    <dxf>
      <font>
        <color theme="0"/>
      </font>
      <fill>
        <patternFill>
          <bgColor rgb="FF505F69"/>
        </patternFill>
      </fill>
    </dxf>
    <dxf>
      <font>
        <color theme="0"/>
      </font>
      <fill>
        <patternFill>
          <bgColor rgb="FFCC092F"/>
        </patternFill>
      </fill>
    </dxf>
    <dxf>
      <font>
        <color theme="0"/>
      </font>
      <fill>
        <patternFill>
          <bgColor rgb="FFCC082E"/>
        </patternFill>
      </fill>
    </dxf>
    <dxf>
      <font>
        <color rgb="FFF2F8F9"/>
      </font>
      <fill>
        <patternFill>
          <bgColor rgb="FF505F69"/>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theme="0"/>
      </font>
      <fill>
        <patternFill>
          <bgColor rgb="FF505F69"/>
        </patternFill>
      </fill>
    </dxf>
    <dxf>
      <font>
        <color theme="1"/>
      </font>
      <fill>
        <patternFill>
          <bgColor rgb="FFF9CBAD"/>
        </patternFill>
      </fill>
    </dxf>
    <dxf>
      <font>
        <color theme="0"/>
      </font>
      <fill>
        <patternFill>
          <bgColor rgb="FFCC082E"/>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9CBAD"/>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5F69"/>
      </font>
      <fill>
        <patternFill>
          <bgColor rgb="FF505F69"/>
        </patternFill>
      </fill>
    </dxf>
    <dxf>
      <font>
        <color theme="0"/>
      </font>
      <fill>
        <patternFill>
          <bgColor rgb="FFC00000"/>
        </patternFill>
      </fill>
    </dxf>
    <dxf>
      <font>
        <color theme="1"/>
      </font>
      <fill>
        <patternFill>
          <bgColor rgb="FFFFBE29"/>
        </patternFill>
      </fill>
    </dxf>
    <dxf>
      <font>
        <color theme="1"/>
      </font>
      <fill>
        <patternFill>
          <bgColor rgb="FFFFBE2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506069"/>
        </patternFill>
      </fill>
    </dxf>
    <dxf>
      <font>
        <color theme="0"/>
      </font>
      <fill>
        <patternFill>
          <bgColor rgb="FFC00000"/>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ill>
        <patternFill>
          <bgColor rgb="FFEFFEE3"/>
        </patternFill>
      </fill>
    </dxf>
    <dxf>
      <fill>
        <patternFill>
          <bgColor rgb="FFFFBE29"/>
        </patternFill>
      </fill>
    </dxf>
    <dxf>
      <fill>
        <patternFill>
          <bgColor rgb="FFF9CBAD"/>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4F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E69"/>
      </font>
      <fill>
        <patternFill>
          <bgColor rgb="FF505E69"/>
        </patternFill>
      </fill>
    </dxf>
    <dxf>
      <font>
        <color rgb="FF5060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4F5F69"/>
      </font>
      <fill>
        <patternFill>
          <bgColor rgb="FF506069"/>
        </patternFill>
      </fill>
    </dxf>
    <dxf>
      <font>
        <color rgb="FF4F5F69"/>
      </font>
      <fill>
        <patternFill>
          <bgColor rgb="FF506069"/>
        </patternFill>
      </fill>
    </dxf>
    <dxf>
      <font>
        <color rgb="FF505F69"/>
      </font>
      <fill>
        <patternFill>
          <bgColor rgb="FF505F69"/>
        </patternFill>
      </fill>
    </dxf>
    <dxf>
      <fill>
        <patternFill>
          <bgColor rgb="FFEFFDE3"/>
        </patternFill>
      </fill>
    </dxf>
    <dxf>
      <font>
        <color theme="0"/>
      </font>
      <fill>
        <patternFill>
          <bgColor rgb="FFCC092F"/>
        </patternFill>
      </fill>
    </dxf>
    <dxf>
      <font>
        <color theme="0"/>
      </font>
      <fill>
        <patternFill>
          <bgColor rgb="FF505F69"/>
        </patternFill>
      </fill>
    </dxf>
    <dxf>
      <font>
        <color rgb="FF505F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505F6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rgb="FFF9CBAD"/>
        </patternFill>
      </fill>
    </dxf>
    <dxf>
      <fill>
        <patternFill>
          <bgColor rgb="FFEFFEE3"/>
        </patternFill>
      </fill>
    </dxf>
    <dxf>
      <fill>
        <patternFill>
          <bgColor rgb="FFFFBE29"/>
        </patternFill>
      </fill>
    </dxf>
    <dxf>
      <fill>
        <patternFill>
          <bgColor rgb="FFEFFDE3"/>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C00000"/>
        </patternFill>
      </fill>
    </dxf>
    <dxf>
      <font>
        <color theme="1"/>
      </font>
      <fill>
        <patternFill>
          <bgColor rgb="FFEFFEE3"/>
        </patternFill>
      </fill>
    </dxf>
    <dxf>
      <font>
        <color theme="0"/>
      </font>
      <fill>
        <patternFill>
          <bgColor rgb="FF4F5F69"/>
        </patternFill>
      </fill>
    </dxf>
    <dxf>
      <font>
        <color theme="0"/>
      </font>
      <fill>
        <patternFill>
          <bgColor rgb="FFCC082E"/>
        </patternFill>
      </fill>
    </dxf>
    <dxf>
      <font>
        <color theme="0"/>
      </font>
      <fill>
        <patternFill>
          <bgColor rgb="FFCC082E"/>
        </patternFill>
      </fill>
    </dxf>
    <dxf>
      <font>
        <color theme="0"/>
      </font>
      <fill>
        <patternFill>
          <bgColor rgb="FF506069"/>
        </patternFill>
      </fill>
    </dxf>
    <dxf>
      <font>
        <color theme="0"/>
      </font>
      <fill>
        <patternFill>
          <bgColor rgb="FFCC092F"/>
        </patternFill>
      </fill>
    </dxf>
    <dxf>
      <fill>
        <patternFill>
          <bgColor rgb="FFEFFDE3"/>
        </patternFill>
      </fill>
    </dxf>
    <dxf>
      <fill>
        <patternFill>
          <bgColor rgb="FFEFFDE3"/>
        </patternFill>
      </fill>
    </dxf>
    <dxf>
      <font>
        <color theme="0"/>
      </font>
      <fill>
        <patternFill>
          <bgColor rgb="FF4F5F69"/>
        </patternFill>
      </fill>
    </dxf>
    <dxf>
      <font>
        <color theme="0"/>
      </font>
      <fill>
        <patternFill>
          <bgColor rgb="FFCC092F"/>
        </patternFill>
      </fill>
    </dxf>
    <dxf>
      <font>
        <color theme="0"/>
      </font>
      <fill>
        <patternFill>
          <bgColor rgb="FF506069"/>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1"/>
      </font>
      <fill>
        <patternFill>
          <bgColor rgb="FFFFBE29"/>
        </patternFill>
      </fill>
    </dxf>
    <dxf>
      <fill>
        <patternFill>
          <bgColor rgb="FFFFBE29"/>
        </patternFill>
      </fill>
    </dxf>
    <dxf>
      <font>
        <color theme="1"/>
      </font>
      <fill>
        <patternFill>
          <bgColor rgb="FFFFBE29"/>
        </patternFill>
      </fill>
    </dxf>
    <dxf>
      <font>
        <color rgb="FFF2F8F9"/>
      </font>
      <fill>
        <patternFill>
          <bgColor rgb="FFC00000"/>
        </patternFill>
      </fill>
    </dxf>
    <dxf>
      <font>
        <color theme="1"/>
      </font>
      <fill>
        <patternFill>
          <bgColor rgb="FFFFBE29"/>
        </patternFill>
      </fill>
    </dxf>
    <dxf>
      <fill>
        <patternFill>
          <bgColor rgb="FFEFFDE3"/>
        </patternFill>
      </fill>
    </dxf>
    <dxf>
      <fill>
        <patternFill>
          <bgColor rgb="FFFFBE29"/>
        </patternFill>
      </fill>
    </dxf>
    <dxf>
      <fill>
        <patternFill>
          <bgColor rgb="FFF9CBAD"/>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theme="1"/>
      </font>
      <fill>
        <patternFill>
          <bgColor rgb="FFFFBE29"/>
        </patternFill>
      </fill>
    </dxf>
    <dxf>
      <font>
        <color rgb="FF505F69"/>
      </font>
      <fill>
        <patternFill>
          <bgColor rgb="FF50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ill>
        <patternFill>
          <bgColor rgb="FFFFBE29"/>
        </patternFill>
      </fill>
    </dxf>
    <dxf>
      <fill>
        <patternFill>
          <bgColor rgb="FFF9CBAD"/>
        </patternFill>
      </fill>
    </dxf>
    <dxf>
      <font>
        <color rgb="FF506069"/>
      </font>
      <fill>
        <patternFill>
          <bgColor rgb="FF506069"/>
        </patternFill>
      </fill>
    </dxf>
    <dxf>
      <font>
        <color rgb="FF4F5F69"/>
      </font>
      <fill>
        <patternFill>
          <bgColor rgb="FF4F5F69"/>
        </patternFill>
      </fill>
    </dxf>
    <dxf>
      <fill>
        <patternFill>
          <bgColor rgb="FFEFFDE3"/>
        </patternFill>
      </fill>
    </dxf>
    <dxf>
      <fill>
        <patternFill>
          <bgColor rgb="FFFFBE29"/>
        </patternFill>
      </fill>
    </dxf>
    <dxf>
      <fill>
        <patternFill>
          <bgColor rgb="FFF9CBAD"/>
        </patternFill>
      </fill>
    </dxf>
    <dxf>
      <font>
        <color rgb="FF506069"/>
      </font>
      <fill>
        <patternFill>
          <bgColor rgb="FF5060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theme="1"/>
      </font>
      <fill>
        <patternFill>
          <bgColor rgb="FFFFBE29"/>
        </patternFill>
      </fill>
    </dxf>
    <dxf>
      <font>
        <color rgb="FF4F5F69"/>
      </font>
      <fill>
        <patternFill>
          <bgColor rgb="FF4F5F69"/>
        </patternFill>
      </fill>
    </dxf>
    <dxf>
      <fill>
        <patternFill>
          <bgColor rgb="FFEFFDE3"/>
        </patternFill>
      </fill>
    </dxf>
    <dxf>
      <fill>
        <patternFill>
          <bgColor rgb="FFFFBE29"/>
        </patternFill>
      </fill>
    </dxf>
    <dxf>
      <fill>
        <patternFill>
          <bgColor rgb="FFF9CBAD"/>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ill>
        <patternFill>
          <bgColor rgb="FFF9CBAD"/>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rgb="FFEFFDE3"/>
        </patternFill>
      </fill>
    </dxf>
    <dxf>
      <fill>
        <patternFill>
          <bgColor rgb="FFFFBE29"/>
        </patternFill>
      </fill>
    </dxf>
    <dxf>
      <fill>
        <patternFill>
          <bgColor rgb="FFF9CBAD"/>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theme="1"/>
      </font>
      <fill>
        <patternFill>
          <bgColor rgb="FFEFFEE3"/>
        </patternFill>
      </fill>
    </dxf>
    <dxf>
      <font>
        <color theme="1"/>
      </font>
      <fill>
        <patternFill>
          <bgColor rgb="FFFFBE2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4F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ill>
        <patternFill>
          <bgColor rgb="FFFFBE2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4F5F6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1"/>
      </font>
      <fill>
        <patternFill>
          <bgColor rgb="FFFFBD29"/>
        </patternFill>
      </fill>
    </dxf>
    <dxf>
      <font>
        <color theme="0"/>
      </font>
      <fill>
        <patternFill>
          <bgColor rgb="FFC00000"/>
        </patternFill>
      </fill>
    </dxf>
    <dxf>
      <font>
        <color rgb="FF0E223A"/>
      </font>
      <fill>
        <patternFill>
          <bgColor rgb="FFEFFDE3"/>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505F69"/>
        </patternFill>
      </fill>
    </dxf>
    <dxf>
      <font>
        <color theme="0"/>
      </font>
      <fill>
        <patternFill>
          <bgColor rgb="FF4F5F69"/>
        </patternFill>
      </fill>
    </dxf>
    <dxf>
      <font>
        <color theme="0"/>
      </font>
      <fill>
        <patternFill>
          <bgColor rgb="FFCC082E"/>
        </patternFill>
      </fill>
    </dxf>
    <dxf>
      <font>
        <color theme="0"/>
      </font>
      <fill>
        <patternFill>
          <bgColor rgb="FF505F69"/>
        </patternFill>
      </fill>
    </dxf>
    <dxf>
      <font>
        <color theme="0"/>
      </font>
      <fill>
        <patternFill>
          <bgColor rgb="FF4F5F69"/>
        </patternFill>
      </fill>
    </dxf>
    <dxf>
      <font>
        <color theme="1"/>
      </font>
      <fill>
        <patternFill>
          <bgColor rgb="FFEFFDE3"/>
        </patternFill>
      </fill>
    </dxf>
    <dxf>
      <font>
        <color theme="0"/>
      </font>
      <fill>
        <patternFill>
          <bgColor rgb="FFC00000"/>
        </patternFill>
      </fill>
    </dxf>
    <dxf>
      <font>
        <color rgb="FF0E223A"/>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CC082E"/>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ont>
        <color rgb="FF0E223A"/>
      </font>
      <fill>
        <patternFill>
          <bgColor rgb="FFFFBE29"/>
        </patternFill>
      </fill>
    </dxf>
    <dxf>
      <font>
        <color rgb="FF0E223A"/>
      </font>
      <fill>
        <patternFill>
          <bgColor rgb="FFEFFEE3"/>
        </patternFill>
      </fill>
    </dxf>
    <dxf>
      <font>
        <color rgb="FF0E223A"/>
      </font>
      <fill>
        <patternFill>
          <bgColor rgb="FFFFBE29"/>
        </patternFill>
      </fill>
    </dxf>
    <dxf>
      <font>
        <color rgb="FF4F5F69"/>
      </font>
      <fill>
        <patternFill>
          <bgColor rgb="FF4F5F69"/>
        </patternFill>
      </fill>
    </dxf>
    <dxf>
      <font>
        <color rgb="FF4F5F69"/>
      </font>
      <fill>
        <patternFill>
          <bgColor rgb="FF4F5F69"/>
        </patternFill>
      </fill>
    </dxf>
    <dxf>
      <font>
        <color rgb="FFF2F8F9"/>
      </font>
      <fill>
        <patternFill>
          <bgColor rgb="FF4F5F69"/>
        </patternFill>
      </fill>
    </dxf>
    <dxf>
      <fill>
        <patternFill>
          <bgColor rgb="FFEFFDE3"/>
        </patternFill>
      </fill>
    </dxf>
    <dxf>
      <fill>
        <patternFill>
          <bgColor rgb="FFFFBE29"/>
        </patternFill>
      </fill>
    </dxf>
    <dxf>
      <fill>
        <patternFill>
          <bgColor rgb="FFF9CBAD"/>
        </patternFill>
      </fill>
    </dxf>
    <dxf>
      <font>
        <color theme="0"/>
      </font>
      <fill>
        <patternFill>
          <bgColor rgb="FF4F5F69"/>
        </patternFill>
      </fill>
    </dxf>
    <dxf>
      <font>
        <color rgb="FF0E223A"/>
      </font>
      <fill>
        <patternFill>
          <bgColor rgb="FFEFFEE3"/>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E69"/>
      </font>
      <fill>
        <patternFill>
          <bgColor rgb="FF505E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4F5F69"/>
      </font>
      <fill>
        <patternFill>
          <bgColor rgb="FF4F5F69"/>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E69"/>
      </font>
      <fill>
        <patternFill>
          <bgColor rgb="FF505E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E69"/>
      </font>
      <fill>
        <patternFill>
          <bgColor rgb="FF505E69"/>
        </patternFill>
      </fill>
    </dxf>
    <dxf>
      <font>
        <color theme="0"/>
      </font>
      <fill>
        <patternFill>
          <bgColor rgb="FF4F5F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0"/>
      </font>
      <fill>
        <patternFill>
          <bgColor rgb="FFCC082E"/>
        </patternFill>
      </fill>
    </dxf>
    <dxf>
      <font>
        <color theme="1"/>
      </font>
      <fill>
        <patternFill>
          <bgColor rgb="FFEFFEE3"/>
        </patternFill>
      </fill>
    </dxf>
    <dxf>
      <font>
        <color theme="0"/>
      </font>
      <fill>
        <patternFill>
          <bgColor rgb="FFCC082E"/>
        </patternFill>
      </fill>
    </dxf>
    <dxf>
      <font>
        <color theme="0"/>
      </font>
      <fill>
        <patternFill>
          <bgColor rgb="FFC00000"/>
        </patternFill>
      </fill>
    </dxf>
    <dxf>
      <font>
        <color theme="0"/>
      </font>
      <fill>
        <patternFill>
          <bgColor rgb="FFCC082E"/>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C092F"/>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CC082E"/>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4F5F69"/>
      </font>
      <fill>
        <patternFill>
          <bgColor rgb="FF4F5F69"/>
        </patternFill>
      </fill>
    </dxf>
    <dxf>
      <font>
        <color rgb="FF4F5F69"/>
      </font>
      <fill>
        <patternFill>
          <bgColor rgb="FF4F5F6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ont>
        <color rgb="FF4F5F69"/>
      </font>
      <fill>
        <patternFill>
          <bgColor rgb="FF4F5F69"/>
        </patternFill>
      </fill>
    </dxf>
    <dxf>
      <font>
        <color theme="0"/>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EFFEE3"/>
        </patternFill>
      </fill>
    </dxf>
    <dxf>
      <font>
        <color rgb="FF0E223A"/>
      </font>
      <fill>
        <patternFill>
          <bgColor rgb="FFF9CBAD"/>
        </patternFill>
      </fill>
    </dxf>
    <dxf>
      <font>
        <color theme="1"/>
      </font>
      <fill>
        <patternFill>
          <bgColor rgb="FFFFBE29"/>
        </patternFill>
      </fill>
    </dxf>
    <dxf>
      <font>
        <color rgb="FF0E223A"/>
      </font>
      <fill>
        <patternFill>
          <bgColor rgb="FFEFFDE3"/>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theme="0"/>
      </font>
      <fill>
        <patternFill>
          <bgColor rgb="FF506069"/>
        </patternFill>
      </fill>
    </dxf>
    <dxf>
      <fill>
        <patternFill>
          <bgColor rgb="FFEFFDE3"/>
        </patternFill>
      </fill>
    </dxf>
    <dxf>
      <font>
        <color theme="0"/>
      </font>
      <fill>
        <patternFill>
          <bgColor rgb="FFCC092F"/>
        </patternFill>
      </fill>
    </dxf>
    <dxf>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1"/>
      </font>
      <fill>
        <patternFill>
          <bgColor rgb="FFEFFEE3"/>
        </patternFill>
      </fill>
    </dxf>
    <dxf>
      <font>
        <color theme="0"/>
      </font>
      <fill>
        <patternFill>
          <bgColor rgb="FF4F5F69"/>
        </patternFill>
      </fill>
    </dxf>
    <dxf>
      <font>
        <color theme="0"/>
      </font>
      <fill>
        <patternFill>
          <bgColor rgb="FFCC082E"/>
        </patternFill>
      </fill>
    </dxf>
    <dxf>
      <fill>
        <patternFill>
          <bgColor rgb="FFEFFDE3"/>
        </patternFill>
      </fill>
    </dxf>
    <dxf>
      <font>
        <color theme="0"/>
      </font>
      <fill>
        <patternFill>
          <bgColor rgb="FF506069"/>
        </patternFill>
      </fill>
    </dxf>
    <dxf>
      <font>
        <color theme="0"/>
      </font>
      <fill>
        <patternFill>
          <bgColor rgb="FFCC082E"/>
        </patternFill>
      </fill>
    </dxf>
    <dxf>
      <fill>
        <patternFill>
          <bgColor rgb="FFEFFDE3"/>
        </patternFill>
      </fill>
    </dxf>
    <dxf>
      <font>
        <color theme="0"/>
      </font>
      <fill>
        <patternFill>
          <bgColor rgb="FF506069"/>
        </patternFill>
      </fill>
    </dxf>
    <dxf>
      <font>
        <color rgb="FF505E69"/>
      </font>
      <fill>
        <patternFill>
          <bgColor rgb="FF505E69"/>
        </patternFill>
      </fill>
    </dxf>
    <dxf>
      <font>
        <color rgb="FF506069"/>
      </font>
      <fill>
        <patternFill>
          <bgColor rgb="FF5060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4F5F69"/>
      </font>
      <fill>
        <patternFill>
          <bgColor rgb="FF4F5F69"/>
        </patternFill>
      </fill>
    </dxf>
    <dxf>
      <font>
        <color theme="1"/>
      </font>
      <fill>
        <patternFill>
          <bgColor rgb="FFF9CBAD"/>
        </patternFill>
      </fill>
    </dxf>
    <dxf>
      <fill>
        <patternFill>
          <bgColor rgb="FFF9CBAD"/>
        </patternFill>
      </fill>
    </dxf>
    <dxf>
      <font>
        <color theme="1"/>
      </font>
      <fill>
        <patternFill>
          <bgColor rgb="FFEFFDE3"/>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rgb="FFEFFDE3"/>
        </patternFill>
      </fill>
    </dxf>
    <dxf>
      <fill>
        <patternFill>
          <bgColor rgb="FFFFBE2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505F69"/>
      </font>
      <fill>
        <patternFill>
          <bgColor rgb="FF505F69"/>
        </patternFill>
      </fill>
    </dxf>
    <dxf>
      <fill>
        <patternFill>
          <bgColor rgb="FFEFFDE3"/>
        </patternFill>
      </fill>
    </dxf>
    <dxf>
      <fill>
        <patternFill>
          <bgColor rgb="FFFFBE2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505E69"/>
      </font>
      <fill>
        <patternFill>
          <bgColor rgb="FF505E69"/>
        </patternFill>
      </fill>
    </dxf>
    <dxf>
      <fill>
        <patternFill>
          <bgColor theme="5" tint="0.59996337778862885"/>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F69"/>
      </font>
      <fill>
        <patternFill>
          <bgColor rgb="FF505F6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505E69"/>
      </font>
      <fill>
        <patternFill>
          <bgColor rgb="FF505E69"/>
        </patternFill>
      </fill>
    </dxf>
    <dxf>
      <font>
        <color rgb="FF505E69"/>
      </font>
      <fill>
        <patternFill>
          <bgColor rgb="FF4F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theme="1"/>
      </font>
      <fill>
        <patternFill>
          <bgColor rgb="FFEFFDE3"/>
        </patternFill>
      </fill>
    </dxf>
    <dxf>
      <fill>
        <patternFill>
          <bgColor theme="5" tint="0.59996337778862885"/>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auto="1"/>
      </font>
      <fill>
        <patternFill>
          <bgColor rgb="FFF9CBAD"/>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506069"/>
      </font>
      <fill>
        <patternFill>
          <bgColor rgb="FF5060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theme="1"/>
      </font>
      <fill>
        <patternFill patternType="solid">
          <fgColor theme="0"/>
          <bgColor theme="0" tint="-0.24994659260841701"/>
        </patternFill>
      </fill>
    </dxf>
    <dxf>
      <font>
        <color rgb="FF0E223A"/>
      </font>
      <fill>
        <patternFill>
          <bgColor rgb="FFEFFDE3"/>
        </patternFill>
      </fill>
    </dxf>
    <dxf>
      <font>
        <color rgb="FF0E223A"/>
      </font>
      <fill>
        <patternFill>
          <bgColor rgb="FFEFFDE3"/>
        </patternFill>
      </fill>
    </dxf>
    <dxf>
      <font>
        <color theme="1"/>
      </font>
      <fill>
        <patternFill>
          <bgColor rgb="FFEFFDE3"/>
        </patternFill>
      </fill>
    </dxf>
    <dxf>
      <font>
        <color theme="0"/>
      </font>
      <fill>
        <patternFill>
          <bgColor rgb="FFCC082E"/>
        </patternFill>
      </fill>
    </dxf>
    <dxf>
      <font>
        <color theme="1"/>
      </font>
      <fill>
        <patternFill>
          <bgColor rgb="FFFFBD29"/>
        </patternFill>
      </fill>
    </dxf>
    <dxf>
      <font>
        <color theme="0"/>
      </font>
      <fill>
        <patternFill>
          <bgColor rgb="FFCC082E"/>
        </patternFill>
      </fill>
    </dxf>
    <dxf>
      <font>
        <color theme="1"/>
      </font>
      <fill>
        <patternFill>
          <bgColor rgb="FFFFBD29"/>
        </patternFill>
      </fill>
    </dxf>
    <dxf>
      <font>
        <color theme="1"/>
      </font>
      <fill>
        <patternFill>
          <bgColor rgb="FFFFBD29"/>
        </patternFill>
      </fill>
    </dxf>
    <dxf>
      <font>
        <color theme="1"/>
      </font>
      <fill>
        <patternFill>
          <bgColor rgb="FFFFBD29"/>
        </patternFill>
      </fill>
    </dxf>
    <dxf>
      <font>
        <color theme="1"/>
      </font>
      <fill>
        <patternFill>
          <bgColor rgb="FFFFBD29"/>
        </patternFill>
      </fill>
    </dxf>
    <dxf>
      <font>
        <color theme="0"/>
      </font>
      <fill>
        <patternFill>
          <bgColor rgb="FFCC082E"/>
        </patternFill>
      </fill>
    </dxf>
    <dxf>
      <font>
        <color theme="1"/>
      </font>
      <fill>
        <patternFill>
          <bgColor rgb="FFFFBD29"/>
        </patternFill>
      </fill>
    </dxf>
    <dxf>
      <font>
        <color theme="0"/>
      </font>
      <fill>
        <patternFill>
          <bgColor rgb="FFCC082E"/>
        </patternFill>
      </fill>
    </dxf>
    <dxf>
      <font>
        <color theme="1"/>
      </font>
      <fill>
        <patternFill>
          <bgColor rgb="FFFFBD29"/>
        </patternFill>
      </fill>
    </dxf>
    <dxf>
      <font>
        <color theme="1"/>
      </font>
      <fill>
        <patternFill>
          <bgColor rgb="FFFFBD29"/>
        </patternFill>
      </fill>
    </dxf>
    <dxf>
      <font>
        <color theme="1"/>
      </font>
      <fill>
        <patternFill>
          <bgColor rgb="FFFFBD29"/>
        </patternFill>
      </fill>
    </dxf>
    <dxf>
      <font>
        <color theme="1"/>
      </font>
      <fill>
        <patternFill>
          <bgColor rgb="FFFFBD2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rgb="FF4F5F69"/>
      </font>
      <fill>
        <patternFill>
          <bgColor rgb="FF50606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DE3"/>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fgColor auto="1"/>
          <bgColor rgb="FF506069"/>
        </patternFill>
      </fill>
    </dxf>
    <dxf>
      <font>
        <color rgb="FF4F5F69"/>
      </font>
      <fill>
        <patternFill>
          <bgColor rgb="FF506069"/>
        </patternFill>
      </fill>
    </dxf>
    <dxf>
      <font>
        <color theme="1"/>
      </font>
      <fill>
        <patternFill>
          <bgColor rgb="FFEFFDE3"/>
        </patternFill>
      </fill>
    </dxf>
    <dxf>
      <font>
        <color theme="0"/>
      </font>
      <fill>
        <patternFill>
          <fgColor auto="1"/>
          <bgColor rgb="FF506069"/>
        </patternFill>
      </fill>
    </dxf>
    <dxf>
      <font>
        <color rgb="FF4F5F69"/>
      </font>
      <fill>
        <patternFill>
          <bgColor rgb="FF506069"/>
        </patternFill>
      </fill>
    </dxf>
    <dxf>
      <font>
        <color theme="1"/>
      </font>
      <fill>
        <patternFill>
          <bgColor rgb="FFEFFDE3"/>
        </patternFill>
      </fill>
    </dxf>
    <dxf>
      <font>
        <color theme="0"/>
      </font>
      <fill>
        <patternFill>
          <fgColor auto="1"/>
          <bgColor rgb="FF506069"/>
        </patternFill>
      </fill>
    </dxf>
    <dxf>
      <font>
        <color rgb="FF4F5F69"/>
      </font>
      <fill>
        <patternFill>
          <bgColor rgb="FF506069"/>
        </patternFill>
      </fill>
    </dxf>
    <dxf>
      <font>
        <color theme="1"/>
      </font>
      <fill>
        <patternFill>
          <bgColor rgb="FFEFFDE3"/>
        </patternFill>
      </fill>
    </dxf>
    <dxf>
      <font>
        <color theme="0"/>
      </font>
      <fill>
        <patternFill>
          <fgColor auto="1"/>
          <bgColor rgb="FF506069"/>
        </patternFill>
      </fill>
    </dxf>
    <dxf>
      <font>
        <color rgb="FF4F5F69"/>
      </font>
      <fill>
        <patternFill>
          <bgColor rgb="FF506069"/>
        </patternFill>
      </fill>
    </dxf>
    <dxf>
      <font>
        <color theme="1"/>
      </font>
      <fill>
        <patternFill>
          <bgColor rgb="FFEFFDE3"/>
        </patternFill>
      </fill>
    </dxf>
    <dxf>
      <font>
        <color theme="0"/>
      </font>
      <fill>
        <patternFill>
          <fgColor auto="1"/>
          <bgColor rgb="FF506069"/>
        </patternFill>
      </fill>
    </dxf>
    <dxf>
      <font>
        <color rgb="FF4F5F69"/>
      </font>
      <fill>
        <patternFill>
          <bgColor rgb="FF506069"/>
        </patternFill>
      </fill>
    </dxf>
    <dxf>
      <font>
        <color theme="1"/>
      </font>
      <fill>
        <patternFill>
          <bgColor rgb="FFEFFDE3"/>
        </patternFill>
      </fill>
    </dxf>
    <dxf>
      <font>
        <color theme="0"/>
      </font>
      <fill>
        <patternFill>
          <fgColor auto="1"/>
          <bgColor rgb="FF506069"/>
        </patternFill>
      </fill>
    </dxf>
    <dxf>
      <font>
        <color rgb="FF4F5F69"/>
      </font>
      <fill>
        <patternFill>
          <bgColor rgb="FF506069"/>
        </patternFill>
      </fill>
    </dxf>
    <dxf>
      <font>
        <color theme="1"/>
      </font>
      <fill>
        <patternFill>
          <bgColor rgb="FFEFFDE3"/>
        </patternFill>
      </fill>
    </dxf>
    <dxf>
      <font>
        <color theme="0"/>
      </font>
      <fill>
        <patternFill>
          <fgColor auto="1"/>
          <bgColor rgb="FF506069"/>
        </patternFill>
      </fill>
    </dxf>
    <dxf>
      <font>
        <color rgb="FF4F5F69"/>
      </font>
      <fill>
        <patternFill>
          <bgColor rgb="FF506069"/>
        </patternFill>
      </fill>
    </dxf>
    <dxf>
      <font>
        <color theme="1"/>
      </font>
      <fill>
        <patternFill>
          <bgColor rgb="FFEFFDE3"/>
        </patternFill>
      </fill>
    </dxf>
    <dxf>
      <font>
        <color theme="0"/>
      </font>
      <fill>
        <patternFill>
          <fgColor auto="1"/>
          <bgColor rgb="FF506069"/>
        </patternFill>
      </fill>
    </dxf>
    <dxf>
      <font>
        <color rgb="FF4F5F69"/>
      </font>
      <fill>
        <patternFill>
          <bgColor rgb="FF506069"/>
        </patternFill>
      </fill>
    </dxf>
    <dxf>
      <font>
        <color theme="1"/>
      </font>
      <fill>
        <patternFill>
          <bgColor rgb="FFEFFDE3"/>
        </patternFill>
      </fill>
    </dxf>
    <dxf>
      <font>
        <color theme="0"/>
      </font>
      <fill>
        <patternFill>
          <fgColor auto="1"/>
          <bgColor rgb="FF506069"/>
        </patternFill>
      </fill>
    </dxf>
    <dxf>
      <font>
        <color rgb="FF4F5F69"/>
      </font>
      <fill>
        <patternFill>
          <bgColor rgb="FF506069"/>
        </patternFill>
      </fill>
    </dxf>
    <dxf>
      <font>
        <color theme="1"/>
      </font>
      <fill>
        <patternFill>
          <bgColor rgb="FFEFFDE3"/>
        </patternFill>
      </fill>
    </dxf>
    <dxf>
      <font>
        <color theme="0"/>
      </font>
      <fill>
        <patternFill>
          <fgColor auto="1"/>
          <bgColor rgb="FF506069"/>
        </patternFill>
      </fill>
    </dxf>
    <dxf>
      <font>
        <color rgb="FF4F5F69"/>
      </font>
      <fill>
        <patternFill>
          <bgColor rgb="FF506069"/>
        </patternFill>
      </fill>
    </dxf>
    <dxf>
      <font>
        <color theme="1"/>
      </font>
      <fill>
        <patternFill>
          <bgColor rgb="FFEFFDE3"/>
        </patternFill>
      </fill>
    </dxf>
    <dxf>
      <font>
        <color theme="0"/>
      </font>
      <fill>
        <patternFill>
          <fgColor auto="1"/>
          <bgColor rgb="FF506069"/>
        </patternFill>
      </fill>
    </dxf>
    <dxf>
      <font>
        <color rgb="FF4F5F69"/>
      </font>
      <fill>
        <patternFill>
          <bgColor rgb="FF506069"/>
        </patternFill>
      </fill>
    </dxf>
    <dxf>
      <font>
        <color theme="1"/>
      </font>
      <fill>
        <patternFill>
          <bgColor rgb="FFEFFDE3"/>
        </patternFill>
      </fill>
    </dxf>
    <dxf>
      <font>
        <color theme="0"/>
      </font>
      <fill>
        <patternFill>
          <fgColor auto="1"/>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fgColor theme="0"/>
          <bgColor rgb="FF506069"/>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505F69"/>
        </patternFill>
      </fill>
    </dxf>
    <dxf>
      <font>
        <color theme="0"/>
      </font>
      <fill>
        <patternFill>
          <fgColor auto="1"/>
          <bgColor rgb="FF4F5F69"/>
        </patternFill>
      </fill>
    </dxf>
    <dxf>
      <font>
        <color theme="0"/>
      </font>
      <fill>
        <patternFill>
          <bgColor rgb="FF4F5F69"/>
        </patternFill>
      </fill>
    </dxf>
    <dxf>
      <font>
        <color theme="0"/>
      </font>
      <fill>
        <patternFill>
          <bgColor rgb="FF4F5F69"/>
        </patternFill>
      </fill>
    </dxf>
    <dxf>
      <font>
        <color rgb="FF4F5F69"/>
      </font>
      <fill>
        <patternFill>
          <bgColor rgb="FF4F5F69"/>
        </patternFill>
      </fill>
    </dxf>
    <dxf>
      <font>
        <color theme="0"/>
      </font>
      <fill>
        <patternFill>
          <bgColor rgb="FF4F5F69"/>
        </patternFill>
      </fill>
    </dxf>
    <dxf>
      <font>
        <color rgb="FF4F5F69"/>
      </font>
      <fill>
        <patternFill>
          <bgColor rgb="FF4F5F69"/>
        </patternFill>
      </fill>
    </dxf>
    <dxf>
      <font>
        <color rgb="FF0E223A"/>
      </font>
      <fill>
        <patternFill>
          <bgColor rgb="FFEFFEE3"/>
        </patternFill>
      </fill>
    </dxf>
    <dxf>
      <font>
        <color rgb="FF4F5F69"/>
      </font>
      <fill>
        <patternFill>
          <bgColor rgb="FF4F5F69"/>
        </patternFill>
      </fill>
    </dxf>
    <dxf>
      <fill>
        <patternFill>
          <bgColor theme="5" tint="0.59996337778862885"/>
        </patternFill>
      </fill>
    </dxf>
    <dxf>
      <font>
        <color theme="0"/>
      </font>
      <fill>
        <patternFill>
          <bgColor rgb="FF505F69"/>
        </patternFill>
      </fill>
    </dxf>
    <dxf>
      <font>
        <color theme="0"/>
      </font>
      <fill>
        <patternFill>
          <bgColor rgb="FF4F5F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rgb="FF4F5F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border>
        <left style="thin">
          <color auto="1"/>
        </left>
        <right style="thin">
          <color auto="1"/>
        </right>
        <top style="thin">
          <color auto="1"/>
        </top>
        <bottom style="thin">
          <color auto="1"/>
        </bottom>
      </border>
    </dxf>
    <dxf>
      <font>
        <color rgb="FF506069"/>
      </font>
      <fill>
        <patternFill>
          <bgColor rgb="FF506069"/>
        </patternFill>
      </fill>
    </dxf>
    <dxf>
      <font>
        <color theme="1"/>
      </font>
      <fill>
        <patternFill>
          <bgColor rgb="FFCC092F"/>
        </patternFill>
      </fill>
    </dxf>
    <dxf>
      <font>
        <color theme="1"/>
      </font>
      <fill>
        <patternFill>
          <bgColor rgb="FFEFFEE3"/>
        </patternFill>
      </fill>
    </dxf>
    <dxf>
      <font>
        <color theme="1"/>
      </font>
      <fill>
        <patternFill>
          <bgColor rgb="FFEFFEE3"/>
        </patternFill>
      </fill>
    </dxf>
    <dxf>
      <font>
        <color rgb="FF505F69"/>
      </font>
      <fill>
        <patternFill>
          <bgColor rgb="FF506069"/>
        </patternFill>
      </fill>
    </dxf>
    <dxf>
      <font>
        <color rgb="FF505F69"/>
      </font>
      <fill>
        <patternFill>
          <bgColor rgb="FF506069"/>
        </patternFill>
      </fill>
    </dxf>
    <dxf>
      <font>
        <color rgb="FF505F69"/>
      </font>
      <fill>
        <patternFill>
          <bgColor rgb="FF505F69"/>
        </patternFill>
      </fill>
    </dxf>
    <dxf>
      <font>
        <color theme="1"/>
      </font>
      <fill>
        <patternFill>
          <bgColor rgb="FFEFFEE3"/>
        </patternFill>
      </fill>
    </dxf>
    <dxf>
      <fill>
        <patternFill>
          <bgColor theme="5" tint="0.59996337778862885"/>
        </patternFill>
      </fill>
    </dxf>
    <dxf>
      <font>
        <color theme="0"/>
      </font>
      <fill>
        <patternFill>
          <bgColor rgb="FF4F5F6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EFFEE3"/>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FFBE29"/>
        </patternFill>
      </fill>
    </dxf>
    <dxf>
      <font>
        <color rgb="FF0E223A"/>
      </font>
      <fill>
        <patternFill>
          <bgColor rgb="FFEFFEE3"/>
        </patternFill>
      </fill>
    </dxf>
    <dxf>
      <font>
        <color theme="0"/>
      </font>
      <fill>
        <patternFill>
          <bgColor rgb="FF505F69"/>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rgb="FF4F5F69"/>
      </font>
      <fill>
        <patternFill>
          <bgColor rgb="FF4F5F69"/>
        </patternFill>
      </fill>
    </dxf>
    <dxf>
      <font>
        <color theme="0"/>
      </font>
      <fill>
        <patternFill>
          <bgColor rgb="FF4F5F69"/>
        </patternFill>
      </fill>
    </dxf>
    <dxf>
      <font>
        <color rgb="FF4F5F69"/>
      </font>
      <fill>
        <patternFill>
          <bgColor rgb="FF4F5F69"/>
        </patternFill>
      </fill>
    </dxf>
    <dxf>
      <font>
        <color theme="0"/>
      </font>
      <fill>
        <patternFill>
          <bgColor rgb="FF505F69"/>
        </patternFill>
      </fill>
    </dxf>
    <dxf>
      <font>
        <color theme="0"/>
      </font>
      <fill>
        <patternFill>
          <bgColor rgb="FFCC082E"/>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EE3"/>
        </patternFill>
      </fill>
    </dxf>
    <dxf>
      <font>
        <color theme="0"/>
      </font>
      <fill>
        <patternFill>
          <bgColor rgb="FF4F5F69"/>
        </patternFill>
      </fill>
    </dxf>
    <dxf>
      <font>
        <color rgb="FF4F5F69"/>
      </font>
      <fill>
        <patternFill>
          <bgColor rgb="FF4F5F69"/>
        </patternFill>
      </fill>
    </dxf>
    <dxf>
      <font>
        <color theme="0"/>
      </font>
      <fill>
        <patternFill>
          <bgColor rgb="FF4F5F69"/>
        </patternFill>
      </fill>
    </dxf>
    <dxf>
      <font>
        <color theme="0"/>
      </font>
      <fill>
        <patternFill>
          <bgColor rgb="FF4F5F69"/>
        </patternFill>
      </fill>
    </dxf>
    <dxf>
      <font>
        <color theme="1"/>
      </font>
      <fill>
        <patternFill>
          <bgColor rgb="FFFFBD29"/>
        </patternFill>
      </fill>
    </dxf>
    <dxf>
      <font>
        <color theme="0"/>
      </font>
      <fill>
        <patternFill>
          <bgColor rgb="FFCC082E"/>
        </patternFill>
      </fill>
    </dxf>
    <dxf>
      <font>
        <color theme="0"/>
      </font>
      <fill>
        <patternFill>
          <bgColor rgb="FFCC082E"/>
        </patternFill>
      </fill>
    </dxf>
    <dxf>
      <font>
        <color theme="0"/>
      </font>
      <fill>
        <patternFill>
          <bgColor rgb="FF505F69"/>
        </patternFill>
      </fill>
    </dxf>
    <dxf>
      <font>
        <color rgb="FF4F5F69"/>
      </font>
      <fill>
        <patternFill>
          <bgColor rgb="FF4F5F69"/>
        </patternFill>
      </fill>
    </dxf>
    <dxf>
      <font>
        <color theme="0"/>
      </font>
      <fill>
        <patternFill>
          <bgColor rgb="FFCC082E"/>
        </patternFill>
      </fill>
    </dxf>
    <dxf>
      <font>
        <color theme="0"/>
      </font>
      <fill>
        <patternFill>
          <bgColor rgb="FFCC082E"/>
        </patternFill>
      </fill>
    </dxf>
    <dxf>
      <font>
        <color theme="1"/>
      </font>
      <fill>
        <patternFill>
          <bgColor rgb="FFFFBD29"/>
        </patternFill>
      </fill>
    </dxf>
    <dxf>
      <font>
        <color theme="1"/>
      </font>
      <fill>
        <patternFill>
          <bgColor rgb="FFFFBD29"/>
        </patternFill>
      </fill>
    </dxf>
    <dxf>
      <font>
        <color theme="1"/>
      </font>
      <fill>
        <patternFill>
          <bgColor rgb="FFFFBD29"/>
        </patternFill>
      </fill>
    </dxf>
    <dxf>
      <font>
        <color theme="1"/>
      </font>
      <fill>
        <patternFill>
          <bgColor rgb="FFFFBD29"/>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fgColor theme="1"/>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border>
        <left style="thin">
          <color auto="1"/>
        </left>
        <right style="thin">
          <color auto="1"/>
        </right>
        <top style="thin">
          <color auto="1"/>
        </top>
        <bottom style="thin">
          <color auto="1"/>
        </bottom>
        <vertical/>
        <horizontal/>
      </border>
    </dxf>
    <dxf>
      <font>
        <color rgb="FF4F5F69"/>
      </font>
      <fill>
        <patternFill>
          <bgColor rgb="FF506069"/>
        </patternFill>
      </fill>
    </dxf>
    <dxf>
      <font>
        <color rgb="FF4F5F69"/>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rgb="FF0E223A"/>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u val="none"/>
        <color theme="0"/>
      </font>
      <fill>
        <patternFill>
          <bgColor theme="5" tint="-0.24994659260841701"/>
        </patternFill>
      </fill>
    </dxf>
    <dxf>
      <font>
        <color theme="0"/>
      </font>
      <fill>
        <patternFill>
          <bgColor rgb="FFCC082E"/>
        </patternFill>
      </fill>
    </dxf>
    <dxf>
      <font>
        <color theme="0"/>
      </font>
      <fill>
        <patternFill>
          <bgColor rgb="FFCC082E"/>
        </patternFill>
      </fill>
    </dxf>
    <dxf>
      <font>
        <color theme="0"/>
      </font>
      <fill>
        <patternFill>
          <bgColor rgb="FFCC082E"/>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s>
  <tableStyles count="0" defaultTableStyle="TableStyleMedium2" defaultPivotStyle="PivotStyleLight16"/>
  <colors>
    <mruColors>
      <color rgb="FF4F5F69"/>
      <color rgb="FFEFFEE3"/>
      <color rgb="FF0E223A"/>
      <color rgb="FFFFBE29"/>
      <color rgb="FFF2F8F9"/>
      <color rgb="FFF9CBAD"/>
      <color rgb="FFFFBD29"/>
      <color rgb="FFCC082E"/>
      <color rgb="FF505F69"/>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6350</xdr:colOff>
      <xdr:row>1</xdr:row>
      <xdr:rowOff>15875</xdr:rowOff>
    </xdr:from>
    <xdr:ext cx="695281" cy="650386"/>
    <xdr:pic>
      <xdr:nvPicPr>
        <xdr:cNvPr id="2" name="Picture 1">
          <a:extLst>
            <a:ext uri="{FF2B5EF4-FFF2-40B4-BE49-F238E27FC236}">
              <a16:creationId xmlns:a16="http://schemas.microsoft.com/office/drawing/2014/main" id="{0F7B8AB5-9AD8-9144-95A6-BDD7ABDFB2AE}"/>
            </a:ext>
          </a:extLst>
        </xdr:cNvPr>
        <xdr:cNvPicPr>
          <a:picLocks noChangeAspect="1"/>
        </xdr:cNvPicPr>
      </xdr:nvPicPr>
      <xdr:blipFill rotWithShape="1">
        <a:blip xmlns:r="http://schemas.openxmlformats.org/officeDocument/2006/relationships" r:embed="rId1"/>
        <a:srcRect t="3654"/>
        <a:stretch/>
      </xdr:blipFill>
      <xdr:spPr>
        <a:xfrm>
          <a:off x="222250" y="219075"/>
          <a:ext cx="704073" cy="644525"/>
        </a:xfrm>
        <a:prstGeom prst="rect">
          <a:avLst/>
        </a:prstGeom>
      </xdr:spPr>
    </xdr:pic>
    <xdr:clientData/>
  </xdr:oneCellAnchor>
  <xdr:twoCellAnchor editAs="oneCell">
    <xdr:from>
      <xdr:col>2</xdr:col>
      <xdr:colOff>29304</xdr:colOff>
      <xdr:row>7</xdr:row>
      <xdr:rowOff>126999</xdr:rowOff>
    </xdr:from>
    <xdr:to>
      <xdr:col>5</xdr:col>
      <xdr:colOff>57150</xdr:colOff>
      <xdr:row>23</xdr:row>
      <xdr:rowOff>104775</xdr:rowOff>
    </xdr:to>
    <xdr:pic>
      <xdr:nvPicPr>
        <xdr:cNvPr id="3" name="Picture 2">
          <a:extLst>
            <a:ext uri="{FF2B5EF4-FFF2-40B4-BE49-F238E27FC236}">
              <a16:creationId xmlns:a16="http://schemas.microsoft.com/office/drawing/2014/main" id="{0618441B-10F4-AAE5-5040-F0C0A5D97DCE}"/>
            </a:ext>
          </a:extLst>
        </xdr:cNvPr>
        <xdr:cNvPicPr>
          <a:picLocks noChangeAspect="1"/>
        </xdr:cNvPicPr>
      </xdr:nvPicPr>
      <xdr:blipFill>
        <a:blip xmlns:r="http://schemas.openxmlformats.org/officeDocument/2006/relationships" r:embed="rId2"/>
        <a:stretch>
          <a:fillRect/>
        </a:stretch>
      </xdr:blipFill>
      <xdr:spPr>
        <a:xfrm>
          <a:off x="378554" y="2180166"/>
          <a:ext cx="4937044" cy="33047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D6559012-1725-7446-852C-B5B53ADC1E0F}"/>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101600</xdr:colOff>
      <xdr:row>1</xdr:row>
      <xdr:rowOff>36475</xdr:rowOff>
    </xdr:from>
    <xdr:to>
      <xdr:col>4</xdr:col>
      <xdr:colOff>333375</xdr:colOff>
      <xdr:row>2</xdr:row>
      <xdr:rowOff>0</xdr:rowOff>
    </xdr:to>
    <xdr:pic>
      <xdr:nvPicPr>
        <xdr:cNvPr id="3" name="Picture 2">
          <a:extLst>
            <a:ext uri="{FF2B5EF4-FFF2-40B4-BE49-F238E27FC236}">
              <a16:creationId xmlns:a16="http://schemas.microsoft.com/office/drawing/2014/main" id="{844A7700-F907-2F45-954D-6F5528E5A868}"/>
            </a:ext>
          </a:extLst>
        </xdr:cNvPr>
        <xdr:cNvPicPr>
          <a:picLocks noChangeAspect="1"/>
        </xdr:cNvPicPr>
      </xdr:nvPicPr>
      <xdr:blipFill rotWithShape="1">
        <a:blip xmlns:r="http://schemas.openxmlformats.org/officeDocument/2006/relationships" r:embed="rId1"/>
        <a:srcRect t="3654"/>
        <a:stretch/>
      </xdr:blipFill>
      <xdr:spPr>
        <a:xfrm>
          <a:off x="317500" y="239675"/>
          <a:ext cx="685800" cy="620750"/>
        </a:xfrm>
        <a:prstGeom prst="rect">
          <a:avLst/>
        </a:prstGeom>
      </xdr:spPr>
    </xdr:pic>
    <xdr:clientData/>
  </xdr:twoCellAnchor>
  <xdr:twoCellAnchor editAs="oneCell">
    <xdr:from>
      <xdr:col>0</xdr:col>
      <xdr:colOff>203200</xdr:colOff>
      <xdr:row>4</xdr:row>
      <xdr:rowOff>63500</xdr:rowOff>
    </xdr:from>
    <xdr:to>
      <xdr:col>7</xdr:col>
      <xdr:colOff>114300</xdr:colOff>
      <xdr:row>11</xdr:row>
      <xdr:rowOff>104775</xdr:rowOff>
    </xdr:to>
    <xdr:pic>
      <xdr:nvPicPr>
        <xdr:cNvPr id="2" name="Picture 1">
          <a:extLst>
            <a:ext uri="{FF2B5EF4-FFF2-40B4-BE49-F238E27FC236}">
              <a16:creationId xmlns:a16="http://schemas.microsoft.com/office/drawing/2014/main" id="{9DEC7109-6DBD-6A4D-9570-47749CF08D95}"/>
            </a:ext>
          </a:extLst>
        </xdr:cNvPr>
        <xdr:cNvPicPr>
          <a:picLocks noChangeAspect="1"/>
        </xdr:cNvPicPr>
      </xdr:nvPicPr>
      <xdr:blipFill>
        <a:blip xmlns:r="http://schemas.openxmlformats.org/officeDocument/2006/relationships" r:embed="rId2"/>
        <a:stretch>
          <a:fillRect/>
        </a:stretch>
      </xdr:blipFill>
      <xdr:spPr>
        <a:xfrm>
          <a:off x="203200" y="1397000"/>
          <a:ext cx="2908300" cy="19467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7AF2D49B-B386-4347-91DC-805913B72A52}"/>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1943BD93-FB19-7F49-8CDB-DD0F48F1FA51}"/>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1</xdr:row>
      <xdr:rowOff>38100</xdr:rowOff>
    </xdr:from>
    <xdr:to>
      <xdr:col>1</xdr:col>
      <xdr:colOff>752475</xdr:colOff>
      <xdr:row>2</xdr:row>
      <xdr:rowOff>0</xdr:rowOff>
    </xdr:to>
    <xdr:pic>
      <xdr:nvPicPr>
        <xdr:cNvPr id="2" name="Picture 1">
          <a:extLst>
            <a:ext uri="{FF2B5EF4-FFF2-40B4-BE49-F238E27FC236}">
              <a16:creationId xmlns:a16="http://schemas.microsoft.com/office/drawing/2014/main" id="{95115B97-DBB8-214C-A91B-9C0AFC1F0927}"/>
            </a:ext>
          </a:extLst>
        </xdr:cNvPr>
        <xdr:cNvPicPr>
          <a:picLocks noChangeAspect="1"/>
        </xdr:cNvPicPr>
      </xdr:nvPicPr>
      <xdr:blipFill rotWithShape="1">
        <a:blip xmlns:r="http://schemas.openxmlformats.org/officeDocument/2006/relationships" r:embed="rId1"/>
        <a:srcRect t="3654"/>
        <a:stretch/>
      </xdr:blipFill>
      <xdr:spPr>
        <a:xfrm>
          <a:off x="254000" y="241300"/>
          <a:ext cx="712066" cy="644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1</xdr:col>
      <xdr:colOff>733425</xdr:colOff>
      <xdr:row>1</xdr:row>
      <xdr:rowOff>647700</xdr:rowOff>
    </xdr:to>
    <xdr:pic>
      <xdr:nvPicPr>
        <xdr:cNvPr id="3" name="Picture 2">
          <a:extLst>
            <a:ext uri="{FF2B5EF4-FFF2-40B4-BE49-F238E27FC236}">
              <a16:creationId xmlns:a16="http://schemas.microsoft.com/office/drawing/2014/main" id="{3BA31008-797A-C349-8C24-9BE12F5D3775}"/>
            </a:ext>
          </a:extLst>
        </xdr:cNvPr>
        <xdr:cNvPicPr>
          <a:picLocks noChangeAspect="1"/>
        </xdr:cNvPicPr>
      </xdr:nvPicPr>
      <xdr:blipFill rotWithShape="1">
        <a:blip xmlns:r="http://schemas.openxmlformats.org/officeDocument/2006/relationships" r:embed="rId1"/>
        <a:srcRect t="3654"/>
        <a:stretch/>
      </xdr:blipFill>
      <xdr:spPr>
        <a:xfrm>
          <a:off x="241300" y="203200"/>
          <a:ext cx="712066" cy="644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1</xdr:row>
      <xdr:rowOff>25400</xdr:rowOff>
    </xdr:from>
    <xdr:to>
      <xdr:col>1</xdr:col>
      <xdr:colOff>752475</xdr:colOff>
      <xdr:row>2</xdr:row>
      <xdr:rowOff>0</xdr:rowOff>
    </xdr:to>
    <xdr:pic>
      <xdr:nvPicPr>
        <xdr:cNvPr id="3" name="Picture 2">
          <a:extLst>
            <a:ext uri="{FF2B5EF4-FFF2-40B4-BE49-F238E27FC236}">
              <a16:creationId xmlns:a16="http://schemas.microsoft.com/office/drawing/2014/main" id="{78907312-55E0-B446-93E5-EAE2ACA97989}"/>
            </a:ext>
          </a:extLst>
        </xdr:cNvPr>
        <xdr:cNvPicPr>
          <a:picLocks noChangeAspect="1"/>
        </xdr:cNvPicPr>
      </xdr:nvPicPr>
      <xdr:blipFill rotWithShape="1">
        <a:blip xmlns:r="http://schemas.openxmlformats.org/officeDocument/2006/relationships" r:embed="rId1"/>
        <a:srcRect t="3654"/>
        <a:stretch/>
      </xdr:blipFill>
      <xdr:spPr>
        <a:xfrm>
          <a:off x="254000" y="228600"/>
          <a:ext cx="712066" cy="6445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714375</xdr:colOff>
      <xdr:row>1</xdr:row>
      <xdr:rowOff>647700</xdr:rowOff>
    </xdr:to>
    <xdr:pic>
      <xdr:nvPicPr>
        <xdr:cNvPr id="3" name="Picture 2">
          <a:extLst>
            <a:ext uri="{FF2B5EF4-FFF2-40B4-BE49-F238E27FC236}">
              <a16:creationId xmlns:a16="http://schemas.microsoft.com/office/drawing/2014/main" id="{C9CFD7A9-BE84-D842-B7EE-7218570B4D6D}"/>
            </a:ext>
          </a:extLst>
        </xdr:cNvPr>
        <xdr:cNvPicPr>
          <a:picLocks noChangeAspect="1"/>
        </xdr:cNvPicPr>
      </xdr:nvPicPr>
      <xdr:blipFill rotWithShape="1">
        <a:blip xmlns:r="http://schemas.openxmlformats.org/officeDocument/2006/relationships" r:embed="rId1"/>
        <a:srcRect t="3654"/>
        <a:stretch/>
      </xdr:blipFill>
      <xdr:spPr>
        <a:xfrm>
          <a:off x="7378700" y="203200"/>
          <a:ext cx="712066" cy="644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38100</xdr:colOff>
      <xdr:row>1</xdr:row>
      <xdr:rowOff>38100</xdr:rowOff>
    </xdr:from>
    <xdr:to>
      <xdr:col>17</xdr:col>
      <xdr:colOff>561975</xdr:colOff>
      <xdr:row>1</xdr:row>
      <xdr:rowOff>657225</xdr:rowOff>
    </xdr:to>
    <xdr:pic>
      <xdr:nvPicPr>
        <xdr:cNvPr id="3" name="Picture 2">
          <a:extLst>
            <a:ext uri="{FF2B5EF4-FFF2-40B4-BE49-F238E27FC236}">
              <a16:creationId xmlns:a16="http://schemas.microsoft.com/office/drawing/2014/main" id="{167D79CC-69B2-E042-87D5-B45DD9F944C2}"/>
            </a:ext>
          </a:extLst>
        </xdr:cNvPr>
        <xdr:cNvPicPr>
          <a:picLocks noChangeAspect="1"/>
        </xdr:cNvPicPr>
      </xdr:nvPicPr>
      <xdr:blipFill>
        <a:blip xmlns:r="http://schemas.openxmlformats.org/officeDocument/2006/relationships" r:embed="rId1"/>
        <a:stretch>
          <a:fillRect/>
        </a:stretch>
      </xdr:blipFill>
      <xdr:spPr>
        <a:xfrm>
          <a:off x="254000" y="241300"/>
          <a:ext cx="5994400" cy="6223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50800</xdr:colOff>
      <xdr:row>1</xdr:row>
      <xdr:rowOff>25400</xdr:rowOff>
    </xdr:from>
    <xdr:to>
      <xdr:col>1</xdr:col>
      <xdr:colOff>762000</xdr:colOff>
      <xdr:row>2</xdr:row>
      <xdr:rowOff>0</xdr:rowOff>
    </xdr:to>
    <xdr:pic>
      <xdr:nvPicPr>
        <xdr:cNvPr id="3" name="Picture 2">
          <a:extLst>
            <a:ext uri="{FF2B5EF4-FFF2-40B4-BE49-F238E27FC236}">
              <a16:creationId xmlns:a16="http://schemas.microsoft.com/office/drawing/2014/main" id="{61F60BB8-D6AF-F94F-9DBA-2D3B475F57F8}"/>
            </a:ext>
          </a:extLst>
        </xdr:cNvPr>
        <xdr:cNvPicPr>
          <a:picLocks noChangeAspect="1"/>
        </xdr:cNvPicPr>
      </xdr:nvPicPr>
      <xdr:blipFill rotWithShape="1">
        <a:blip xmlns:r="http://schemas.openxmlformats.org/officeDocument/2006/relationships" r:embed="rId1"/>
        <a:srcRect t="3654"/>
        <a:stretch/>
      </xdr:blipFill>
      <xdr:spPr>
        <a:xfrm>
          <a:off x="266700" y="228600"/>
          <a:ext cx="712066" cy="644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C3F46A99-1388-804B-AD82-BB44A27DD57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12700</xdr:colOff>
      <xdr:row>1</xdr:row>
      <xdr:rowOff>0</xdr:rowOff>
    </xdr:from>
    <xdr:to>
      <xdr:col>1</xdr:col>
      <xdr:colOff>727075</xdr:colOff>
      <xdr:row>1</xdr:row>
      <xdr:rowOff>647700</xdr:rowOff>
    </xdr:to>
    <xdr:pic>
      <xdr:nvPicPr>
        <xdr:cNvPr id="3" name="Picture 2">
          <a:extLst>
            <a:ext uri="{FF2B5EF4-FFF2-40B4-BE49-F238E27FC236}">
              <a16:creationId xmlns:a16="http://schemas.microsoft.com/office/drawing/2014/main" id="{3C6BD553-E181-084C-BE1E-B99E49A3436D}"/>
            </a:ext>
          </a:extLst>
        </xdr:cNvPr>
        <xdr:cNvPicPr>
          <a:picLocks noChangeAspect="1"/>
        </xdr:cNvPicPr>
      </xdr:nvPicPr>
      <xdr:blipFill rotWithShape="1">
        <a:blip xmlns:r="http://schemas.openxmlformats.org/officeDocument/2006/relationships" r:embed="rId1"/>
        <a:srcRect t="3654"/>
        <a:stretch/>
      </xdr:blipFill>
      <xdr:spPr>
        <a:xfrm>
          <a:off x="838200" y="203200"/>
          <a:ext cx="714375"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DAE31C28-F1FE-5B4B-B2C1-5878DB8A20BD}"/>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DA9223FA-0698-9643-9BFD-755625F85F86}"/>
            </a:ext>
          </a:extLst>
        </xdr:cNvPr>
        <xdr:cNvPicPr>
          <a:picLocks noChangeAspect="1"/>
        </xdr:cNvPicPr>
      </xdr:nvPicPr>
      <xdr:blipFill rotWithShape="1">
        <a:blip xmlns:r="http://schemas.openxmlformats.org/officeDocument/2006/relationships" r:embed="rId1"/>
        <a:srcRect t="3654"/>
        <a:stretch/>
      </xdr:blipFill>
      <xdr:spPr>
        <a:xfrm>
          <a:off x="215900" y="190500"/>
          <a:ext cx="712066" cy="6445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40A4096D-8522-EA45-A71A-044DDDF82D4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3C1E75BC-47A0-4E4D-9AF5-109B823EBD17}"/>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techdocs.broadcom.com/us/en/vmware-cis/vcf/vvs/9-X/on-prem-ransomware-recovery-for-vmware-cloud-foundation.html" TargetMode="External"/><Relationship Id="rId1" Type="http://schemas.openxmlformats.org/officeDocument/2006/relationships/hyperlink" Target="https://techdocs.broadcom.com/us/en/vmware-cis/vcf/vvs/9-X/site-protection-and-disaster-recovery-for-vmware-cloud-foundation.htm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invalid:URI%20mailto:VMw@re1!VMw@re1!" TargetMode="External"/><Relationship Id="rId1" Type="http://schemas.openxmlformats.org/officeDocument/2006/relationships/hyperlink" Target="mailto:my_offline_depot@rainpole.io"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openxmlformats.org/officeDocument/2006/relationships/hyperlink" Target="mailto:administrator@vsphere.local" TargetMode="External"/><Relationship Id="rId2" Type="http://schemas.openxmlformats.org/officeDocument/2006/relationships/hyperlink" Target="mailto:administrator@vsphere.local" TargetMode="External"/><Relationship Id="rId1" Type="http://schemas.openxmlformats.org/officeDocument/2006/relationships/hyperlink" Target="mailto:administrator@vsphere.local" TargetMode="External"/><Relationship Id="rId5" Type="http://schemas.openxmlformats.org/officeDocument/2006/relationships/drawing" Target="../drawings/drawing10.xml"/><Relationship Id="rId4" Type="http://schemas.openxmlformats.org/officeDocument/2006/relationships/hyperlink" Target="mailto:administrator@vsphere.local"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CC14-7A1F-2245-A183-B47410360F37}">
  <sheetPr codeName="Sheet8">
    <tabColor theme="3"/>
  </sheetPr>
  <dimension ref="A1:G84"/>
  <sheetViews>
    <sheetView showGridLines="0" zoomScaleNormal="100" workbookViewId="0">
      <pane ySplit="4" topLeftCell="A5" activePane="bottomLeft" state="frozen"/>
      <selection pane="bottomLeft"/>
    </sheetView>
  </sheetViews>
  <sheetFormatPr baseColWidth="10" defaultColWidth="10.83203125" defaultRowHeight="16" x14ac:dyDescent="0.2"/>
  <cols>
    <col min="1" max="1" width="2.83203125" style="2" customWidth="1"/>
    <col min="2" max="2" width="63.83203125" style="2" customWidth="1"/>
    <col min="3" max="3" width="54.83203125" style="11" customWidth="1"/>
    <col min="4" max="4" width="65.83203125" style="3" customWidth="1"/>
    <col min="5" max="5" width="99.5" style="3" customWidth="1"/>
    <col min="6" max="9" width="10.83203125" style="2" customWidth="1"/>
    <col min="10" max="16384" width="10.83203125" style="2"/>
  </cols>
  <sheetData>
    <row r="1" spans="1:7" ht="16" customHeight="1" x14ac:dyDescent="0.2">
      <c r="A1" s="1"/>
      <c r="C1" s="2"/>
      <c r="D1" s="2"/>
      <c r="E1" s="2"/>
    </row>
    <row r="2" spans="1:7" ht="54" customHeight="1" x14ac:dyDescent="0.2">
      <c r="B2" s="428" t="s">
        <v>2709</v>
      </c>
      <c r="C2" s="428"/>
      <c r="D2" s="428"/>
      <c r="E2" s="428"/>
      <c r="F2" s="237"/>
      <c r="G2" s="237"/>
    </row>
    <row r="3" spans="1:7" ht="20" customHeight="1" x14ac:dyDescent="0.2">
      <c r="B3" s="51" t="s">
        <v>2710</v>
      </c>
      <c r="C3" s="429"/>
      <c r="D3" s="429"/>
      <c r="E3" s="429"/>
      <c r="F3" s="21"/>
      <c r="G3" s="21"/>
    </row>
    <row r="6" spans="1:7" s="125" customFormat="1" ht="34" customHeight="1" x14ac:dyDescent="0.2">
      <c r="B6" s="433" t="s">
        <v>2711</v>
      </c>
      <c r="C6" s="433"/>
      <c r="D6" s="433"/>
      <c r="E6" s="433"/>
    </row>
    <row r="7" spans="1:7" ht="20" customHeight="1" x14ac:dyDescent="0.2">
      <c r="B7" s="219" t="s">
        <v>2712</v>
      </c>
      <c r="C7" s="251" t="s">
        <v>2713</v>
      </c>
      <c r="D7" s="432" t="s">
        <v>21</v>
      </c>
      <c r="E7" s="432"/>
    </row>
    <row r="8" spans="1:7" ht="68" x14ac:dyDescent="0.2">
      <c r="B8" s="8" t="s">
        <v>2714</v>
      </c>
      <c r="C8" s="250" t="s">
        <v>3496</v>
      </c>
      <c r="D8" s="435" t="s">
        <v>2715</v>
      </c>
      <c r="E8" s="436"/>
    </row>
    <row r="9" spans="1:7" ht="20" customHeight="1" x14ac:dyDescent="0.2">
      <c r="B9" s="8" t="s">
        <v>1943</v>
      </c>
      <c r="C9" s="234" t="s">
        <v>2716</v>
      </c>
      <c r="D9" s="435" t="s">
        <v>1929</v>
      </c>
      <c r="E9" s="436"/>
    </row>
    <row r="10" spans="1:7" ht="50" customHeight="1" x14ac:dyDescent="0.2">
      <c r="B10" s="8" t="s">
        <v>2717</v>
      </c>
      <c r="C10" s="234" t="s">
        <v>2716</v>
      </c>
      <c r="D10" s="435" t="s">
        <v>2718</v>
      </c>
      <c r="E10" s="436"/>
    </row>
    <row r="11" spans="1:7" ht="50" customHeight="1" x14ac:dyDescent="0.2">
      <c r="B11" s="8" t="s">
        <v>2719</v>
      </c>
      <c r="C11" s="234" t="s">
        <v>2720</v>
      </c>
      <c r="D11" s="435" t="s">
        <v>2721</v>
      </c>
      <c r="E11" s="436"/>
    </row>
    <row r="12" spans="1:7" ht="96" customHeight="1" x14ac:dyDescent="0.2">
      <c r="B12" s="8" t="s">
        <v>2722</v>
      </c>
      <c r="C12" s="234" t="s">
        <v>2716</v>
      </c>
      <c r="D12" s="430" t="s">
        <v>2723</v>
      </c>
      <c r="E12" s="430"/>
    </row>
    <row r="13" spans="1:7" ht="90" customHeight="1" x14ac:dyDescent="0.2">
      <c r="B13" s="8" t="s">
        <v>2724</v>
      </c>
      <c r="C13" s="234" t="s">
        <v>2716</v>
      </c>
      <c r="D13" s="430" t="s">
        <v>2725</v>
      </c>
      <c r="E13" s="430"/>
    </row>
    <row r="14" spans="1:7" ht="90" customHeight="1" x14ac:dyDescent="0.2">
      <c r="B14" s="8" t="s">
        <v>2726</v>
      </c>
      <c r="C14" s="234" t="s">
        <v>2716</v>
      </c>
      <c r="D14" s="443" t="s">
        <v>2727</v>
      </c>
      <c r="E14" s="444"/>
    </row>
    <row r="15" spans="1:7" ht="34" x14ac:dyDescent="0.2">
      <c r="B15" s="8" t="s">
        <v>2728</v>
      </c>
      <c r="C15" s="234" t="s">
        <v>2716</v>
      </c>
      <c r="D15" s="265" t="s">
        <v>2729</v>
      </c>
      <c r="E15" s="266"/>
    </row>
    <row r="16" spans="1:7" ht="34" x14ac:dyDescent="0.2">
      <c r="B16" s="8" t="s">
        <v>2730</v>
      </c>
      <c r="C16" s="234" t="s">
        <v>2716</v>
      </c>
      <c r="D16" s="265" t="s">
        <v>2729</v>
      </c>
      <c r="E16" s="266"/>
    </row>
    <row r="17" spans="2:5" ht="34" x14ac:dyDescent="0.2">
      <c r="B17" s="8" t="s">
        <v>2731</v>
      </c>
      <c r="C17" s="250" t="s">
        <v>2732</v>
      </c>
      <c r="D17" s="434" t="s">
        <v>2733</v>
      </c>
      <c r="E17" s="434"/>
    </row>
    <row r="19" spans="2:5" s="125" customFormat="1" ht="34" customHeight="1" x14ac:dyDescent="0.2">
      <c r="B19" s="433" t="s">
        <v>2734</v>
      </c>
      <c r="C19" s="433"/>
      <c r="D19" s="433"/>
      <c r="E19" s="433"/>
    </row>
    <row r="20" spans="2:5" ht="20" customHeight="1" x14ac:dyDescent="0.2">
      <c r="B20" s="219" t="s">
        <v>2712</v>
      </c>
      <c r="C20" s="251" t="s">
        <v>2713</v>
      </c>
      <c r="D20" s="432" t="s">
        <v>21</v>
      </c>
      <c r="E20" s="432"/>
    </row>
    <row r="21" spans="2:5" ht="20" customHeight="1" x14ac:dyDescent="0.2">
      <c r="B21" s="8" t="s">
        <v>2735</v>
      </c>
      <c r="C21" s="234" t="s">
        <v>2736</v>
      </c>
      <c r="D21" s="445" t="s">
        <v>2737</v>
      </c>
      <c r="E21" s="446"/>
    </row>
    <row r="22" spans="2:5" ht="20" customHeight="1" x14ac:dyDescent="0.2">
      <c r="B22" s="8" t="s">
        <v>1943</v>
      </c>
      <c r="C22" s="234" t="s">
        <v>2720</v>
      </c>
      <c r="D22" s="447"/>
      <c r="E22" s="448"/>
    </row>
    <row r="23" spans="2:5" ht="20" customHeight="1" x14ac:dyDescent="0.2">
      <c r="B23" s="8" t="s">
        <v>2717</v>
      </c>
      <c r="C23" s="234" t="s">
        <v>2720</v>
      </c>
      <c r="D23" s="447"/>
      <c r="E23" s="448"/>
    </row>
    <row r="24" spans="2:5" ht="20" customHeight="1" x14ac:dyDescent="0.2">
      <c r="B24" s="8" t="s">
        <v>2719</v>
      </c>
      <c r="C24" s="234" t="s">
        <v>2720</v>
      </c>
      <c r="D24" s="447"/>
      <c r="E24" s="448"/>
    </row>
    <row r="25" spans="2:5" ht="20" customHeight="1" x14ac:dyDescent="0.2">
      <c r="B25" s="8" t="s">
        <v>2738</v>
      </c>
      <c r="C25" s="234" t="s">
        <v>2720</v>
      </c>
      <c r="D25" s="447"/>
      <c r="E25" s="448"/>
    </row>
    <row r="26" spans="2:5" ht="20" customHeight="1" x14ac:dyDescent="0.2">
      <c r="B26" s="8" t="s">
        <v>2739</v>
      </c>
      <c r="C26" s="234" t="s">
        <v>2720</v>
      </c>
      <c r="D26" s="447"/>
      <c r="E26" s="448"/>
    </row>
    <row r="27" spans="2:5" ht="20" customHeight="1" x14ac:dyDescent="0.2">
      <c r="B27" s="8" t="s">
        <v>2726</v>
      </c>
      <c r="C27" s="234" t="s">
        <v>2720</v>
      </c>
      <c r="D27" s="447"/>
      <c r="E27" s="448"/>
    </row>
    <row r="28" spans="2:5" ht="20" customHeight="1" x14ac:dyDescent="0.2">
      <c r="B28" s="8" t="s">
        <v>2728</v>
      </c>
      <c r="C28" s="234" t="s">
        <v>2720</v>
      </c>
      <c r="D28" s="447"/>
      <c r="E28" s="448"/>
    </row>
    <row r="29" spans="2:5" ht="20" customHeight="1" x14ac:dyDescent="0.2">
      <c r="B29" s="8" t="s">
        <v>2730</v>
      </c>
      <c r="C29" s="234" t="s">
        <v>2720</v>
      </c>
      <c r="D29" s="447"/>
      <c r="E29" s="448"/>
    </row>
    <row r="30" spans="2:5" ht="49" customHeight="1" x14ac:dyDescent="0.2">
      <c r="B30" s="8" t="s">
        <v>2731</v>
      </c>
      <c r="C30" s="250" t="s">
        <v>2732</v>
      </c>
      <c r="D30" s="430" t="s">
        <v>2740</v>
      </c>
      <c r="E30" s="430"/>
    </row>
    <row r="32" spans="2:5" s="125" customFormat="1" ht="34" customHeight="1" x14ac:dyDescent="0.2">
      <c r="B32" s="433" t="s">
        <v>2741</v>
      </c>
      <c r="C32" s="433"/>
      <c r="D32" s="433"/>
      <c r="E32" s="433"/>
    </row>
    <row r="33" spans="2:5" ht="20" customHeight="1" x14ac:dyDescent="0.2">
      <c r="B33" s="219" t="s">
        <v>18</v>
      </c>
      <c r="C33" s="219" t="s">
        <v>10</v>
      </c>
      <c r="D33" s="432" t="s">
        <v>21</v>
      </c>
      <c r="E33" s="432"/>
    </row>
    <row r="34" spans="2:5" ht="105" customHeight="1" x14ac:dyDescent="0.2">
      <c r="B34" s="440" t="s">
        <v>2742</v>
      </c>
      <c r="C34" s="8" t="s">
        <v>2743</v>
      </c>
      <c r="D34" s="430" t="s">
        <v>2744</v>
      </c>
      <c r="E34" s="431"/>
    </row>
    <row r="35" spans="2:5" ht="34" customHeight="1" x14ac:dyDescent="0.2">
      <c r="B35" s="441"/>
      <c r="C35" s="26" t="s">
        <v>2745</v>
      </c>
      <c r="D35" s="431" t="s">
        <v>2746</v>
      </c>
      <c r="E35" s="431"/>
    </row>
    <row r="36" spans="2:5" ht="20" customHeight="1" x14ac:dyDescent="0.2">
      <c r="B36" s="441"/>
      <c r="C36" s="26" t="s">
        <v>2747</v>
      </c>
      <c r="D36" s="430" t="s">
        <v>2748</v>
      </c>
      <c r="E36" s="430"/>
    </row>
    <row r="37" spans="2:5" ht="20" customHeight="1" x14ac:dyDescent="0.2">
      <c r="B37" s="441"/>
      <c r="C37" s="26" t="s">
        <v>2749</v>
      </c>
      <c r="D37" s="430" t="s">
        <v>2750</v>
      </c>
      <c r="E37" s="430"/>
    </row>
    <row r="38" spans="2:5" ht="120" customHeight="1" x14ac:dyDescent="0.2">
      <c r="B38" s="442"/>
      <c r="C38" s="26" t="s">
        <v>2751</v>
      </c>
      <c r="D38" s="430" t="s">
        <v>2752</v>
      </c>
      <c r="E38" s="431"/>
    </row>
    <row r="40" spans="2:5" s="125" customFormat="1" ht="34" customHeight="1" x14ac:dyDescent="0.2">
      <c r="B40" s="433" t="s">
        <v>2753</v>
      </c>
      <c r="C40" s="433"/>
      <c r="D40" s="433"/>
      <c r="E40" s="433"/>
    </row>
    <row r="41" spans="2:5" ht="20" customHeight="1" x14ac:dyDescent="0.2">
      <c r="B41" s="219" t="s">
        <v>2754</v>
      </c>
      <c r="C41" s="251" t="s">
        <v>2755</v>
      </c>
      <c r="D41" s="219" t="s">
        <v>2756</v>
      </c>
      <c r="E41" s="219" t="s">
        <v>21</v>
      </c>
    </row>
    <row r="42" spans="2:5" ht="17" x14ac:dyDescent="0.2">
      <c r="B42" s="8" t="s">
        <v>2757</v>
      </c>
      <c r="C42" s="234" t="s">
        <v>2758</v>
      </c>
      <c r="D42" s="26" t="s">
        <v>3495</v>
      </c>
      <c r="E42" s="26"/>
    </row>
    <row r="43" spans="2:5" ht="34" x14ac:dyDescent="0.2">
      <c r="B43" s="8" t="s">
        <v>2759</v>
      </c>
      <c r="C43" s="234" t="s">
        <v>2758</v>
      </c>
      <c r="D43" s="26" t="s">
        <v>2760</v>
      </c>
      <c r="E43" s="26" t="s">
        <v>3672</v>
      </c>
    </row>
    <row r="45" spans="2:5" ht="34" customHeight="1" x14ac:dyDescent="0.2">
      <c r="B45" s="433" t="s">
        <v>2761</v>
      </c>
      <c r="C45" s="433"/>
      <c r="D45" s="433"/>
      <c r="E45" s="433"/>
    </row>
    <row r="46" spans="2:5" ht="20" customHeight="1" x14ac:dyDescent="0.2">
      <c r="B46" s="219" t="s">
        <v>2754</v>
      </c>
      <c r="C46" s="251" t="s">
        <v>2762</v>
      </c>
      <c r="D46" s="219" t="s">
        <v>2763</v>
      </c>
      <c r="E46" s="219" t="s">
        <v>21</v>
      </c>
    </row>
    <row r="47" spans="2:5" ht="20" customHeight="1" x14ac:dyDescent="0.2">
      <c r="B47" s="8" t="s">
        <v>2764</v>
      </c>
      <c r="C47" s="8" t="s">
        <v>2765</v>
      </c>
      <c r="D47" s="8" t="s">
        <v>2766</v>
      </c>
      <c r="E47" s="8" t="s">
        <v>3497</v>
      </c>
    </row>
    <row r="49" spans="2:5" ht="34" customHeight="1" x14ac:dyDescent="0.2">
      <c r="B49" s="433" t="s">
        <v>2767</v>
      </c>
      <c r="C49" s="433"/>
      <c r="D49" s="433"/>
      <c r="E49" s="433"/>
    </row>
    <row r="50" spans="2:5" ht="20" customHeight="1" x14ac:dyDescent="0.2">
      <c r="B50" s="219" t="s">
        <v>2768</v>
      </c>
      <c r="C50" s="251" t="s">
        <v>2769</v>
      </c>
      <c r="D50" s="219" t="s">
        <v>60</v>
      </c>
      <c r="E50" s="219" t="s">
        <v>21</v>
      </c>
    </row>
    <row r="51" spans="2:5" ht="40" customHeight="1" x14ac:dyDescent="0.2">
      <c r="B51" s="8" t="s">
        <v>2770</v>
      </c>
      <c r="C51" s="279" t="s">
        <v>2771</v>
      </c>
      <c r="D51" s="279" t="s">
        <v>1360</v>
      </c>
      <c r="E51" s="280" t="s">
        <v>2772</v>
      </c>
    </row>
    <row r="52" spans="2:5" ht="40" customHeight="1" x14ac:dyDescent="0.2">
      <c r="B52" s="8" t="s">
        <v>2773</v>
      </c>
      <c r="C52" s="8"/>
      <c r="D52" s="8"/>
      <c r="E52" s="26" t="s">
        <v>2774</v>
      </c>
    </row>
    <row r="53" spans="2:5" ht="20" customHeight="1" x14ac:dyDescent="0.2">
      <c r="B53" s="8" t="s">
        <v>2775</v>
      </c>
      <c r="C53" s="8"/>
      <c r="D53" s="8"/>
      <c r="E53" s="26" t="s">
        <v>2776</v>
      </c>
    </row>
    <row r="55" spans="2:5" s="125" customFormat="1" ht="34" customHeight="1" x14ac:dyDescent="0.2">
      <c r="B55" s="433" t="s">
        <v>2777</v>
      </c>
      <c r="C55" s="433"/>
      <c r="D55" s="433"/>
      <c r="E55" s="433"/>
    </row>
    <row r="56" spans="2:5" ht="20" customHeight="1" x14ac:dyDescent="0.2">
      <c r="B56" s="256" t="s">
        <v>18</v>
      </c>
      <c r="C56" s="438" t="s">
        <v>21</v>
      </c>
      <c r="D56" s="438"/>
      <c r="E56" s="438"/>
    </row>
    <row r="57" spans="2:5" ht="34" customHeight="1" x14ac:dyDescent="0.2">
      <c r="B57" s="8" t="s">
        <v>2778</v>
      </c>
      <c r="C57" s="439" t="s">
        <v>2779</v>
      </c>
      <c r="D57" s="439"/>
      <c r="E57" s="439"/>
    </row>
    <row r="59" spans="2:5" ht="34" customHeight="1" x14ac:dyDescent="0.2">
      <c r="B59" s="433" t="s">
        <v>1064</v>
      </c>
      <c r="C59" s="433"/>
      <c r="D59" s="433"/>
      <c r="E59" s="433"/>
    </row>
    <row r="60" spans="2:5" ht="20" customHeight="1" x14ac:dyDescent="0.2">
      <c r="B60" s="256" t="s">
        <v>18</v>
      </c>
      <c r="C60" s="257" t="s">
        <v>2769</v>
      </c>
      <c r="D60" s="257" t="s">
        <v>2780</v>
      </c>
      <c r="E60" s="257" t="s">
        <v>21</v>
      </c>
    </row>
    <row r="61" spans="2:5" ht="20" customHeight="1" x14ac:dyDescent="0.2">
      <c r="B61" s="8" t="s">
        <v>2781</v>
      </c>
      <c r="C61" s="8" t="s">
        <v>2782</v>
      </c>
      <c r="D61" s="8" t="s">
        <v>2783</v>
      </c>
      <c r="E61" s="26" t="s">
        <v>2784</v>
      </c>
    </row>
    <row r="62" spans="2:5" ht="102" x14ac:dyDescent="0.2">
      <c r="B62" s="8"/>
      <c r="C62" s="8" t="s">
        <v>2785</v>
      </c>
      <c r="D62" s="8" t="s">
        <v>2786</v>
      </c>
      <c r="E62" s="26" t="s">
        <v>2787</v>
      </c>
    </row>
    <row r="63" spans="2:5" ht="20" customHeight="1" x14ac:dyDescent="0.2">
      <c r="B63" s="8" t="s">
        <v>2788</v>
      </c>
      <c r="C63" s="8" t="s">
        <v>2789</v>
      </c>
      <c r="D63" s="8"/>
      <c r="E63" s="26" t="s">
        <v>2790</v>
      </c>
    </row>
    <row r="65" spans="2:5" ht="34" customHeight="1" x14ac:dyDescent="0.2">
      <c r="B65" s="433" t="s">
        <v>1077</v>
      </c>
      <c r="C65" s="433"/>
      <c r="D65" s="433"/>
      <c r="E65" s="433"/>
    </row>
    <row r="66" spans="2:5" ht="20" customHeight="1" x14ac:dyDescent="0.2">
      <c r="B66" s="219" t="s">
        <v>18</v>
      </c>
      <c r="C66" s="219" t="s">
        <v>2791</v>
      </c>
      <c r="D66" s="432" t="s">
        <v>21</v>
      </c>
      <c r="E66" s="432"/>
    </row>
    <row r="67" spans="2:5" ht="77" customHeight="1" x14ac:dyDescent="0.2">
      <c r="B67" s="8" t="s">
        <v>2792</v>
      </c>
      <c r="C67" s="8"/>
      <c r="D67" s="430" t="s">
        <v>3499</v>
      </c>
      <c r="E67" s="430"/>
    </row>
    <row r="68" spans="2:5" ht="340" customHeight="1" x14ac:dyDescent="0.2">
      <c r="B68" s="8" t="s">
        <v>2793</v>
      </c>
      <c r="C68" s="26" t="s">
        <v>3498</v>
      </c>
      <c r="D68" s="430" t="s">
        <v>3666</v>
      </c>
      <c r="E68" s="430"/>
    </row>
    <row r="70" spans="2:5" s="125" customFormat="1" ht="34" customHeight="1" x14ac:dyDescent="0.2">
      <c r="B70" s="433" t="s">
        <v>2794</v>
      </c>
      <c r="C70" s="433"/>
      <c r="D70" s="433"/>
      <c r="E70" s="433"/>
    </row>
    <row r="71" spans="2:5" ht="20" customHeight="1" x14ac:dyDescent="0.2">
      <c r="B71" s="219" t="s">
        <v>18</v>
      </c>
      <c r="C71" s="432" t="s">
        <v>21</v>
      </c>
      <c r="D71" s="432"/>
      <c r="E71" s="432"/>
    </row>
    <row r="72" spans="2:5" ht="34" customHeight="1" x14ac:dyDescent="0.2">
      <c r="B72" s="8" t="s">
        <v>2795</v>
      </c>
      <c r="C72" s="437" t="s">
        <v>2796</v>
      </c>
      <c r="D72" s="437"/>
      <c r="E72" s="437"/>
    </row>
    <row r="74" spans="2:5" s="125" customFormat="1" ht="34" customHeight="1" x14ac:dyDescent="0.2">
      <c r="B74" s="433" t="s">
        <v>54</v>
      </c>
      <c r="C74" s="433"/>
      <c r="D74" s="433"/>
      <c r="E74" s="433"/>
    </row>
    <row r="75" spans="2:5" ht="20" customHeight="1" x14ac:dyDescent="0.2">
      <c r="B75" s="219" t="s">
        <v>18</v>
      </c>
      <c r="C75" s="432" t="s">
        <v>21</v>
      </c>
      <c r="D75" s="432"/>
      <c r="E75" s="432"/>
    </row>
    <row r="76" spans="2:5" ht="50" customHeight="1" x14ac:dyDescent="0.2">
      <c r="B76" s="8" t="s">
        <v>54</v>
      </c>
      <c r="C76" s="437" t="s">
        <v>2797</v>
      </c>
      <c r="D76" s="437"/>
      <c r="E76" s="437" t="s">
        <v>2798</v>
      </c>
    </row>
    <row r="78" spans="2:5" s="125" customFormat="1" ht="34" customHeight="1" x14ac:dyDescent="0.2">
      <c r="B78" s="433" t="s">
        <v>1511</v>
      </c>
      <c r="C78" s="433"/>
      <c r="D78" s="433"/>
      <c r="E78" s="433"/>
    </row>
    <row r="79" spans="2:5" ht="20" customHeight="1" x14ac:dyDescent="0.2">
      <c r="B79" s="219" t="s">
        <v>18</v>
      </c>
      <c r="C79" s="432" t="s">
        <v>21</v>
      </c>
      <c r="D79" s="432"/>
      <c r="E79" s="432"/>
    </row>
    <row r="80" spans="2:5" ht="34" customHeight="1" x14ac:dyDescent="0.2">
      <c r="B80" s="8" t="s">
        <v>1511</v>
      </c>
      <c r="C80" s="437" t="s">
        <v>3500</v>
      </c>
      <c r="D80" s="437"/>
      <c r="E80" s="437"/>
    </row>
    <row r="82" spans="2:5" s="125" customFormat="1" ht="34" customHeight="1" x14ac:dyDescent="0.2">
      <c r="B82" s="433" t="s">
        <v>2799</v>
      </c>
      <c r="C82" s="433"/>
      <c r="D82" s="433"/>
      <c r="E82" s="433"/>
    </row>
    <row r="83" spans="2:5" ht="20" customHeight="1" x14ac:dyDescent="0.2">
      <c r="B83" s="219" t="s">
        <v>18</v>
      </c>
      <c r="C83" s="432" t="s">
        <v>21</v>
      </c>
      <c r="D83" s="432"/>
      <c r="E83" s="432"/>
    </row>
    <row r="84" spans="2:5" ht="86" customHeight="1" x14ac:dyDescent="0.2">
      <c r="B84" s="8" t="s">
        <v>2799</v>
      </c>
      <c r="C84" s="437" t="s">
        <v>3501</v>
      </c>
      <c r="D84" s="437"/>
      <c r="E84" s="437"/>
    </row>
  </sheetData>
  <sheetProtection algorithmName="SHA-512" hashValue="8oOqCbtPTNKVU1DVLLr81pOknYYqOH9d/PiXq41RQTejbv77KhXlq9UEr0nCmMq0jeWbictDcdLnejw86mvF0Q==" saltValue="7kzbgho4jkTZwXYLFMiGxA==" spinCount="100000" sheet="1" objects="1" scenarios="1"/>
  <mergeCells count="47">
    <mergeCell ref="D10:E10"/>
    <mergeCell ref="D11:E11"/>
    <mergeCell ref="D14:E14"/>
    <mergeCell ref="D21:E29"/>
    <mergeCell ref="C84:E84"/>
    <mergeCell ref="B82:E82"/>
    <mergeCell ref="B74:E74"/>
    <mergeCell ref="B78:E78"/>
    <mergeCell ref="B40:E40"/>
    <mergeCell ref="B45:E45"/>
    <mergeCell ref="C75:E75"/>
    <mergeCell ref="C76:E76"/>
    <mergeCell ref="C71:E71"/>
    <mergeCell ref="C72:E72"/>
    <mergeCell ref="D68:E68"/>
    <mergeCell ref="D66:E66"/>
    <mergeCell ref="B49:E49"/>
    <mergeCell ref="B55:E55"/>
    <mergeCell ref="D38:E38"/>
    <mergeCell ref="C79:E79"/>
    <mergeCell ref="B34:B38"/>
    <mergeCell ref="D36:E36"/>
    <mergeCell ref="D37:E37"/>
    <mergeCell ref="C80:E80"/>
    <mergeCell ref="C83:E83"/>
    <mergeCell ref="C56:E56"/>
    <mergeCell ref="B70:E70"/>
    <mergeCell ref="B59:E59"/>
    <mergeCell ref="B65:E65"/>
    <mergeCell ref="C57:E57"/>
    <mergeCell ref="D67:E67"/>
    <mergeCell ref="B2:E2"/>
    <mergeCell ref="C3:E3"/>
    <mergeCell ref="D34:E34"/>
    <mergeCell ref="D35:E35"/>
    <mergeCell ref="D33:E33"/>
    <mergeCell ref="B32:E32"/>
    <mergeCell ref="D12:E12"/>
    <mergeCell ref="D13:E13"/>
    <mergeCell ref="D17:E17"/>
    <mergeCell ref="B6:E6"/>
    <mergeCell ref="D30:E30"/>
    <mergeCell ref="B19:E19"/>
    <mergeCell ref="D7:E7"/>
    <mergeCell ref="D20:E20"/>
    <mergeCell ref="D8:E8"/>
    <mergeCell ref="D9:E9"/>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0BAA-2FCE-2F4D-AFAA-0B3FCAADE1E9}">
  <sheetPr codeName="Sheet2">
    <tabColor rgb="FF0E223A"/>
  </sheetPr>
  <dimension ref="A1:AM36"/>
  <sheetViews>
    <sheetView showGridLines="0" tabSelected="1" zoomScaleNormal="100" workbookViewId="0">
      <pane ySplit="4" topLeftCell="A5" activePane="bottomLeft" state="frozen"/>
      <selection pane="bottomLeft"/>
    </sheetView>
  </sheetViews>
  <sheetFormatPr baseColWidth="10" defaultRowHeight="16" x14ac:dyDescent="0.2"/>
  <cols>
    <col min="1" max="1" width="2.83203125" style="9" customWidth="1"/>
    <col min="2" max="4" width="1.83203125" style="9" customWidth="1"/>
    <col min="5" max="5" width="60.83203125" style="9" customWidth="1"/>
    <col min="6" max="8" width="1.83203125" style="9" customWidth="1"/>
    <col min="9" max="9" width="2.83203125" style="9" customWidth="1"/>
    <col min="10" max="10" width="44.83203125" style="9" customWidth="1"/>
    <col min="11" max="11" width="50.83203125" style="9" customWidth="1"/>
    <col min="12" max="12" width="25.33203125" style="9" customWidth="1"/>
    <col min="13" max="13" width="90.83203125" style="9" customWidth="1"/>
    <col min="14" max="16" width="10.83203125" style="9" customWidth="1"/>
    <col min="17" max="16384" width="10.83203125" style="9"/>
  </cols>
  <sheetData>
    <row r="1" spans="1:39" s="7" customFormat="1" ht="16" customHeight="1" x14ac:dyDescent="0.2">
      <c r="A1" s="52"/>
    </row>
    <row r="2" spans="1:39" s="2" customFormat="1" ht="54" customHeight="1" x14ac:dyDescent="0.2">
      <c r="A2" s="7"/>
      <c r="B2" s="409" t="s">
        <v>2701</v>
      </c>
      <c r="C2" s="410"/>
      <c r="D2" s="410"/>
      <c r="E2" s="410"/>
      <c r="F2" s="410"/>
      <c r="G2" s="410"/>
      <c r="H2" s="410"/>
      <c r="I2" s="410"/>
      <c r="J2" s="410"/>
      <c r="K2" s="410"/>
      <c r="L2" s="410"/>
      <c r="M2" s="411"/>
      <c r="O2" s="7"/>
      <c r="P2" s="7"/>
      <c r="Q2" s="7"/>
      <c r="R2" s="7"/>
      <c r="S2" s="7"/>
      <c r="T2" s="7"/>
      <c r="U2" s="7"/>
      <c r="V2" s="7"/>
      <c r="W2" s="7"/>
      <c r="X2" s="7"/>
      <c r="Y2" s="7"/>
      <c r="Z2" s="7"/>
      <c r="AA2" s="7"/>
      <c r="AB2" s="7"/>
      <c r="AC2" s="7"/>
      <c r="AD2" s="7"/>
      <c r="AE2" s="7"/>
      <c r="AF2" s="7"/>
      <c r="AG2" s="7"/>
      <c r="AH2" s="7"/>
      <c r="AI2" s="7"/>
      <c r="AJ2" s="7"/>
      <c r="AK2" s="7"/>
      <c r="AL2" s="7"/>
      <c r="AM2" s="7"/>
    </row>
    <row r="3" spans="1:39" s="2" customFormat="1" ht="20" customHeight="1" x14ac:dyDescent="0.2">
      <c r="A3" s="7"/>
      <c r="B3" s="426" t="s">
        <v>2702</v>
      </c>
      <c r="C3" s="427"/>
      <c r="D3" s="427"/>
      <c r="E3" s="427"/>
      <c r="F3" s="427"/>
      <c r="G3" s="427"/>
      <c r="H3" s="427"/>
      <c r="I3" s="427"/>
      <c r="J3" s="427"/>
      <c r="K3" s="427"/>
      <c r="L3" s="427"/>
      <c r="M3" s="331" t="str">
        <f ca="1">pnp_version_number</f>
        <v>v1.9.1.102</v>
      </c>
      <c r="O3" s="7"/>
      <c r="P3" s="7"/>
      <c r="Q3" s="7"/>
      <c r="R3" s="7"/>
      <c r="S3" s="7"/>
      <c r="T3" s="7"/>
      <c r="U3" s="7"/>
      <c r="V3" s="7"/>
      <c r="W3" s="7"/>
      <c r="X3" s="7"/>
      <c r="Y3" s="7"/>
      <c r="Z3" s="7"/>
      <c r="AA3" s="7"/>
      <c r="AB3" s="7"/>
      <c r="AC3" s="7"/>
      <c r="AD3" s="7"/>
      <c r="AE3" s="7"/>
      <c r="AF3" s="7"/>
      <c r="AG3" s="7"/>
      <c r="AH3" s="7"/>
      <c r="AI3" s="7"/>
      <c r="AJ3" s="7"/>
      <c r="AK3" s="7"/>
      <c r="AL3" s="7"/>
      <c r="AM3" s="7"/>
    </row>
    <row r="4" spans="1:39" s="7" customFormat="1" ht="16" customHeight="1" x14ac:dyDescent="0.2">
      <c r="I4" s="53"/>
      <c r="J4" s="53"/>
    </row>
    <row r="5" spans="1:39" s="7" customFormat="1" ht="16" customHeight="1" x14ac:dyDescent="0.2"/>
    <row r="6" spans="1:39" s="2" customFormat="1" ht="20" customHeight="1" x14ac:dyDescent="0.2">
      <c r="A6" s="7"/>
      <c r="B6" s="412" t="s">
        <v>2703</v>
      </c>
      <c r="C6" s="413"/>
      <c r="D6" s="413"/>
      <c r="E6" s="413"/>
      <c r="F6" s="413"/>
      <c r="G6" s="413"/>
      <c r="H6" s="413"/>
      <c r="I6" s="413"/>
      <c r="J6" s="413"/>
      <c r="K6" s="413"/>
      <c r="L6" s="413"/>
      <c r="M6" s="414"/>
      <c r="O6" s="7"/>
      <c r="P6" s="7"/>
      <c r="Q6" s="7"/>
      <c r="R6" s="7"/>
      <c r="S6" s="7"/>
      <c r="T6" s="7"/>
      <c r="U6" s="7"/>
      <c r="V6" s="7"/>
      <c r="W6" s="7"/>
      <c r="X6" s="7"/>
      <c r="Y6" s="7"/>
      <c r="Z6" s="7"/>
      <c r="AA6" s="7"/>
      <c r="AB6" s="7"/>
      <c r="AC6" s="7"/>
      <c r="AD6" s="7"/>
      <c r="AE6" s="7"/>
      <c r="AF6" s="7"/>
      <c r="AG6" s="7"/>
      <c r="AH6" s="7"/>
      <c r="AI6" s="7"/>
      <c r="AJ6" s="7"/>
      <c r="AK6" s="7"/>
      <c r="AL6" s="7"/>
      <c r="AM6" s="7"/>
    </row>
    <row r="7" spans="1:39" s="2" customFormat="1" ht="20" customHeight="1" x14ac:dyDescent="0.2">
      <c r="A7" s="7"/>
      <c r="B7" s="415" t="s">
        <v>2704</v>
      </c>
      <c r="C7" s="416"/>
      <c r="D7" s="416"/>
      <c r="E7" s="416"/>
      <c r="F7" s="416"/>
      <c r="G7" s="416"/>
      <c r="H7" s="416"/>
      <c r="I7" s="416"/>
      <c r="J7" s="416"/>
      <c r="K7" s="416"/>
      <c r="L7" s="416"/>
      <c r="M7" s="417"/>
      <c r="O7" s="7"/>
      <c r="P7" s="7"/>
      <c r="Q7" s="7"/>
      <c r="R7" s="7"/>
      <c r="S7" s="7"/>
      <c r="T7" s="7"/>
      <c r="U7" s="7"/>
      <c r="V7" s="7"/>
      <c r="W7" s="7"/>
      <c r="X7" s="7"/>
      <c r="Y7" s="7"/>
      <c r="Z7" s="7"/>
      <c r="AA7" s="7"/>
      <c r="AB7" s="7"/>
      <c r="AC7" s="7"/>
      <c r="AD7" s="7"/>
      <c r="AE7" s="7"/>
      <c r="AF7" s="7"/>
      <c r="AG7" s="7"/>
      <c r="AH7" s="7"/>
      <c r="AI7" s="7"/>
      <c r="AJ7" s="7"/>
      <c r="AK7" s="7"/>
      <c r="AL7" s="7"/>
      <c r="AM7" s="7"/>
    </row>
    <row r="8" spans="1:39" s="7" customFormat="1" ht="20" customHeight="1" x14ac:dyDescent="0.2">
      <c r="I8" s="53"/>
    </row>
    <row r="9" spans="1:39" ht="17" x14ac:dyDescent="0.2">
      <c r="J9" s="425" t="s">
        <v>186</v>
      </c>
      <c r="K9" s="425"/>
      <c r="L9" s="425"/>
      <c r="M9" s="425"/>
    </row>
    <row r="10" spans="1:39" x14ac:dyDescent="0.2">
      <c r="J10" s="418" t="s">
        <v>2705</v>
      </c>
      <c r="K10" s="418"/>
      <c r="L10" s="418"/>
      <c r="M10" s="418"/>
    </row>
    <row r="11" spans="1:39" ht="16" customHeight="1" x14ac:dyDescent="0.2">
      <c r="J11" s="419" t="str">
        <f>IF(vcf_version_chosen="No Version Selected","Select Version",vcf_version_chosen)</f>
        <v>9.1.1.0</v>
      </c>
      <c r="K11" s="420"/>
      <c r="L11" s="420"/>
      <c r="M11" s="421"/>
    </row>
    <row r="12" spans="1:39" ht="16" customHeight="1" x14ac:dyDescent="0.2">
      <c r="J12" s="422"/>
      <c r="K12" s="423"/>
      <c r="L12" s="423"/>
      <c r="M12" s="424"/>
    </row>
    <row r="14" spans="1:39" ht="18" x14ac:dyDescent="0.2">
      <c r="J14" s="412" t="s">
        <v>1058</v>
      </c>
      <c r="K14" s="413"/>
      <c r="L14" s="413"/>
      <c r="M14" s="414"/>
    </row>
    <row r="15" spans="1:39" ht="17" x14ac:dyDescent="0.2">
      <c r="J15" s="63" t="s">
        <v>9</v>
      </c>
      <c r="K15" s="63" t="s">
        <v>10</v>
      </c>
      <c r="L15" s="63" t="s">
        <v>11</v>
      </c>
      <c r="M15" s="63" t="s">
        <v>12</v>
      </c>
    </row>
    <row r="16" spans="1:39" x14ac:dyDescent="0.2">
      <c r="J16" s="141" t="s">
        <v>3614</v>
      </c>
      <c r="K16" s="120" t="str">
        <f>CONCATENATE(mgmt_domain_deployment_type_chosen," Deployment Version")</f>
        <v>VMware Cloud Foundation Deployment Version</v>
      </c>
      <c r="L16" s="140" t="str">
        <f>IF(vcf_version_chosen="No Version Selected","Excluded","Included")</f>
        <v>Included</v>
      </c>
      <c r="M16" s="8" t="str">
        <f>IF(vcf_version_result="Excluded",CONCATENATE("Cause: ",mgmt_domain_deployment_type_chosen, " Deployment Version is not selected"),CONCATENATE(mgmt_domain_deployment_type_chosen," Version ",vcf_version," selected"))</f>
        <v>VMware Cloud Foundation Version 9.1.1.0 selected</v>
      </c>
    </row>
    <row r="17" spans="5:14" x14ac:dyDescent="0.2">
      <c r="J17" s="142" t="s">
        <v>2705</v>
      </c>
      <c r="K17" s="120" t="s">
        <v>2706</v>
      </c>
      <c r="L17" s="140" t="str">
        <f>IF(vcf_version_chosen="No Version Selected","Excluded","Included")</f>
        <v>Included</v>
      </c>
      <c r="M17" s="8" t="str">
        <f>IF(vcf_version_result="Excluded",CONCATENATE("Cause: ",mgmt_domain_deployment_type_chosen, " Deployment Version is not selected"),IF(mgmt_domain_deployment_type_chosen="VMware Cloud Foundation","VMware Cloud Foundation Private Cloud will be deployed","VMware vSphere Foundation will be deployed"))</f>
        <v>VMware Cloud Foundation Private Cloud will be deployed</v>
      </c>
    </row>
    <row r="18" spans="5:14" x14ac:dyDescent="0.2">
      <c r="J18" s="143" t="s">
        <v>1921</v>
      </c>
      <c r="K18" s="120" t="s">
        <v>2707</v>
      </c>
      <c r="L18" s="140" t="str">
        <f>IF(vcf_version_chosen="No Version Selected","Excluded",IF(mgmt_domain_deployment_type_chosen="VMware vSphere Foundation","Excluded",IF(mgmt_domain_chosen="Deploy a new VCF fleet","Included","Included")))</f>
        <v>Included</v>
      </c>
      <c r="M18" s="8" t="str">
        <f>IF(vcf_version_result="Excluded",CONCATENATE("Cause: ",mgmt_domain_deployment_type_chosen, " Deployment Version is not selected"),IF(mgmt_domain_deployment_type_chosen="VMware vSphere Foundation","Option not required for deployment specification type",IF(mgmt_domain_chosen="First Instance","Operation will be performed on the First VCF Instance","Operation will be performed on an additional VCF Instance")))</f>
        <v>Operation will be performed on the First VCF Instance</v>
      </c>
    </row>
    <row r="19" spans="5:14" x14ac:dyDescent="0.2">
      <c r="J19" s="144" t="s">
        <v>1924</v>
      </c>
      <c r="K19" s="120" t="s">
        <v>2708</v>
      </c>
      <c r="L19" s="140" t="str">
        <f>IF(vcf_version_chosen="No Version Selected","Excluded",
IF(AND(mgmt_domain_deployment_type_chosen="VMware vSphere Foundation",vcf_granular_option_chosen="Create Workload Domain"),"Excluded",
IF(AND(mgmt_domain_deployment_type_chosen="VMware vSphere Foundation",vcf_granular_option_chosen="Create Cluster"),"Excluded",
IF(AND(mgmt_domain_deployment_type_chosen="VMware Cloud Foundation",vcf_granular_option_chosen="VMware vSphere Foundation Deployment"),"Excluded",
IF(vcf_granular_option_chosen="None Chosen","Excluded","Included")))))</f>
        <v>Included</v>
      </c>
      <c r="M19" s="8" t="str">
        <f>IF(vcf_version_result="Excluded",CONCATENATE("Cause: ",mgmt_domain_deployment_type_chosen," Deployment Version is not selected"),
IF(AND(mgmt_domain_deployment_type_chosen="VMware vSphere Foundation",vcf_granular_option_chosen="Create Workload Domain"),"Option not supported for deployment specification type",
IF(AND(mgmt_domain_deployment_type_chosen="VMware vSphere Foundation",vcf_granular_option_chosen="Create Cluster"),"Option not supported for deployment specification type",
IF(AND(mgmt_domain_deployment_type_chosen="VMware Cloud Foundation",vcf_granular_option_chosen="VMware vSphere Foundation Deployment"),"Option not supported for deployment specification type",
IF(vcf_granular_option_chosen="None Chosen","No Deployment Type Chosen",IF(vcf_granular_option_chosen="Deploy a new VCF fleet","VMware Cloud Foundation Installer will deploy a new VCF fleet",
IF(vcf_granular_option_chosen="Deploy a VCF Instance in an existing VCF fleet","VMware Cloud Foundation Installer will deploy a new VCF Instance in an existing VCF fleet",
IF(vcf_granular_option_chosen="Create Cluster","A cluster will be added to an existing Workload Domain",
IF(vcf_granular_option_chosen="Create Workload Domain","A Workload Domain will be added to an exsiting VCF Instance",
IF(vcf_granular_option_chosen="VMware vSphere Foundation Deployment","Deploy a new VMware vSphere Foundation Cluster",
IF(vcf_granular_option_chosen="Deploy deferred components","Deploy the management components that you deffered during the inital deployment","")))))))))))</f>
        <v>VMware Cloud Foundation Installer will deploy a new VCF fleet</v>
      </c>
    </row>
    <row r="21" spans="5:14" x14ac:dyDescent="0.2">
      <c r="J21" s="145"/>
    </row>
    <row r="24" spans="5:14" x14ac:dyDescent="0.2">
      <c r="J24" s="146"/>
    </row>
    <row r="25" spans="5:14" x14ac:dyDescent="0.2">
      <c r="J25" s="146"/>
    </row>
    <row r="27" spans="5:14" x14ac:dyDescent="0.2">
      <c r="J27" s="146"/>
    </row>
    <row r="29" spans="5:14" x14ac:dyDescent="0.2">
      <c r="E29" s="147"/>
      <c r="F29" s="147"/>
      <c r="G29" s="147"/>
      <c r="H29" s="147"/>
      <c r="N29" s="147"/>
    </row>
    <row r="30" spans="5:14" x14ac:dyDescent="0.2">
      <c r="E30" s="147"/>
      <c r="F30" s="147"/>
      <c r="G30" s="147"/>
      <c r="H30" s="147"/>
      <c r="N30" s="147"/>
    </row>
    <row r="31" spans="5:14" x14ac:dyDescent="0.2">
      <c r="E31" s="147"/>
      <c r="F31" s="147"/>
      <c r="G31" s="147"/>
      <c r="H31" s="147"/>
      <c r="I31" s="147"/>
      <c r="N31" s="147"/>
    </row>
    <row r="32" spans="5:14" x14ac:dyDescent="0.2">
      <c r="E32" s="147"/>
      <c r="F32" s="147"/>
      <c r="G32" s="147"/>
      <c r="H32" s="147"/>
      <c r="I32" s="147"/>
      <c r="N32" s="147"/>
    </row>
    <row r="33" spans="5:14" x14ac:dyDescent="0.2">
      <c r="E33" s="147"/>
      <c r="F33" s="147"/>
      <c r="G33" s="147"/>
      <c r="H33" s="147"/>
      <c r="I33" s="147"/>
      <c r="N33" s="147"/>
    </row>
    <row r="34" spans="5:14" x14ac:dyDescent="0.2">
      <c r="E34" s="147"/>
      <c r="F34" s="147"/>
      <c r="G34" s="147"/>
      <c r="H34" s="147"/>
      <c r="I34" s="147"/>
      <c r="N34" s="147"/>
    </row>
    <row r="35" spans="5:14" x14ac:dyDescent="0.2">
      <c r="E35" s="147"/>
      <c r="F35" s="147"/>
      <c r="G35" s="147"/>
      <c r="H35" s="147"/>
      <c r="I35" s="147"/>
      <c r="N35" s="147"/>
    </row>
    <row r="36" spans="5:14" x14ac:dyDescent="0.2">
      <c r="E36" s="147"/>
      <c r="F36" s="147"/>
      <c r="G36" s="147"/>
      <c r="H36" s="147"/>
      <c r="I36" s="147"/>
      <c r="N36" s="147"/>
    </row>
  </sheetData>
  <sheetProtection algorithmName="SHA-512" hashValue="6rwwoe3cyD/FLGef2kJCMysi+xwI0rtK6qiytvMXKXqhRgEmRtIH68YUuKVsbcZ5ZyEWq0l8ljUSXLfcSi5/Rw==" saltValue="CNGjzlCQIy35ftICK1NGnQ==" spinCount="100000" sheet="1" selectLockedCells="1"/>
  <mergeCells count="8">
    <mergeCell ref="B2:M2"/>
    <mergeCell ref="B6:M6"/>
    <mergeCell ref="B7:M7"/>
    <mergeCell ref="J14:M14"/>
    <mergeCell ref="J10:M10"/>
    <mergeCell ref="J11:M12"/>
    <mergeCell ref="J9:M9"/>
    <mergeCell ref="B3:L3"/>
  </mergeCells>
  <conditionalFormatting sqref="J16 L16:M16">
    <cfRule type="expression" dxfId="2318" priority="8">
      <formula>(vcf_version_result="Excluded")</formula>
    </cfRule>
  </conditionalFormatting>
  <conditionalFormatting sqref="J16:J19">
    <cfRule type="expression" dxfId="2317" priority="17" stopIfTrue="1">
      <formula>(vcf_version_result&lt;&gt;"Excluded")</formula>
    </cfRule>
  </conditionalFormatting>
  <conditionalFormatting sqref="J18">
    <cfRule type="expression" dxfId="2316" priority="12">
      <formula>mgmt_domain_deployment_type_chosen="VMware vSphere Foundation"</formula>
    </cfRule>
  </conditionalFormatting>
  <conditionalFormatting sqref="J19 L19:M19">
    <cfRule type="expression" dxfId="2315" priority="1">
      <formula>AND((mgmt_domain_deployment_type_chosen="VMware Cloud Foundation"),(vcf_granular_option_chosen="VMware vSphere Foundation Deployment"))</formula>
    </cfRule>
    <cfRule type="expression" dxfId="2314" priority="2">
      <formula>AND((mgmt_domain_deployment_type_chosen="VMware vSphere Foundation"),(vcf_granular_option_chosen="Create Cluster"))</formula>
    </cfRule>
    <cfRule type="expression" dxfId="2313" priority="3">
      <formula>AND((mgmt_domain_deployment_type_chosen="VMware vSphere Foundation"),(vcf_granular_option_chosen="Create VI Workload Domain"))</formula>
    </cfRule>
  </conditionalFormatting>
  <conditionalFormatting sqref="J19">
    <cfRule type="expression" dxfId="2312" priority="5">
      <formula>(vcf_granular_option_chosen="None Chosen")</formula>
    </cfRule>
    <cfRule type="expression" dxfId="2311" priority="15">
      <formula>AND((mgmt_domain_deployment_type_chosen="VVF"),(vcf_granular_option_chosen="Workload Domain"))</formula>
    </cfRule>
  </conditionalFormatting>
  <conditionalFormatting sqref="J11:L11">
    <cfRule type="expression" dxfId="2310" priority="7">
      <formula>vcf_version="Select Deployment Version"</formula>
    </cfRule>
  </conditionalFormatting>
  <conditionalFormatting sqref="L16:L19">
    <cfRule type="expression" dxfId="2309" priority="13">
      <formula>(vcf_version_result="Excluded")</formula>
    </cfRule>
    <cfRule type="expression" dxfId="2308" priority="19" stopIfTrue="1">
      <formula>(vcf_version_chosen&lt;&gt;"Excluded")</formula>
    </cfRule>
  </conditionalFormatting>
  <conditionalFormatting sqref="L18">
    <cfRule type="expression" dxfId="2307" priority="16">
      <formula>(mgmt_domain_result="Excluded")</formula>
    </cfRule>
    <cfRule type="expression" dxfId="2306" priority="20">
      <formula>(mgmt_domain_result&lt;&gt;"Excluded")</formula>
    </cfRule>
  </conditionalFormatting>
  <conditionalFormatting sqref="L18:M18">
    <cfRule type="expression" dxfId="2305" priority="11">
      <formula>mgmt_domain_deployment_type_chosen="VMware vSphere Foundation"</formula>
    </cfRule>
  </conditionalFormatting>
  <conditionalFormatting sqref="L19:M19">
    <cfRule type="expression" dxfId="2304" priority="9">
      <formula>vcf_granular_option_result="Excluded"</formula>
    </cfRule>
  </conditionalFormatting>
  <conditionalFormatting sqref="M16:M17 M19">
    <cfRule type="expression" dxfId="2303" priority="14">
      <formula>vcf_version_result="Excluded"</formula>
    </cfRule>
    <cfRule type="expression" dxfId="2302" priority="18">
      <formula>vcf_version_result="Included"</formula>
    </cfRule>
  </conditionalFormatting>
  <conditionalFormatting sqref="M18">
    <cfRule type="expression" dxfId="2301" priority="6">
      <formula>mgmt_domain_result="Included"</formula>
    </cfRule>
    <cfRule type="expression" dxfId="2300" priority="10">
      <formula>mgmt_domain_result="Excluded"</formula>
    </cfRule>
  </conditionalFormatting>
  <dataValidations count="4">
    <dataValidation type="list" allowBlank="1" showInputMessage="1" showErrorMessage="1" sqref="J18" xr:uid="{D3CC7704-A96D-5C40-B51E-CEAAE62F6B18}">
      <formula1>INDIRECT(SUBSTITUTE(J17," ","_"))</formula1>
    </dataValidation>
    <dataValidation type="list" allowBlank="1" showInputMessage="1" showErrorMessage="1" sqref="J17" xr:uid="{BF2BB22A-A9E2-C746-B137-7160675982C4}">
      <formula1>"VMware Cloud Foundation,VMware vSphere Foundation"</formula1>
    </dataValidation>
    <dataValidation type="list" allowBlank="1" showInputMessage="1" showErrorMessage="1" sqref="J16" xr:uid="{845D40E7-F93C-9A45-8F34-252054BD321A}">
      <formula1>"No Version Selected, 9.1.1.0"</formula1>
    </dataValidation>
    <dataValidation type="list" allowBlank="1" showInputMessage="1" showErrorMessage="1" sqref="J19" xr:uid="{80022569-3F67-FE44-901D-A1A7DDCB374C}">
      <formula1>IF(mgmt_domain_deployment_type_chosen="VMware vSphere Foundation",VMware_vSphere_Foundation,INDIRECT(SUBSTITUTE(J18," ","_")))</formula1>
    </dataValidation>
  </dataValidation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0D3D-A551-1C46-BF22-7FF7A5F09D91}">
  <sheetPr codeName="Sheet13">
    <tabColor theme="9" tint="-0.249977111117893"/>
  </sheetPr>
  <dimension ref="A1:AI115"/>
  <sheetViews>
    <sheetView showGridLines="0" zoomScaleNormal="100" workbookViewId="0">
      <pane ySplit="4" topLeftCell="A5" activePane="bottomLeft" state="frozen"/>
      <selection pane="bottomLeft"/>
    </sheetView>
  </sheetViews>
  <sheetFormatPr baseColWidth="10" defaultColWidth="10.83203125" defaultRowHeight="16" x14ac:dyDescent="0.2"/>
  <cols>
    <col min="1" max="1" width="2.83203125" style="2" customWidth="1"/>
    <col min="2" max="2" width="11.83203125" style="2" customWidth="1"/>
    <col min="3" max="3" width="12.83203125" style="2" customWidth="1"/>
    <col min="4" max="4" width="14.1640625" style="2" customWidth="1"/>
    <col min="5" max="5" width="21.83203125" style="2" customWidth="1"/>
    <col min="6" max="6" width="12" style="2" customWidth="1"/>
    <col min="7" max="7" width="13" style="2" customWidth="1"/>
    <col min="8" max="8" width="28.6640625" style="3" customWidth="1"/>
    <col min="9" max="9" width="11.5" style="3" customWidth="1"/>
    <col min="10" max="10" width="14.1640625" style="2" customWidth="1"/>
    <col min="11" max="11" width="15.5" style="2" customWidth="1"/>
    <col min="12" max="12" width="18.83203125" style="2" customWidth="1"/>
    <col min="13" max="13" width="15" style="2" customWidth="1"/>
    <col min="14" max="14" width="10.83203125" style="2" customWidth="1"/>
    <col min="15" max="15" width="16.83203125" style="2" customWidth="1"/>
    <col min="16" max="16" width="13.5" style="2" customWidth="1"/>
    <col min="17" max="17" width="14.6640625" style="2" customWidth="1"/>
    <col min="18" max="18" width="26.1640625" style="2" customWidth="1"/>
    <col min="19" max="19" width="12" style="2" customWidth="1"/>
    <col min="20" max="20" width="13.1640625" style="2" customWidth="1"/>
    <col min="21" max="21" width="13.83203125" style="2" customWidth="1"/>
    <col min="22" max="22" width="7" style="2" customWidth="1"/>
    <col min="23" max="23" width="18" style="2" customWidth="1"/>
    <col min="24" max="24" width="14.1640625" style="2" customWidth="1"/>
    <col min="25" max="25" width="32.6640625" style="2" customWidth="1"/>
    <col min="26" max="29" width="10.83203125" style="2" customWidth="1"/>
    <col min="30" max="30" width="31.1640625" style="2" customWidth="1"/>
    <col min="31" max="33" width="10.83203125" style="2" customWidth="1"/>
    <col min="34" max="16384" width="10.83203125" style="2"/>
  </cols>
  <sheetData>
    <row r="1" spans="1:34" ht="16" customHeight="1" x14ac:dyDescent="0.2">
      <c r="A1" s="1"/>
      <c r="B1" s="1"/>
      <c r="C1" s="1"/>
      <c r="H1" s="2"/>
      <c r="I1" s="2"/>
    </row>
    <row r="2" spans="1:34" ht="54" customHeight="1" x14ac:dyDescent="0.2">
      <c r="B2" s="486" t="s">
        <v>2883</v>
      </c>
      <c r="C2" s="486"/>
      <c r="D2" s="486"/>
      <c r="E2" s="486"/>
      <c r="F2" s="486"/>
      <c r="G2" s="486"/>
      <c r="H2" s="486"/>
      <c r="I2" s="486"/>
      <c r="J2" s="486"/>
      <c r="K2" s="486"/>
      <c r="L2" s="486"/>
      <c r="M2" s="486"/>
      <c r="N2" s="486"/>
      <c r="O2" s="486"/>
      <c r="P2" s="486"/>
      <c r="Q2" s="486"/>
      <c r="R2" s="486"/>
      <c r="S2" s="486"/>
      <c r="T2" s="486"/>
      <c r="U2" s="486"/>
      <c r="V2" s="486"/>
      <c r="W2" s="486"/>
      <c r="X2" s="486"/>
      <c r="Y2" s="486"/>
      <c r="Z2" s="486"/>
      <c r="AA2" s="486"/>
      <c r="AB2" s="486"/>
      <c r="AC2" s="486"/>
      <c r="AD2" s="486"/>
    </row>
    <row r="3" spans="1:34" ht="20" customHeight="1" x14ac:dyDescent="0.2">
      <c r="B3" s="429"/>
      <c r="C3" s="429"/>
      <c r="D3" s="429"/>
      <c r="E3" s="429"/>
      <c r="F3" s="429"/>
      <c r="G3" s="429"/>
      <c r="H3" s="429"/>
      <c r="I3" s="429"/>
      <c r="J3" s="429"/>
      <c r="K3" s="429"/>
      <c r="L3" s="429"/>
      <c r="M3" s="429"/>
      <c r="N3" s="429"/>
      <c r="O3" s="429"/>
      <c r="P3" s="429"/>
      <c r="Q3" s="429"/>
      <c r="R3" s="429"/>
      <c r="S3" s="429"/>
      <c r="T3" s="429"/>
      <c r="U3" s="429"/>
      <c r="V3" s="429"/>
      <c r="W3" s="429"/>
      <c r="X3" s="429"/>
      <c r="Y3" s="429"/>
      <c r="Z3" s="429"/>
      <c r="AA3" s="429"/>
      <c r="AB3" s="429"/>
      <c r="AC3" s="429"/>
      <c r="AD3" s="429"/>
    </row>
    <row r="5" spans="1:34" ht="15" customHeight="1" x14ac:dyDescent="0.2">
      <c r="H5" s="2"/>
      <c r="J5" s="3"/>
      <c r="K5" s="3"/>
      <c r="L5" s="3"/>
      <c r="M5" s="3"/>
      <c r="N5" s="3"/>
      <c r="O5" s="3"/>
      <c r="P5" s="3"/>
      <c r="Q5" s="3"/>
      <c r="R5" s="3"/>
      <c r="S5" s="3"/>
    </row>
    <row r="6" spans="1:34" s="125" customFormat="1" ht="20" customHeight="1" x14ac:dyDescent="0.2">
      <c r="B6" s="412" t="s">
        <v>2884</v>
      </c>
      <c r="C6" s="413"/>
      <c r="D6" s="413"/>
      <c r="E6" s="414"/>
      <c r="F6" s="2"/>
      <c r="G6" s="487" t="s">
        <v>2885</v>
      </c>
      <c r="H6" s="481"/>
      <c r="I6" s="481"/>
      <c r="J6" s="481"/>
      <c r="K6" s="481"/>
      <c r="L6" s="481"/>
      <c r="M6" s="481"/>
      <c r="N6" s="2"/>
      <c r="O6" s="126" t="s">
        <v>2886</v>
      </c>
      <c r="P6" s="127"/>
      <c r="Q6" s="127"/>
      <c r="R6" s="127"/>
      <c r="S6" s="127"/>
      <c r="U6" s="458" t="s">
        <v>21</v>
      </c>
      <c r="V6" s="459"/>
      <c r="W6" s="459"/>
      <c r="X6" s="459"/>
      <c r="Y6" s="459"/>
      <c r="Z6" s="459"/>
      <c r="AA6" s="459"/>
      <c r="AB6" s="459"/>
      <c r="AC6" s="459"/>
      <c r="AD6" s="459"/>
      <c r="AE6" s="128"/>
      <c r="AF6" s="128"/>
      <c r="AG6" s="128"/>
    </row>
    <row r="7" spans="1:34" ht="20" customHeight="1" x14ac:dyDescent="0.2">
      <c r="B7" s="418" t="s">
        <v>2887</v>
      </c>
      <c r="C7" s="418"/>
      <c r="D7" s="418"/>
      <c r="E7" s="129" t="s">
        <v>1020</v>
      </c>
      <c r="G7" s="450" t="s">
        <v>2887</v>
      </c>
      <c r="H7" s="467"/>
      <c r="I7" s="451"/>
      <c r="J7" s="130" t="s">
        <v>2888</v>
      </c>
      <c r="K7" s="130" t="s">
        <v>2889</v>
      </c>
      <c r="L7" s="130" t="s">
        <v>2890</v>
      </c>
      <c r="M7" s="130" t="s">
        <v>2891</v>
      </c>
      <c r="O7" s="450" t="s">
        <v>2892</v>
      </c>
      <c r="P7" s="467"/>
      <c r="Q7" s="451"/>
      <c r="R7" s="450" t="s">
        <v>1747</v>
      </c>
      <c r="S7" s="451"/>
      <c r="U7" s="491" t="s">
        <v>3713</v>
      </c>
      <c r="V7" s="491"/>
      <c r="W7" s="491"/>
      <c r="X7" s="491"/>
      <c r="Y7" s="491"/>
      <c r="Z7" s="491"/>
      <c r="AA7" s="491"/>
      <c r="AB7" s="491"/>
      <c r="AC7" s="491"/>
      <c r="AD7" s="491"/>
      <c r="AE7" s="128"/>
      <c r="AF7" s="128"/>
      <c r="AG7" s="128"/>
    </row>
    <row r="8" spans="1:34" ht="20" customHeight="1" x14ac:dyDescent="0.2">
      <c r="B8" s="431" t="s">
        <v>2893</v>
      </c>
      <c r="C8" s="431"/>
      <c r="D8" s="431"/>
      <c r="E8" s="68">
        <v>30</v>
      </c>
      <c r="G8" s="464" t="s">
        <v>1377</v>
      </c>
      <c r="H8" s="465"/>
      <c r="I8" s="466"/>
      <c r="J8" s="8">
        <v>1</v>
      </c>
      <c r="K8" s="26">
        <f>sizing_sddc_manager_cpu</f>
        <v>4</v>
      </c>
      <c r="L8" s="26">
        <f>sizing_sddc_manager_ram</f>
        <v>16</v>
      </c>
      <c r="M8" s="26">
        <f>sizing_sddc_manager_disk</f>
        <v>914</v>
      </c>
      <c r="O8" s="415" t="s">
        <v>2894</v>
      </c>
      <c r="P8" s="416"/>
      <c r="Q8" s="417"/>
      <c r="R8" s="452">
        <f>IF(OR(H40="Mandatory - HA Cluster",sizing_vcf_deployment_model_chosen="Deploy HA"),MAX(4,(ROUNDUP(((SUM(K8:K29,K30)/sizing_cpu_oversubscription)/sizing_mgmt_cluster_host_core_count),0)),((ROUNDUP((SUM(L8:L29,L30)/sizing_mgmt_cluster_host_ram_count),0))+1)),
IF(OR(sizing_storage_type="vSAN-ESA",sizing_storage_type="vSAN-OSA"),MAX(3,(ROUNDUP(((SUM(K8:K29,K30)/sizing_cpu_oversubscription)/sizing_mgmt_cluster_host_core_count),0)),((ROUNDUP((SUM(L8:L29,L30/sizing_ram_oversubscription)/sizing_mgmt_cluster_host_ram_count),0))+1)),MAX(2,(ROUNDUP(((SUM(K8:K30)/sizing_cpu_oversubscription)/sizing_mgmt_cluster_host_core_count),0)),((ROUNDUP((SUM(L8:L29,L30/sizing_ram_oversubscription)/sizing_mgmt_cluster_host_ram_count),0))+1))))</f>
        <v>4</v>
      </c>
      <c r="S8" s="453"/>
      <c r="U8" s="491"/>
      <c r="V8" s="491"/>
      <c r="W8" s="491"/>
      <c r="X8" s="491"/>
      <c r="Y8" s="491"/>
      <c r="Z8" s="491"/>
      <c r="AA8" s="491"/>
      <c r="AB8" s="491"/>
      <c r="AC8" s="491"/>
      <c r="AD8" s="491"/>
      <c r="AE8" s="128"/>
      <c r="AF8" s="128"/>
      <c r="AG8" s="128"/>
    </row>
    <row r="9" spans="1:34" ht="20" customHeight="1" x14ac:dyDescent="0.2">
      <c r="B9" s="431" t="s">
        <v>2895</v>
      </c>
      <c r="C9" s="431"/>
      <c r="D9" s="431"/>
      <c r="E9" s="68">
        <v>10</v>
      </c>
      <c r="G9" s="464" t="s">
        <v>3369</v>
      </c>
      <c r="H9" s="465"/>
      <c r="I9" s="466"/>
      <c r="J9" s="8">
        <v>1</v>
      </c>
      <c r="K9" s="26">
        <f>IF(sizing_m01_included="Included",VLOOKUP(D40,table_vcenter_appliance_cpu,2,FALSE),0)</f>
        <v>4</v>
      </c>
      <c r="L9" s="26">
        <f>IF(sizing_m01_included="Included",VLOOKUP(D40,table_vcenter_appliance_ram,2,FALSE),0)</f>
        <v>21</v>
      </c>
      <c r="M9" s="26">
        <f>IF(sizing_m01_included="Included",VLOOKUP(CONCATENATE(D40,F40),table_vcenter_disk_gb,2,FALSE),0)</f>
        <v>2084</v>
      </c>
      <c r="O9" s="415" t="s">
        <v>2896</v>
      </c>
      <c r="P9" s="416"/>
      <c r="Q9" s="417"/>
      <c r="R9" s="454" t="str">
        <f>CONCATENATE(ROUNDUP(SUM(K8:K30)/(calculated_mgmt_host_count-1)/sizing_cpu_oversubscription,0)," CPUs")</f>
        <v>23 CPUs</v>
      </c>
      <c r="S9" s="455"/>
      <c r="U9" s="491"/>
      <c r="V9" s="491"/>
      <c r="W9" s="491"/>
      <c r="X9" s="491"/>
      <c r="Y9" s="491"/>
      <c r="Z9" s="491"/>
      <c r="AA9" s="491"/>
      <c r="AB9" s="491"/>
      <c r="AC9" s="491"/>
      <c r="AD9" s="491"/>
      <c r="AE9" s="128"/>
      <c r="AF9" s="128"/>
      <c r="AG9" s="128"/>
      <c r="AH9" s="128"/>
    </row>
    <row r="10" spans="1:34" ht="20" customHeight="1" x14ac:dyDescent="0.2">
      <c r="G10" s="464" t="s">
        <v>3114</v>
      </c>
      <c r="H10" s="465"/>
      <c r="I10" s="466"/>
      <c r="J10" s="8">
        <f>SUM(IF(sizing_m01_nsxt_model="Mandatory - Single Node",1,3),IF(sizing_m01_nsxt_gm_appliance_size&lt;&gt;"Excluded",3,0))</f>
        <v>3</v>
      </c>
      <c r="K10" s="26">
        <f>SUM(PRODUCT(VLOOKUP(sizing_m01_nsxt_appliance_size,table_nsxt_manager_cpu,2,FALSE),IF(sizing_m01_nsxt_model="Mandatory - HA Cluster",3,1)),(PRODUCT(IF(sizing_m01_nsxt_gm_appliance_size&lt;&gt;"Excluded",VLOOKUP(sizing_m01_nsxt_gm_appliance_size,table_nsxt_manager_cpu,2,FALSE),0),3)))</f>
        <v>18</v>
      </c>
      <c r="L10" s="26">
        <f>SUM(PRODUCT(VLOOKUP(sizing_m01_nsxt_appliance_size,table_nsxt_manager_ram,2,FALSE),IF(sizing_m01_nsxt_model="Mandatory - HA Cluster",3,1)),(PRODUCT(IF(sizing_m01_nsxt_gm_appliance_size&lt;&gt;"Excluded",VLOOKUP(sizing_m01_nsxt_gm_appliance_size,table_nsxt_manager_ram,2,FALSE),0),3)))</f>
        <v>72</v>
      </c>
      <c r="M10" s="26">
        <f>SUM(PRODUCT(VLOOKUP(sizing_m01_nsxt_appliance_size,table_nsxt_manager_disk_gb,2,FALSE),IF(sizing_m01_nsxt_model="Mandatory - HA Cluster",3,1)),(PRODUCT(IF(sizing_m01_nsxt_gm_appliance_size&lt;&gt;"Excluded",VLOOKUP(sizing_m01_nsxt_gm_appliance_size,table_nsxt_manager_disk_gb,2,FALSE),0),3)))</f>
        <v>900</v>
      </c>
      <c r="O10" s="415" t="s">
        <v>2897</v>
      </c>
      <c r="P10" s="416"/>
      <c r="Q10" s="417"/>
      <c r="R10" s="454" t="str">
        <f>CONCATENATE(ROUNDUP(SUM(L8:L30)/(calculated_mgmt_host_count-1)/sizing_ram_oversubscription,0)," GB RAM")</f>
        <v>63 GB RAM</v>
      </c>
      <c r="S10" s="455"/>
      <c r="U10" s="491"/>
      <c r="V10" s="491"/>
      <c r="W10" s="491"/>
      <c r="X10" s="491"/>
      <c r="Y10" s="491"/>
      <c r="Z10" s="491"/>
      <c r="AA10" s="491"/>
      <c r="AB10" s="491"/>
      <c r="AC10" s="491"/>
      <c r="AD10" s="491"/>
      <c r="AE10" s="128"/>
      <c r="AF10" s="128"/>
      <c r="AG10" s="128"/>
      <c r="AH10" s="128"/>
    </row>
    <row r="11" spans="1:34" ht="20" customHeight="1" x14ac:dyDescent="0.2">
      <c r="B11" s="412" t="s">
        <v>2898</v>
      </c>
      <c r="C11" s="413"/>
      <c r="D11" s="413"/>
      <c r="E11" s="414"/>
      <c r="G11" s="464" t="s">
        <v>2900</v>
      </c>
      <c r="H11" s="465"/>
      <c r="I11" s="466"/>
      <c r="J11" s="8">
        <f>IF(AND(sizing_m01_nsxt_edge_size&lt;&gt;"Excluded",sizing_m01_nsxt_edge_size&lt;&gt;"VNA Small",sizing_m01_nsxt_edge_size&lt;&gt;"VNA Medium",sizing_m01_nsxt_edge_size&lt;&gt;"VNA Large",sizing_m01_nsxt_edge_size&lt;&gt;"VNA XLarge"),2,0)</f>
        <v>0</v>
      </c>
      <c r="K11" s="26">
        <f>PRODUCT(IF(AND(sizing_m01_nsxt_edge_size&lt;&gt;"Excluded",sizing_m01_nsxt_edge_size&lt;&gt;"VNA Small",sizing_m01_nsxt_edge_size&lt;&gt;"VNA Medium",sizing_m01_nsxt_edge_size&lt;&gt;"VNA Large",sizing_m01_nsxt_edge_size&lt;&gt;"VNA XLarge",sizing_m01_included="Included"),VLOOKUP(sizing_m01_nsxt_edge_size,table_nsxt_edge_cpu,2,FALSE),0),J11)</f>
        <v>0</v>
      </c>
      <c r="L11" s="26">
        <f>PRODUCT(IF(AND(sizing_m01_nsxt_edge_size&lt;&gt;"Excluded",sizing_m01_nsxt_edge_size&lt;&gt;"VNA Small",sizing_m01_nsxt_edge_size&lt;&gt;"VNA Medium",sizing_m01_nsxt_edge_size&lt;&gt;"VNA Large",sizing_m01_nsxt_edge_size&lt;&gt;"VNA XLarge",sizing_m01_included="Included"),VLOOKUP(sizing_m01_nsxt_edge_size,table_nsxt_edge_ram,2,FALSE),0),2)</f>
        <v>0</v>
      </c>
      <c r="M11" s="26">
        <f>PRODUCT(IF(AND(sizing_m01_nsxt_edge_size&lt;&gt;"Excluded",sizing_m01_nsxt_edge_size&lt;&gt;"VNA Small",sizing_m01_nsxt_edge_size&lt;&gt;"VNA Medium",sizing_m01_nsxt_edge_size&lt;&gt;"VNA Large",sizing_m01_nsxt_edge_size&lt;&gt;"VNA XLarge",sizing_m01_included="Included"),VLOOKUP(sizing_m01_nsxt_edge_size,table_nsxt_edge_disk_gb,2,FALSE),0),J11)</f>
        <v>0</v>
      </c>
      <c r="U11" s="491"/>
      <c r="V11" s="491"/>
      <c r="W11" s="491"/>
      <c r="X11" s="491"/>
      <c r="Y11" s="491"/>
      <c r="Z11" s="491"/>
      <c r="AA11" s="491"/>
      <c r="AB11" s="491"/>
      <c r="AC11" s="491"/>
      <c r="AD11" s="491"/>
      <c r="AE11" s="128"/>
      <c r="AF11" s="128"/>
      <c r="AG11" s="128"/>
      <c r="AH11" s="128"/>
    </row>
    <row r="12" spans="1:34" ht="20" customHeight="1" x14ac:dyDescent="0.2">
      <c r="B12" s="418" t="s">
        <v>2899</v>
      </c>
      <c r="C12" s="418"/>
      <c r="D12" s="418"/>
      <c r="E12" s="129" t="s">
        <v>1020</v>
      </c>
      <c r="G12" s="464" t="s">
        <v>3410</v>
      </c>
      <c r="H12" s="465"/>
      <c r="I12" s="466"/>
      <c r="J12" s="8">
        <f>IF(AND(sizing_m01_nsxt_edge_size&lt;&gt;"Excluded",sizing_m01_nsxt_edge_size&lt;&gt;"NSX Edge Small",sizing_m01_nsxt_edge_size&lt;&gt;"NSX Edge Medium",sizing_m01_nsxt_edge_size&lt;&gt;"NSX Edge Large",sizing_m01_nsxt_edge_size&lt;&gt;"NSX Edge XLarge"),2,0)</f>
        <v>0</v>
      </c>
      <c r="K12" s="8">
        <f>PRODUCT(IF(AND(sizing_m01_nsxt_edge_size&lt;&gt;"Excluded",sizing_m01_nsxt_edge_size&lt;&gt;"NSX Edge Small",sizing_m01_nsxt_edge_size&lt;&gt;"NSX Edge Medium",sizing_m01_nsxt_edge_size&lt;&gt;"NSX Edge Large",sizing_m01_nsxt_edge_size&lt;&gt;"NSX Edge XLarge",sizing_m01_included="Included"),VLOOKUP(sizing_m01_nsxt_edge_size,table_nsxt_edge_cpu,2,FALSE),0),J12)</f>
        <v>0</v>
      </c>
      <c r="L12" s="8">
        <f>PRODUCT(IF(AND(sizing_m01_nsxt_edge_size&lt;&gt;"Excluded",sizing_m01_nsxt_edge_size&lt;&gt;"NSX Edge Small",sizing_m01_nsxt_edge_size&lt;&gt;"NSX Edge Medium",sizing_m01_nsxt_edge_size&lt;&gt;"NSX Edge Large",sizing_m01_nsxt_edge_size&lt;&gt;"NSX Edge XLarge",sizing_m01_included="Included"),VLOOKUP(sizing_m01_nsxt_edge_size,table_nsxt_edge_ram,2,FALSE),0),J12)</f>
        <v>0</v>
      </c>
      <c r="M12" s="8">
        <f>PRODUCT(IF(AND(sizing_m01_nsxt_edge_size&lt;&gt;"Excluded",sizing_m01_nsxt_edge_size&lt;&gt;"NSX Edge Small",sizing_m01_nsxt_edge_size&lt;&gt;"NSX Edge Medium",sizing_m01_nsxt_edge_size&lt;&gt;"NSX Edge Large",sizing_m01_nsxt_edge_size&lt;&gt;"NSX Edge  XLarge",sizing_m01_included="Included"),VLOOKUP(sizing_m01_nsxt_edge_size,table_nsxt_edge_disk_gb,2,FALSE),0),J12)</f>
        <v>0</v>
      </c>
      <c r="O12" s="117" t="s">
        <v>2901</v>
      </c>
      <c r="P12" s="117"/>
      <c r="Q12" s="117"/>
      <c r="R12" s="117"/>
      <c r="S12" s="117"/>
      <c r="U12" s="491"/>
      <c r="V12" s="491"/>
      <c r="W12" s="491"/>
      <c r="X12" s="491"/>
      <c r="Y12" s="491"/>
      <c r="Z12" s="491"/>
      <c r="AA12" s="491"/>
      <c r="AB12" s="491"/>
      <c r="AC12" s="491"/>
      <c r="AD12" s="491"/>
      <c r="AE12" s="128"/>
      <c r="AF12" s="128"/>
      <c r="AG12" s="128"/>
      <c r="AH12" s="128"/>
    </row>
    <row r="13" spans="1:34" ht="20" customHeight="1" x14ac:dyDescent="0.2">
      <c r="B13" s="431" t="s">
        <v>2902</v>
      </c>
      <c r="C13" s="431"/>
      <c r="D13" s="431"/>
      <c r="E13" s="133">
        <v>128</v>
      </c>
      <c r="G13" s="464" t="s">
        <v>3618</v>
      </c>
      <c r="H13" s="465"/>
      <c r="I13" s="466"/>
      <c r="J13" s="8">
        <f>IF(sizing_m01_supervisor_mode="Single Node",1,IF(sizing_m01_supervisor_mode="High Availability",3,0))</f>
        <v>0</v>
      </c>
      <c r="K13" s="8">
        <f>PRODUCT(IF(sizing_m01_supervisor_mode&lt;&gt;"Excluded",VLOOKUP(sizing_m01_supervisor_size,table_supervisor_cpu,2,FALSE),0),J13)</f>
        <v>0</v>
      </c>
      <c r="L13" s="8">
        <f>PRODUCT(IF(sizing_m01_supervisor_mode&lt;&gt;"Excluded",VLOOKUP(sizing_m01_supervisor_size,table_supervisor_ram,2,FALSE),0),J13)</f>
        <v>0</v>
      </c>
      <c r="M13" s="8">
        <f>PRODUCT(IF(sizing_m01_supervisor_mode&lt;&gt;"Excluded",VLOOKUP(sizing_m01_supervisor_size,table_supervisor_disk,2,FALSE),0),J13)</f>
        <v>0</v>
      </c>
      <c r="O13" s="415" t="s">
        <v>253</v>
      </c>
      <c r="P13" s="416"/>
      <c r="Q13" s="417"/>
      <c r="R13" s="456" t="s">
        <v>647</v>
      </c>
      <c r="S13" s="457"/>
      <c r="U13" s="491"/>
      <c r="V13" s="491"/>
      <c r="W13" s="491"/>
      <c r="X13" s="491"/>
      <c r="Y13" s="491"/>
      <c r="Z13" s="491"/>
      <c r="AA13" s="491"/>
      <c r="AB13" s="491"/>
      <c r="AC13" s="491"/>
      <c r="AD13" s="491"/>
      <c r="AE13" s="128"/>
      <c r="AF13" s="128"/>
      <c r="AG13" s="128"/>
      <c r="AH13" s="128"/>
    </row>
    <row r="14" spans="1:34" ht="20" customHeight="1" x14ac:dyDescent="0.2">
      <c r="B14" s="431" t="s">
        <v>2904</v>
      </c>
      <c r="C14" s="431"/>
      <c r="D14" s="431"/>
      <c r="E14" s="133">
        <v>1024</v>
      </c>
      <c r="G14" s="464" t="s">
        <v>2903</v>
      </c>
      <c r="H14" s="465"/>
      <c r="I14" s="466"/>
      <c r="J14" s="8">
        <f>IF(sizing_mgmt_avi_lb_appliance_size="Excluded",0,3)</f>
        <v>0</v>
      </c>
      <c r="K14" s="8">
        <f>IF(sizing_mgmt_avi_lb_appliance_size="Excluded",0,PRODUCT(J14,IF(AND(sizing_m01_included="Included",sizing_mgmt_avi_lb_appliance_size&lt;&gt;"Excluded"),VLOOKUP(sizing_mgmt_avi_lb_appliance_size,table_avi_lb_cpu,2,FALSE),0)))</f>
        <v>0</v>
      </c>
      <c r="L14" s="26">
        <f>IF(sizing_mgmt_avi_lb_appliance_size="Excluded",0,PRODUCT(J14,IF(AND(sizing_m01_included="Included",sizing_mgmt_avi_lb_appliance_size&lt;&gt;"Excluded"),VLOOKUP(sizing_mgmt_avi_lb_appliance_size,table_avi_lb_ram,2,FALSE),0)))</f>
        <v>0</v>
      </c>
      <c r="M14" s="26">
        <f>IF(sizing_mgmt_avi_lb_appliance_size="Excluded",0,PRODUCT(J14,IF(AND(sizing_m01_included="Included",sizing_mgmt_avi_lb_appliance_size&lt;&gt;"Excluded"),VLOOKUP(sizing_mgmt_avi_lb_appliance_size,table_avi_lb_disk,2,FALSE),0)))</f>
        <v>0</v>
      </c>
      <c r="O14" s="450" t="s">
        <v>2887</v>
      </c>
      <c r="P14" s="467"/>
      <c r="Q14" s="467"/>
      <c r="R14" s="467" t="s">
        <v>2905</v>
      </c>
      <c r="S14" s="451"/>
      <c r="U14" s="491"/>
      <c r="V14" s="491"/>
      <c r="W14" s="491"/>
      <c r="X14" s="491"/>
      <c r="Y14" s="491"/>
      <c r="Z14" s="491"/>
      <c r="AA14" s="491"/>
      <c r="AB14" s="491"/>
      <c r="AC14" s="491"/>
      <c r="AD14" s="491"/>
      <c r="AE14" s="128"/>
      <c r="AF14" s="128"/>
      <c r="AG14" s="128"/>
      <c r="AH14" s="128"/>
    </row>
    <row r="15" spans="1:34" ht="20" customHeight="1" x14ac:dyDescent="0.2">
      <c r="B15" s="431" t="s">
        <v>2906</v>
      </c>
      <c r="C15" s="431"/>
      <c r="D15" s="431"/>
      <c r="E15" s="133">
        <v>1</v>
      </c>
      <c r="G15" s="464" t="s">
        <v>3140</v>
      </c>
      <c r="H15" s="465"/>
      <c r="I15" s="466"/>
      <c r="J15" s="8">
        <f>IF(sizing_m01_ssp_chosen&lt;&gt;"Excluded", SUM(VLOOKUP(sizing_m01_nsxt_appliance_size, table_ssp_workers, 2, FALSE), VLOOKUP(sizing_m01_nsxt_appliance_size, table_ssp_controller, 2, FALSE),VLOOKUP(sizing_m01_nsxt_appliance_size, table_ssp_sspi, 2, FALSE)), 0)</f>
        <v>0</v>
      </c>
      <c r="K15" s="8">
        <f>IF(sizing_m01_ssp_chosen&lt;&gt;"Excluded",VLOOKUP(sizing_m01_nsxt_appliance_size,table_ssp_cpu,2,FALSE),0)</f>
        <v>0</v>
      </c>
      <c r="L15" s="8">
        <f>IF(sizing_m01_ssp_chosen&lt;&gt;"Excluded",VLOOKUP(sizing_m01_nsxt_appliance_size,table_ssp_ram,2,FALSE),0)</f>
        <v>0</v>
      </c>
      <c r="M15" s="8">
        <f>IF(sizing_m01_ssp_chosen&lt;&gt;"Excluded",VLOOKUP(sizing_m01_nsxt_appliance_size,table_ssp_disk,2,FALSE),0)</f>
        <v>0</v>
      </c>
      <c r="O15" s="415" t="s">
        <v>2907</v>
      </c>
      <c r="P15" s="416"/>
      <c r="Q15" s="417"/>
      <c r="R15" s="443">
        <f>(SUM(M8:M30))</f>
        <v>6998</v>
      </c>
      <c r="S15" s="444"/>
      <c r="U15" s="491"/>
      <c r="V15" s="491"/>
      <c r="W15" s="491"/>
      <c r="X15" s="491"/>
      <c r="Y15" s="491"/>
      <c r="Z15" s="491"/>
      <c r="AA15" s="491"/>
      <c r="AB15" s="491"/>
      <c r="AC15" s="491"/>
      <c r="AD15" s="491"/>
      <c r="AE15" s="128"/>
      <c r="AF15" s="128"/>
      <c r="AG15" s="128"/>
      <c r="AH15" s="128"/>
    </row>
    <row r="16" spans="1:34" ht="20" customHeight="1" x14ac:dyDescent="0.2">
      <c r="B16" s="431" t="s">
        <v>2908</v>
      </c>
      <c r="C16" s="431"/>
      <c r="D16" s="431"/>
      <c r="E16" s="133">
        <v>1</v>
      </c>
      <c r="G16" s="464" t="s">
        <v>3689</v>
      </c>
      <c r="H16" s="465"/>
      <c r="I16" s="466"/>
      <c r="J16" s="8" cm="1">
        <f t="array" ref="J16">_xlfn.LET(_xlpm.c, _xlfn.VSTACK(W40, X44:X78), _xlpm.s, _xlfn.VSTACK(I40, I44:I78), _xlpm.cnts, _xlfn.SCAN(0, _xlpm.c, _xlfn.LAMBDA(_xlpm.a,_xlpm.v, _xlpm.a + (_xlpm.v = "Include"))), SUM(_xlfn.MAP(_xlpm.c, _xlpm.s, _xlpm.cnts, _xlfn.LAMBDA(_xlpm.chosen,_xlpm.size,_xlpm.cnt, IF(AND(_xlpm.chosen = "Include", MOD(_xlpm.cnt, 5) = 1), VLOOKUP(_xlpm.size, table_ssp_sspi, 2, FALSE), 0)))))</f>
        <v>0</v>
      </c>
      <c r="K16" s="8" cm="1">
        <f t="array" ref="K16">_xlfn.LET(_xlpm.c, _xlfn.VSTACK(W40, X44:X78), _xlpm.s, _xlfn.VSTACK(I40, I44:I78), _xlpm.cnts, _xlfn.SCAN(0, _xlpm.c, _xlfn.LAMBDA(_xlpm.a,_xlpm.v, _xlpm.a + (_xlpm.v = "Include"))), SUM(_xlfn.MAP(_xlpm.c, _xlpm.s, _xlpm.cnts, _xlfn.LAMBDA(_xlpm.chosen,_xlpm.size,_xlpm.cnt, IF(AND(_xlpm.chosen = "Include", MOD(_xlpm.cnt, 5) = 1), VLOOKUP(_xlpm.size, table_ssp_sspi_cpu, 2, FALSE), 0)))))</f>
        <v>0</v>
      </c>
      <c r="L16" s="8" cm="1">
        <f t="array" ref="L16">_xlfn.LET(_xlpm.c, _xlfn.VSTACK(W40, X44:X78), _xlpm.s, _xlfn.VSTACK(I40, I44:I78), _xlpm.cnts, _xlfn.SCAN(0, _xlpm.c, _xlfn.LAMBDA(_xlpm.a,_xlpm.v, _xlpm.a + (_xlpm.v = "Include"))), SUM(_xlfn.MAP(_xlpm.c, _xlpm.s, _xlpm.cnts, _xlfn.LAMBDA(_xlpm.chosen,_xlpm.size,_xlpm.cnt, IF(AND(_xlpm.chosen = "Include", MOD(_xlpm.cnt, 5) = 1), VLOOKUP(_xlpm.size, table_ssp_sspi_ram, 2, FALSE), 0)))))</f>
        <v>0</v>
      </c>
      <c r="M16" s="8" cm="1">
        <f t="array" ref="M16">_xlfn.LET(_xlpm.c, _xlfn.VSTACK(W40, X44:X78), _xlpm.s, _xlfn.VSTACK(I40, I44:I78), _xlpm.cnts, _xlfn.SCAN(0, _xlpm.c, _xlfn.LAMBDA(_xlpm.a,_xlpm.v, _xlpm.a + (_xlpm.v = "Include"))), SUM(_xlfn.MAP(_xlpm.c, _xlpm.s, _xlpm.cnts, _xlfn.LAMBDA(_xlpm.chosen,_xlpm.size,_xlpm.cnt, IF(AND(_xlpm.chosen = "Include", MOD(_xlpm.cnt, 5) = 1), VLOOKUP(_xlpm.size, table_ssp_sspi_disk, 2, FALSE), 0)))))</f>
        <v>0</v>
      </c>
      <c r="O16" s="415" t="s">
        <v>2909</v>
      </c>
      <c r="P16" s="416"/>
      <c r="Q16" s="417"/>
      <c r="R16" s="443" t="str">
        <f>CONCATENATE(SUM(L8:L30))</f>
        <v>187</v>
      </c>
      <c r="S16" s="444"/>
      <c r="U16" s="491"/>
      <c r="V16" s="491"/>
      <c r="W16" s="491"/>
      <c r="X16" s="491"/>
      <c r="Y16" s="491"/>
      <c r="Z16" s="491"/>
      <c r="AA16" s="491"/>
      <c r="AB16" s="491"/>
      <c r="AC16" s="491"/>
      <c r="AD16" s="491"/>
      <c r="AE16" s="128"/>
      <c r="AF16" s="128"/>
      <c r="AG16" s="128"/>
      <c r="AH16" s="128"/>
    </row>
    <row r="17" spans="2:35" ht="20" customHeight="1" x14ac:dyDescent="0.2">
      <c r="G17" s="400" t="s">
        <v>3502</v>
      </c>
      <c r="H17" s="401"/>
      <c r="I17" s="402"/>
      <c r="J17" s="224">
        <f>IF(sizing_vdefend_licensing_hub_chosen="Include",1,0)</f>
        <v>0</v>
      </c>
      <c r="K17" s="224">
        <f>IF(sizing_vdefend_licensing_hub_chosen="Include",sizing_table_ssp_lic_cpu,0)</f>
        <v>0</v>
      </c>
      <c r="L17" s="224">
        <f>IF(sizing_vdefend_licensing_hub_chosen="Include",sizing_table_ssp_lic_ram,0)</f>
        <v>0</v>
      </c>
      <c r="M17" s="224">
        <f>IF(sizing_vdefend_licensing_hub_chosen="Include",sizing_table_ssp_lic_disk,0)</f>
        <v>0</v>
      </c>
      <c r="O17" s="415" t="s">
        <v>2911</v>
      </c>
      <c r="P17" s="416"/>
      <c r="Q17" s="417"/>
      <c r="R17" s="443">
        <f>R15+R16</f>
        <v>7185</v>
      </c>
      <c r="S17" s="444"/>
      <c r="U17" s="491"/>
      <c r="V17" s="491"/>
      <c r="W17" s="491"/>
      <c r="X17" s="491"/>
      <c r="Y17" s="491"/>
      <c r="Z17" s="491"/>
      <c r="AA17" s="491"/>
      <c r="AB17" s="491"/>
      <c r="AC17" s="491"/>
      <c r="AD17" s="491"/>
      <c r="AE17" s="128"/>
      <c r="AF17" s="128"/>
      <c r="AG17" s="128"/>
      <c r="AH17" s="128"/>
    </row>
    <row r="18" spans="2:35" ht="20" customHeight="1" x14ac:dyDescent="0.2">
      <c r="B18" s="412" t="s">
        <v>3277</v>
      </c>
      <c r="C18" s="413"/>
      <c r="D18" s="413"/>
      <c r="E18" s="414"/>
      <c r="G18" s="400" t="s">
        <v>3370</v>
      </c>
      <c r="H18" s="401"/>
      <c r="I18" s="402"/>
      <c r="J18" s="8">
        <f>COUNTIF(C44:C78,"Included")</f>
        <v>0</v>
      </c>
      <c r="K18" s="26">
        <f>(SUM(IF(sizing_w01_chosen="Included",VLOOKUP(sizing_w01_vcenter_appliance_size,table_vcenter_appliance_cpu,2,FALSE)),
IF(sizing_w02_chosen="Included",VLOOKUP(sizing_w02_vcenter_appliance_size,table_vcenter_appliance_cpu,2,FALSE)),
IF(sizing_w03_chosen="Included",VLOOKUP(sizing_w03_vcenter_appliance_size,table_vcenter_appliance_cpu,2,FALSE)),
IF(sizing_w04_chosen="Included",VLOOKUP(sizing_w04_vcenter_appliance_size,table_vcenter_appliance_cpu,2,FALSE)),
IF(sizing_w05_chosen="Included",VLOOKUP(sizing_w05_vcenter_appliance_size,table_vcenter_appliance_cpu,2,FALSE)),
IF(sizing_w06_chosen="Included",VLOOKUP(sizing_w06_vcenter_appliance_size,table_vcenter_appliance_cpu,2,FALSE)),
IF(sizing_w07_chosen="Included",VLOOKUP(sizing_w07_vcenter_appliance_size,table_vcenter_appliance_cpu,2,FALSE)),
IF(sizing_w08_chosen="Included",VLOOKUP(sizing_w08_vcenter_appliance_size,table_vcenter_appliance_cpu,2,FALSE)),
IF(sizing_w09_chosen="Included",VLOOKUP(sizing_w09_vcenter_appliance_size,table_vcenter_appliance_cpu,2,FALSE)),
IF(sizing_w10_chosen="Included",VLOOKUP(sizing_w10_vcenter_appliance_size,table_vcenter_appliance_cpu,2,FALSE)),
IF(sizing_w11_chosen="Included",VLOOKUP(sizing_w11_vcenter_appliance_size,table_vcenter_appliance_cpu,2,FALSE)),
IF(sizing_w12_chosen="Included",VLOOKUP(sizing_w12_vcenter_appliance_size,table_vcenter_appliance_cpu,2,FALSE)),
IF(sizing_w13_chosen="Included",VLOOKUP(sizing_w13_vcenter_appliance_size,table_vcenter_appliance_cpu,2,FALSE)),
IF(sizing_w14_chosen="Included",VLOOKUP(sizing_w14_vcenter_appliance_size,table_vcenter_appliance_cpu,2,FALSE)),
IF(sizing_w15_chosen="Included",VLOOKUP(sizing_w15_vcenter_appliance_size,table_vcenter_appliance_cpu,2,FALSE)),
IF(sizing_w16_chosen="Included",VLOOKUP(sizing_w16_vcenter_appliance_size,table_vcenter_appliance_cpu,2,FALSE)),
IF(sizing_w17_chosen="Included",VLOOKUP(sizing_w17_vcenter_appliance_size,table_vcenter_appliance_cpu,2,FALSE)),
IF(sizing_w18_chosen="Included",VLOOKUP(sizing_w18_vcenter_appliance_size,table_vcenter_appliance_cpu,2,FALSE)),
IF(sizing_w19_chosen="Included",VLOOKUP(sizing_w19_vcenter_appliance_size,table_vcenter_appliance_cpu,2,FALSE)),
IF(sizing_w20_chosen="Included",VLOOKUP(sizing_w20_vcenter_appliance_size,table_vcenter_appliance_cpu,2,FALSE)),
IF(sizing_w21_chosen="Included",VLOOKUP(sizing_w21_vcenter_appliance_size,table_vcenter_appliance_cpu,2,FALSE)),
IF(sizing_w22_chosen="Included",VLOOKUP(sizing_w22_vcenter_appliance_size,table_vcenter_appliance_cpu,2,FALSE)),
IF(sizing_w23_chosen="Included",VLOOKUP(sizing_w23_vcenter_appliance_size,table_vcenter_appliance_cpu,2,FALSE)),
IF(sizing_w24_chosen="Included",VLOOKUP(sizing_w24_vcenter_appliance_size,table_vcenter_appliance_cpu,2,FALSE)),
IF(sizing_w25_chosen="Included",VLOOKUP(sizing_w25_vcenter_appliance_size,table_vcenter_appliance_cpu,2,FALSE)),
IF(sizing_w26_chosen="Included",VLOOKUP(sizing_w26_vcenter_appliance_size,table_vcenter_appliance_cpu,2,FALSE)),
IF(sizing_w27_chosen="Included",VLOOKUP(sizing_w27_vcenter_appliance_size,table_vcenter_appliance_cpu,2,FALSE)),
IF(sizing_w28_chosen="Included",VLOOKUP(sizing_w28_vcenter_appliance_size,table_vcenter_appliance_cpu,2,FALSE)),
IF(sizing_w29_chosen="Included",VLOOKUP(sizing_w29_vcenter_appliance_size,table_vcenter_appliance_cpu,2,FALSE)),
IF(sizing_w30_chosen="Included",VLOOKUP(sizing_w30_vcenter_appliance_size,table_vcenter_appliance_cpu,2,FALSE)),
IF(sizing_w31_chosen="Included",VLOOKUP(sizing_w31_vcenter_appliance_size,table_vcenter_appliance_cpu,2,FALSE)),
IF(sizing_w32_chosen="Included",VLOOKUP(sizing_w32_vcenter_appliance_size,table_vcenter_appliance_cpu,2,FALSE)),
IF(sizing_w33_chosen="Included",VLOOKUP(sizing_w33_vcenter_appliance_size,table_vcenter_appliance_cpu,2,FALSE)),
IF(sizing_w34_chosen="Included",VLOOKUP(sizing_w34_vcenter_appliance_size,table_vcenter_appliance_cpu,2,FALSE)),
IF(sizing_w35_chosen="Included",VLOOKUP(sizing_w35_vcenter_appliance_size,table_vcenter_appliance_cpu,2,FALSE)),
))</f>
        <v>0</v>
      </c>
      <c r="L18" s="26">
        <f>SUM(IF(sizing_w01_chosen="Included",VLOOKUP(sizing_w01_vcenter_appliance_size,table_vcenter_appliance_ram,2,FALSE)),
IF(sizing_w02_chosen="Included",VLOOKUP(sizing_w02_vcenter_appliance_size,table_vcenter_appliance_ram,2,FALSE)),
IF(sizing_w03_chosen="Included",VLOOKUP(sizing_w03_vcenter_appliance_size,table_vcenter_appliance_ram,2,FALSE)),
IF(sizing_w04_chosen="Included",VLOOKUP(sizing_w04_vcenter_appliance_size,table_vcenter_appliance_ram,2,FALSE)),
IF(sizing_w05_chosen="Included",VLOOKUP(sizing_w05_vcenter_appliance_size,table_vcenter_appliance_ram,2,FALSE)),
IF(sizing_w06_chosen="Included",VLOOKUP(sizing_w06_vcenter_appliance_size,table_vcenter_appliance_ram,2,FALSE)),
IF(sizing_w07_chosen="Included",VLOOKUP(sizing_w07_vcenter_appliance_size,table_vcenter_appliance_ram,2,FALSE)),
IF(sizing_w08_chosen="Included",VLOOKUP(sizing_w08_vcenter_appliance_size,table_vcenter_appliance_ram,2,FALSE)),
IF(sizing_w09_chosen="Included",VLOOKUP(sizing_w09_vcenter_appliance_size,table_vcenter_appliance_ram,2,FALSE)),
IF(sizing_w10_chosen="Included",VLOOKUP(sizing_w10_vcenter_appliance_size,table_vcenter_appliance_ram,2,FALSE)),
IF(sizing_w11_chosen="Included",VLOOKUP(sizing_w11_vcenter_appliance_size,table_vcenter_appliance_ram,2,FALSE)),
IF(sizing_w12_chosen="Included",VLOOKUP(sizing_w12_vcenter_appliance_size,table_vcenter_appliance_ram,2,FALSE)),
IF(sizing_w13_chosen="Included",VLOOKUP(sizing_w13_vcenter_appliance_size,table_vcenter_appliance_ram,2,FALSE)),
IF(sizing_w14_chosen="Included",VLOOKUP(sizing_w14_vcenter_appliance_size,table_vcenter_appliance_ram,2,FALSE)),
IF(sizing_w15_chosen="Included",VLOOKUP(sizing_w15_vcenter_appliance_size,table_vcenter_appliance_ram,2,FALSE)),
IF(sizing_w16_chosen="Included",VLOOKUP(sizing_w16_vcenter_appliance_size,table_vcenter_appliance_ram,2,FALSE)),
IF(sizing_w17_chosen="Included",VLOOKUP(sizing_w17_vcenter_appliance_size,table_vcenter_appliance_ram,2,FALSE)),
IF(sizing_w18_chosen="Included",VLOOKUP(sizing_w18_vcenter_appliance_size,table_vcenter_appliance_ram,2,FALSE)),
IF(sizing_w19_chosen="Included",VLOOKUP(sizing_w19_vcenter_appliance_size,table_vcenter_appliance_ram,2,FALSE)),
IF(sizing_w20_chosen="Included",VLOOKUP(sizing_w20_vcenter_appliance_size,table_vcenter_appliance_ram,2,FALSE)),
IF(sizing_w21_chosen="Included",VLOOKUP(sizing_w21_vcenter_appliance_size,table_vcenter_appliance_ram,2,FALSE)),
IF(sizing_w22_chosen="Included",VLOOKUP(sizing_w22_vcenter_appliance_size,table_vcenter_appliance_ram,2,FALSE)),
IF(sizing_w23_chosen="Included",VLOOKUP(sizing_w23_vcenter_appliance_size,table_vcenter_appliance_ram,2,FALSE)),
IF(sizing_w24_chosen="Included",VLOOKUP(sizing_w24_vcenter_appliance_size,table_vcenter_appliance_ram,2,FALSE)),
IF(sizing_w25_chosen="Included",VLOOKUP(sizing_w25_vcenter_appliance_size,table_vcenter_appliance_ram,2,FALSE)),
IF(sizing_w26_chosen="Included",VLOOKUP(sizing_w26_vcenter_appliance_size,table_vcenter_appliance_ram,2,FALSE)),
IF(sizing_w27_chosen="Included",VLOOKUP(sizing_w27_vcenter_appliance_size,table_vcenter_appliance_ram,2,FALSE)),
IF(sizing_w28_chosen="Included",VLOOKUP(sizing_w28_vcenter_appliance_size,table_vcenter_appliance_ram,2,FALSE)),
IF(sizing_w29_chosen="Included",VLOOKUP(sizing_w29_vcenter_appliance_size,table_vcenter_appliance_ram,2,FALSE)),
IF(sizing_w30_chosen="Included",VLOOKUP(sizing_w30_vcenter_appliance_size,table_vcenter_appliance_ram,2,FALSE)),
IF(sizing_w31_chosen="Included",VLOOKUP(sizing_w31_vcenter_appliance_size,table_vcenter_appliance_ram,2,FALSE)),
IF(sizing_w32_chosen="Included",VLOOKUP(sizing_w32_vcenter_appliance_size,table_vcenter_appliance_ram,2,FALSE)),
IF(sizing_w33_chosen="Included",VLOOKUP(sizing_w33_vcenter_appliance_size,table_vcenter_appliance_ram,2,FALSE)),
IF(sizing_w34_chosen="Included",VLOOKUP(sizing_w34_vcenter_appliance_size,table_vcenter_appliance_ram,2,FALSE)),
IF(sizing_w35_chosen="Included",VLOOKUP(sizing_w35_vcenter_appliance_size,table_vcenter_appliance_ram,2,FALSE)),
)</f>
        <v>0</v>
      </c>
      <c r="M18" s="26">
        <f>SUM((IF(sizing_w01_chosen="Included",VLOOKUP(CONCATENATE(sizing_w01_vcenter_appliance_size,sizing_w01_vcenter_storage_size),table_vcenter_disk_gb,2,FALSE),0)),
IF(sizing_w02_chosen="Included",VLOOKUP(CONCATENATE(sizing_w02_vcenter_appliance_size,sizing_w02_vcenter_storage_size),table_vcenter_disk_gb,2,FALSE),0),
IF(sizing_w03_chosen="Included",VLOOKUP(CONCATENATE(sizing_w03_vcenter_appliance_size,sizing_w03_vcenter_storage_size),table_vcenter_disk_gb,2,FALSE),0),
IF(sizing_w04_chosen="Included",VLOOKUP(CONCATENATE(sizing_w04_vcenter_appliance_size,sizing_w04_vcenter_storage_size),table_vcenter_disk_gb,2,FALSE),0),
IF(sizing_w05_chosen="Included",VLOOKUP(CONCATENATE(sizing_w05_vcenter_appliance_size,sizing_w05_vcenter_storage_size),table_vcenter_disk_gb,2,FALSE),0),
IF(sizing_w06_chosen="Included",VLOOKUP(CONCATENATE(sizing_w06_vcenter_appliance_size,sizing_w06_vcenter_storage_size),table_vcenter_disk_gb,2,FALSE),0),
IF(sizing_w07_chosen="Included",VLOOKUP(CONCATENATE(sizing_w07_vcenter_appliance_size,sizing_w07_vcenter_storage_size),table_vcenter_disk_gb,2,FALSE),0),
IF(sizing_w08_chosen="Included",VLOOKUP(CONCATENATE(sizing_w08_vcenter_appliance_size,sizing_w08_vcenter_storage_size),table_vcenter_disk_gb,2,FALSE),0),
IF(sizing_w09_chosen="Included",VLOOKUP(CONCATENATE(sizing_w09_vcenter_appliance_size,sizing_w09_vcenter_storage_size),table_vcenter_disk_gb,2,FALSE),0),
IF(sizing_w10_chosen="Included",VLOOKUP(CONCATENATE(sizing_w10_vcenter_appliance_size,sizing_w10_vcenter_storage_size),table_vcenter_disk_gb,2,FALSE),0),
IF(sizing_w11_chosen="Included",VLOOKUP(CONCATENATE(sizing_w11_vcenter_appliance_size,sizing_w11_vcenter_storage_size),table_vcenter_disk_gb,2,FALSE),0),
IF(sizing_w12_chosen="Included",VLOOKUP(CONCATENATE(sizing_w12_vcenter_appliance_size,sizing_w12_vcenter_storage_size),table_vcenter_disk_gb,2,FALSE),0),
IF(sizing_w13_chosen="Included",VLOOKUP(CONCATENATE(sizing_w13_vcenter_appliance_size,sizing_w13_vcenter_storage_size),table_vcenter_disk_gb,2,FALSE),0),
IF(sizing_w14_chosen="Included",VLOOKUP(CONCATENATE(sizing_w14_vcenter_appliance_size,sizing_w14_vcenter_storage_size),table_vcenter_disk_gb,2,FALSE),0),
IF(sizing_w15_chosen="Included",VLOOKUP(CONCATENATE(sizing_w15_vcenter_appliance_size,sizing_w15_vcenter_storage_size),table_vcenter_disk_gb,2,FALSE),0),
IF(sizing_w16_chosen="Included",VLOOKUP(CONCATENATE(sizing_w16_vcenter_appliance_size,sizing_w16_vcenter_storage_size),table_vcenter_disk_gb,2,FALSE),0),
IF(sizing_w17_chosen="Included",VLOOKUP(CONCATENATE(sizing_w17_vcenter_appliance_size,sizing_w17_vcenter_storage_size),table_vcenter_disk_gb,2,FALSE),0),
IF(sizing_w18_chosen="Included",VLOOKUP(CONCATENATE(sizing_w18_vcenter_appliance_size,sizing_w18_vcenter_storage_size),table_vcenter_disk_gb,2,FALSE),0),
IF(sizing_w19_chosen="Included",VLOOKUP(CONCATENATE(sizing_w19_vcenter_appliance_size,sizing_w19_vcenter_storage_size),table_vcenter_disk_gb,2,FALSE),0),
IF(sizing_w20_chosen="Included",VLOOKUP(CONCATENATE(sizing_w20_vcenter_appliance_size,sizing_w20_vcenter_storage_size),table_vcenter_disk_gb,2,FALSE),0),
IF(sizing_w21_chosen="Included",VLOOKUP(CONCATENATE(sizing_w21_vcenter_appliance_size,sizing_w21_vcenter_storage_size),table_vcenter_disk_gb,2,FALSE),0),
IF(sizing_w22_chosen="Included",VLOOKUP(CONCATENATE(sizing_w22_vcenter_appliance_size,sizing_w22_vcenter_storage_size),table_vcenter_disk_gb,2,FALSE),0),
IF(sizing_w23_chosen="Included",VLOOKUP(CONCATENATE(sizing_w23_vcenter_appliance_size,sizing_w23_vcenter_storage_size),table_vcenter_disk_gb,2,FALSE),0),
IF(sizing_w24_chosen="Included",VLOOKUP(CONCATENATE(sizing_w24_vcenter_appliance_size,sizing_w24_vcenter_storage_size),table_vcenter_disk_gb,2,FALSE),0),
IF(sizing_w25_chosen="Included",VLOOKUP(CONCATENATE(sizing_w25_vcenter_appliance_size,sizing_w25_vcenter_storage_size),table_vcenter_disk_gb,2,FALSE),0),
IF(sizing_w26_chosen="Included",VLOOKUP(CONCATENATE(sizing_w26_vcenter_appliance_size,sizing_w26_vcenter_storage_size),table_vcenter_disk_gb,2,FALSE),0),
IF(sizing_w27_chosen="Included",VLOOKUP(CONCATENATE(sizing_w27_vcenter_appliance_size,sizing_w27_vcenter_storage_size),table_vcenter_disk_gb,2,FALSE),0),
IF(sizing_w28_chosen="Included",VLOOKUP(CONCATENATE(sizing_w28_vcenter_appliance_size,sizing_w28_vcenter_storage_size),table_vcenter_disk_gb,2,FALSE),0),
IF(sizing_w29_chosen="Included",VLOOKUP(CONCATENATE(sizing_w29_vcenter_appliance_size,sizing_w29_vcenter_storage_size),table_vcenter_disk_gb,2,FALSE),0),
IF(sizing_w30_chosen="Included",VLOOKUP(CONCATENATE(sizing_w30_vcenter_appliance_size,sizing_w30_vcenter_storage_size),table_vcenter_disk_gb,2,FALSE),0),
IF(sizing_w31_chosen="Included",VLOOKUP(CONCATENATE(sizing_w31_vcenter_appliance_size,sizing_w31_vcenter_storage_size),table_vcenter_disk_gb,2,FALSE),0),
IF(sizing_w32_chosen="Included",VLOOKUP(CONCATENATE(sizing_w32_vcenter_appliance_size,sizing_w32_vcenter_storage_size),table_vcenter_disk_gb,2,FALSE),0),
IF(sizing_w33_chosen="Included",VLOOKUP(CONCATENATE(sizing_w33_vcenter_appliance_size,sizing_w33_vcenter_storage_size),table_vcenter_disk_gb,2,FALSE),0),
IF(sizing_w34_chosen="Included",VLOOKUP(CONCATENATE(sizing_w34_vcenter_appliance_size,sizing_w34_vcenter_storage_size),table_vcenter_disk_gb,2,FALSE),0),
IF(sizing_w35_chosen="Included",VLOOKUP(CONCATENATE(sizing_w35_vcenter_appliance_size,sizing_w35_vcenter_storage_size),table_vcenter_disk_gb,2,FALSE),0),
)</f>
        <v>0</v>
      </c>
      <c r="O18" s="415" t="s">
        <v>3620</v>
      </c>
      <c r="P18" s="416"/>
      <c r="Q18" s="417"/>
      <c r="R18" s="443">
        <f>ROUNDUP(IF(sizing_storage_type="vSAN-ESA",R17*1.5,R17*2),0)</f>
        <v>10778</v>
      </c>
      <c r="S18" s="444"/>
      <c r="U18" s="491"/>
      <c r="V18" s="491"/>
      <c r="W18" s="491"/>
      <c r="X18" s="491"/>
      <c r="Y18" s="491"/>
      <c r="Z18" s="491"/>
      <c r="AA18" s="491"/>
      <c r="AB18" s="491"/>
      <c r="AC18" s="491"/>
      <c r="AD18" s="491"/>
      <c r="AE18" s="128"/>
      <c r="AF18" s="128"/>
      <c r="AG18" s="128"/>
      <c r="AH18" s="128"/>
    </row>
    <row r="19" spans="2:35" ht="20" customHeight="1" x14ac:dyDescent="0.2">
      <c r="B19" s="478" t="s">
        <v>2887</v>
      </c>
      <c r="C19" s="480"/>
      <c r="D19" s="479"/>
      <c r="E19" s="129" t="s">
        <v>1020</v>
      </c>
      <c r="G19" s="400" t="s">
        <v>3141</v>
      </c>
      <c r="H19" s="401"/>
      <c r="I19" s="402"/>
      <c r="J19" s="8">
        <f>SUM(
(IF(AND(sizing_w01_chosen="Included",sizing_w01_nsxt_model&lt;&gt;"Shared"),IF(sizing_w01_nsxt_model="Dedicated - HA Cluster",3,1),0)),
(IF(AND(sizing_w02_chosen="Included",sizing_w02_nsxt_model&lt;&gt;"Shared"),IF(sizing_w02_nsxt_model="Dedicated - HA Cluster",3,1),0)),
(IF(AND(sizing_w03_chosen="Included",sizing_w03_nsxt_model&lt;&gt;"Shared"),IF(sizing_w03_nsxt_model="Dedicated - HA Cluster",3,1),0)),
(IF(AND(sizing_w04_chosen="Included",sizing_w04_nsxt_model&lt;&gt;"Shared"),IF(sizing_w04_nsxt_model="Dedicated - HA Cluster",3,1),0)),
(IF(AND(sizing_w05_chosen="Included",sizing_w05_nsxt_model&lt;&gt;"Shared"),IF(sizing_w05_nsxt_model="Dedicated - HA Cluster",3,1),0)),
(IF(AND(sizing_w06_chosen="Included",sizing_w06_nsxt_model&lt;&gt;"Shared"),IF(sizing_w06_nsxt_model="Dedicated - HA Cluster",3,1),0)),
(IF(AND(sizing_w07_chosen="Included",sizing_w07_nsxt_model&lt;&gt;"Shared"),IF(sizing_w07_nsxt_model="Dedicated - HA Cluster",3,1),0)),
(IF(AND(sizing_w08_chosen="Included",sizing_w08_nsxt_model&lt;&gt;"Shared"),IF(sizing_w08_nsxt_model="Dedicated - HA Cluster",3,1),0)),
(IF(AND(sizing_w09_chosen="Included",sizing_w09_nsxt_model&lt;&gt;"Shared"),IF(sizing_w09_nsxt_model="Dedicated - HA Cluster",3,1),0)),,
(IF(AND(sizing_w10_chosen="Included",sizing_w10_nsxt_model&lt;&gt;"Shared"),IF(sizing_w10_nsxt_model="Dedicated - HA Cluster",3,1),0)),
(IF(AND(sizing_w11_chosen="Included",sizing_w11_nsxt_model&lt;&gt;"Shared"),IF(sizing_w11_nsxt_model="Dedicated - HA Cluster",3,1),0)),
(IF(AND(sizing_w12_chosen="Included",sizing_w12_nsxt_model&lt;&gt;"Shared"),IF(sizing_w12_nsxt_model="Dedicated - HA Cluster",3,1),0)),
(IF(AND(sizing_w13_chosen="Included",sizing_w13_nsxt_model&lt;&gt;"Shared"),IF(sizing_w13_nsxt_model="Dedicated - HA Cluster",3,1),0)),
(IF(AND(sizing_w14_chosen="Included",sizing_w14_nsxt_model&lt;&gt;"Shared"),IF(sizing_w14_nsxt_model="Dedicated - HA Cluster",3,1),0)),
(IF(AND(sizing_w15_chosen="Included",sizing_w15_nsxt_model&lt;&gt;"Shared"),IF(sizing_w15_nsxt_model="Dedicated - HA Cluster",3,1),0)),
(IF(AND(sizing_w16_chosen="Included",sizing_w16_nsxt_model&lt;&gt;"Shared"),IF(sizing_w16_nsxt_model="Dedicated - HA Cluster",3,1),0)),
(IF(AND(sizing_w17_chosen="Included",sizing_w17_nsxt_model&lt;&gt;"Shared"),IF(sizing_w17_nsxt_model="Dedicated - HA Cluster",3,1),0)),
(IF(AND(sizing_w18_chosen="Included",sizing_w18_nsxt_model&lt;&gt;"Shared"),IF(sizing_w18_nsxt_model="Dedicated - HA Cluster",3,1),0)),
(IF(AND(sizing_w19_chosen="Included",sizing_w19_nsxt_model&lt;&gt;"Shared"),IF(sizing_w19_nsxt_model="Dedicated - HA Cluster",3,1),0)),
(IF(AND(sizing_w20_chosen="Included",sizing_w20_nsxt_model&lt;&gt;"Shared"),IF(sizing_w20_nsxt_model="Dedicated - HA Cluster",3,1),0)),
(IF(AND(sizing_w21_chosen="Included",sizing_w21_nsxt_model&lt;&gt;"Shared"),IF(sizing_w21_nsxt_model="Dedicated - HA Cluster",3,1),0)),
(IF(AND(sizing_w22_chosen="Included",sizing_w22_nsxt_model&lt;&gt;"Shared"),IF(sizing_w22_nsxt_model="Dedicated - HA Cluster",3,1),0)),
(IF(AND(sizing_w23_chosen="Included",sizing_w23_nsxt_model&lt;&gt;"Shared"),IF(sizing_w23_nsxt_model="Dedicated - HA Cluster",3,1),0)),
(IF(AND(sizing_w24_chosen="Included",sizing_w24_nsxt_model&lt;&gt;"Shared"),IF(sizing_w24_nsxt_model="Dedicated - HA Cluster",3,1),0)),
(IF(AND(sizing_w25_chosen="Included",sizing_w25_nsxt_model&lt;&gt;"Shared"),IF(sizing_w25_nsxt_model="Dedicated - HA Cluster",3,1),0)),
(IF(AND(sizing_w26_chosen="Included",sizing_w26_nsxt_model&lt;&gt;"Shared"),IF(sizing_w26_nsxt_model="Dedicated - HA Cluster",3,1),0)),
(IF(AND(sizing_w27_chosen="Included",sizing_w27_nsxt_model&lt;&gt;"Shared"),IF(sizing_w27_nsxt_model="Dedicated - HA Cluster",3,1),0)),
(IF(AND(sizing_w28_chosen="Included",sizing_w28_nsxt_model&lt;&gt;"Shared"),IF(sizing_w28_nsxt_model="Dedicated - HA Cluster",3,1),0)),
(IF(AND(sizing_w29_chosen="Included",sizing_w29_nsxt_model&lt;&gt;"Shared"),IF(sizing_w29_nsxt_model="Dedicated - HA Cluster",3,1),0)),
(IF(AND(sizing_w30_chosen="Included",sizing_w30_nsxt_model&lt;&gt;"Shared"),IF(sizing_w30_nsxt_model="Dedicated - HA Cluster",3,1),0)),
(IF(AND(sizing_w31_chosen="Included",sizing_w31_nsxt_model&lt;&gt;"Shared"),IF(sizing_w31_nsxt_model="Dedicated - HA Cluster",3,1),0)),
(IF(AND(sizing_w32_chosen="Included",sizing_w32_nsxt_model&lt;&gt;"Shared"),IF(sizing_w32_nsxt_model="Dedicated - HA Cluster",3,1),0)),
(IF(AND(sizing_w33_chosen="Included",sizing_w33_nsxt_model&lt;&gt;"Shared"),IF(sizing_w33_nsxt_model="Dedicated - HA Cluster",3,1),0)),
(IF(AND(sizing_w34_chosen="Included",sizing_w34_nsxt_model&lt;&gt;"Shared"),IF(sizing_w34_nsxt_model="Dedicated - HA Cluster",3,1),0)),
(IF(AND(sizing_w35_chosen="Included",sizing_w35_nsxt_model&lt;&gt;"Shared"),IF(sizing_w35_nsxt_model="Dedicated - HA Cluster",3,1),0)),'Static Reference Tables'!B667)</f>
        <v>0</v>
      </c>
      <c r="K19" s="26">
        <f>SUM(
        PRODUCT((IF(AND(sizing_w01_chosen="Included",sizing_w01_nsxt_model&lt;&gt;"Shared"),VLOOKUP(sizing_w01_nsxt_appliance_size,table_nsxt_manager_cpu,2,FALSE),0)),IF(sizing_w01_nsxt_model="Dedicated - HA Cluster",3,1)),
        PRODUCT((IF(AND(sizing_w02_chosen="Included",sizing_w02_nsxt_model&lt;&gt;"Shared"),VLOOKUP(sizing_w02_nsxt_appliance_size,table_nsxt_manager_cpu,2,FALSE),0)),IF(sizing_w02_nsxt_model="Dedicated - HA Cluster",3,1)),
        PRODUCT((IF(AND(sizing_w03_chosen="Included",sizing_w03_nsxt_model&lt;&gt;"Shared"),VLOOKUP(sizing_w03_nsxt_appliance_size,table_nsxt_manager_cpu,2,FALSE),0)),IF(sizing_w03_nsxt_model="Dedicated - HA Cluster",3,1)),
        PRODUCT((IF(AND(sizing_w04_chosen="Included",sizing_w04_nsxt_model&lt;&gt;"Shared"),VLOOKUP(sizing_w04_nsxt_appliance_size,table_nsxt_manager_cpu,2,FALSE),0)),IF(sizing_w04_nsxt_model="Dedicated - HA Cluster",3,1)),
        PRODUCT((IF(AND(sizing_w05_chosen="Included",sizing_w05_nsxt_model&lt;&gt;"Shared"),VLOOKUP(sizing_w05_nsxt_appliance_size,table_nsxt_manager_cpu,2,FALSE),0)),IF(sizing_w05_nsxt_model="Dedicated - HA Cluster",3,1)),
        PRODUCT((IF(AND(sizing_w06_chosen="Included",sizing_w06_nsxt_model&lt;&gt;"Shared"),VLOOKUP(sizing_w06_nsxt_appliance_size,table_nsxt_manager_cpu,2,FALSE),0)),IF(sizing_w06_nsxt_model="Dedicated - HA Cluster",3,1)),
        PRODUCT((IF(AND(sizing_w07_chosen="Included",sizing_w07_nsxt_model&lt;&gt;"Shared"),VLOOKUP(sizing_w07_nsxt_appliance_size,table_nsxt_manager_cpu,2,FALSE),0)),IF(sizing_w07_nsxt_model="Dedicated - HA Cluster",3,1)),
        PRODUCT((IF(AND(sizing_w08_chosen="Included",sizing_w08_nsxt_model&lt;&gt;"Shared"),VLOOKUP(sizing_w08_nsxt_appliance_size,table_nsxt_manager_cpu,2,FALSE),0)),IF(sizing_w08_nsxt_model="Dedicated - HA Cluster",3,1)),
        PRODUCT((IF(AND(sizing_w09_chosen="Included",sizing_w09_nsxt_model&lt;&gt;"Shared"),VLOOKUP(sizing_w09_nsxt_appliance_size,table_nsxt_manager_cpu,2,FALSE),0)),IF(sizing_w09_nsxt_model="Dedicated - HA Cluster",3,1)),
        PRODUCT((IF(AND(sizing_w10_chosen="Included",sizing_w10_nsxt_model&lt;&gt;"Shared"),VLOOKUP(sizing_w10_nsxt_appliance_size,table_nsxt_manager_cpu,2,FALSE),0)),IF(sizing_w10_nsxt_model="Dedicated - HA Cluster",3,1)),
        PRODUCT((IF(AND(sizing_w11_chosen="Included",sizing_w11_nsxt_model&lt;&gt;"Shared"),VLOOKUP(sizing_w11_nsxt_appliance_size,table_nsxt_manager_cpu,2,FALSE),0)),IF(sizing_w11_nsxt_model="Dedicated - HA Cluster",3,1)),
        PRODUCT((IF(AND(sizing_w12_chosen="Included",sizing_w12_nsxt_model&lt;&gt;"Shared"),VLOOKUP(sizing_w12_nsxt_appliance_size,table_nsxt_manager_cpu,2,FALSE),0)),IF(sizing_w12_nsxt_model="Dedicated - HA Cluster",3,1)),
        PRODUCT((IF(AND(sizing_w13_chosen="Included",sizing_w13_nsxt_model&lt;&gt;"Shared"),VLOOKUP(sizing_w13_nsxt_appliance_size,table_nsxt_manager_cpu,2,FALSE),0)),IF(sizing_w13_nsxt_model="Dedicated - HA Cluster",3,1)),
        PRODUCT((IF(AND(sizing_w14_chosen="Included",sizing_w14_nsxt_model&lt;&gt;"Shared"),VLOOKUP(sizing_w14_nsxt_appliance_size,table_nsxt_manager_cpu,2,FALSE),0)),IF(sizing_w14_nsxt_model="Dedicated - HA Cluster",3,1)),
        PRODUCT((IF(AND(sizing_w15_chosen="Included",sizing_w15_nsxt_model&lt;&gt;"Shared"),VLOOKUP(sizing_w15_nsxt_appliance_size,table_nsxt_manager_cpu,2,FALSE),0)),IF(sizing_w15_nsxt_model="Dedicated - HA Cluster",3,1)),
        PRODUCT((IF(AND(sizing_w16_chosen="Included",sizing_w16_nsxt_model&lt;&gt;"Shared"),VLOOKUP(sizing_w16_nsxt_appliance_size,table_nsxt_manager_cpu,2,FALSE),0)),IF(sizing_w16_nsxt_model="Dedicated - HA Cluster",3,1)),
        PRODUCT((IF(AND(sizing_w17_chosen="Included",sizing_w17_nsxt_model&lt;&gt;"Shared"),VLOOKUP(sizing_w17_nsxt_appliance_size,table_nsxt_manager_cpu,2,FALSE),0)),IF(sizing_w17_nsxt_model="Dedicated - HA Cluster",3,1)),
        PRODUCT((IF(AND(sizing_w18_chosen="Included",sizing_w18_nsxt_model&lt;&gt;"Shared"),VLOOKUP(sizing_w18_nsxt_appliance_size,table_nsxt_manager_cpu,2,FALSE),0)),IF(sizing_w18_nsxt_model="Dedicated - HA Cluster",3,1)),
        PRODUCT((IF(AND(sizing_w19_chosen="Included",sizing_w19_nsxt_model&lt;&gt;"Shared"),VLOOKUP(sizing_w19_nsxt_appliance_size,table_nsxt_manager_cpu,2,FALSE),0)),IF(sizing_w19_nsxt_model="Dedicated - HA Cluster",3,1)),
        PRODUCT((IF(AND(sizing_w20_chosen="Included",sizing_w20_nsxt_model&lt;&gt;"Shared"),VLOOKUP(sizing_w20_nsxt_appliance_size,table_nsxt_manager_cpu,2,FALSE),0)),IF(sizing_w20_nsxt_model="Dedicated - HA Cluster",3,1)),
        PRODUCT((IF(AND(sizing_w21_chosen="Included",sizing_w21_nsxt_model&lt;&gt;"Shared"),VLOOKUP(sizing_w21_nsxt_appliance_size,table_nsxt_manager_cpu,2,FALSE),0)),IF(sizing_w21_nsxt_model="Dedicated - HA Cluster",3,1)),
        PRODUCT((IF(AND(sizing_w22_chosen="Included",sizing_w22_nsxt_model&lt;&gt;"Shared"),VLOOKUP(sizing_w22_nsxt_appliance_size,table_nsxt_manager_cpu,2,FALSE),0)),IF(sizing_w22_nsxt_model="Dedicated - HA Cluster",3,1)),
        PRODUCT((IF(AND(sizing_w23_chosen="Included",sizing_w23_nsxt_model&lt;&gt;"Shared"),VLOOKUP(sizing_w23_nsxt_appliance_size,table_nsxt_manager_cpu,2,FALSE),0)),IF(sizing_w23_nsxt_model="Dedicated - HA Cluster",3,1)),
        PRODUCT((IF(AND(sizing_w24_chosen="Included",sizing_w24_nsxt_model&lt;&gt;"Shared"),VLOOKUP(sizing_w24_nsxt_appliance_size,table_nsxt_manager_cpu,2,FALSE),0)),IF(sizing_w24_nsxt_model="Dedicated - HA Cluster",3,1)),
        PRODUCT((IF(AND(sizing_w25_chosen="Included",sizing_w25_nsxt_model&lt;&gt;"Shared"),VLOOKUP(sizing_w25_nsxt_appliance_size,table_nsxt_manager_cpu,2,FALSE),0)),IF(sizing_w25_nsxt_model="Dedicated - HA Cluster",3,1)),
        PRODUCT((IF(AND(sizing_w26_chosen="Included",sizing_w26_nsxt_model&lt;&gt;"Shared"),VLOOKUP(sizing_w26_nsxt_appliance_size,table_nsxt_manager_cpu,2,FALSE),0)),IF(sizing_w26_nsxt_model="Dedicated - HA Cluster",3,1)),
        PRODUCT((IF(AND(sizing_w27_chosen="Included",sizing_w27_nsxt_model&lt;&gt;"Shared"),VLOOKUP(sizing_w27_nsxt_appliance_size,table_nsxt_manager_cpu,2,FALSE),0)),IF(sizing_w27_nsxt_model="Dedicated - HA Cluster",3,1)),
        PRODUCT((IF(AND(sizing_w28_chosen="Included",sizing_w28_nsxt_model&lt;&gt;"Shared"),VLOOKUP(sizing_w28_nsxt_appliance_size,table_nsxt_manager_cpu,2,FALSE),0)),IF(sizing_w28_nsxt_model="Dedicated - HA Cluster",3,1)),
        PRODUCT((IF(AND(sizing_w29_chosen="Included",sizing_w29_nsxt_model&lt;&gt;"Shared"),VLOOKUP(sizing_w29_nsxt_appliance_size,table_nsxt_manager_cpu,2,FALSE),0)),IF(sizing_w29_nsxt_model="Dedicated - HA Cluster",3,1)),
        PRODUCT((IF(AND(sizing_w30_chosen="Included",sizing_w30_nsxt_model&lt;&gt;"Shared"),VLOOKUP(sizing_w30_nsxt_appliance_size,table_nsxt_manager_cpu,2,FALSE),0)),IF(sizing_w30_nsxt_model="Dedicated - HA Cluster",3,1)),
        PRODUCT((IF(AND(sizing_w31_chosen="Included",sizing_w31_nsxt_model&lt;&gt;"Shared"),VLOOKUP(sizing_w31_nsxt_appliance_size,table_nsxt_manager_cpu,2,FALSE),0)),IF(sizing_w31_nsxt_model="Dedicated - HA Cluster",3,1)),
        PRODUCT((IF(AND(sizing_w32_chosen="Included",sizing_w32_nsxt_model&lt;&gt;"Shared"),VLOOKUP(sizing_w32_nsxt_appliance_size,table_nsxt_manager_cpu,2,FALSE),0)),IF(sizing_w32_nsxt_model="Dedicated - HA Cluster",3,1)),
        PRODUCT((IF(AND(sizing_w33_chosen="Included",sizing_w33_nsxt_model&lt;&gt;"Shared"),VLOOKUP(sizing_w33_nsxt_appliance_size,table_nsxt_manager_cpu,2,FALSE),0)),IF(sizing_w33_nsxt_model="Dedicated - HA Cluster",3,1)),
        PRODUCT((IF(AND(sizing_w34_chosen="Included",sizing_w34_nsxt_model&lt;&gt;"Shared"),VLOOKUP(sizing_w34_nsxt_appliance_size,table_nsxt_manager_cpu,2,FALSE),0)),IF(sizing_w34_nsxt_model="Dedicated - HA Cluster",3,1)),
        PRODUCT((IF(AND(sizing_w35_chosen="Included",sizing_w35_nsxt_model&lt;&gt;"Shared"),VLOOKUP(sizing_w35_nsxt_appliance_size,table_nsxt_manager_cpu,2,FALSE),0)),IF(sizing_w35_nsxt_model="Dedicated - HA Cluster",3,1)),
'Static Reference Tables'!B664)</f>
        <v>0</v>
      </c>
      <c r="L19" s="26">
        <f>SUM(
        PRODUCT((IF(AND(sizing_w01_chosen="Included",sizing_w01_nsxt_model&lt;&gt;"Shared"),VLOOKUP(sizing_w01_nsxt_appliance_size,table_nsxt_manager_ram,2,FALSE),0)),IF(sizing_w01_nsxt_model="Dedicated - HA Cluster",3,1)),
        PRODUCT((IF(AND(sizing_w02_chosen="Included",sizing_w02_nsxt_model&lt;&gt;"Shared"),VLOOKUP(sizing_w02_nsxt_appliance_size,table_nsxt_manager_ram,2,FALSE),0)),IF(sizing_w02_nsxt_model="Dedicated - HA Cluster",3,1)),
        PRODUCT((IF(AND(sizing_w03_chosen="Included",sizing_w03_nsxt_model&lt;&gt;"Shared"),VLOOKUP(sizing_w03_nsxt_appliance_size,table_nsxt_manager_ram,2,FALSE),0)),IF(sizing_w03_nsxt_model="Dedicated - HA Cluster",3,1)),
        PRODUCT((IF(AND(sizing_w04_chosen="Included",sizing_w04_nsxt_model&lt;&gt;"Shared"),VLOOKUP(sizing_w04_nsxt_appliance_size,table_nsxt_manager_ram,2,FALSE),0)),IF(sizing_w04_nsxt_model="Dedicated - HA Cluster",3,1)),
        PRODUCT((IF(AND(sizing_w05_chosen="Included",sizing_w05_nsxt_model&lt;&gt;"Shared"),VLOOKUP(sizing_w05_nsxt_appliance_size,table_nsxt_manager_ram,2,FALSE),0)),IF(sizing_w05_nsxt_model="Dedicated - HA Cluster",3,1)),
        PRODUCT((IF(AND(sizing_w06_chosen="Included",sizing_w06_nsxt_model&lt;&gt;"Shared"),VLOOKUP(sizing_w06_nsxt_appliance_size,table_nsxt_manager_ram,2,FALSE),0)),IF(sizing_w06_nsxt_model="Dedicated - HA Cluster",3,1)),
        PRODUCT((IF(AND(sizing_w07_chosen="Included",sizing_w07_nsxt_model&lt;&gt;"Shared"),VLOOKUP(sizing_w07_nsxt_appliance_size,table_nsxt_manager_ram,2,FALSE),0)),IF(sizing_w07_nsxt_model="Dedicated - HA Cluster",3,1)),
        PRODUCT((IF(AND(sizing_w08_chosen="Included",sizing_w08_nsxt_model&lt;&gt;"Shared"),VLOOKUP(sizing_w08_nsxt_appliance_size,table_nsxt_manager_ram,2,FALSE),0)),IF(sizing_w08_nsxt_model="Dedicated - HA Cluster",3,1)),
        PRODUCT((IF(AND(sizing_w09_chosen="Included",sizing_w09_nsxt_model&lt;&gt;"Shared"),VLOOKUP(sizing_w09_nsxt_appliance_size,table_nsxt_manager_ram,2,FALSE),0)),IF(sizing_w09_nsxt_model="Dedicated - HA Cluster",3,1)),
        PRODUCT((IF(AND(sizing_w10_chosen="Included",sizing_w10_nsxt_model&lt;&gt;"Shared"),VLOOKUP(sizing_w10_nsxt_appliance_size,table_nsxt_manager_ram,2,FALSE),0)),IF(sizing_w10_nsxt_model="Dedicated - HA Cluster",3,1)),
        PRODUCT((IF(AND(sizing_w11_chosen="Included",sizing_w11_nsxt_model&lt;&gt;"Shared"),VLOOKUP(sizing_w11_nsxt_appliance_size,table_nsxt_manager_ram,2,FALSE),0)),IF(sizing_w11_nsxt_model="Dedicated - HA Cluster",3,1)),
        PRODUCT((IF(AND(sizing_w12_chosen="Included",sizing_w12_nsxt_model&lt;&gt;"Shared"),VLOOKUP(sizing_w12_nsxt_appliance_size,table_nsxt_manager_ram,2,FALSE),0)),IF(sizing_w12_nsxt_model="Dedicated - HA Cluster",3,1)),
        PRODUCT((IF(AND(sizing_w13_chosen="Included",sizing_w13_nsxt_model&lt;&gt;"Shared"),VLOOKUP(sizing_w13_nsxt_appliance_size,table_nsxt_manager_ram,2,FALSE),0)),IF(sizing_w13_nsxt_model="Dedicated - HA Cluster",3,1)),
        PRODUCT((IF(AND(sizing_w14_chosen="Included",sizing_w14_nsxt_model&lt;&gt;"Shared"),VLOOKUP(sizing_w14_nsxt_appliance_size,table_nsxt_manager_ram,2,FALSE),0)),IF(sizing_w14_nsxt_model="Dedicated - HA Cluster",3,1)),
        PRODUCT((IF(AND(sizing_w15_chosen="Included",sizing_w15_nsxt_model&lt;&gt;"Shared"),VLOOKUP(sizing_w15_nsxt_appliance_size,table_nsxt_manager_ram,2,FALSE),0)),IF(sizing_w15_nsxt_model="Dedicated - HA Cluster",3,1)),
        PRODUCT((IF(AND(sizing_w16_chosen="Included",sizing_w16_nsxt_model&lt;&gt;"Shared"),VLOOKUP(sizing_w16_nsxt_appliance_size,table_nsxt_manager_ram,2,FALSE),0)),IF(sizing_w16_nsxt_model="Dedicated - HA Cluster",3,1)),
        PRODUCT((IF(AND(sizing_w17_chosen="Included",sizing_w17_nsxt_model&lt;&gt;"Shared"),VLOOKUP(sizing_w17_nsxt_appliance_size,table_nsxt_manager_ram,2,FALSE),0)),IF(sizing_w17_nsxt_model="Dedicated - HA Cluster",3,1)),
        PRODUCT((IF(AND(sizing_w18_chosen="Included",sizing_w18_nsxt_model&lt;&gt;"Shared"),VLOOKUP(sizing_w18_nsxt_appliance_size,table_nsxt_manager_ram,2,FALSE),0)),IF(sizing_w18_nsxt_model="Dedicated - HA Cluster",3,1)),
        PRODUCT((IF(AND(sizing_w19_chosen="Included",sizing_w19_nsxt_model&lt;&gt;"Shared"),VLOOKUP(sizing_w19_nsxt_appliance_size,table_nsxt_manager_ram,2,FALSE),0)),IF(sizing_w19_nsxt_model="Dedicated - HA Cluster",3,1)),
        PRODUCT((IF(AND(sizing_w20_chosen="Included",sizing_w20_nsxt_model&lt;&gt;"Shared"),VLOOKUP(sizing_w20_nsxt_appliance_size,table_nsxt_manager_ram,2,FALSE),0)),IF(sizing_w20_nsxt_model="Dedicated - HA Cluster",3,1)),
        PRODUCT((IF(AND(sizing_w21_chosen="Included",sizing_w21_nsxt_model&lt;&gt;"Shared"),VLOOKUP(sizing_w21_nsxt_appliance_size,table_nsxt_manager_ram,2,FALSE),0)),IF(sizing_w21_nsxt_model="Dedicated - HA Cluster",3,1)),
        PRODUCT((IF(AND(sizing_w22_chosen="Included",sizing_w22_nsxt_model&lt;&gt;"Shared"),VLOOKUP(sizing_w22_nsxt_appliance_size,table_nsxt_manager_ram,2,FALSE),0)),IF(sizing_w22_nsxt_model="Dedicated - HA Cluster",3,1)),
        PRODUCT((IF(AND(sizing_w23_chosen="Included",sizing_w23_nsxt_model&lt;&gt;"Shared"),VLOOKUP(sizing_w23_nsxt_appliance_size,table_nsxt_manager_ram,2,FALSE),0)),IF(sizing_w23_nsxt_model="Dedicated - HA Cluster",3,1)),
        PRODUCT((IF(AND(sizing_w24_chosen="Included",sizing_w24_nsxt_model&lt;&gt;"Shared"),VLOOKUP(sizing_w24_nsxt_appliance_size,table_nsxt_manager_ram,2,FALSE),0)),IF(sizing_w24_nsxt_model="Dedicated - HA Cluster",3,1)),
        PRODUCT((IF(AND(sizing_w25_chosen="Included",sizing_w25_nsxt_model&lt;&gt;"Shared"),VLOOKUP(sizing_w25_nsxt_appliance_size,table_nsxt_manager_ram,2,FALSE),0)),IF(sizing_w25_nsxt_model="Dedicated - HA Cluster",3,1)),
        PRODUCT((IF(AND(sizing_w26_chosen="Included",sizing_w26_nsxt_model&lt;&gt;"Shared"),VLOOKUP(sizing_w26_nsxt_appliance_size,table_nsxt_manager_ram,2,FALSE),0)),IF(sizing_w26_nsxt_model="Dedicated - HA Cluster",3,1)),
        PRODUCT((IF(AND(sizing_w27_chosen="Included",sizing_w27_nsxt_model&lt;&gt;"Shared"),VLOOKUP(sizing_w27_nsxt_appliance_size,table_nsxt_manager_ram,2,FALSE),0)),IF(sizing_w27_nsxt_model="Dedicated - HA Cluster",3,1)),
        PRODUCT((IF(AND(sizing_w28_chosen="Included",sizing_w28_nsxt_model&lt;&gt;"Shared"),VLOOKUP(sizing_w28_nsxt_appliance_size,table_nsxt_manager_ram,2,FALSE),0)),IF(sizing_w28_nsxt_model="Dedicated - HA Cluster",3,1)),
        PRODUCT((IF(AND(sizing_w29_chosen="Included",sizing_w29_nsxt_model&lt;&gt;"Shared"),VLOOKUP(sizing_w29_nsxt_appliance_size,table_nsxt_manager_ram,2,FALSE),0)),IF(sizing_w29_nsxt_model="Dedicated - HA Cluster",3,1)),
        PRODUCT((IF(AND(sizing_w30_chosen="Included",sizing_w30_nsxt_model&lt;&gt;"Shared"),VLOOKUP(sizing_w30_nsxt_appliance_size,table_nsxt_manager_ram,2,FALSE),0)),IF(sizing_w30_nsxt_model="Dedicated - HA Cluster",3,1)),
        PRODUCT((IF(AND(sizing_w31_chosen="Included",sizing_w31_nsxt_model&lt;&gt;"Shared"),VLOOKUP(sizing_w31_nsxt_appliance_size,table_nsxt_manager_ram,2,FALSE),0)),IF(sizing_w31_nsxt_model="Dedicated - HA Cluster",3,1)),
        PRODUCT((IF(AND(sizing_w32_chosen="Included",sizing_w32_nsxt_model&lt;&gt;"Shared"),VLOOKUP(sizing_w32_nsxt_appliance_size,table_nsxt_manager_ram,2,FALSE),0)),IF(sizing_w32_nsxt_model="Dedicated - HA Cluster",3,1)),
        PRODUCT((IF(AND(sizing_w33_chosen="Included",sizing_w33_nsxt_model&lt;&gt;"Shared"),VLOOKUP(sizing_w33_nsxt_appliance_size,table_nsxt_manager_ram,2,FALSE),0)),IF(sizing_w33_nsxt_model="Dedicated - HA Cluster",3,1)),
        PRODUCT((IF(AND(sizing_w34_chosen="Included",sizing_w34_nsxt_model&lt;&gt;"Shared"),VLOOKUP(sizing_w34_nsxt_appliance_size,table_nsxt_manager_ram,2,FALSE),0)),IF(sizing_w34_nsxt_model="Dedicated - HA Cluster",3,1)),
        PRODUCT((IF(AND(sizing_w35_chosen="Included",sizing_w35_nsxt_model&lt;&gt;"Shared"),VLOOKUP(sizing_w35_nsxt_appliance_size,table_nsxt_manager_ram,2,FALSE),0)),IF(sizing_w35_nsxt_model="Dedicated - HA Cluster",3,1)),
'Static Reference Tables'!B665)</f>
        <v>0</v>
      </c>
      <c r="M19" s="26">
        <f>SUM(
        PRODUCT((IF(AND(sizing_w01_chosen="Included",sizing_w01_nsxt_model&lt;&gt;"Shared"),VLOOKUP(sizing_w01_nsxt_appliance_size,table_nsxt_manager_disk_gb,2,FALSE),0)),IF(sizing_w01_nsxt_model="Dedicated - HA Cluster",3,1)),
        PRODUCT((IF(AND(sizing_w02_chosen="Included",sizing_w02_nsxt_model&lt;&gt;"Shared"),VLOOKUP(sizing_w02_nsxt_appliance_size,table_nsxt_manager_disk_gb,2,FALSE),0)),IF(sizing_w02_nsxt_model="Dedicated - HA Cluster",3,1)),
        PRODUCT((IF(AND(sizing_w03_chosen="Included",sizing_w03_nsxt_model&lt;&gt;"Shared"),VLOOKUP(sizing_w03_nsxt_appliance_size,table_nsxt_manager_disk_gb,2,FALSE),0)),IF(sizing_w03_nsxt_model="Dedicated - HA Cluster",3,1)),
        PRODUCT((IF(AND(sizing_w04_chosen="Included",sizing_w04_nsxt_model&lt;&gt;"Shared"),VLOOKUP(sizing_w04_nsxt_appliance_size,table_nsxt_manager_disk_gb,2,FALSE),0)),IF(sizing_w04_nsxt_model="Dedicated - HA Cluster",3,1)),
        PRODUCT((IF(AND(sizing_w05_chosen="Included",sizing_w05_nsxt_model&lt;&gt;"Shared"),VLOOKUP(sizing_w05_nsxt_appliance_size,table_nsxt_manager_disk_gb,2,FALSE),0)),IF(sizing_w05_nsxt_model="Dedicated - HA Cluster",3,1)),
        PRODUCT((IF(AND(sizing_w06_chosen="Included",sizing_w06_nsxt_model&lt;&gt;"Shared"),VLOOKUP(sizing_w06_nsxt_appliance_size,table_nsxt_manager_disk_gb,2,FALSE),0)),IF(sizing_w06_nsxt_model="Dedicated - HA Cluster",3,1)),
        PRODUCT((IF(AND(sizing_w07_chosen="Included",sizing_w07_nsxt_model&lt;&gt;"Shared"),VLOOKUP(sizing_w07_nsxt_appliance_size,table_nsxt_manager_disk_gb,2,FALSE),0)),IF(sizing_w07_nsxt_model="Dedicated - HA Cluster",3,1)),
        PRODUCT((IF(AND(sizing_w08_chosen="Included",sizing_w08_nsxt_model&lt;&gt;"Shared"),VLOOKUP(sizing_w08_nsxt_appliance_size,table_nsxt_manager_disk_gb,2,FALSE),0)),IF(sizing_w08_nsxt_model="Dedicated - HA Cluster",3,1)),
        PRODUCT((IF(AND(sizing_w09_chosen="Included",sizing_w09_nsxt_model&lt;&gt;"Shared"),VLOOKUP(sizing_w09_nsxt_appliance_size,table_nsxt_manager_disk_gb,2,FALSE),0)),IF(sizing_w09_nsxt_model="Dedicated - HA Cluster",3,1)),
        PRODUCT((IF(AND(sizing_w10_chosen="Included",sizing_w10_nsxt_model&lt;&gt;"Shared"),VLOOKUP(sizing_w10_nsxt_appliance_size,table_nsxt_manager_disk_gb,2,FALSE),0)),IF(sizing_w10_nsxt_model="Dedicated - HA Cluster",3,1)),
        PRODUCT((IF(AND(sizing_w11_chosen="Included",sizing_w11_nsxt_model&lt;&gt;"Shared"),VLOOKUP(sizing_w11_nsxt_appliance_size,table_nsxt_manager_disk_gb,2,FALSE),0)),IF(sizing_w11_nsxt_model="Dedicated - HA Cluster",3,1)),
        PRODUCT((IF(AND(sizing_w12_chosen="Included",sizing_w12_nsxt_model&lt;&gt;"Shared"),VLOOKUP(sizing_w12_nsxt_appliance_size,table_nsxt_manager_disk_gb,2,FALSE),0)),IF(sizing_w12_nsxt_model="Dedicated - HA Cluster",3,1)),
        PRODUCT((IF(AND(sizing_w13_chosen="Included",sizing_w13_nsxt_model&lt;&gt;"Shared"),VLOOKUP(sizing_w13_nsxt_appliance_size,table_nsxt_manager_disk_gb,2,FALSE),0)),IF(sizing_w13_nsxt_model="Dedicated - HA Cluster",3,1)),
        PRODUCT((IF(AND(sizing_w14_chosen="Included",sizing_w14_nsxt_model&lt;&gt;"Shared"),VLOOKUP(sizing_w14_nsxt_appliance_size,table_nsxt_manager_disk_gb,2,FALSE),0)),IF(sizing_w14_nsxt_model="Dedicated - HA Cluster",3,1)),
        PRODUCT((IF(AND(sizing_w15_chosen="Included",sizing_w15_nsxt_model&lt;&gt;"Shared"),VLOOKUP(sizing_w15_nsxt_appliance_size,table_nsxt_manager_disk_gb,2,FALSE),0)),IF(sizing_w15_nsxt_model="Dedicated - HA Cluster",3,1)),
        PRODUCT((IF(AND(sizing_w16_chosen="Included",sizing_w16_nsxt_model&lt;&gt;"Shared"),VLOOKUP(sizing_w16_nsxt_appliance_size,table_nsxt_manager_disk_gb,2,FALSE),0)),IF(sizing_w16_nsxt_model="Dedicated - HA Cluster",3,1)),
        PRODUCT((IF(AND(sizing_w17_chosen="Included",sizing_w17_nsxt_model&lt;&gt;"Shared"),VLOOKUP(sizing_w17_nsxt_appliance_size,table_nsxt_manager_disk_gb,2,FALSE),0)),IF(sizing_w17_nsxt_model="Dedicated - HA Cluster",3,1)),
        PRODUCT((IF(AND(sizing_w18_chosen="Included",sizing_w18_nsxt_model&lt;&gt;"Shared"),VLOOKUP(sizing_w18_nsxt_appliance_size,table_nsxt_manager_disk_gb,2,FALSE),0)),IF(sizing_w18_nsxt_model="Dedicated - HA Cluster",3,1)),
        PRODUCT((IF(AND(sizing_w19_chosen="Included",sizing_w19_nsxt_model&lt;&gt;"Shared"),VLOOKUP(sizing_w19_nsxt_appliance_size,table_nsxt_manager_disk_gb,2,FALSE),0)),IF(sizing_w19_nsxt_model="Dedicated - HA Cluster",3,1)),
        PRODUCT((IF(AND(sizing_w20_chosen="Included",sizing_w20_nsxt_model&lt;&gt;"Shared"),VLOOKUP(sizing_w20_nsxt_appliance_size,table_nsxt_manager_disk_gb,2,FALSE),0)),IF(sizing_w20_nsxt_model="Dedicated - HA Cluster",3,1)),
        PRODUCT((IF(AND(sizing_w21_chosen="Included",sizing_w21_nsxt_model&lt;&gt;"Shared"),VLOOKUP(sizing_w21_nsxt_appliance_size,table_nsxt_manager_disk_gb,2,FALSE),0)),IF(sizing_w21_nsxt_model="Dedicated - HA Cluster",3,1)),
        PRODUCT((IF(AND(sizing_w22_chosen="Included",sizing_w22_nsxt_model&lt;&gt;"Shared"),VLOOKUP(sizing_w22_nsxt_appliance_size,table_nsxt_manager_disk_gb,2,FALSE),0)),IF(sizing_w22_nsxt_model="Dedicated - HA Cluster",3,1)),
        PRODUCT((IF(AND(sizing_w23_chosen="Included",sizing_w23_nsxt_model&lt;&gt;"Shared"),VLOOKUP(sizing_w23_nsxt_appliance_size,table_nsxt_manager_disk_gb,2,FALSE),0)),IF(sizing_w23_nsxt_model="Dedicated - HA Cluster",3,1)),
        PRODUCT((IF(AND(sizing_w24_chosen="Included",sizing_w24_nsxt_model&lt;&gt;"Shared"),VLOOKUP(sizing_w24_nsxt_appliance_size,table_nsxt_manager_disk_gb,2,FALSE),0)),IF(sizing_w24_nsxt_model="Dedicated - HA Cluster",3,1)),
        PRODUCT((IF(AND(sizing_w25_chosen="Included",sizing_w25_nsxt_model&lt;&gt;"Shared"),VLOOKUP(sizing_w25_nsxt_appliance_size,table_nsxt_manager_disk_gb,2,FALSE),0)),IF(sizing_w25_nsxt_model="Dedicated - HA Cluster",3,1)),
        PRODUCT((IF(AND(sizing_w26_chosen="Included",sizing_w26_nsxt_model&lt;&gt;"Shared"),VLOOKUP(sizing_w26_nsxt_appliance_size,table_nsxt_manager_disk_gb,2,FALSE),0)),IF(sizing_w26_nsxt_model="Dedicated - HA Cluster",3,1)),
        PRODUCT((IF(AND(sizing_w27_chosen="Included",sizing_w27_nsxt_model&lt;&gt;"Shared"),VLOOKUP(sizing_w27_nsxt_appliance_size,table_nsxt_manager_disk_gb,2,FALSE),0)),IF(sizing_w27_nsxt_model="Dedicated - HA Cluster",3,1)),
        PRODUCT((IF(AND(sizing_w28_chosen="Included",sizing_w28_nsxt_model&lt;&gt;"Shared"),VLOOKUP(sizing_w28_nsxt_appliance_size,table_nsxt_manager_disk_gb,2,FALSE),0)),IF(sizing_w28_nsxt_model="Dedicated - HA Cluster",3,1)),
        PRODUCT((IF(AND(sizing_w29_chosen="Included",sizing_w29_nsxt_model&lt;&gt;"Shared"),VLOOKUP(sizing_w29_nsxt_appliance_size,table_nsxt_manager_disk_gb,2,FALSE),0)),IF(sizing_w29_nsxt_model="Dedicated - HA Cluster",3,1)),
        PRODUCT((IF(AND(sizing_w30_chosen="Included",sizing_w30_nsxt_model&lt;&gt;"Shared"),VLOOKUP(sizing_w30_nsxt_appliance_size,table_nsxt_manager_disk_gb,2,FALSE),0)),IF(sizing_w30_nsxt_model="Dedicated - HA Cluster",3,1)),
        PRODUCT((IF(AND(sizing_w31_chosen="Included",sizing_w31_nsxt_model&lt;&gt;"Shared"),VLOOKUP(sizing_w31_nsxt_appliance_size,table_nsxt_manager_disk_gb,2,FALSE),0)),IF(sizing_w31_nsxt_model="Dedicated - HA Cluster",3,1)),
        PRODUCT((IF(AND(sizing_w32_chosen="Included",sizing_w32_nsxt_model&lt;&gt;"Shared"),VLOOKUP(sizing_w32_nsxt_appliance_size,table_nsxt_manager_disk_gb,2,FALSE),0)),IF(sizing_w32_nsxt_model="Dedicated - HA Cluster",3,1)),
        PRODUCT((IF(AND(sizing_w33_chosen="Included",sizing_w33_nsxt_model&lt;&gt;"Shared"),VLOOKUP(sizing_w33_nsxt_appliance_size,table_nsxt_manager_disk_gb,2,FALSE),0)),IF(sizing_w33_nsxt_model="Dedicated - HA Cluster",3,1)),
        PRODUCT((IF(AND(sizing_w34_chosen="Included",sizing_w34_nsxt_model&lt;&gt;"Shared"),VLOOKUP(sizing_w34_nsxt_appliance_size,table_nsxt_manager_disk_gb,2,FALSE),0)),IF(sizing_w34_nsxt_model="Dedicated - HA Cluster",3,1)),
        PRODUCT((IF(AND(sizing_w35_chosen="Included",sizing_w35_nsxt_model&lt;&gt;"Shared"),VLOOKUP(sizing_w35_nsxt_appliance_size,table_nsxt_manager_disk_gb,2,FALSE),0)),IF(sizing_w35_nsxt_model="Dedicated - HA Cluster",3,1)),
'Static Reference Tables'!B666)</f>
        <v>0</v>
      </c>
      <c r="O19" s="415" t="s">
        <v>3619</v>
      </c>
      <c r="P19" s="416"/>
      <c r="Q19" s="417"/>
      <c r="R19" s="443">
        <f>ROUNDUP(R18*(1+(sizing_virtual_machine_overhead/100)),0)</f>
        <v>14012</v>
      </c>
      <c r="S19" s="444"/>
      <c r="U19" s="491"/>
      <c r="V19" s="491"/>
      <c r="W19" s="491"/>
      <c r="X19" s="491"/>
      <c r="Y19" s="491"/>
      <c r="Z19" s="491"/>
      <c r="AA19" s="491"/>
      <c r="AB19" s="491"/>
      <c r="AC19" s="491"/>
      <c r="AD19" s="491"/>
      <c r="AE19" s="128"/>
      <c r="AF19" s="128"/>
      <c r="AG19" s="128"/>
      <c r="AH19" s="128"/>
    </row>
    <row r="20" spans="2:35" ht="20" customHeight="1" x14ac:dyDescent="0.2">
      <c r="B20" s="415" t="s">
        <v>3275</v>
      </c>
      <c r="C20" s="416"/>
      <c r="D20" s="417"/>
      <c r="E20" s="66" t="s">
        <v>1921</v>
      </c>
      <c r="G20" s="400" t="s">
        <v>2910</v>
      </c>
      <c r="H20" s="401"/>
      <c r="I20" s="402"/>
      <c r="J20" s="8">
        <f>COUNTIF(U44:U78,"&lt;&gt;Excluded")*3</f>
        <v>0</v>
      </c>
      <c r="K20" s="8">
        <f>SUM(
(IF(AND(sizing_w01_chosen="Included",sizing_w01_avi_appliance_size&lt;&gt;"Excluded"),VLOOKUP(sizing_w01_avi_appliance_size,table_avi_lb_cpu,2,FALSE),0))*3,
(IF(AND(sizing_w02_chosen="Included",sizing_w02_avi_appliance_size&lt;&gt;"Excluded"),VLOOKUP(sizing_w02_avi_appliance_size,table_avi_lb_cpu,2,FALSE),0))*3,
(IF(AND(sizing_w03_chosen="Included",sizing_w03_avi_appliance_size&lt;&gt;"Excluded"),VLOOKUP(sizing_w03_avi_appliance_size,table_avi_lb_cpu,2,FALSE),0))*3,
(IF(AND(sizing_w04_chosen="Included",sizing_w04_avi_appliance_size&lt;&gt;"Excluded"),VLOOKUP(sizing_w04_avi_appliance_size,table_avi_lb_cpu,2,FALSE),0))*3,
(IF(AND(sizing_w05_chosen="Included",sizing_w05_avi_appliance_size&lt;&gt;"Excluded"),VLOOKUP(sizing_w05_avi_appliance_size,table_avi_lb_cpu,2,FALSE),0))*3,
(IF(AND(sizing_w06_chosen="Included",sizing_w06_avi_appliance_size&lt;&gt;"Excluded"),VLOOKUP(sizing_w06_avi_appliance_size,table_avi_lb_cpu,2,FALSE),0))*3,
(IF(AND(sizing_w07_chosen="Included",sizing_w07_avi_appliance_size&lt;&gt;"Excluded"),VLOOKUP(sizing_w07_avi_appliance_size,table_avi_lb_cpu,2,FALSE),0))*3,
(IF(AND(sizing_w08_chosen="Included",sizing_w08_avi_appliance_size&lt;&gt;"Excluded"),VLOOKUP(sizing_w08_avi_appliance_size,table_avi_lb_cpu,2,FALSE),0))*3,
(IF(AND(sizing_w09_chosen="Included",sizing_w09_avi_appliance_size&lt;&gt;"Excluded"),VLOOKUP(sizing_w09_avi_appliance_size,table_avi_lb_cpu,2,FALSE),0))*3,
(IF(AND(sizing_w10_chosen="Included",sizing_w10_avi_appliance_size&lt;&gt;"Excluded"),VLOOKUP(sizing_w10_avi_appliance_size,table_avi_lb_cpu,2,FALSE),0))*3,
(IF(AND(sizing_w11_chosen="Included",sizing_w11_avi_appliance_size&lt;&gt;"Excluded"),VLOOKUP(sizing_w11_avi_appliance_size,table_avi_lb_cpu,2,FALSE),0))*3,
(IF(AND(sizing_w12_chosen="Included",sizing_w12_avi_appliance_size&lt;&gt;"Excluded"),VLOOKUP(sizing_w12_avi_appliance_size,table_avi_lb_cpu,2,FALSE),0))*3,
(IF(AND(sizing_w13_chosen="Included",sizing_w13_avi_appliance_size&lt;&gt;"Excluded"),VLOOKUP(sizing_w13_avi_appliance_size,table_avi_lb_cpu,2,FALSE),0))*3,
(IF(AND(sizing_w14_chosen="Included",sizing_w14_avi_appliance_size&lt;&gt;"Excluded"),VLOOKUP(sizing_w14_avi_appliance_size,table_avi_lb_cpu,2,FALSE),0))*3,
(IF(AND(sizing_w15_chosen="Included",sizing_w15_avi_appliance_size&lt;&gt;"Excluded"),VLOOKUP(sizing_w15_avi_appliance_size,table_avi_lb_cpu,2,FALSE),0))*3,
(IF(AND(sizing_w16_chosen="Included",sizing_w16_avi_appliance_size&lt;&gt;"Excluded"),VLOOKUP(sizing_w16_avi_appliance_size,table_avi_lb_cpu,2,FALSE),0))*3,
(IF(AND(sizing_w17_chosen="Included",sizing_w17_avi_appliance_size&lt;&gt;"Excluded"),VLOOKUP(sizing_w17_avi_appliance_size,table_avi_lb_cpu,2,FALSE),0))*3,
(IF(AND(sizing_w18_chosen="Included",sizing_w18_avi_appliance_size&lt;&gt;"Excluded"),VLOOKUP(sizing_w18_avi_appliance_size,table_avi_lb_cpu,2,FALSE),0))*3,
(IF(AND(sizing_w19_chosen="Included",sizing_w19_avi_appliance_size&lt;&gt;"Excluded"),VLOOKUP(sizing_w19_avi_appliance_size,table_avi_lb_cpu,2,FALSE),0))*3,
(IF(AND(sizing_w20_chosen="Included",sizing_w20_avi_appliance_size&lt;&gt;"Excluded"),VLOOKUP(sizing_w20_avi_appliance_size,table_avi_lb_cpu,2,FALSE),0))*3,
(IF(AND(sizing_w21_chosen="Included",sizing_w21_avi_appliance_size&lt;&gt;"Excluded"),VLOOKUP(sizing_w21_avi_appliance_size,table_avi_lb_cpu,2,FALSE),0))*3,
(IF(AND(sizing_w22_chosen="Included",sizing_w22_avi_appliance_size&lt;&gt;"Excluded"),VLOOKUP(sizing_w22_avi_appliance_size,table_avi_lb_cpu,2,FALSE),0))*3,
(IF(AND(sizing_w23_chosen="Included",sizing_w23_avi_appliance_size&lt;&gt;"Excluded"),VLOOKUP(sizing_w23_avi_appliance_size,table_avi_lb_cpu,2,FALSE),0))*3,
(IF(AND(sizing_w24_chosen="Included",sizing_w24_avi_appliance_size&lt;&gt;"Excluded"),VLOOKUP(sizing_w24_avi_appliance_size,table_avi_lb_cpu,2,FALSE),0))*3,
(IF(AND(sizing_w25_chosen="Included",sizing_w25_avi_appliance_size&lt;&gt;"Excluded"),VLOOKUP(sizing_w25_avi_appliance_size,table_avi_lb_cpu,2,FALSE),0))*3,
(IF(AND(sizing_w26_chosen="Included",sizing_w26_avi_appliance_size&lt;&gt;"Excluded"),VLOOKUP(sizing_w26_avi_appliance_size,table_avi_lb_cpu,2,FALSE),0))*3,
(IF(AND(sizing_w27_chosen="Included",sizing_w27_avi_appliance_size&lt;&gt;"Excluded"),VLOOKUP(sizing_w27_avi_appliance_size,table_avi_lb_cpu,2,FALSE),0))*3,
(IF(AND(sizing_w28_chosen="Included",sizing_w28_avi_appliance_size&lt;&gt;"Excluded"),VLOOKUP(sizing_w28_avi_appliance_size,table_avi_lb_cpu,2,FALSE),0))*3,
(IF(AND(sizing_w29_chosen="Included",sizing_w29_avi_appliance_size&lt;&gt;"Excluded"),VLOOKUP(sizing_w29_avi_appliance_size,table_avi_lb_cpu,2,FALSE),0))*3,
(IF(AND(sizing_w30_chosen="Included",sizing_w30_avi_appliance_size&lt;&gt;"Excluded"),VLOOKUP(sizing_w30_avi_appliance_size,table_avi_lb_cpu,2,FALSE),0))*3,
(IF(AND(sizing_w31_chosen="Included",sizing_w31_avi_appliance_size&lt;&gt;"Excluded"),VLOOKUP(sizing_w31_avi_appliance_size,table_avi_lb_cpu,2,FALSE),0))*3,
(IF(AND(sizing_w32_chosen="Included",sizing_w32_avi_appliance_size&lt;&gt;"Excluded"),VLOOKUP(sizing_w32_avi_appliance_size,table_avi_lb_cpu,2,FALSE),0))*3,
(IF(AND(sizing_w33_chosen="Included",sizing_w33_avi_appliance_size&lt;&gt;"Excluded"),VLOOKUP(sizing_w33_avi_appliance_size,table_avi_lb_cpu,2,FALSE),0))*3,
(IF(AND(sizing_w34_chosen="Included",sizing_w34_avi_appliance_size&lt;&gt;"Excluded"),VLOOKUP(sizing_w34_avi_appliance_size,table_avi_lb_cpu,2,FALSE),0))*3,
(IF(AND(sizing_w35_chosen="Included",sizing_w35_avi_appliance_size&lt;&gt;"Excluded"),VLOOKUP(sizing_w35_avi_appliance_size,table_avi_lb_cpu,2,FALSE),0))*3)</f>
        <v>0</v>
      </c>
      <c r="L20" s="8">
        <f>SUM(
    (IF(AND(sizing_w01_chosen="Included",sizing_w01_avi_appliance_size&lt;&gt;"Excluded"),VLOOKUP(sizing_w01_avi_appliance_size,table_avi_lb_ram,2,FALSE),0))*3,
    (IF(AND(sizing_w02_chosen="Included",sizing_w02_avi_appliance_size&lt;&gt;"Excluded"),VLOOKUP(sizing_w02_avi_appliance_size,table_avi_lb_ram,2,FALSE),0))*3,
    (IF(AND(sizing_w03_chosen="Included",sizing_w03_avi_appliance_size&lt;&gt;"Excluded"),VLOOKUP(sizing_w03_avi_appliance_size,table_avi_lb_ram,2,FALSE),0))*3,
    (IF(AND(sizing_w04_chosen="Included",sizing_w04_avi_appliance_size&lt;&gt;"Excluded"),VLOOKUP(sizing_w04_avi_appliance_size,table_avi_lb_ram,2,FALSE),0))*3,
    (IF(AND(sizing_w05_chosen="Included",sizing_w05_avi_appliance_size&lt;&gt;"Excluded"),VLOOKUP(sizing_w05_avi_appliance_size,table_avi_lb_ram,2,FALSE),0))*3,
    (IF(AND(sizing_w06_chosen="Included",sizing_w06_avi_appliance_size&lt;&gt;"Excluded"),VLOOKUP(sizing_w06_avi_appliance_size,table_avi_lb_ram,2,FALSE),0))*3,
    (IF(AND(sizing_w07_chosen="Included",sizing_w07_avi_appliance_size&lt;&gt;"Excluded"),VLOOKUP(sizing_w07_avi_appliance_size,table_avi_lb_ram,2,FALSE),0))*3,
    (IF(AND(sizing_w08_chosen="Included",sizing_w08_avi_appliance_size&lt;&gt;"Excluded"),VLOOKUP(sizing_w08_avi_appliance_size,table_avi_lb_ram,2,FALSE),0))*3,
    (IF(AND(sizing_w09_chosen="Included",sizing_w09_avi_appliance_size&lt;&gt;"Excluded"),VLOOKUP(sizing_w09_avi_appliance_size,table_avi_lb_ram,2,FALSE),0))*3,
    (IF(AND(sizing_w10_chosen="Included",sizing_w10_avi_appliance_size&lt;&gt;"Excluded"),VLOOKUP(sizing_w10_avi_appliance_size,table_avi_lb_ram,2,FALSE),0))*3,
    (IF(AND(sizing_w11_chosen="Included",sizing_w11_avi_appliance_size&lt;&gt;"Excluded"),VLOOKUP(sizing_w11_avi_appliance_size,table_avi_lb_ram,2,FALSE),0))*3,
    (IF(AND(sizing_w12_chosen="Included",sizing_w12_avi_appliance_size&lt;&gt;"Excluded"),VLOOKUP(sizing_w12_avi_appliance_size,table_avi_lb_ram,2,FALSE),0))*3,
    (IF(AND(sizing_w13_chosen="Included",sizing_w13_avi_appliance_size&lt;&gt;"Excluded"),VLOOKUP(sizing_w13_avi_appliance_size,table_avi_lb_ram,2,FALSE),0))*3,
    (IF(AND(sizing_w14_chosen="Included",sizing_w14_avi_appliance_size&lt;&gt;"Excluded"),VLOOKUP(sizing_w14_avi_appliance_size,table_avi_lb_ram,2,FALSE),0))*3,
    (IF(AND(sizing_w15_chosen="Included",sizing_w15_avi_appliance_size&lt;&gt;"Excluded"),VLOOKUP(sizing_w15_avi_appliance_size,table_avi_lb_ram,2,FALSE),0))*3,
    (IF(AND(sizing_w16_chosen="Included",sizing_w16_avi_appliance_size&lt;&gt;"Excluded"),VLOOKUP(sizing_w16_avi_appliance_size,table_avi_lb_ram,2,FALSE),0))*3,
    (IF(AND(sizing_w17_chosen="Included",sizing_w17_avi_appliance_size&lt;&gt;"Excluded"),VLOOKUP(sizing_w17_avi_appliance_size,table_avi_lb_ram,2,FALSE),0))*3,
    (IF(AND(sizing_w18_chosen="Included",sizing_w18_avi_appliance_size&lt;&gt;"Excluded"),VLOOKUP(sizing_w18_avi_appliance_size,table_avi_lb_ram,2,FALSE),0))*3,
    (IF(AND(sizing_w19_chosen="Included",sizing_w19_avi_appliance_size&lt;&gt;"Excluded"),VLOOKUP(sizing_w19_avi_appliance_size,table_avi_lb_ram,2,FALSE),0))*3,
    (IF(AND(sizing_w20_chosen="Included",sizing_w20_avi_appliance_size&lt;&gt;"Excluded"),VLOOKUP(sizing_w20_avi_appliance_size,table_avi_lb_ram,2,FALSE),0))*3,
    (IF(AND(sizing_w21_chosen="Included",sizing_w21_avi_appliance_size&lt;&gt;"Excluded"),VLOOKUP(sizing_w21_avi_appliance_size,table_avi_lb_ram,2,FALSE),0))*3,
    (IF(AND(sizing_w22_chosen="Included",sizing_w22_avi_appliance_size&lt;&gt;"Excluded"),VLOOKUP(sizing_w22_avi_appliance_size,table_avi_lb_ram,2,FALSE),0))*3,
    (IF(AND(sizing_w23_chosen="Included",sizing_w23_avi_appliance_size&lt;&gt;"Excluded"),VLOOKUP(sizing_w23_avi_appliance_size,table_avi_lb_ram,2,FALSE),0))*3,
    (IF(AND(sizing_w24_chosen="Included",sizing_w24_avi_appliance_size&lt;&gt;"Excluded"),VLOOKUP(sizing_w24_avi_appliance_size,table_avi_lb_ram,2,FALSE),0))*3,
(IF(AND(sizing_w25_chosen="Included",sizing_w25_avi_appliance_size&lt;&gt;"Excluded"),VLOOKUP(sizing_w25_avi_appliance_size,table_avi_lb_ram,2,FALSE),0))*3,
(IF(AND(sizing_w26_chosen="Included",sizing_w26_avi_appliance_size&lt;&gt;"Excluded"),VLOOKUP(sizing_w26_avi_appliance_size,table_avi_lb_ram,2,FALSE),0))*3,
(IF(AND(sizing_w27_chosen="Included",sizing_w27_avi_appliance_size&lt;&gt;"Excluded"),VLOOKUP(sizing_w27_avi_appliance_size,table_avi_lb_ram,2,FALSE),0))*3,
(IF(AND(sizing_w28_chosen="Included",sizing_w28_avi_appliance_size&lt;&gt;"Excluded"),VLOOKUP(sizing_w28_avi_appliance_size,table_avi_lb_ram,2,FALSE),0))*3,
(IF(AND(sizing_w29_chosen="Included",sizing_w29_avi_appliance_size&lt;&gt;"Excluded"),VLOOKUP(sizing_w29_avi_appliance_size,table_avi_lb_ram,2,FALSE),0))*3,
(IF(AND(sizing_w30_chosen="Included",sizing_w30_avi_appliance_size&lt;&gt;"Excluded"),VLOOKUP(sizing_w30_avi_appliance_size,table_avi_lb_ram,2,FALSE),0))*3,
(IF(AND(sizing_w31_chosen="Included",sizing_w31_avi_appliance_size&lt;&gt;"Excluded"),VLOOKUP(sizing_w31_avi_appliance_size,table_avi_lb_ram,2,FALSE),0))*3,
(IF(AND(sizing_w32_chosen="Included",sizing_w32_avi_appliance_size&lt;&gt;"Excluded"),VLOOKUP(sizing_w32_avi_appliance_size,table_avi_lb_ram,2,FALSE),0))*3,
(IF(AND(sizing_w33_chosen="Included",sizing_w33_avi_appliance_size&lt;&gt;"Excluded"),VLOOKUP(sizing_w33_avi_appliance_size,table_avi_lb_ram,2,FALSE),0))*3,
(IF(AND(sizing_w34_chosen="Included",sizing_w34_avi_appliance_size&lt;&gt;"Excluded"),VLOOKUP(sizing_w34_avi_appliance_size,table_avi_lb_ram,2,FALSE),0))*3,
(IF(AND(sizing_w35_chosen="Included",sizing_w35_avi_appliance_size&lt;&gt;"Excluded"),VLOOKUP(sizing_w35_avi_appliance_size,table_avi_lb_ram,2,FALSE),0))*3)</f>
        <v>0</v>
      </c>
      <c r="M20" s="8">
        <f>SUM(
(IF(AND(sizing_w01_chosen="Included",sizing_w01_avi_appliance_size&lt;&gt;"Excluded"),VLOOKUP(sizing_w01_avi_appliance_size,table_avi_lb_disk,2,FALSE),0))*3,
(IF(AND(sizing_w02_chosen="Included",sizing_w02_avi_appliance_size&lt;&gt;"Excluded"),VLOOKUP(sizing_w02_avi_appliance_size,table_avi_lb_disk,2,FALSE),0))*3,
(IF(AND(sizing_w03_chosen="Included",sizing_w03_avi_appliance_size&lt;&gt;"Excluded"),VLOOKUP(sizing_w03_avi_appliance_size,table_avi_lb_disk,2,FALSE),0))*3,
(IF(AND(sizing_w04_chosen="Included",sizing_w04_avi_appliance_size&lt;&gt;"Excluded"),VLOOKUP(sizing_w04_avi_appliance_size,table_avi_lb_disk,2,FALSE),0))*3,
(IF(AND(sizing_w05_chosen="Included",sizing_w05_avi_appliance_size&lt;&gt;"Excluded"),VLOOKUP(sizing_w05_avi_appliance_size,table_avi_lb_disk,2,FALSE),0))*3,
(IF(AND(sizing_w06_chosen="Included",sizing_w06_avi_appliance_size&lt;&gt;"Excluded"),VLOOKUP(sizing_w06_avi_appliance_size,table_avi_lb_disk,2,FALSE),0))*3,
(IF(AND(sizing_w07_chosen="Included",sizing_w07_avi_appliance_size&lt;&gt;"Excluded"),VLOOKUP(sizing_w07_avi_appliance_size,table_avi_lb_disk,2,FALSE),0))*3,
(IF(AND(sizing_w08_chosen="Included",sizing_w08_avi_appliance_size&lt;&gt;"Excluded"),VLOOKUP(sizing_w08_avi_appliance_size,table_avi_lb_disk,2,FALSE),0))*3,
(IF(AND(sizing_w09_chosen="Included",sizing_w09_avi_appliance_size&lt;&gt;"Excluded"),VLOOKUP(sizing_w09_avi_appliance_size,table_avi_lb_disk,2,FALSE),0))*3,
(IF(AND(sizing_w10_chosen="Included",sizing_w10_avi_appliance_size&lt;&gt;"Excluded"),VLOOKUP(sizing_w10_avi_appliance_size,table_avi_lb_disk,2,FALSE),0))*3,
(IF(AND(sizing_w11_chosen="Included",sizing_w11_avi_appliance_size&lt;&gt;"Excluded"),VLOOKUP(sizing_w11_avi_appliance_size,table_avi_lb_disk,2,FALSE),0))*3,
(IF(AND(sizing_w12_chosen="Included",sizing_w12_avi_appliance_size&lt;&gt;"Excluded"),VLOOKUP(sizing_w12_avi_appliance_size,table_avi_lb_disk,2,FALSE),0))*3,
(IF(AND(sizing_w13_chosen="Included",sizing_w13_avi_appliance_size&lt;&gt;"Excluded"),VLOOKUP(sizing_w13_avi_appliance_size,table_avi_lb_disk,2,FALSE),0))*3,
(IF(AND(sizing_w14_chosen="Included",sizing_w14_avi_appliance_size&lt;&gt;"Excluded"),VLOOKUP(sizing_w14_avi_appliance_size,table_avi_lb_disk,2,FALSE),0))*3,
(IF(AND(sizing_w15_chosen="Included",sizing_w15_avi_appliance_size&lt;&gt;"Excluded"),VLOOKUP(sizing_w15_avi_appliance_size,table_avi_lb_disk,2,FALSE),0))*3,
(IF(AND(sizing_w16_chosen="Included",sizing_w16_avi_appliance_size&lt;&gt;"Excluded"),VLOOKUP(sizing_w16_avi_appliance_size,table_avi_lb_disk,2,FALSE),0))*3,
(IF(AND(sizing_w17_chosen="Included",sizing_w17_avi_appliance_size&lt;&gt;"Excluded"),VLOOKUP(sizing_w17_avi_appliance_size,table_avi_lb_disk,2,FALSE),0))*3,
(IF(AND(sizing_w18_chosen="Included",sizing_w18_avi_appliance_size&lt;&gt;"Excluded"),VLOOKUP(sizing_w18_avi_appliance_size,table_avi_lb_disk,2,FALSE),0))*3,
(IF(AND(sizing_w19_chosen="Included",sizing_w19_avi_appliance_size&lt;&gt;"Excluded"),VLOOKUP(sizing_w19_avi_appliance_size,table_avi_lb_disk,2,FALSE),0))*3,
(IF(AND(sizing_w20_chosen="Included",sizing_w20_avi_appliance_size&lt;&gt;"Excluded"),VLOOKUP(sizing_w20_avi_appliance_size,table_avi_lb_disk,2,FALSE),0))*3,
(IF(AND(sizing_w21_chosen="Included",sizing_w21_avi_appliance_size&lt;&gt;"Excluded"),VLOOKUP(sizing_w21_avi_appliance_size,table_avi_lb_disk,2,FALSE),0))*3,
(IF(AND(sizing_w22_chosen="Included",sizing_w22_avi_appliance_size&lt;&gt;"Excluded"),VLOOKUP(sizing_w22_avi_appliance_size,table_avi_lb_disk,2,FALSE),0))*3,
(IF(AND(sizing_w23_chosen="Included",sizing_w23_avi_appliance_size&lt;&gt;"Excluded"),VLOOKUP(sizing_w23_avi_appliance_size,table_avi_lb_disk,2,FALSE),0))*3,
(IF(AND(sizing_w24_chosen="Included",sizing_w24_avi_appliance_size&lt;&gt;"Excluded"),VLOOKUP(sizing_w24_avi_appliance_size,table_avi_lb_disk,2,FALSE),0))*3,
(IF(AND(sizing_w25_chosen="Included",sizing_w25_avi_appliance_size&lt;&gt;"Excluded"),VLOOKUP(sizing_w25_avi_appliance_size,table_avi_lb_disk,2,FALSE),0))*3,
(IF(AND(sizing_w26_chosen="Included",sizing_w26_avi_appliance_size&lt;&gt;"Excluded"),VLOOKUP(sizing_w26_avi_appliance_size,table_avi_lb_disk,2,FALSE),0))*3,
(IF(AND(sizing_w27_chosen="Included",sizing_w27_avi_appliance_size&lt;&gt;"Excluded"),VLOOKUP(sizing_w27_avi_appliance_size,table_avi_lb_disk,2,FALSE),0))*3,
(IF(AND(sizing_w28_chosen="Included",sizing_w28_avi_appliance_size&lt;&gt;"Excluded"),VLOOKUP(sizing_w28_avi_appliance_size,table_avi_lb_disk,2,FALSE),0))*3,
(IF(AND(sizing_w29_chosen="Included",sizing_w29_avi_appliance_size&lt;&gt;"Excluded"),VLOOKUP(sizing_w29_avi_appliance_size,table_avi_lb_disk,2,FALSE),0))*3,
(IF(AND(sizing_w30_chosen="Included",sizing_w30_avi_appliance_size&lt;&gt;"Excluded"),VLOOKUP(sizing_w30_avi_appliance_size,table_avi_lb_disk,2,FALSE),0))*3,
(IF(AND(sizing_w31_chosen="Included",sizing_w31_avi_appliance_size&lt;&gt;"Excluded"),VLOOKUP(sizing_w31_avi_appliance_size,table_avi_lb_disk,2,FALSE),0))*3,
(IF(AND(sizing_w32_chosen="Included",sizing_w32_avi_appliance_size&lt;&gt;"Excluded"),VLOOKUP(sizing_w32_avi_appliance_size,table_avi_lb_disk,2,FALSE),0))*3,
(IF(AND(sizing_w33_chosen="Included",sizing_w33_avi_appliance_size&lt;&gt;"Excluded"),VLOOKUP(sizing_w33_avi_appliance_size,table_avi_lb_disk,2,FALSE),0))*3,
(IF(AND(sizing_w34_chosen="Included",sizing_w34_avi_appliance_size&lt;&gt;"Excluded"),VLOOKUP(sizing_w34_avi_appliance_size,table_avi_lb_disk,2,FALSE),0))*3,
(IF(AND(sizing_w35_chosen="Included",sizing_w35_avi_appliance_size&lt;&gt;"Excluded"),VLOOKUP(sizing_w35_avi_appliance_size,table_avi_lb_disk,2,FALSE),0))*3)</f>
        <v>0</v>
      </c>
      <c r="O20" s="415" t="s">
        <v>3621</v>
      </c>
      <c r="P20" s="416"/>
      <c r="Q20" s="417"/>
      <c r="R20" s="443">
        <f>IF(OR((sizing_storage_type="FC"),(sizing_storage_type="NFS")),ROUNDUP(R17*(1+(sizing_estimated_growth/100)),0),ROUNDUP(R19*(1+(sizing_estimated_growth/100)),0))</f>
        <v>15414</v>
      </c>
      <c r="S20" s="444"/>
      <c r="U20" s="491"/>
      <c r="V20" s="491"/>
      <c r="W20" s="491"/>
      <c r="X20" s="491"/>
      <c r="Y20" s="491"/>
      <c r="Z20" s="491"/>
      <c r="AA20" s="491"/>
      <c r="AB20" s="491"/>
      <c r="AC20" s="491"/>
      <c r="AD20" s="491"/>
      <c r="AE20" s="128"/>
      <c r="AF20" s="128"/>
      <c r="AG20" s="128"/>
      <c r="AH20" s="128"/>
    </row>
    <row r="21" spans="2:35" ht="20" customHeight="1" x14ac:dyDescent="0.2">
      <c r="B21" s="415" t="s">
        <v>3274</v>
      </c>
      <c r="C21" s="416"/>
      <c r="D21" s="417"/>
      <c r="E21" s="66" t="s">
        <v>3262</v>
      </c>
      <c r="G21" s="400" t="s">
        <v>2912</v>
      </c>
      <c r="H21" s="401"/>
      <c r="I21" s="402"/>
      <c r="J21" s="8" cm="1">
        <f t="array" ref="J21">SUM(_xlfn.MAP(X44:X78,I44:I78,_xlfn.SCAN(0,X44:X78,_xlfn.LAMBDA(_xlpm.a,_xlpm.v,_xlpm.a+(_xlpm.v="Include"))),_xlfn.LAMBDA(_xlpm.chosen,_xlpm.size,_xlpm.cnt,IF(_xlpm.chosen="Include",VLOOKUP(_xlpm.size,table_ssp_workers,2,FALSE)+VLOOKUP(_xlpm.size,table_ssp_controller,2,FALSE)))))</f>
        <v>0</v>
      </c>
      <c r="K21" s="120" cm="1">
        <f t="array" ref="K21">SUM(_xlfn.MAP(X44:X78,I44:I78,_xlfn.SCAN(0,X44:X78,_xlfn.LAMBDA(_xlpm.a,_xlpm.v,_xlpm.a+(_xlpm.v="Include"))),_xlfn.LAMBDA(_xlpm.chosen,_xlpm.size,_xlpm.cnt,IF(_xlpm.chosen="Include",VLOOKUP(_xlpm.size,table_ssp_cpu,2,FALSE)))))</f>
        <v>0</v>
      </c>
      <c r="L21" s="120" cm="1">
        <f t="array" ref="L21">SUM(_xlfn.MAP(X44:X78,I44:I78,_xlfn.SCAN(0,X44:X78,_xlfn.LAMBDA(_xlpm.a,_xlpm.v,_xlpm.a+(_xlpm.v="Include"))),_xlfn.LAMBDA(_xlpm.chosen,_xlpm.size,_xlpm.cnt,IF(_xlpm.chosen="Include",VLOOKUP(_xlpm.size,table_ssp_ram,2,FALSE)))))</f>
        <v>0</v>
      </c>
      <c r="M21" s="120" cm="1">
        <f t="array" ref="M21">SUM(_xlfn.MAP(X44:X78,I44:I78,_xlfn.SCAN(0,X44:X78,_xlfn.LAMBDA(_xlpm.a,_xlpm.v,_xlpm.a+(_xlpm.v="Include"))),_xlfn.LAMBDA(_xlpm.chosen,_xlpm.size,_xlpm.cnt,IF(_xlpm.chosen="Include",VLOOKUP(_xlpm.size,table_ssp_disk,2,FALSE)))))</f>
        <v>0</v>
      </c>
      <c r="O21" s="454" t="s">
        <v>2913</v>
      </c>
      <c r="P21" s="468"/>
      <c r="Q21" s="455"/>
      <c r="R21" s="452" t="str">
        <f>CONCATENATE(ROUNDUP(R20/(calculated_mgmt_host_count-1),0)," GB Disk")</f>
        <v>5138 GB Disk</v>
      </c>
      <c r="S21" s="453"/>
      <c r="U21" s="491"/>
      <c r="V21" s="491"/>
      <c r="W21" s="491"/>
      <c r="X21" s="491"/>
      <c r="Y21" s="491"/>
      <c r="Z21" s="491"/>
      <c r="AA21" s="491"/>
      <c r="AB21" s="491"/>
      <c r="AC21" s="491"/>
      <c r="AD21" s="491"/>
      <c r="AE21" s="128"/>
      <c r="AF21" s="128"/>
      <c r="AG21" s="128"/>
      <c r="AH21" s="128"/>
    </row>
    <row r="22" spans="2:35" ht="20" customHeight="1" x14ac:dyDescent="0.2">
      <c r="B22" s="415" t="s">
        <v>3085</v>
      </c>
      <c r="C22" s="416"/>
      <c r="D22" s="417"/>
      <c r="E22" s="66" t="s">
        <v>529</v>
      </c>
      <c r="G22" s="400" t="s">
        <v>3142</v>
      </c>
      <c r="H22" s="401"/>
      <c r="I22" s="402"/>
      <c r="J22" s="8">
        <f>IF(sizing_vcf_deployment_model_chosen="Exclude","0",VLOOKUP(sizing_vcf_deployment_model_chosen,table_vcfms_control_nodes,2,FALSE))</f>
        <v>3</v>
      </c>
      <c r="K22" s="8">
        <f>IF(E22="Exclude","0",PRODUCT(J22,VLOOKUP(E22,table_vcfms_control_cpu,2,FALSE)))</f>
        <v>12</v>
      </c>
      <c r="L22" s="8">
        <f>IF(E22="Exclude",0,PRODUCT(J22,VLOOKUP(E22,table_vcfms_control_ram,2,FALSE)))</f>
        <v>30</v>
      </c>
      <c r="M22" s="8">
        <f>IF(E22="Exclude",0,PRODUCT(J22,VLOOKUP(E22,table_vcfms_control_disk,2,FALSE)))</f>
        <v>300</v>
      </c>
      <c r="U22" s="491"/>
      <c r="V22" s="491"/>
      <c r="W22" s="491"/>
      <c r="X22" s="491"/>
      <c r="Y22" s="491"/>
      <c r="Z22" s="491"/>
      <c r="AA22" s="491"/>
      <c r="AB22" s="491"/>
      <c r="AC22" s="491"/>
      <c r="AD22" s="491"/>
      <c r="AE22" s="128"/>
      <c r="AF22" s="128"/>
      <c r="AG22" s="128"/>
      <c r="AH22" s="128"/>
    </row>
    <row r="23" spans="2:35" ht="20" customHeight="1" x14ac:dyDescent="0.2">
      <c r="B23" s="54" t="s">
        <v>3097</v>
      </c>
      <c r="C23" s="55"/>
      <c r="D23" s="55"/>
      <c r="E23" s="56"/>
      <c r="G23" s="400" t="s">
        <v>3139</v>
      </c>
      <c r="H23" s="401"/>
      <c r="I23" s="402"/>
      <c r="J23" s="8">
        <f>IF('Static Reference Tables'!D388&gt;'Static Reference Tables'!D389,'Static Reference Tables'!D388,'Static Reference Tables'!D389)</f>
        <v>3</v>
      </c>
      <c r="K23" s="8">
        <f>J23*VLOOKUP(CONCATENATE(sizing_vcf_instance_model,sizing_vcf_deployment_model_chosen,sizing_vcf_deployment_size_chosen),table_vcfms_worker_cpu,2,FALSE)</f>
        <v>30</v>
      </c>
      <c r="L23" s="8">
        <f>J23*VLOOKUP(CONCATENATE(sizing_vcf_instance_model,sizing_vcf_deployment_model_chosen,sizing_vcf_deployment_size_chosen),table_vcfms_worker_ram,2,FALSE)</f>
        <v>48</v>
      </c>
      <c r="M23" s="8">
        <f>IF(sizing_vcf_deployment_model_chosen="Exclude","0",
SUM(VLOOKUP(CONCATENATE(sizing_vcf_instance_model,sizing_vcf_deployment_model_chosen,sizing_vcf_deployment_size_chosen),table_vcfms_worker_disk,2,FALSE),'Static Reference Tables'!E393:E396))</f>
        <v>2800</v>
      </c>
      <c r="N23" s="6"/>
      <c r="O23" s="380" t="s">
        <v>3524</v>
      </c>
      <c r="P23" s="378"/>
      <c r="Q23" s="378"/>
      <c r="R23" s="378"/>
      <c r="S23" s="378"/>
      <c r="U23" s="491"/>
      <c r="V23" s="491"/>
      <c r="W23" s="491"/>
      <c r="X23" s="491"/>
      <c r="Y23" s="491"/>
      <c r="Z23" s="491"/>
      <c r="AA23" s="491"/>
      <c r="AB23" s="491"/>
      <c r="AC23" s="491"/>
      <c r="AD23" s="491"/>
      <c r="AE23" s="128"/>
      <c r="AF23" s="128"/>
      <c r="AG23" s="128"/>
      <c r="AH23" s="128"/>
      <c r="AI23" s="128"/>
    </row>
    <row r="24" spans="2:35" ht="20" customHeight="1" x14ac:dyDescent="0.2">
      <c r="B24" s="415" t="s">
        <v>3137</v>
      </c>
      <c r="C24" s="416"/>
      <c r="D24" s="417"/>
      <c r="E24" s="8" t="str">
        <f>IF(sizing_vcf_deployment_model_chosen&lt;&gt;"Exclude","Include","Exclude")</f>
        <v>Include</v>
      </c>
      <c r="G24" s="400" t="s">
        <v>1095</v>
      </c>
      <c r="H24" s="401"/>
      <c r="I24" s="402"/>
      <c r="J24" s="386">
        <f>IF(AND(sizing_advanced_mgmt_chosen="Selected",sizing_advanced_vcfops_size_chosen="Exclude"),0,
IF(AND(sizing_advanced_mgmt_chosen="Selected",sizing_advanced_vcfops_model_chosen="HA Cluster"),3,
IF(AND(sizing_advanced_mgmt_chosen="Selected",sizing_advanced_vcfops_model_chosen="Single Node"),1,
IF(OR(sizing_vcfops_ha_chosen="Include",sizing_vcfops_ca_chosen="Include"),IF(AND(sizing_vcf_deployment_model_chosen="High Availability",sizing_vcf_deployment_size_chosen="Small"),2,IF(sizing_vcf_deployment_model_chosen="High Availability",3,1)),0))))</f>
        <v>0</v>
      </c>
      <c r="K24" s="386">
        <f>IF(AND(sizing_advanced_mgmt_chosen="Selected",sizing_advanced_vcfops_size_chosen="Exclude"),0,
IF(sizing_advanced_mgmt_chosen="Selected",PRODUCT(VLOOKUP(sizing_advanced_vcfops_size_chosen,table_vcfops_appliance_cpu,2,FALSE),J24),
IF(sizing_vcf_deployment_model_chosen&lt;&gt;"Exclude",
IF(AND(sizing_vcf_deployment_size_chosen="Small",sizing_vcf_deployment_model_chosen="High Availability"),PRODUCT(VLOOKUP("Small",table_vcfops_appliance_cpu,2,FALSE),J24),
IF(AND(sizing_vcf_deployment_size_chosen="Medium",sizing_vcf_deployment_model_chosen="High Availability"),PRODUCT(VLOOKUP("Medium",table_vcfops_appliance_cpu,2,FALSE),J24),
IF(AND(sizing_vcf_deployment_size_chosen="Large",sizing_vcf_deployment_model_chosen="High Availability"),PRODUCT(VLOOKUP("Large",table_vcfops_appliance_cpu,2,FALSE),J24),
IF(sizing_vcf_deployment_size_chosen="Small",PRODUCT(VLOOKUP(E22,table_vcfops_appliance_cpu,2,FALSE),J24),0)))))))</f>
        <v>0</v>
      </c>
      <c r="L24" s="386">
        <f>IF(AND(sizing_advanced_mgmt_chosen="Selected",sizing_advanced_vcfops_size_chosen="Exclude"),0,
IF(sizing_advanced_mgmt_chosen="Selected",PRODUCT(VLOOKUP(sizing_advanced_vcfops_size_chosen,table_vcfops_appliance_ram,2,FALSE),J24),
IF(sizing_vcf_deployment_model_chosen&lt;&gt;"Exclude",
IF(AND(sizing_vcf_deployment_size_chosen="Small",sizing_vcf_deployment_model_chosen="High Availability"),PRODUCT(VLOOKUP("Small",table_vcfops_appliance_ram,2,FALSE),J24),
IF(AND(sizing_vcf_deployment_size_chosen="Medium",sizing_vcf_deployment_model_chosen="High Availability"),PRODUCT(VLOOKUP("Medium",table_vcfops_appliance_ram,2,FALSE),J24),
IF(AND(sizing_vcf_deployment_size_chosen="Large",sizing_vcf_deployment_model_chosen="High Availability"),PRODUCT(VLOOKUP("Large",table_vcfops_appliance_ram,2,FALSE),J24),
IF(sizing_vcf_deployment_size_chosen="Small",PRODUCT(VLOOKUP(E22,table_vcfops_appliance_ram,2,FALSE),J24),0)))))))</f>
        <v>0</v>
      </c>
      <c r="M24" s="386">
        <f>IF(AND(sizing_advanced_mgmt_chosen="Selected",sizing_advanced_vcfops_size_chosen="Exclude"),0,
IF(sizing_advanced_mgmt_chosen="Selected",PRODUCT(VLOOKUP(sizing_advanced_vcfops_size_chosen,table_vcfops_appliance_disk,2,FALSE),J24),
IF(sizing_vcf_deployment_model_chosen&lt;&gt;"Exclude",
IF(AND(sizing_vcf_deployment_size_chosen="Small",sizing_vcf_deployment_model_chosen="High Availability"),PRODUCT(VLOOKUP("Medium",table_vcfops_appliance_disk,2,FALSE),J24),
IF(AND(sizing_vcf_deployment_size_chosen="Medium",sizing_vcf_deployment_model_chosen="High Availability"),PRODUCT(VLOOKUP("Medium",table_vcfops_appliance_disk,2,FALSE),J24),
IF(AND(sizing_vcf_deployment_size_chosen="Large",sizing_vcf_deployment_model_chosen="High Availability"),PRODUCT(VLOOKUP("Large",table_vcfops_appliance_disk,2,FALSE),J24),
IF(sizing_vcf_deployment_size_chosen="Small",PRODUCT(VLOOKUP(E22,table_vcfops_appliance_disk,2,FALSE),J24),0)))))))</f>
        <v>0</v>
      </c>
      <c r="O24" s="415" t="s">
        <v>3524</v>
      </c>
      <c r="P24" s="416"/>
      <c r="Q24" s="417"/>
      <c r="R24" s="456" t="s">
        <v>140</v>
      </c>
      <c r="S24" s="457"/>
      <c r="U24" s="491"/>
      <c r="V24" s="491"/>
      <c r="W24" s="491"/>
      <c r="X24" s="491"/>
      <c r="Y24" s="491"/>
      <c r="Z24" s="491"/>
      <c r="AA24" s="491"/>
      <c r="AB24" s="491"/>
      <c r="AC24" s="491"/>
      <c r="AD24" s="491"/>
      <c r="AE24" s="128"/>
      <c r="AF24" s="128"/>
      <c r="AG24" s="128"/>
      <c r="AH24" s="128"/>
    </row>
    <row r="25" spans="2:35" ht="20" customHeight="1" x14ac:dyDescent="0.2">
      <c r="B25" s="134" t="s">
        <v>3371</v>
      </c>
      <c r="C25" s="102"/>
      <c r="D25" s="290"/>
      <c r="E25" s="133" t="s">
        <v>13</v>
      </c>
      <c r="G25" s="400" t="s">
        <v>3163</v>
      </c>
      <c r="H25" s="401"/>
      <c r="I25" s="402"/>
      <c r="J25" s="8">
        <f>IF(AND(sizing_advanced_mgmt_chosen="Selected",sizing_advanced_vcfops_collector_chosen="Exclude"),0,
IF(AND(sizing_advanced_mgmt_chosen="Selected",sizing_vcfops_ha_chosen&lt;&gt;"Exclude"),1,
IF(sizing_vcfops_ha_chosen&lt;&gt;"Exclude",1,
IF(sizing_vcfops_collector_chosen="Include",1,0))))</f>
        <v>0</v>
      </c>
      <c r="K25" s="8">
        <f>IF(AND(sizing_advanced_mgmt_chosen="Selected",sizing_advanced_vcfops_collector_chosen="Exclude"),0,
IF(sizing_advanced_mgmt_chosen="Selected",VLOOKUP(sizing_advanced_vcfops_collector_chosen,table_vcfo_p_cpu,2,FALSE),
IF(AND(OR(sizing_vcf_deployment_model_chosen="Simple",sizing_vcf_deployment_size_chosen="Small"),OR(sizing_vcfops_collector_chosen="Include",sizing_vcfops_ha_chosen&lt;&gt;"Exclude")),VLOOKUP(sizing_vcf_deployment_size_chosen,table_vcfo_p_cpu,2,FALSE),
IF(AND(sizing_vcf_deployment_model_chosen="High Availability",OR(sizing_vcfops_collector_chosen="Include",sizing_vcfops_ha_chosen&lt;&gt;"Exclude")),VLOOKUP("Standard",table_vcfo_p_cpu,2,FALSE),0))))</f>
        <v>0</v>
      </c>
      <c r="L25" s="8">
        <f>IF(AND(sizing_advanced_mgmt_chosen="Selected",sizing_advanced_vcfops_collector_chosen="Exclude"),0,
IF(sizing_advanced_mgmt_chosen="Selected",VLOOKUP(sizing_advanced_vcfops_collector_chosen,table_vcfo_p_ram,2,FALSE),
IF(sizing_advanced_vcfops_collector_chosen&lt;&gt;"Exclude",VLOOKUP(sizing_advanced_vcfops_collector_chosen,table_vcfo_p_ram,2,FALSE),
IF(AND(OR(sizing_vcf_deployment_model_chosen="Simple",sizing_vcf_deployment_size_chosen="Small"),OR(sizing_vcfops_collector_chosen="Include",sizing_vcfops_ha_chosen&lt;&gt;"Exclude")),VLOOKUP(sizing_vcf_deployment_size_chosen,table_vcfo_p_ram,2,FALSE),
IF(AND(sizing_vcf_deployment_model_chosen="High Availability",OR(sizing_vcfops_collector_chosen="Include",sizing_vcfops_ha_chosen&lt;&gt;"Exclude")),VLOOKUP("Standard",table_vcfo_p_ram,2,FALSE),0)))))</f>
        <v>0</v>
      </c>
      <c r="M25" s="8">
        <f>IF(AND(sizing_advanced_mgmt_chosen="Selected",sizing_advanced_vcfops_collector_chosen="Exclude"),0,
IF(sizing_advanced_mgmt_chosen="Selected",VLOOKUP(sizing_advanced_vcfops_collector_chosen,table_vcfo_p_disk,2,FALSE),
IF(sizing_advanced_vcfops_collector_chosen&lt;&gt;"Exclude",VLOOKUP(sizing_advanced_vcfops_collector_chosen,table_vcfo_p_disk,2,FALSE),
IF(AND(OR(sizing_vcf_deployment_model_chosen="Simple",sizing_vcf_deployment_size_chosen="Small"),OR(sizing_vcfops_collector_chosen="Include",sizing_vcfops_ha_chosen&lt;&gt;"Exclude")),VLOOKUP(sizing_vcf_deployment_size_chosen,table_vcfo_p_disk,2,FALSE),
IF(AND(sizing_vcf_deployment_model_chosen="High Availability",OR(sizing_vcfops_collector_chosen="Include",sizing_vcfops_ha_chosen&lt;&gt;"Exclude")),VLOOKUP("Standard",table_vcfo_p_disk,2,FALSE),0)))))</f>
        <v>0</v>
      </c>
      <c r="N25" s="6"/>
      <c r="O25" s="415" t="s">
        <v>3509</v>
      </c>
      <c r="P25" s="416"/>
      <c r="Q25" s="417"/>
      <c r="R25" s="460" t="s">
        <v>92</v>
      </c>
      <c r="S25" s="461"/>
      <c r="U25" s="491"/>
      <c r="V25" s="491"/>
      <c r="W25" s="491"/>
      <c r="X25" s="491"/>
      <c r="Y25" s="491"/>
      <c r="Z25" s="491"/>
      <c r="AA25" s="491"/>
      <c r="AB25" s="491"/>
      <c r="AC25" s="491"/>
      <c r="AD25" s="491"/>
      <c r="AE25" s="128"/>
      <c r="AF25" s="128"/>
      <c r="AG25" s="128"/>
      <c r="AH25" s="128"/>
    </row>
    <row r="26" spans="2:35" ht="20" customHeight="1" x14ac:dyDescent="0.2">
      <c r="B26" s="134" t="s">
        <v>3373</v>
      </c>
      <c r="C26" s="102"/>
      <c r="D26" s="290"/>
      <c r="E26" s="133" t="s">
        <v>13</v>
      </c>
      <c r="G26" s="400" t="s">
        <v>3133</v>
      </c>
      <c r="H26" s="401"/>
      <c r="I26" s="402"/>
      <c r="J26" s="8">
        <f>IF(sizing_vcf_instance_model="Additional Instance",0,IF(AND(sizing_advanced_vcfops_model_chosen="Exclude",sizing_vcfops_ha_chosen="Exclude"),0,1))</f>
        <v>0</v>
      </c>
      <c r="K26" s="8">
        <f>PRODUCT(IF(sizing_vcf_instance_model="Additional Instance",0,IF(AND(sizing_advanced_vcfops_model_chosen="Exclude",sizing_vcfops_ha_chosen="Exclude"),0,2)),J26)</f>
        <v>0</v>
      </c>
      <c r="L26" s="8">
        <f>PRODUCT(IF(sizing_vcf_instance_model="Additional Instance",0,IF(AND(sizing_advanced_vcfops_model_chosen="Exclude",sizing_vcfops_ha_chosen="Exclude"),0,4)),J26)</f>
        <v>0</v>
      </c>
      <c r="M26" s="8">
        <f>PRODUCT(IF(sizing_vcf_instance_model="Additional Instance",0,IF(AND(sizing_advanced_vcfops_model_chosen="Exclude",sizing_vcfops_ha_chosen="Exclude"),0,12)),J26)</f>
        <v>0</v>
      </c>
      <c r="N26" s="6"/>
      <c r="O26" s="415" t="s">
        <v>3510</v>
      </c>
      <c r="P26" s="416"/>
      <c r="Q26" s="417"/>
      <c r="R26" s="462" t="s">
        <v>724</v>
      </c>
      <c r="S26" s="463"/>
      <c r="U26" s="491"/>
      <c r="V26" s="491"/>
      <c r="W26" s="491"/>
      <c r="X26" s="491"/>
      <c r="Y26" s="491"/>
      <c r="Z26" s="491"/>
      <c r="AA26" s="491"/>
      <c r="AB26" s="491"/>
      <c r="AC26" s="491"/>
      <c r="AD26" s="491"/>
      <c r="AE26" s="128"/>
      <c r="AF26" s="128"/>
      <c r="AG26" s="128"/>
      <c r="AH26" s="128"/>
    </row>
    <row r="27" spans="2:35" ht="20" customHeight="1" x14ac:dyDescent="0.2">
      <c r="B27" s="134" t="s">
        <v>3138</v>
      </c>
      <c r="C27" s="102"/>
      <c r="D27" s="290"/>
      <c r="E27" s="66" t="s">
        <v>13</v>
      </c>
      <c r="G27" s="400" t="s">
        <v>2814</v>
      </c>
      <c r="H27" s="401"/>
      <c r="I27" s="402"/>
      <c r="J27" s="8">
        <f>IF(AND(sizing_advanced_mgmt_chosen="Selected",sizing_advanced_vcfauto_chosen="Large"),3,
IF(AND(sizing_advanced_mgmt_chosen="Selected",sizing_advanced_vcfauto_chosen="Medium"),3,
IF(AND(sizing_advanced_mgmt_chosen="Selected",sizing_advanced_vcfauto_chosen="Small"),1,
IF(AND(sizing_advanced_mgmt_chosen="Selected",sizing_advanced_vcfauto_chosen="Exclude"),0,
IF(AND(sizing_vcfauto_chosen="Include",AND(sizing_vcf_deployment_model_chosen="High Availability",sizing_vcf_deployment_size_chosen&lt;&gt;"Small")),3,
IF(AND(sizing_vcfauto_chosen="Include",OR(sizing_vcf_deployment_model_chosen="Simple",sizing_vcf_deployment_size_chosen="Small")),1,0))))))</f>
        <v>0</v>
      </c>
      <c r="K27" s="8">
        <f>IF(AND(sizing_advanced_mgmt_chosen="Selected",sizing_advanced_vcfauto_chosen&lt;&gt;"Exclude"),PRODUCT(VLOOKUP(sizing_advanced_vcfauto_chosen,table_vcfa_appliance_cpu,2,FALSE),J27),
IF(sizing_vcf_deployment_model_chosen="Exclude",0,PRODUCT(VLOOKUP(sizing_vcf_deployment_size_chosen,table_vcfa_appliance_cpu,2,FALSE),J27)))</f>
        <v>0</v>
      </c>
      <c r="L27" s="26">
        <f>IF(AND(sizing_advanced_mgmt_chosen="Selected",sizing_advanced_vcfauto_chosen&lt;&gt;"Exclude"),PRODUCT(VLOOKUP(sizing_advanced_vcfauto_chosen,table_vcfa_appliance_ram,2,FALSE),J27),
IF(sizing_vcf_deployment_model_chosen="Exclude",0,PRODUCT(VLOOKUP(sizing_vcf_deployment_size_chosen,table_vcfa_appliance_ram,2,FALSE),J27)))</f>
        <v>0</v>
      </c>
      <c r="M27" s="8">
        <f>IF(AND(sizing_advanced_mgmt_chosen="Selected",sizing_advanced_vcfauto_chosen&lt;&gt;"Exclude"),PRODUCT(VLOOKUP(sizing_advanced_vcfauto_chosen,table_vcfa_appliance_disk,2,FALSE),J27),
IF(sizing_vcf_deployment_model_chosen="Exclude",0,PRODUCT(VLOOKUP(sizing_vcf_deployment_size_chosen,table_vcfa_appliance_disk,2,FALSE),J27)))</f>
        <v>0</v>
      </c>
      <c r="O27" s="415" t="s">
        <v>3525</v>
      </c>
      <c r="P27" s="416"/>
      <c r="Q27" s="417"/>
      <c r="R27" s="462" t="s">
        <v>3574</v>
      </c>
      <c r="S27" s="463"/>
      <c r="U27" s="491"/>
      <c r="V27" s="491"/>
      <c r="W27" s="491"/>
      <c r="X27" s="491"/>
      <c r="Y27" s="491"/>
      <c r="Z27" s="491"/>
      <c r="AA27" s="491"/>
      <c r="AB27" s="491"/>
      <c r="AC27" s="491"/>
      <c r="AD27" s="491"/>
      <c r="AE27" s="128"/>
      <c r="AF27" s="128"/>
      <c r="AG27" s="128"/>
      <c r="AH27" s="128"/>
      <c r="AI27" s="128"/>
    </row>
    <row r="28" spans="2:35" ht="20" customHeight="1" x14ac:dyDescent="0.2">
      <c r="B28" s="134" t="s">
        <v>3278</v>
      </c>
      <c r="C28" s="102"/>
      <c r="D28" s="290"/>
      <c r="E28" s="249" t="s">
        <v>13</v>
      </c>
      <c r="G28" s="400" t="s">
        <v>2914</v>
      </c>
      <c r="H28" s="401"/>
      <c r="I28" s="402"/>
      <c r="J28" s="8">
        <f>IF(sizing_vcfops_net_chosen="Exclude",0,
IF(sizing_vcf_instance_model="Additional Instance",0,1))</f>
        <v>0</v>
      </c>
      <c r="K28" s="8">
        <f>IF(sizing_vcfops_net_chosen="Exclude",0,PRODUCT(VLOOKUP(sizing_vcfops_net_chosen,table_vcfopsnet_appliance_cpu,2,),J28))</f>
        <v>0</v>
      </c>
      <c r="L28" s="8">
        <f>IF(sizing_vcfops_net_chosen="Exclude",0,PRODUCT(VLOOKUP(sizing_vcfops_net_chosen,table_vcfopsnet_appliance_ram,2,),J28))</f>
        <v>0</v>
      </c>
      <c r="M28" s="8">
        <f>IF(sizing_vcfops_net_chosen="Exclude",0,PRODUCT(VLOOKUP(sizing_vcfops_net_chosen,table_vcfopsnet_appliance_disk,2,),J28))</f>
        <v>0</v>
      </c>
      <c r="N28" s="6"/>
      <c r="O28" s="415" t="s">
        <v>3526</v>
      </c>
      <c r="P28" s="416"/>
      <c r="Q28" s="417"/>
      <c r="R28" s="469" t="s">
        <v>92</v>
      </c>
      <c r="S28" s="470"/>
      <c r="U28" s="491"/>
      <c r="V28" s="491"/>
      <c r="W28" s="491"/>
      <c r="X28" s="491"/>
      <c r="Y28" s="491"/>
      <c r="Z28" s="491"/>
      <c r="AA28" s="491"/>
      <c r="AB28" s="491"/>
      <c r="AC28" s="491"/>
      <c r="AD28" s="491"/>
      <c r="AE28" s="128"/>
      <c r="AF28" s="128"/>
      <c r="AG28" s="128"/>
      <c r="AH28" s="128"/>
      <c r="AI28" s="128"/>
    </row>
    <row r="29" spans="2:35" ht="20" customHeight="1" x14ac:dyDescent="0.2">
      <c r="B29" s="134" t="s">
        <v>3279</v>
      </c>
      <c r="C29" s="102"/>
      <c r="D29" s="290"/>
      <c r="E29" s="66" t="s">
        <v>13</v>
      </c>
      <c r="G29" s="400" t="s">
        <v>2915</v>
      </c>
      <c r="H29" s="401"/>
      <c r="I29" s="402"/>
      <c r="J29" s="8">
        <f>IF(sizing_vcfops_net_chosen="Exclude",0,1)</f>
        <v>0</v>
      </c>
      <c r="K29" s="8">
        <f>IF(sizing_vcfops_net_chosen="Exclude",0,PRODUCT(VLOOKUP(sizing_vcfops_net_chosen,table_vcfopsnet_collector_cpu,2,),J29))</f>
        <v>0</v>
      </c>
      <c r="L29" s="8">
        <f>IF(sizing_vcfops_net_chosen="Exclude",0,PRODUCT(VLOOKUP(sizing_vcfops_net_chosen,table_vcfopsnet_collector_ram,2,),J29))</f>
        <v>0</v>
      </c>
      <c r="M29" s="8">
        <f>IF(sizing_vcfops_net_chosen="Exclude",0,PRODUCT(VLOOKUP(sizing_vcfops_net_chosen,table_vcfopsnet_collector_disk,2,),J29))</f>
        <v>0</v>
      </c>
      <c r="N29" s="6"/>
      <c r="O29" s="415" t="s">
        <v>3527</v>
      </c>
      <c r="P29" s="416"/>
      <c r="Q29" s="417"/>
      <c r="R29" s="456" t="s">
        <v>13</v>
      </c>
      <c r="S29" s="457"/>
      <c r="U29" s="491"/>
      <c r="V29" s="491"/>
      <c r="W29" s="491"/>
      <c r="X29" s="491"/>
      <c r="Y29" s="491"/>
      <c r="Z29" s="491"/>
      <c r="AA29" s="491"/>
      <c r="AB29" s="491"/>
      <c r="AC29" s="491"/>
      <c r="AD29" s="491"/>
      <c r="AE29" s="128"/>
      <c r="AF29" s="128"/>
      <c r="AG29" s="128"/>
      <c r="AH29" s="128"/>
      <c r="AI29" s="128"/>
    </row>
    <row r="30" spans="2:35" ht="20" customHeight="1" x14ac:dyDescent="0.2">
      <c r="B30" s="54" t="s">
        <v>3276</v>
      </c>
      <c r="C30" s="55"/>
      <c r="D30" s="55"/>
      <c r="E30" s="56"/>
      <c r="G30" s="400" t="s">
        <v>3379</v>
      </c>
      <c r="H30" s="401"/>
      <c r="I30" s="402"/>
      <c r="J30" s="8">
        <f>G92</f>
        <v>0</v>
      </c>
      <c r="K30" s="26">
        <f>(SUMPRODUCT('Management Domain Sizing'!$G$88:$G$91,'Management Domain Sizing'!H88:H91))</f>
        <v>0</v>
      </c>
      <c r="L30" s="26">
        <f>(SUMPRODUCT('Management Domain Sizing'!$G$88:$G$91,'Management Domain Sizing'!I88:I91))</f>
        <v>0</v>
      </c>
      <c r="M30" s="26">
        <f>(SUMPRODUCT('Management Domain Sizing'!$G$88:$G$91,'Management Domain Sizing'!J88:J91))</f>
        <v>0</v>
      </c>
      <c r="N30" s="6"/>
      <c r="O30" s="415" t="s">
        <v>3528</v>
      </c>
      <c r="P30" s="416"/>
      <c r="Q30" s="417"/>
      <c r="R30" s="471" t="s">
        <v>13</v>
      </c>
      <c r="S30" s="472"/>
      <c r="U30" s="491"/>
      <c r="V30" s="491"/>
      <c r="W30" s="491"/>
      <c r="X30" s="491"/>
      <c r="Y30" s="491"/>
      <c r="Z30" s="491"/>
      <c r="AA30" s="491"/>
      <c r="AB30" s="491"/>
      <c r="AC30" s="491"/>
      <c r="AD30" s="491"/>
      <c r="AE30" s="128"/>
      <c r="AF30" s="128"/>
      <c r="AG30" s="128"/>
      <c r="AH30" s="128"/>
      <c r="AI30" s="128"/>
    </row>
    <row r="31" spans="2:35" ht="20" customHeight="1" x14ac:dyDescent="0.2">
      <c r="B31" s="415" t="s">
        <v>1095</v>
      </c>
      <c r="C31" s="416"/>
      <c r="D31" s="417"/>
      <c r="E31" s="133" t="s">
        <v>13</v>
      </c>
      <c r="G31" s="400" t="s">
        <v>3585</v>
      </c>
      <c r="H31" s="401"/>
      <c r="I31" s="402"/>
      <c r="J31" s="373">
        <v>0</v>
      </c>
      <c r="K31" s="373">
        <v>0</v>
      </c>
      <c r="L31" s="373">
        <v>0</v>
      </c>
      <c r="M31" s="373">
        <v>0</v>
      </c>
      <c r="N31" s="6"/>
      <c r="O31" s="415" t="s">
        <v>3163</v>
      </c>
      <c r="P31" s="416"/>
      <c r="Q31" s="417"/>
      <c r="R31" s="471" t="s">
        <v>13</v>
      </c>
      <c r="S31" s="472"/>
      <c r="U31" s="491"/>
      <c r="V31" s="491"/>
      <c r="W31" s="491"/>
      <c r="X31" s="491"/>
      <c r="Y31" s="491"/>
      <c r="Z31" s="491"/>
      <c r="AA31" s="491"/>
      <c r="AB31" s="491"/>
      <c r="AC31" s="491"/>
      <c r="AD31" s="491"/>
      <c r="AE31" s="128"/>
      <c r="AF31" s="128"/>
      <c r="AG31" s="128"/>
      <c r="AH31" s="128"/>
      <c r="AI31" s="128"/>
    </row>
    <row r="32" spans="2:35" ht="20" customHeight="1" x14ac:dyDescent="0.2">
      <c r="B32" s="415" t="s">
        <v>3586</v>
      </c>
      <c r="C32" s="416"/>
      <c r="D32" s="417"/>
      <c r="E32" s="373" t="s">
        <v>13</v>
      </c>
      <c r="F32" s="356"/>
      <c r="G32" s="67" t="s">
        <v>2916</v>
      </c>
      <c r="H32" s="97"/>
      <c r="I32" s="376"/>
      <c r="J32" s="4">
        <f>SUM(J8:J29,J30:J31)</f>
        <v>11</v>
      </c>
      <c r="K32" s="28" t="str">
        <f>CONCATENATE(SUM(K8:K29:K30:K31)," vCPUs")</f>
        <v>68 vCPUs</v>
      </c>
      <c r="L32" s="28" t="str">
        <f>CONCATENATE(SUM(L8:L29,L30:L31)," GB")</f>
        <v>187 GB</v>
      </c>
      <c r="M32" s="28" t="str">
        <f>CONCATENATE(SUM(M8:M31), " GB")</f>
        <v>6998 GB</v>
      </c>
      <c r="N32" s="6"/>
      <c r="O32" s="488" t="s">
        <v>2814</v>
      </c>
      <c r="P32" s="489"/>
      <c r="Q32" s="490"/>
      <c r="R32" s="456" t="s">
        <v>13</v>
      </c>
      <c r="S32" s="457"/>
      <c r="U32" s="491"/>
      <c r="V32" s="491"/>
      <c r="W32" s="491"/>
      <c r="X32" s="491"/>
      <c r="Y32" s="491"/>
      <c r="Z32" s="491"/>
      <c r="AA32" s="491"/>
      <c r="AB32" s="491"/>
      <c r="AC32" s="491"/>
      <c r="AD32" s="491"/>
      <c r="AE32" s="128"/>
      <c r="AF32" s="128"/>
      <c r="AG32" s="128"/>
      <c r="AH32" s="128"/>
      <c r="AI32" s="128"/>
    </row>
    <row r="33" spans="2:35" ht="20" customHeight="1" x14ac:dyDescent="0.2">
      <c r="B33" s="415" t="s">
        <v>3163</v>
      </c>
      <c r="C33" s="416"/>
      <c r="D33" s="417"/>
      <c r="E33" s="133" t="s">
        <v>13</v>
      </c>
      <c r="N33" s="6"/>
      <c r="O33" s="390" t="str">
        <f>IF(sizing_advanced_mgmt_chosen="Selected","When using Advanced MGMT Domain sizing you must use API during Deployment","")</f>
        <v/>
      </c>
      <c r="P33" s="390"/>
      <c r="Q33" s="390"/>
      <c r="R33" s="390"/>
      <c r="S33" s="390"/>
      <c r="U33" s="491"/>
      <c r="V33" s="491"/>
      <c r="W33" s="491"/>
      <c r="X33" s="491"/>
      <c r="Y33" s="491"/>
      <c r="Z33" s="491"/>
      <c r="AA33" s="491"/>
      <c r="AB33" s="491"/>
      <c r="AC33" s="491"/>
      <c r="AD33" s="491"/>
      <c r="AE33" s="128"/>
      <c r="AF33" s="128"/>
      <c r="AG33" s="128"/>
      <c r="AH33" s="128"/>
      <c r="AI33" s="128"/>
    </row>
    <row r="34" spans="2:35" ht="20" customHeight="1" x14ac:dyDescent="0.2">
      <c r="B34" s="415" t="s">
        <v>2814</v>
      </c>
      <c r="C34" s="416"/>
      <c r="D34" s="417"/>
      <c r="E34" s="133" t="s">
        <v>13</v>
      </c>
      <c r="N34" s="6"/>
      <c r="O34" s="449" t="str">
        <f>IF(AND((sizing_vcf_deployment_model_chosen="Simple"),(sizing_vcf_deployment_size_chosen&lt;&gt;"Small")),"Simple Deployment Model can only be deployed with Size Small","")</f>
        <v/>
      </c>
      <c r="P34" s="449"/>
      <c r="Q34" s="449"/>
      <c r="R34" s="449"/>
      <c r="S34" s="449"/>
      <c r="U34" s="491"/>
      <c r="V34" s="491"/>
      <c r="W34" s="491"/>
      <c r="X34" s="491"/>
      <c r="Y34" s="491"/>
      <c r="Z34" s="491"/>
      <c r="AA34" s="491"/>
      <c r="AB34" s="491"/>
      <c r="AC34" s="491"/>
      <c r="AD34" s="491"/>
      <c r="AE34" s="128"/>
      <c r="AF34" s="128"/>
      <c r="AG34" s="128"/>
      <c r="AH34" s="128"/>
      <c r="AI34" s="128"/>
    </row>
    <row r="35" spans="2:35" ht="20" customHeight="1" x14ac:dyDescent="0.2">
      <c r="B35" s="134" t="s">
        <v>2914</v>
      </c>
      <c r="C35" s="102"/>
      <c r="D35" s="290"/>
      <c r="E35" s="133" t="s">
        <v>13</v>
      </c>
      <c r="G35" s="35" t="str">
        <f>IF(AND((sizing_vcf_instance_model="Additional Instance"),(sizing_vcfops_ha_chosen="Include")),"VCF Operations should not be included in the additional instance","")</f>
        <v/>
      </c>
      <c r="N35" s="6"/>
      <c r="O35" s="449" t="str">
        <f>IF(AND((sizing_vcfops_logs_chosen&lt;&gt;"Exclude"),(sizing_vcfops_logs_replica_count_chosen="Exclude")),"Select number of Replicas for Log Managment",
IF(AND((sizing_vcfops_logs_chosen="Medium"),(sizing_vcfops_logs_replica_count_chosen&lt;3)),"Min Number of Replicas for Size Medium is 3",
IF(AND((sizing_vcfops_logs_chosen="Large"),(sizing_vcfops_logs_replica_count_chosen&lt;3)),"Min Number of Replicas for Size Large is 3",
IF(AND((sizing_vcf_deployment_size_chosen="Small"),OR(sizing_vcfops_logs_chosen="Large",sizing_vcfops_logs_chosen="Medium")),"The Log Management size should be the same size as the selected VCF Profile size",
IF(AND((sizing_vcf_deployment_size_chosen="Medium"),(sizing_vcfops_logs_chosen="Large")),"The Log Management size should be the same or smaller than the selected VCF Profile size","")))))</f>
        <v/>
      </c>
      <c r="P35" s="449"/>
      <c r="Q35" s="449"/>
      <c r="R35" s="449"/>
      <c r="S35" s="449"/>
      <c r="U35" s="491"/>
      <c r="V35" s="491"/>
      <c r="W35" s="491"/>
      <c r="X35" s="491"/>
      <c r="Y35" s="491"/>
      <c r="Z35" s="491"/>
      <c r="AA35" s="491"/>
      <c r="AB35" s="491"/>
      <c r="AC35" s="491"/>
      <c r="AD35" s="491"/>
      <c r="AE35" s="128"/>
      <c r="AF35" s="128"/>
      <c r="AG35" s="128"/>
      <c r="AH35" s="128"/>
      <c r="AI35" s="128"/>
    </row>
    <row r="36" spans="2:35" ht="20" customHeight="1" x14ac:dyDescent="0.2">
      <c r="B36" s="415" t="s">
        <v>3572</v>
      </c>
      <c r="C36" s="416"/>
      <c r="D36" s="417"/>
      <c r="E36" s="373" t="s">
        <v>13</v>
      </c>
      <c r="G36" s="35" t="str">
        <f>IF(sizing_vdefend_licensing_hub_chosen="Include","",
IF(AND(COUNTIF(X44:X77,"&lt;&gt;Excluded")=0,COUNTIF(U44:U77,"&lt;&gt;Excluded")=0),
IF(AND(sizing_m01_ssp_chosen="Excluded",sizing_mgmt_avi_lb_appliance_size="Excluded"),"","License Hub for vDefend and Avi is required if deploying Avi Load Balancers or Security Service Platform"),"License Hub for vDefend and Avi is required if deploying Avi Load Balancers or Security Service Platform"))</f>
        <v/>
      </c>
      <c r="N36" s="6"/>
      <c r="O36" s="449" t="str">
        <f>IF(AND((sizing_vcf_instance_model="Additional Instance"),(sizing_vcfauto_chosen="Include")),"VCF Automation should not be included in the additional instance","")</f>
        <v/>
      </c>
      <c r="P36" s="449"/>
      <c r="Q36" s="449"/>
      <c r="R36" s="449"/>
      <c r="S36" s="449"/>
      <c r="U36" s="491"/>
      <c r="V36" s="491"/>
      <c r="W36" s="491"/>
      <c r="X36" s="491"/>
      <c r="Y36" s="491"/>
      <c r="Z36" s="491"/>
      <c r="AA36" s="491"/>
      <c r="AB36" s="491"/>
      <c r="AC36" s="491"/>
      <c r="AD36" s="491"/>
      <c r="AE36" s="128"/>
      <c r="AF36" s="128"/>
      <c r="AG36" s="128"/>
      <c r="AH36" s="128"/>
      <c r="AI36" s="128"/>
    </row>
    <row r="37" spans="2:35" ht="20" customHeight="1" x14ac:dyDescent="0.2">
      <c r="N37" s="6"/>
      <c r="O37" s="369"/>
      <c r="P37" s="369"/>
      <c r="Q37" s="369"/>
      <c r="R37" s="369"/>
      <c r="S37" s="369"/>
      <c r="U37" s="491"/>
      <c r="V37" s="491"/>
      <c r="W37" s="491"/>
      <c r="X37" s="491"/>
      <c r="Y37" s="491"/>
      <c r="Z37" s="491"/>
      <c r="AA37" s="491"/>
      <c r="AB37" s="491"/>
      <c r="AC37" s="491"/>
      <c r="AD37" s="491"/>
      <c r="AE37" s="128"/>
      <c r="AF37" s="128"/>
      <c r="AG37" s="128"/>
      <c r="AH37" s="128"/>
      <c r="AI37" s="128"/>
    </row>
    <row r="38" spans="2:35" s="125" customFormat="1" ht="34" customHeight="1" x14ac:dyDescent="0.2">
      <c r="B38" s="54" t="s">
        <v>2124</v>
      </c>
      <c r="C38" s="55"/>
      <c r="D38" s="55"/>
      <c r="E38" s="55"/>
      <c r="F38" s="55"/>
      <c r="G38" s="55"/>
      <c r="H38" s="55"/>
      <c r="I38" s="55"/>
      <c r="J38" s="55"/>
      <c r="K38" s="55"/>
      <c r="L38" s="55"/>
      <c r="M38" s="55"/>
      <c r="N38" s="481"/>
      <c r="O38" s="481"/>
      <c r="P38" s="481"/>
      <c r="Q38" s="481"/>
      <c r="R38" s="481"/>
      <c r="S38" s="481"/>
      <c r="T38" s="481"/>
      <c r="U38" s="481"/>
      <c r="V38" s="481"/>
      <c r="W38" s="481"/>
      <c r="X38" s="481"/>
      <c r="Y38" s="481"/>
      <c r="Z38" s="481"/>
      <c r="AA38" s="481"/>
      <c r="AB38" s="481"/>
      <c r="AC38" s="481"/>
      <c r="AD38" s="481"/>
    </row>
    <row r="39" spans="2:35" ht="20" customHeight="1" x14ac:dyDescent="0.2">
      <c r="B39" s="63" t="s">
        <v>2126</v>
      </c>
      <c r="C39" s="63" t="s">
        <v>2917</v>
      </c>
      <c r="D39" s="478" t="s">
        <v>2918</v>
      </c>
      <c r="E39" s="479"/>
      <c r="F39" s="478" t="s">
        <v>2919</v>
      </c>
      <c r="G39" s="479"/>
      <c r="H39" s="63" t="s">
        <v>2920</v>
      </c>
      <c r="I39" s="478" t="s">
        <v>3617</v>
      </c>
      <c r="J39" s="480"/>
      <c r="K39" s="479"/>
      <c r="L39" s="478" t="s">
        <v>3628</v>
      </c>
      <c r="M39" s="480"/>
      <c r="N39" s="479"/>
      <c r="O39" s="484" t="s">
        <v>3629</v>
      </c>
      <c r="P39" s="485"/>
      <c r="Q39" s="478" t="s">
        <v>3622</v>
      </c>
      <c r="R39" s="479"/>
      <c r="S39" s="478" t="s">
        <v>2921</v>
      </c>
      <c r="T39" s="480"/>
      <c r="U39" s="480"/>
      <c r="V39" s="479"/>
      <c r="W39" s="418" t="s">
        <v>3687</v>
      </c>
      <c r="X39" s="418"/>
      <c r="Y39" s="418"/>
      <c r="Z39" s="325" t="s">
        <v>21</v>
      </c>
      <c r="AA39" s="325"/>
      <c r="AB39" s="325"/>
      <c r="AC39" s="325"/>
      <c r="AD39" s="326"/>
    </row>
    <row r="40" spans="2:35" ht="20" customHeight="1" x14ac:dyDescent="0.2">
      <c r="B40" s="26" t="s">
        <v>2922</v>
      </c>
      <c r="C40" s="66" t="s">
        <v>2923</v>
      </c>
      <c r="D40" s="8" t="str">
        <f>IF(sizing_advanced_mgmt_chosen="Selected",sizing_advanced_m01_vcenter_appliance_size,IF(sizing_vcf_deployment_model_chosen="Exclude","Excluded",
IF(sizing_vcf_deployment_model_chosen="Simple","Small",
IF(AND(sizing_vcf_deployment_model_chosen="High Availability",sizing_vcf_deployment_size_chosen="Small"),"Small",
IF(AND(sizing_vcf_deployment_model_chosen="High Availability",sizing_vcf_deployment_size_chosen="Medium"),"Medium",
IF(AND(sizing_vcf_deployment_model_chosen="High Availability",sizing_vcf_deployment_size_chosen="Large"),"Large"))))))</f>
        <v>Small</v>
      </c>
      <c r="E40" s="8" t="str">
        <f>CONCATENATE(IF(sizing_m01_included="Included",VLOOKUP(D40,table_vcenter_appliance_cpu,2,FALSE),0)," CPUS ",": ",IF(sizing_m01_included="Included",VLOOKUP(D40,table_vcenter_appliance_ram,2,FALSE),0)," GB")</f>
        <v>4 CPUS : 21 GB</v>
      </c>
      <c r="F40" s="8" t="str">
        <f>IF(sizing_advanced_mgmt_chosen="Selected",sizing_advanced_m01_vcenter_storage_size_chosen,IF(sizing_vcf_deployment_model_chosen="Simple","Large",
IF(AND(sizing_vcf_deployment_model_chosen="High Availability",sizing_vcf_deployment_size_chosen="Small"),"Large",
IF(AND(sizing_vcf_deployment_model_chosen="High Availability",sizing_vcf_deployment_size_chosen="Medium"),"Large",
IF(AND(sizing_vcf_deployment_model_chosen="High Availability",sizing_vcf_deployment_size_chosen="Large"),"XLarge")))))</f>
        <v>Large</v>
      </c>
      <c r="G40" s="8" t="str">
        <f>CONCATENATE(IF(sizing_m01_included="Included",VLOOKUP(CONCATENATE(D40,F40),table_vcenter_disk_gb,2,FALSE),0)," GB")</f>
        <v>2084 GB</v>
      </c>
      <c r="H40" s="8" t="str">
        <f>IF(sizing_advanced_mgmt_chosen="Selected",sizing_advanced_m01_nsxt_model,IF(sizing_vcf_deployment_model_chosen="Simple","Mandatory - Single Node","Mandatory - HA Cluster"))</f>
        <v>Mandatory - HA Cluster</v>
      </c>
      <c r="I40" s="8" t="str">
        <f>IF(sizing_advanced_mgmt_chosen="Selected",sizing_advanced_m01_nsxt_appliance_size,IF(sizing_vcf_deployment_model_chosen="Simple","Medium",
IF(AND(sizing_vcf_deployment_model_chosen="High Availability",sizing_vcf_deployment_size_chosen="Medium"),"Medium",
IF(AND(sizing_vcf_deployment_model_chosen="High Availability",sizing_vcf_deployment_size_chosen="Large"),"Large","Medium"))))</f>
        <v>Medium</v>
      </c>
      <c r="J40" s="415" t="str">
        <f>CONCATENATE(IF(AND(sizing_m01_included="Included",mgmt_nsxt_appliance_size_chosen&lt;&gt;"Shared"),
VLOOKUP(sizing_m01_nsxt_appliance_size,table_nsxt_manager_cpu,2,FALSE),0), " CPUS : ",IF(AND(sizing_m01_included="Included",mgmt_nsxt_appliance_size_chosen&lt;&gt;"Shared"),
VLOOKUP(sizing_m01_nsxt_appliance_size,table_nsxt_manager_ram,2,FALSE),0)," GB : ",IF(AND(sizing_m01_included="Included",mgmt_nsxt_appliance_size_chosen&lt;&gt;"Shared"),
VLOOKUP(sizing_m01_nsxt_appliance_size,table_nsxt_manager_disk_gb,2,FALSE),0)," GB")</f>
        <v>6 CPUS : 24 GB : 300 GB</v>
      </c>
      <c r="K40" s="417"/>
      <c r="L40" s="66" t="s">
        <v>1918</v>
      </c>
      <c r="M40" s="415" t="str">
        <f>IF(sizing_m01_nsxt_edge_size="Excluded","0 GB : 0 RAM : 0 GB",(CONCATENATE(IF(sizing_m01_included="Included",VLOOKUP(sizing_m01_nsxt_edge_size,table_nsxt_edge_cpu,2,FALSE),0)," CPUs : ",IF(sizing_m01_included="Included",VLOOKUP(sizing_m01_nsxt_edge_size,table_nsxt_edge_ram,2,FALSE),0)," GB: ",IF(sizing_m01_included="Included",VLOOKUP(sizing_m01_nsxt_edge_size,table_nsxt_edge_disk_gb,2,FALSE),0)," GB ")))</f>
        <v>0 GB : 0 RAM : 0 GB</v>
      </c>
      <c r="N40" s="417"/>
      <c r="O40" s="373" t="s">
        <v>1918</v>
      </c>
      <c r="P40" s="373" t="s">
        <v>92</v>
      </c>
      <c r="Q40" s="66" t="s">
        <v>1918</v>
      </c>
      <c r="R40" s="8" t="str">
        <f>CONCATENATE(IF(sizing_m01_nsxt_gm_appliance_size&lt;&gt;"Excluded",VLOOKUP(sizing_m01_nsxt_gm_appliance_size,table_nsxt_manager_cpu,2,FALSE),0)," CPU : ",IF(sizing_m01_nsxt_gm_appliance_size&lt;&gt;"Excluded",VLOOKUP(sizing_m01_nsxt_gm_appliance_size,table_nsxt_manager_ram,2,FALSE),0)," GB : ",IF(sizing_m01_nsxt_gm_appliance_size&lt;&gt;"Excluded",VLOOKUP(sizing_m01_nsxt_gm_appliance_size,table_nsxt_manager_disk_gb,2,FALSE),0)," GB")</f>
        <v>0 CPU : 0 GB : 0 GB</v>
      </c>
      <c r="S40" s="66" t="s">
        <v>1918</v>
      </c>
      <c r="T40" s="415" t="str">
        <f>IF(sizing_mgmt_avi_lb_appliance_size="Exclude","0 GB : 0 RAM : 0 GB",CONCATENATE(IF(AND(sizing_m01_included="Included",sizing_mgmt_avi_lb_appliance_size&lt;&gt;"Excluded"),VLOOKUP(sizing_mgmt_avi_lb_appliance_size,table_avi_lb_cpu,2,FALSE),0)," CPUs : ",IF(AND(sizing_m01_included="Included",sizing_mgmt_avi_lb_appliance_size&lt;&gt;"Excluded"),VLOOKUP(sizing_mgmt_avi_lb_appliance_size,table_avi_lb_ram,2,FALSE),0)," GB : ",IF(AND(sizing_m01_included="Included",sizing_mgmt_avi_lb_appliance_size&lt;&gt;"Excluded"),VLOOKUP(sizing_mgmt_avi_lb_appliance_size,table_avi_lb_disk,2,FALSE),0)," GB"))</f>
        <v>0 CPUs : 0 GB : 0 GB</v>
      </c>
      <c r="U40" s="416"/>
      <c r="V40" s="417"/>
      <c r="W40" s="66" t="s">
        <v>1918</v>
      </c>
      <c r="X40" s="431" t="str">
        <f>CONCATENATE(IF(sizing_m01_ssp_chosen&lt;&gt;"Excluded",VLOOKUP(sizing_m01_nsxt_appliance_size,table_ssp_cpu,2,FALSE),0)," CPUs : ",
IF(sizing_m01_ssp_chosen&lt;&gt;"Excluded",VLOOKUP(sizing_m01_nsxt_appliance_size,table_ssp_ram,2,FALSE),0), " GB : ",
IF(sizing_m01_ssp_chosen&lt;&gt;"Excluded",VLOOKUP(sizing_m01_nsxt_appliance_size,table_ssp_disk,2,FALSE),0)," GB")</f>
        <v>0 CPUs : 0 GB : 0 GB</v>
      </c>
      <c r="Y40" s="431"/>
      <c r="Z40" s="415" t="str">
        <f>IF(sizing_m01_included="Included",CONCATENATE("vCenter ",VLOOKUP(sizing_m01_vcenter_appliance_size,vcenter_sizing_limits,2,FALSE)," | NSX ",VLOOKUP(sizing_m01_nsxt_appliance_size,nsx_sizing_limits,2,FALSE)),"")</f>
        <v>vCenter 100 Hosts 1000 VMs | NSX 128 Hosts - 5 vSphere Clusters</v>
      </c>
      <c r="AA40" s="416"/>
      <c r="AB40" s="416"/>
      <c r="AC40" s="416"/>
      <c r="AD40" s="417"/>
    </row>
    <row r="41" spans="2:35" ht="20" customHeight="1" x14ac:dyDescent="0.2">
      <c r="G41" s="3"/>
      <c r="I41" s="2"/>
    </row>
    <row r="42" spans="2:35" s="125" customFormat="1" ht="34" customHeight="1" x14ac:dyDescent="0.2">
      <c r="B42" s="54" t="s">
        <v>2924</v>
      </c>
      <c r="C42" s="55"/>
      <c r="D42" s="135"/>
      <c r="E42" s="135"/>
      <c r="F42" s="135"/>
      <c r="G42" s="135"/>
      <c r="H42" s="135"/>
      <c r="I42" s="135"/>
      <c r="J42" s="135"/>
      <c r="K42" s="135"/>
      <c r="L42" s="135"/>
      <c r="M42" s="135"/>
      <c r="N42" s="135"/>
      <c r="O42" s="135"/>
      <c r="P42" s="135"/>
      <c r="Q42" s="135"/>
      <c r="R42" s="127"/>
      <c r="S42" s="127"/>
      <c r="T42" s="459"/>
      <c r="U42" s="459"/>
      <c r="V42" s="459"/>
      <c r="W42" s="459"/>
      <c r="X42" s="459"/>
      <c r="Y42" s="459"/>
      <c r="Z42" s="459"/>
      <c r="AA42" s="459"/>
      <c r="AB42" s="459"/>
      <c r="AC42" s="459"/>
      <c r="AD42" s="459"/>
    </row>
    <row r="43" spans="2:35" ht="20" customHeight="1" x14ac:dyDescent="0.2">
      <c r="B43" s="63" t="s">
        <v>2126</v>
      </c>
      <c r="C43" s="63" t="s">
        <v>2917</v>
      </c>
      <c r="D43" s="478" t="s">
        <v>2925</v>
      </c>
      <c r="E43" s="479"/>
      <c r="F43" s="478" t="s">
        <v>2926</v>
      </c>
      <c r="G43" s="479"/>
      <c r="H43" s="63" t="s">
        <v>2920</v>
      </c>
      <c r="I43" s="418" t="s">
        <v>2927</v>
      </c>
      <c r="J43" s="418"/>
      <c r="K43" s="418"/>
      <c r="L43" s="63" t="s">
        <v>2928</v>
      </c>
      <c r="M43" s="478" t="s">
        <v>2929</v>
      </c>
      <c r="N43" s="480"/>
      <c r="O43" s="480"/>
      <c r="P43" s="480"/>
      <c r="Q43" s="479"/>
      <c r="R43" s="418" t="s">
        <v>2930</v>
      </c>
      <c r="S43" s="418"/>
      <c r="T43" s="418"/>
      <c r="U43" s="418" t="s">
        <v>2921</v>
      </c>
      <c r="V43" s="418"/>
      <c r="W43" s="418"/>
      <c r="X43" s="478" t="s">
        <v>3688</v>
      </c>
      <c r="Y43" s="479"/>
      <c r="Z43" s="478" t="s">
        <v>21</v>
      </c>
      <c r="AA43" s="480"/>
      <c r="AB43" s="480"/>
      <c r="AC43" s="480"/>
      <c r="AD43" s="479"/>
    </row>
    <row r="44" spans="2:35" ht="20" customHeight="1" x14ac:dyDescent="0.2">
      <c r="B44" s="26" t="s">
        <v>2931</v>
      </c>
      <c r="C44" s="136" t="s">
        <v>1918</v>
      </c>
      <c r="D44" s="66" t="s">
        <v>92</v>
      </c>
      <c r="E44" s="8" t="str">
        <f>CONCATENATE(IF(sizing_w01_chosen="Included",VLOOKUP(sizing_w01_vcenter_appliance_size,table_vcenter_appliance_cpu,2,FALSE),0)," CPUs ",": ",IF(sizing_w01_chosen="Included",VLOOKUP(sizing_w01_vcenter_appliance_size,table_vcenter_appliance_ram,2,FALSE),0)," GB")</f>
        <v>0 CPUs : 0 GB</v>
      </c>
      <c r="F44" s="66" t="s">
        <v>724</v>
      </c>
      <c r="G44" s="8" t="str">
        <f>CONCATENATE(IF(sizing_w01_chosen="Included",VLOOKUP(CONCATENATE(sizing_w01_vcenter_appliance_size,sizing_w01_vcenter_storage_size),table_vcenter_disk_gb,2,FALSE),0)," GB")</f>
        <v>0 GB</v>
      </c>
      <c r="H44" s="66" t="s">
        <v>2052</v>
      </c>
      <c r="I44" s="66" t="s">
        <v>639</v>
      </c>
      <c r="J44" s="415" t="str">
        <f>CONCATENATE(IF(sizing_w01_chosen="Included",VLOOKUP(sizing_w01_nsxt_appliance_size,table_nsxt_manager_cpu,2,FALSE),0)," CPUs : ",IF(sizing_w01_chosen="Included",VLOOKUP(sizing_w01_nsxt_appliance_size,table_nsxt_manager_ram,2,FALSE),0), " GB : ",IF(sizing_w01_chosen="Included",VLOOKUP(sizing_w01_nsxt_appliance_size,table_nsxt_manager_disk_gb,2,FALSE),0)," GB")</f>
        <v>0 CPUs : 0 GB : 0 GB</v>
      </c>
      <c r="K44" s="417"/>
      <c r="L44" s="66" t="s">
        <v>1918</v>
      </c>
      <c r="M44" s="66" t="s">
        <v>92</v>
      </c>
      <c r="N44" s="473" t="str">
        <f>CONCATENATE(IF(AND(sizing_w01_gm_chosen&lt;&gt;"Excluded",sizing_w01_gm_chosen&lt;&gt;"Connect Instance"),VLOOKUP(sizing_w01_nsxt_gm_appliance_size,table_nsxt_manager_cpu,2,FALSE),0)," CPUs : ",IF(AND(sizing_w01_gm_chosen&lt;&gt;"Excluded",sizing_w01_gm_chosen&lt;&gt;"Connect Instance"),VLOOKUP(sizing_w01_nsxt_gm_appliance_size,table_nsxt_manager_ram,2,FALSE),0)," GB : ",IF(AND(sizing_w01_gm_chosen&lt;&gt;"Excluded",sizing_w01_gm_chosen&lt;&gt;"Connect Instance"),VLOOKUP(sizing_w01_nsxt_gm_appliance_size,table_nsxt_manager_disk_gb,2,FALSE),0)," GB")</f>
        <v>0 CPUs : 0 GB : 0 GB</v>
      </c>
      <c r="O44" s="474"/>
      <c r="P44" s="474"/>
      <c r="Q44" s="475"/>
      <c r="R44" s="66" t="s">
        <v>13</v>
      </c>
      <c r="S44" s="431" t="str">
        <f>(CONCATENATE(IF(AND(sizing_w01_chosen="Included",sizing_w01_spr_chosen="Include"),VLOOKUP(input_wld_srm_vm_size,table_srm_cpu,2,FALSE),0)," CPUs :",IF(AND(sizing_w01_chosen="Included",sizing_w01_spr_chosen="Include"),VLOOKUP(input_wld_srm_vm_size,table_srm_ram,2,FALSE),0)," GB : ",IF(AND(sizing_w01_chosen="Included",sizing_w01_spr_chosen="Include"),VLOOKUP(input_wld_srm_vm_size,table_srm_disk,2,FALSE),0)," GB"))</f>
        <v>0 CPUs :0 GB : 0 GB</v>
      </c>
      <c r="T44" s="431"/>
      <c r="U44" s="324" t="s">
        <v>1918</v>
      </c>
      <c r="V44" s="482" t="str">
        <f>CONCATENATE(IF(AND(sizing_w01_chosen="Included",sizing_w01_avi_appliance_size&lt;&gt;"Excluded"),VLOOKUP(sizing_w01_avi_appliance_size,table_avi_lb_cpu,2,FALSE),0), " CPUs : ",IF(AND(sizing_w01_chosen="Included",sizing_w01_avi_appliance_size&lt;&gt;"Excluded"),VLOOKUP(sizing_w01_avi_appliance_size,table_avi_lb_ram,2,FALSE),0), " GB : ",IF(AND(sizing_w01_chosen="Included",sizing_w01_avi_appliance_size&lt;&gt;"Excluded"),VLOOKUP(sizing_w01_avi_appliance_size,table_avi_lb_disk,2,FALSE),0)," GB")</f>
        <v>0 CPUs : 0 GB : 0 GB</v>
      </c>
      <c r="W44" s="483"/>
      <c r="X44" s="66" t="s">
        <v>1918</v>
      </c>
      <c r="Y44" s="8" t="str">
        <f>CONCATENATE(
IF(AND(sizing_w01_ssp_chosen&lt;&gt;"Excluded",sizing_w01_ssp_chosen&lt;&gt;"Deployed in WLD"),VLOOKUP(sizing_w01_nsxt_appliance_size,table_ssp_cpu,2,FALSE),0)," CPUs : ",
IF(AND(sizing_w01_ssp_chosen&lt;&gt;"Excluded",sizing_w01_ssp_chosen&lt;&gt;"Deployed in WLD"),VLOOKUP(sizing_w01_nsxt_appliance_size,table_ssp_ram,2,FALSE),0), " GB : ",
IF(AND(sizing_w01_ssp_chosen&lt;&gt;"Excluded",sizing_w01_ssp_chosen&lt;&gt;"Deployed in WLD"),VLOOKUP(sizing_w01_nsxt_appliance_size,table_ssp_disk,2,FALSE),0)," GB")</f>
        <v>0 CPUs : 0 GB : 0 GB</v>
      </c>
      <c r="Z44" s="415" t="str">
        <f>IF(sizing_w01_chosen="Included",CONCATENATE("vCenter:",VLOOKUP(sizing_w01_vcenter_appliance_size,vcenter_sizing_limits,2,FALSE)," | NSX LM ",VLOOKUP(sizing_w01_nsxt_appliance_size,nsx_sizing_limits,2,FALSE)),"")</f>
        <v/>
      </c>
      <c r="AA44" s="416"/>
      <c r="AB44" s="416"/>
      <c r="AC44" s="416"/>
      <c r="AD44" s="417"/>
    </row>
    <row r="45" spans="2:35" ht="20" customHeight="1" x14ac:dyDescent="0.2">
      <c r="B45" s="26" t="s">
        <v>2932</v>
      </c>
      <c r="C45" s="136" t="s">
        <v>1918</v>
      </c>
      <c r="D45" s="137" t="s">
        <v>92</v>
      </c>
      <c r="E45" s="8" t="str">
        <f>CONCATENATE(IF(sizing_w02_chosen="Included",VLOOKUP(sizing_w02_vcenter_appliance_size,table_vcenter_appliance_cpu,2,FALSE),0)," CPUs ",": ",IF(sizing_w02_chosen="Included",VLOOKUP(sizing_w02_vcenter_appliance_size,table_vcenter_appliance_ram,2,FALSE),0)," GB")</f>
        <v>0 CPUs : 0 GB</v>
      </c>
      <c r="F45" s="137" t="s">
        <v>724</v>
      </c>
      <c r="G45" s="8" t="str">
        <f>CONCATENATE(IF(sizing_w02_chosen="Included",VLOOKUP(CONCATENATE(sizing_w02_vcenter_appliance_size,sizing_w02_vcenter_storage_size),table_vcenter_disk_gb,2,FALSE),0)," GB")</f>
        <v>0 GB</v>
      </c>
      <c r="H45" s="137" t="s">
        <v>2052</v>
      </c>
      <c r="I45" s="137" t="s">
        <v>639</v>
      </c>
      <c r="J45" s="415" t="str">
        <f>CONCATENATE(IF(AND(sizing_w02_chosen="Included",sizing_w02_nsxt_model&lt;&gt;"Shared"),VLOOKUP(sizing_w02_nsxt_appliance_size,table_nsxt_manager_cpu,2,FALSE),0)," CPUs : ",IF(AND(sizing_w02_chosen="Included",sizing_w02_nsxt_model&lt;&gt;"Shared"),VLOOKUP(sizing_w02_nsxt_appliance_size,table_nsxt_manager_ram,2,FALSE),0), " GB : ",IF(AND(sizing_w02_chosen="Included",sizing_w02_nsxt_model&lt;&gt;"Shared"),VLOOKUP(sizing_w02_nsxt_appliance_size,table_nsxt_manager_disk_gb,2,FALSE),0)," GB")</f>
        <v>0 CPUs : 0 GB : 0 GB</v>
      </c>
      <c r="K45" s="417"/>
      <c r="L45" s="123" t="s">
        <v>1918</v>
      </c>
      <c r="M45" s="123" t="s">
        <v>92</v>
      </c>
      <c r="N45" s="473" t="str">
        <f>CONCATENATE(IF(AND(sizing_w02_gm_chosen&lt;&gt;"Excluded",sizing_w02_gm_chosen&lt;&gt;"Connect Instance"),VLOOKUP(sizing_w02_nsxt_gm_appliance_size,table_nsxt_manager_cpu,2,FALSE),0)," CPUs : ",IF(AND(sizing_w02_gm_chosen&lt;&gt;"Excluded",sizing_w02_gm_chosen&lt;&gt;"Connect Instance"),VLOOKUP(sizing_w02_nsxt_gm_appliance_size,table_nsxt_manager_ram,2,FALSE),0)," GB : ",IF(AND(sizing_w02_gm_chosen&lt;&gt;"Excluded",sizing_w02_gm_chosen&lt;&gt;"Connect Instance"),VLOOKUP(sizing_w02_nsxt_gm_appliance_size,table_nsxt_manager_disk_gb,2,FALSE),0)," GB")</f>
        <v>0 CPUs : 0 GB : 0 GB</v>
      </c>
      <c r="O45" s="474"/>
      <c r="P45" s="474"/>
      <c r="Q45" s="475"/>
      <c r="R45" s="123" t="s">
        <v>13</v>
      </c>
      <c r="S45" s="430" t="str">
        <f>(CONCATENATE(IF(AND(sizing_w02_chosen="Included",sizing_w02_spr_chosen="Include"),VLOOKUP(input_wld_srm_vm_size,table_srm_cpu,2,FALSE),0)," CPUs :",IF(AND(sizing_w02_chosen="Included",sizing_w02_spr_chosen="Include"),VLOOKUP(input_wld_srm_vm_size,table_srm_ram,2,FALSE),0)," GB : ",IF(AND(sizing_w02_chosen="Included",sizing_w02_spr_chosen="Include"),VLOOKUP(input_wld_srm_vm_size,table_srm_disk,2,FALSE),0)," GB"))</f>
        <v>0 CPUs :0 GB : 0 GB</v>
      </c>
      <c r="T45" s="430"/>
      <c r="U45" s="138" t="s">
        <v>1918</v>
      </c>
      <c r="V45" s="431" t="str">
        <f>CONCATENATE(IF(AND(sizing_w02_chosen="Included",sizing_w02_avi_appliance_size&lt;&gt;"Excluded"),VLOOKUP(sizing_w02_avi_appliance_size,table_avi_lb_cpu,2,FALSE),0), " CPUs : ",IF(AND(sizing_w02_chosen="Included",sizing_w02_avi_appliance_size&lt;&gt;"Excluded"),VLOOKUP(sizing_w02_avi_appliance_size,table_avi_lb_ram,2,FALSE),0), " GB : ",IF(AND(sizing_w02_chosen="Included",sizing_w02_avi_appliance_size&lt;&gt;"Excluded"),VLOOKUP(sizing_w02_avi_appliance_size,table_avi_lb_disk,2,FALSE),0)," GB")</f>
        <v>0 CPUs : 0 GB : 0 GB</v>
      </c>
      <c r="W45" s="415"/>
      <c r="X45" s="66" t="s">
        <v>1918</v>
      </c>
      <c r="Y45" s="8" t="str">
        <f>CONCATENATE(
IF(AND(sizing_w02_ssp_chosen&lt;&gt;"Excluded",sizing_w02_ssp_chosen&lt;&gt;"Deployed in WLD"),VLOOKUP(sizing_w02_nsxt_appliance_size,table_ssp_cpu,2,FALSE),0)," CPUs : ",
IF(AND(sizing_w02_ssp_chosen&lt;&gt;"Excluded",sizing_w02_ssp_chosen&lt;&gt;"Deployed in WLD"),VLOOKUP(sizing_w02_nsxt_appliance_size,table_ssp_ram,2,FALSE),0), " GB : ",
IF(AND(sizing_w02_ssp_chosen&lt;&gt;"Excluded",sizing_w02_ssp_chosen&lt;&gt;"Deployed in WLD"),VLOOKUP(sizing_w02_nsxt_appliance_size,table_ssp_disk,2,FALSE),0)," GB")</f>
        <v>0 CPUs : 0 GB : 0 GB</v>
      </c>
      <c r="Z45" s="415" t="str">
        <f>IF(sizing_w02_chosen="Included",CONCATENATE("vCenter:",VLOOKUP(sizing_w02_vcenter_appliance_size,vcenter_sizing_limits,2,FALSE)," | NSX LM ",VLOOKUP(sizing_w02_nsxt_appliance_size,nsx_sizing_limits,2,FALSE)),"")</f>
        <v/>
      </c>
      <c r="AA45" s="416"/>
      <c r="AB45" s="416"/>
      <c r="AC45" s="416"/>
      <c r="AD45" s="417"/>
    </row>
    <row r="46" spans="2:35" ht="20" customHeight="1" x14ac:dyDescent="0.2">
      <c r="B46" s="26" t="s">
        <v>2933</v>
      </c>
      <c r="C46" s="139" t="s">
        <v>1918</v>
      </c>
      <c r="D46" s="137" t="s">
        <v>92</v>
      </c>
      <c r="E46" s="8" t="str">
        <f>CONCATENATE(IF(sizing_w03_chosen="Included",VLOOKUP(sizing_w03_vcenter_appliance_size,table_vcenter_appliance_cpu,2,FALSE),0)," CPUs ",": ",IF(sizing_w03_chosen="Included",VLOOKUP(sizing_w03_vcenter_appliance_size,table_vcenter_appliance_ram,2,FALSE),0)," GB")</f>
        <v>0 CPUs : 0 GB</v>
      </c>
      <c r="F46" s="137" t="s">
        <v>724</v>
      </c>
      <c r="G46" s="8" t="str">
        <f>CONCATENATE(IF(sizing_w03_chosen="Included",VLOOKUP(CONCATENATE(sizing_w03_vcenter_appliance_size,sizing_w03_vcenter_storage_size),table_vcenter_disk_gb,2,FALSE),0)," GB")</f>
        <v>0 GB</v>
      </c>
      <c r="H46" s="137" t="s">
        <v>2052</v>
      </c>
      <c r="I46" s="137" t="s">
        <v>92</v>
      </c>
      <c r="J46" s="415" t="str">
        <f>CONCATENATE(IF(AND(sizing_w03_chosen="Included",sizing_w03_nsxt_model&lt;&gt;"Shared"),VLOOKUP(sizing_w03_nsxt_appliance_size,table_nsxt_manager_cpu,2,FALSE),0)," CPUs : ",IF(AND(sizing_w03_chosen="Included",sizing_w03_nsxt_model&lt;&gt;"Shared"),VLOOKUP(sizing_w03_nsxt_appliance_size,table_nsxt_manager_ram,2,FALSE),0), " GB : ",IF(AND(sizing_w03_chosen="Included",sizing_w03_nsxt_model&lt;&gt;"Shared"),VLOOKUP(sizing_w03_nsxt_appliance_size,table_nsxt_manager_disk_gb,2,FALSE),0)," GB")</f>
        <v>0 CPUs : 0 GB : 0 GB</v>
      </c>
      <c r="K46" s="417"/>
      <c r="L46" s="123" t="s">
        <v>1918</v>
      </c>
      <c r="M46" s="66" t="s">
        <v>92</v>
      </c>
      <c r="N46" s="473" t="str">
        <f>CONCATENATE(IF(AND(sizing_w03_gm_chosen&lt;&gt;"Excluded",sizing_w03_gm_chosen&lt;&gt;"Connect Instance"),VLOOKUP(sizing_w03_nsxt_gm_appliance_size,table_nsxt_manager_cpu,2,FALSE),0)," CPUs : ",IF(AND(sizing_w03_gm_chosen&lt;&gt;"Excluded",sizing_w03_gm_chosen&lt;&gt;"Connect Instance"),VLOOKUP(sizing_w03_nsxt_gm_appliance_size,table_nsxt_manager_ram,2,FALSE),0)," GB : ",IF(AND(sizing_w03_gm_chosen&lt;&gt;"Excluded",sizing_w03_gm_chosen&lt;&gt;"Connect Instance"),VLOOKUP(sizing_w03_nsxt_gm_appliance_size,table_nsxt_manager_disk_gb,2,FALSE),0)," GB")</f>
        <v>0 CPUs : 0 GB : 0 GB</v>
      </c>
      <c r="O46" s="474"/>
      <c r="P46" s="474"/>
      <c r="Q46" s="475"/>
      <c r="R46" s="123" t="s">
        <v>13</v>
      </c>
      <c r="S46" s="430" t="str">
        <f>(CONCATENATE(IF(AND(sizing_w03_chosen="Included",sizing_w03_spr_chosen="Include"),VLOOKUP(input_wld_srm_vm_size,table_srm_cpu,2,FALSE),0)," CPUs :",IF(AND(sizing_w03_chosen="Included",sizing_w03_spr_chosen="Include"),VLOOKUP(input_wld_srm_vm_size,table_srm_ram,2,FALSE),0)," GB : ",IF(AND(sizing_w03_chosen="Included",sizing_w03_spr_chosen="Include"),VLOOKUP(input_wld_srm_vm_size,table_srm_disk,2,FALSE),0)," GB"))</f>
        <v>0 CPUs :0 GB : 0 GB</v>
      </c>
      <c r="T46" s="430"/>
      <c r="U46" s="138" t="s">
        <v>1918</v>
      </c>
      <c r="V46" s="430" t="str">
        <f>CONCATENATE(IF(AND(sizing_w03_chosen="Included",sizing_w03_avi_appliance_size&lt;&gt;"Excluded"),VLOOKUP(sizing_w03_avi_appliance_size,table_avi_lb_cpu,2,FALSE),0), " CPUs : ",IF(AND(sizing_w03_chosen="Included",sizing_w03_avi_appliance_size&lt;&gt;"Excluded"),VLOOKUP(sizing_w03_avi_appliance_size,table_avi_lb_ram,2,FALSE),0), " GB : ",IF(AND(sizing_w03_chosen="Included",sizing_w03_avi_appliance_size&lt;&gt;"Excluded"),VLOOKUP(sizing_w03_avi_appliance_size,table_avi_lb_disk,2,FALSE),0)," GB")</f>
        <v>0 CPUs : 0 GB : 0 GB</v>
      </c>
      <c r="W46" s="443"/>
      <c r="X46" s="66" t="s">
        <v>1918</v>
      </c>
      <c r="Y46" s="8" t="str">
        <f>CONCATENATE(
IF(AND(sizing_w03_ssp_chosen&lt;&gt;"Excluded",sizing_w03_ssp_chosen&lt;&gt;"Deployed in WLD"),VLOOKUP(sizing_w03_nsxt_appliance_size,table_ssp_cpu,2,FALSE),0)," CPUs : ",
IF(AND(sizing_w03_ssp_chosen&lt;&gt;"Excluded",sizing_w03_ssp_chosen&lt;&gt;"Deployed in WLD"),VLOOKUP(sizing_w03_nsxt_appliance_size,table_ssp_ram,2,FALSE),0), " GB : ",
IF(AND(sizing_w03_ssp_chosen&lt;&gt;"Excluded",sizing_w03_ssp_chosen&lt;&gt;"Deployed in WLD"),VLOOKUP(sizing_w03_nsxt_appliance_size,table_ssp_disk,2,FALSE),0)," GB")</f>
        <v>0 CPUs : 0 GB : 0 GB</v>
      </c>
      <c r="Z46" s="415" t="str">
        <f>IF(sizing_w03_chosen="Included",CONCATENATE("vCenter:",VLOOKUP(sizing_w03_vcenter_appliance_size,vcenter_sizing_limits,2,FALSE)," | NSX LM ",VLOOKUP(sizing_w03_nsxt_appliance_size,nsx_sizing_limits,2,FALSE)),"")</f>
        <v/>
      </c>
      <c r="AA46" s="416"/>
      <c r="AB46" s="416"/>
      <c r="AC46" s="416"/>
      <c r="AD46" s="417"/>
    </row>
    <row r="47" spans="2:35" ht="20" customHeight="1" x14ac:dyDescent="0.2">
      <c r="B47" s="26" t="s">
        <v>2934</v>
      </c>
      <c r="C47" s="139" t="s">
        <v>1918</v>
      </c>
      <c r="D47" s="137" t="s">
        <v>92</v>
      </c>
      <c r="E47" s="8" t="str">
        <f>CONCATENATE(IF(sizing_w04_chosen="Included",VLOOKUP(sizing_w04_vcenter_appliance_size,table_vcenter_appliance_cpu,2,FALSE),0)," CPUs ",": ",IF(sizing_w04_chosen="Included",VLOOKUP(sizing_w04_vcenter_appliance_size,table_vcenter_appliance_ram,2,FALSE),0)," GB")</f>
        <v>0 CPUs : 0 GB</v>
      </c>
      <c r="F47" s="137" t="s">
        <v>724</v>
      </c>
      <c r="G47" s="8" t="str">
        <f>CONCATENATE(IF(sizing_w04_chosen="Included",VLOOKUP(CONCATENATE(sizing_w04_vcenter_appliance_size,sizing_w04_vcenter_storage_size),table_vcenter_disk_gb,2,FALSE),0)," GB")</f>
        <v>0 GB</v>
      </c>
      <c r="H47" s="137" t="s">
        <v>2052</v>
      </c>
      <c r="I47" s="137" t="s">
        <v>3070</v>
      </c>
      <c r="J47" s="415" t="str">
        <f>CONCATENATE(IF(AND(sizing_w04_chosen="Included",sizing_w04_nsxt_model&lt;&gt;"Shared"),VLOOKUP(sizing_w04_nsxt_appliance_size,table_nsxt_manager_cpu,2,FALSE),0)," CPUs : ",IF(AND(sizing_w04_chosen="Included",sizing_w04_nsxt_model&lt;&gt;"Shared"),VLOOKUP(sizing_w04_nsxt_appliance_size,table_nsxt_manager_ram,2,FALSE),0), " GB : ",IF(AND(sizing_w04_chosen="Included",sizing_w04_nsxt_model&lt;&gt;"Shared"),VLOOKUP(sizing_w04_nsxt_appliance_size,table_nsxt_manager_disk_gb,2,FALSE),0)," GB")</f>
        <v>0 CPUs : 0 GB : 0 GB</v>
      </c>
      <c r="K47" s="417"/>
      <c r="L47" s="123" t="s">
        <v>1918</v>
      </c>
      <c r="M47" s="66" t="s">
        <v>639</v>
      </c>
      <c r="N47" s="473" t="str">
        <f>CONCATENATE(IF(AND(sizing_w04_gm_chosen&lt;&gt;"Excluded",sizing_w04_gm_chosen&lt;&gt;"Connect Instance"),VLOOKUP(sizing_w04_nsxt_gm_appliance_size,table_nsxt_manager_cpu,2,FALSE),0)," CPUs : ",IF(AND(sizing_w04_gm_chosen&lt;&gt;"Excluded",sizing_w04_gm_chosen&lt;&gt;"Connect Instance"),VLOOKUP(sizing_w04_nsxt_gm_appliance_size,table_nsxt_manager_ram,2,FALSE),0)," GB : ",IF(AND(sizing_w04_gm_chosen&lt;&gt;"Excluded",sizing_w04_gm_chosen&lt;&gt;"Connect Instance"),VLOOKUP(sizing_w04_nsxt_gm_appliance_size,table_nsxt_manager_disk_gb,2,FALSE),0)," GB")</f>
        <v>0 CPUs : 0 GB : 0 GB</v>
      </c>
      <c r="O47" s="474"/>
      <c r="P47" s="474"/>
      <c r="Q47" s="475"/>
      <c r="R47" s="123" t="s">
        <v>13</v>
      </c>
      <c r="S47" s="430" t="str">
        <f>(CONCATENATE(IF(AND(sizing_w04_chosen="Included",sizing_w04_spr_chosen="Include"),VLOOKUP(input_wld_srm_vm_size,table_srm_cpu,2,FALSE),0)," CPUs :",IF(AND(sizing_w04_chosen="Included",sizing_w04_spr_chosen="Include"),VLOOKUP(input_wld_srm_vm_size,table_srm_ram,2,FALSE),0)," GB : ",IF(AND(sizing_w04_chosen="Included",sizing_w04_spr_chosen="Include"),VLOOKUP(input_wld_srm_vm_size,table_srm_disk,2,FALSE),0)," GB"))</f>
        <v>0 CPUs :0 GB : 0 GB</v>
      </c>
      <c r="T47" s="430"/>
      <c r="U47" s="123" t="s">
        <v>1918</v>
      </c>
      <c r="V47" s="430" t="str">
        <f>CONCATENATE(IF(AND(sizing_w04_chosen="Included",sizing_w04_avi_appliance_size&lt;&gt;"Excluded"),VLOOKUP(sizing_w04_avi_appliance_size,table_avi_lb_cpu,2,FALSE),0), " CPUs : ",IF(AND(sizing_w04_chosen="Included",sizing_w04_avi_appliance_size&lt;&gt;"Excluded"),VLOOKUP(sizing_w04_avi_appliance_size,table_avi_lb_ram,2,FALSE),0), " GB : ",IF(AND(sizing_w04_chosen="Included",sizing_w04_avi_appliance_size&lt;&gt;"Excluded"),VLOOKUP(sizing_w04_avi_appliance_size,table_avi_lb_disk,2,FALSE),0)," GB")</f>
        <v>0 CPUs : 0 GB : 0 GB</v>
      </c>
      <c r="W47" s="443"/>
      <c r="X47" s="66" t="s">
        <v>1918</v>
      </c>
      <c r="Y47" s="8" t="str">
        <f>CONCATENATE(
IF(AND(sizing_w04_ssp_chosen&lt;&gt;"Excluded",sizing_w04_ssp_chosen&lt;&gt;"Deployed in WLD"),VLOOKUP(sizing_w04_nsxt_appliance_size,table_ssp_cpu,2,FALSE),0)," CPUs : ",
IF(AND(sizing_w04_ssp_chosen&lt;&gt;"Excluded",sizing_w04_ssp_chosen&lt;&gt;"Deployed in WLD"),VLOOKUP(sizing_w04_nsxt_appliance_size,table_ssp_ram,2,FALSE),0), " GB : ",
IF(AND(sizing_w04_ssp_chosen&lt;&gt;"Excluded",sizing_w04_ssp_chosen&lt;&gt;"Deployed in WLD"),VLOOKUP(sizing_w04_nsxt_appliance_size,table_ssp_disk,2,FALSE),0)," GB")</f>
        <v>0 CPUs : 0 GB : 0 GB</v>
      </c>
      <c r="Z47" s="415" t="str">
        <f>IF(sizing_w04_chosen="Included",CONCATENATE("vCenter:",VLOOKUP(sizing_w04_vcenter_appliance_size,vcenter_sizing_limits,2,FALSE)," | NSX LM ",VLOOKUP(sizing_w04_nsxt_appliance_size,nsx_sizing_limits,2,FALSE)),"")</f>
        <v/>
      </c>
      <c r="AA47" s="416"/>
      <c r="AB47" s="416"/>
      <c r="AC47" s="416"/>
      <c r="AD47" s="417"/>
    </row>
    <row r="48" spans="2:35" ht="20" customHeight="1" x14ac:dyDescent="0.2">
      <c r="B48" s="26" t="s">
        <v>2935</v>
      </c>
      <c r="C48" s="139" t="s">
        <v>1918</v>
      </c>
      <c r="D48" s="137" t="s">
        <v>92</v>
      </c>
      <c r="E48" s="121" t="str">
        <f>CONCATENATE(IF(sizing_w05_chosen="Included",VLOOKUP(sizing_w05_vcenter_appliance_size,table_vcenter_appliance_cpu,2,FALSE),0)," CPUs ",": ",IF(sizing_w05_chosen="Included",VLOOKUP(sizing_w05_vcenter_appliance_size,table_vcenter_appliance_ram,2,FALSE),0)," GB")</f>
        <v>0 CPUs : 0 GB</v>
      </c>
      <c r="F48" s="137" t="s">
        <v>724</v>
      </c>
      <c r="G48" s="121" t="str">
        <f>CONCATENATE(IF(sizing_w05_chosen="Included",VLOOKUP(CONCATENATE(sizing_w05_vcenter_appliance_size,sizing_w05_vcenter_storage_size),table_vcenter_disk_gb,2,FALSE),0)," GB")</f>
        <v>0 GB</v>
      </c>
      <c r="H48" s="137" t="s">
        <v>2052</v>
      </c>
      <c r="I48" s="137" t="s">
        <v>639</v>
      </c>
      <c r="J48" s="476" t="str">
        <f>CONCATENATE(IF(AND(sizing_w05_chosen="Included",sizing_w05_nsxt_model&lt;&gt;"Shared"),VLOOKUP(sizing_w05_nsxt_appliance_size,table_nsxt_manager_cpu,2,FALSE),0)," CPUs : ",IF(AND(sizing_w05_chosen="Included",sizing_w05_nsxt_model&lt;&gt;"Shared"),VLOOKUP(sizing_w05_nsxt_appliance_size,table_nsxt_manager_ram,2,FALSE),0), " GB : ",IF(AND(sizing_w05_chosen="Included",sizing_w05_nsxt_model&lt;&gt;"Shared"),VLOOKUP(sizing_w05_nsxt_appliance_size,table_nsxt_manager_disk_gb,2,FALSE),0)," GB")</f>
        <v>0 CPUs : 0 GB : 0 GB</v>
      </c>
      <c r="K48" s="477"/>
      <c r="L48" s="123" t="s">
        <v>1918</v>
      </c>
      <c r="M48" s="66" t="s">
        <v>639</v>
      </c>
      <c r="N48" s="473" t="str">
        <f>CONCATENATE(IF(AND(sizing_w05_gm_chosen&lt;&gt;"Excluded",sizing_w05_gm_chosen&lt;&gt;"Connect Instance"),VLOOKUP(sizing_w05_nsxt_gm_appliance_size,table_nsxt_manager_cpu,2,FALSE),0)," CPUs : ",IF(AND(sizing_w05_gm_chosen&lt;&gt;"Excluded",sizing_w05_gm_chosen&lt;&gt;"Connect Instance"),VLOOKUP(sizing_w05_nsxt_gm_appliance_size,table_nsxt_manager_ram,2,FALSE),0)," GB : ",IF(AND(sizing_w05_gm_chosen&lt;&gt;"Excluded",sizing_w05_gm_chosen&lt;&gt;"Connect Instance"),VLOOKUP(sizing_w05_nsxt_gm_appliance_size,table_nsxt_manager_disk_gb,2,FALSE),0)," GB")</f>
        <v>0 CPUs : 0 GB : 0 GB</v>
      </c>
      <c r="O48" s="474"/>
      <c r="P48" s="474"/>
      <c r="Q48" s="475"/>
      <c r="R48" s="123" t="s">
        <v>13</v>
      </c>
      <c r="S48" s="430" t="str">
        <f>(CONCATENATE(IF(AND(sizing_w05_chosen="Included",sizing_w05_spr_chosen="Include"),VLOOKUP(input_wld_srm_vm_size,table_srm_cpu,2,FALSE),0)," CPUs :",IF(AND(sizing_w05_chosen="Included",sizing_w05_spr_chosen="Include"),VLOOKUP(input_wld_srm_vm_size,table_srm_ram,2,FALSE),0)," GB : ",IF(AND(sizing_w05_chosen="Included",sizing_w05_spr_chosen="Include"),VLOOKUP(input_wld_srm_vm_size,table_srm_disk,2,FALSE),0)," GB"))</f>
        <v>0 CPUs :0 GB : 0 GB</v>
      </c>
      <c r="T48" s="430"/>
      <c r="U48" s="123" t="s">
        <v>1918</v>
      </c>
      <c r="V48" s="430" t="str">
        <f>CONCATENATE(IF(AND(sizing_w05_chosen="Included",sizing_w05_avi_appliance_size&lt;&gt;"Excluded"),VLOOKUP(sizing_w05_avi_appliance_size,table_avi_lb_cpu,2,FALSE),0), " CPUs : ",IF(AND(sizing_w05_chosen="Included",sizing_w05_avi_appliance_size&lt;&gt;"Excluded"),VLOOKUP(sizing_w05_avi_appliance_size,table_avi_lb_ram,2,FALSE),0), " GB : ",IF(AND(sizing_w05_chosen="Included",sizing_w05_avi_appliance_size&lt;&gt;"Excluded"),VLOOKUP(sizing_w05_avi_appliance_size,table_avi_lb_disk,2,FALSE),0)," GB")</f>
        <v>0 CPUs : 0 GB : 0 GB</v>
      </c>
      <c r="W48" s="443"/>
      <c r="X48" s="66" t="s">
        <v>1918</v>
      </c>
      <c r="Y48" s="8" t="str">
        <f>CONCATENATE(
IF(AND(sizing_w05_ssp_chosen&lt;&gt;"Excluded",sizing_w05_ssp_chosen&lt;&gt;"Deployed in WLD"),VLOOKUP(sizing_w05_nsxt_appliance_size,table_ssp_cpu,2,FALSE),0)," CPUs : ",
IF(AND(sizing_w05_ssp_chosen&lt;&gt;"Excluded",sizing_w05_ssp_chosen&lt;&gt;"Deployed in WLD"),VLOOKUP(sizing_w05_nsxt_appliance_size,table_ssp_ram,2,FALSE),0), " GB : ",
IF(AND(sizing_w05_ssp_chosen&lt;&gt;"Excluded",sizing_w05_ssp_chosen&lt;&gt;"Deployed in WLD"),VLOOKUP(sizing_w05_nsxt_appliance_size,table_ssp_disk,2,FALSE),0)," GB")</f>
        <v>0 CPUs : 0 GB : 0 GB</v>
      </c>
      <c r="Z48" s="415" t="str">
        <f>IF(sizing_w05_chosen="Included",CONCATENATE("vCenter:",VLOOKUP(sizing_w05_vcenter_appliance_size,vcenter_sizing_limits,2,FALSE)," | NSX LM ",VLOOKUP(sizing_w05_nsxt_appliance_size,nsx_sizing_limits,2,FALSE)),"")</f>
        <v/>
      </c>
      <c r="AA48" s="416"/>
      <c r="AB48" s="416"/>
      <c r="AC48" s="416"/>
      <c r="AD48" s="417"/>
    </row>
    <row r="49" spans="2:30" ht="20" customHeight="1" x14ac:dyDescent="0.2">
      <c r="B49" s="26" t="s">
        <v>2936</v>
      </c>
      <c r="C49" s="139" t="s">
        <v>1918</v>
      </c>
      <c r="D49" s="137" t="s">
        <v>92</v>
      </c>
      <c r="E49" s="121" t="str">
        <f>CONCATENATE(IF(sizing_w06_chosen="Included",VLOOKUP(sizing_w06_vcenter_appliance_size,table_vcenter_appliance_cpu,2,FALSE),0)," CPUs ",": ",IF(sizing_w06_chosen="Included",VLOOKUP(sizing_w06_vcenter_appliance_size,table_vcenter_appliance_ram,2,FALSE),0)," GB")</f>
        <v>0 CPUs : 0 GB</v>
      </c>
      <c r="F49" s="137" t="s">
        <v>724</v>
      </c>
      <c r="G49" s="121" t="str">
        <f>CONCATENATE(IF(sizing_w06_chosen="Included",VLOOKUP(CONCATENATE(sizing_w06_vcenter_appliance_size,sizing_w06_vcenter_storage_size),table_vcenter_disk_gb,2,FALSE),0)," GB")</f>
        <v>0 GB</v>
      </c>
      <c r="H49" s="137" t="s">
        <v>2052</v>
      </c>
      <c r="I49" s="137" t="s">
        <v>639</v>
      </c>
      <c r="J49" s="476" t="str">
        <f>CONCATENATE(IF(AND(sizing_w06_chosen="Included",sizing_w06_nsxt_model&lt;&gt;"Shared"),VLOOKUP(sizing_w06_nsxt_appliance_size,table_nsxt_manager_cpu,2,FALSE),0)," CPUs : ",IF(AND(sizing_w06_chosen="Included",sizing_w06_nsxt_model&lt;&gt;"Shared"),VLOOKUP(sizing_w06_nsxt_appliance_size,table_nsxt_manager_ram,2,FALSE),0), " GB : ",IF(AND(sizing_w06_chosen="Included",sizing_w06_nsxt_model&lt;&gt;"Shared"),VLOOKUP(sizing_w06_nsxt_appliance_size,table_nsxt_manager_disk_gb,2,FALSE),0)," GB")</f>
        <v>0 CPUs : 0 GB : 0 GB</v>
      </c>
      <c r="K49" s="477"/>
      <c r="L49" s="123" t="s">
        <v>1918</v>
      </c>
      <c r="M49" s="66" t="s">
        <v>639</v>
      </c>
      <c r="N49" s="473" t="str">
        <f>CONCATENATE(IF(AND(sizing_w06_gm_chosen&lt;&gt;"Excluded",sizing_w06_gm_chosen&lt;&gt;"Connect Instance"),VLOOKUP(sizing_w06_nsxt_gm_appliance_size,table_nsxt_manager_cpu,2,FALSE),0)," CPUs : ",IF(AND(sizing_w06_gm_chosen&lt;&gt;"Excluded",sizing_w06_gm_chosen&lt;&gt;"Connect Instance"),VLOOKUP(sizing_w06_nsxt_gm_appliance_size,table_nsxt_manager_ram,2,FALSE),0)," GB : ",IF(AND(sizing_w06_gm_chosen&lt;&gt;"Excluded",sizing_w06_gm_chosen&lt;&gt;"Connect Instance"),VLOOKUP(sizing_w06_nsxt_gm_appliance_size,table_nsxt_manager_disk_gb,2,FALSE),0)," GB")</f>
        <v>0 CPUs : 0 GB : 0 GB</v>
      </c>
      <c r="O49" s="474"/>
      <c r="P49" s="474"/>
      <c r="Q49" s="475"/>
      <c r="R49" s="123" t="s">
        <v>13</v>
      </c>
      <c r="S49" s="430" t="str">
        <f>(CONCATENATE(IF(AND(sizing_w06_chosen="Included",sizing_w06_spr_chosen="Include"),VLOOKUP(input_wld_srm_vm_size,table_srm_cpu,2,FALSE),0)," CPUs :",IF(AND(sizing_w06_chosen="Included",sizing_w06_spr_chosen="Include"),VLOOKUP(input_wld_srm_vm_size,table_srm_ram,2,FALSE),0)," GB : ",IF(AND(sizing_w06_chosen="Included",sizing_w06_spr_chosen="Include"),VLOOKUP(input_wld_srm_vm_size,table_srm_disk,2,FALSE),0)," GB"))</f>
        <v>0 CPUs :0 GB : 0 GB</v>
      </c>
      <c r="T49" s="430"/>
      <c r="U49" s="123" t="s">
        <v>1918</v>
      </c>
      <c r="V49" s="430" t="str">
        <f>CONCATENATE(IF(AND(sizing_w06_chosen="Included",sizing_w06_avi_appliance_size&lt;&gt;"Excluded"),VLOOKUP(sizing_w06_avi_appliance_size,table_avi_lb_cpu,2,FALSE),0), " CPUs : ",IF(AND(sizing_w06_chosen="Included",sizing_w06_avi_appliance_size&lt;&gt;"Excluded"),VLOOKUP(sizing_w06_avi_appliance_size,table_avi_lb_ram,2,FALSE),0), " GB : ",IF(AND(sizing_w06_chosen="Included",sizing_w06_avi_appliance_size&lt;&gt;"Excluded"),VLOOKUP(sizing_w06_avi_appliance_size,table_avi_lb_disk,2,FALSE),0)," GB")</f>
        <v>0 CPUs : 0 GB : 0 GB</v>
      </c>
      <c r="W49" s="443"/>
      <c r="X49" s="66" t="s">
        <v>1918</v>
      </c>
      <c r="Y49" s="8" t="str">
        <f>CONCATENATE(
IF(AND(sizing_w06_ssp_chosen&lt;&gt;"Excluded",sizing_w06_ssp_chosen&lt;&gt;"Deployed in WLD"),VLOOKUP(sizing_w06_nsxt_appliance_size,table_ssp_cpu,2,FALSE),0)," CPUs : ",
IF(AND(sizing_w06_ssp_chosen&lt;&gt;"Excluded",sizing_w06_ssp_chosen&lt;&gt;"Deployed in WLD"),VLOOKUP(sizing_w06_nsxt_appliance_size,table_ssp_ram,2,FALSE),0), " GB : ",
IF(AND(sizing_w06_ssp_chosen&lt;&gt;"Excluded",sizing_w06_ssp_chosen&lt;&gt;"Deployed in WLD"),VLOOKUP(sizing_w06_nsxt_appliance_size,table_ssp_disk,2,FALSE),0)," GB")</f>
        <v>0 CPUs : 0 GB : 0 GB</v>
      </c>
      <c r="Z49" s="415" t="str">
        <f>IF(sizing_w06_chosen="Included",CONCATENATE("vCenter:",VLOOKUP(sizing_w06_vcenter_appliance_size,vcenter_sizing_limits,2,FALSE)," | NSX LM ",VLOOKUP(sizing_w06_nsxt_appliance_size,nsx_sizing_limits,2,FALSE)),"")</f>
        <v/>
      </c>
      <c r="AA49" s="416"/>
      <c r="AB49" s="416"/>
      <c r="AC49" s="416"/>
      <c r="AD49" s="417"/>
    </row>
    <row r="50" spans="2:30" ht="20" customHeight="1" x14ac:dyDescent="0.2">
      <c r="B50" s="26" t="s">
        <v>2937</v>
      </c>
      <c r="C50" s="139" t="s">
        <v>1918</v>
      </c>
      <c r="D50" s="137" t="s">
        <v>92</v>
      </c>
      <c r="E50" s="121" t="str">
        <f>CONCATENATE(IF(sizing_w07_chosen="Included",VLOOKUP(sizing_w07_vcenter_appliance_size,table_vcenter_appliance_cpu,2,FALSE),0)," CPUs ",": ",IF(sizing_w07_chosen="Included",VLOOKUP(sizing_w07_vcenter_appliance_size,table_vcenter_appliance_ram,2,FALSE),0)," GB")</f>
        <v>0 CPUs : 0 GB</v>
      </c>
      <c r="F50" s="137" t="s">
        <v>724</v>
      </c>
      <c r="G50" s="121" t="str">
        <f>CONCATENATE(IF(sizing_w07_chosen="Included",VLOOKUP(CONCATENATE(sizing_w07_vcenter_appliance_size,sizing_w07_vcenter_storage_size),table_vcenter_disk_gb,2,FALSE),0)," GB")</f>
        <v>0 GB</v>
      </c>
      <c r="H50" s="137" t="s">
        <v>2052</v>
      </c>
      <c r="I50" s="137" t="s">
        <v>639</v>
      </c>
      <c r="J50" s="476" t="str">
        <f>CONCATENATE(IF(AND(sizing_w07_chosen="Included",sizing_w07_nsxt_model&lt;&gt;"Shared"),VLOOKUP(sizing_w07_nsxt_appliance_size,table_nsxt_manager_cpu,2,FALSE),0)," CPUs : ",IF(AND(sizing_w07_chosen="Included",sizing_w07_nsxt_model&lt;&gt;"Shared"),VLOOKUP(sizing_w07_nsxt_appliance_size,table_nsxt_manager_ram,2,FALSE),0), " GB : ",IF(AND(sizing_w07_chosen="Included",sizing_w07_nsxt_model&lt;&gt;"Shared"),VLOOKUP(sizing_w07_nsxt_appliance_size,table_nsxt_manager_disk_gb,2,FALSE),0)," GB")</f>
        <v>0 CPUs : 0 GB : 0 GB</v>
      </c>
      <c r="K50" s="477"/>
      <c r="L50" s="123" t="s">
        <v>1918</v>
      </c>
      <c r="M50" s="66" t="s">
        <v>639</v>
      </c>
      <c r="N50" s="473" t="str">
        <f>CONCATENATE(IF(AND(sizing_w07_gm_chosen&lt;&gt;"Excluded",sizing_w07_gm_chosen&lt;&gt;"Connect Instance"),VLOOKUP(sizing_w07_nsxt_gm_appliance_size,table_nsxt_manager_cpu,2,FALSE),0)," CPUs : ",IF(AND(sizing_w07_gm_chosen&lt;&gt;"Excluded",sizing_w07_gm_chosen&lt;&gt;"Connect Instance"),VLOOKUP(sizing_w07_nsxt_gm_appliance_size,table_nsxt_manager_ram,2,FALSE),0)," GB : ",IF(AND(sizing_w07_gm_chosen&lt;&gt;"Excluded",sizing_w07_gm_chosen&lt;&gt;"Connect Instance"),VLOOKUP(sizing_w07_nsxt_gm_appliance_size,table_nsxt_manager_disk_gb,2,FALSE),0)," GB")</f>
        <v>0 CPUs : 0 GB : 0 GB</v>
      </c>
      <c r="O50" s="474"/>
      <c r="P50" s="474"/>
      <c r="Q50" s="475"/>
      <c r="R50" s="123" t="s">
        <v>13</v>
      </c>
      <c r="S50" s="430" t="str">
        <f>(CONCATENATE(IF(AND(sizing_w07_chosen="Included",sizing_w07_spr_chosen="Include"),VLOOKUP(input_wld_srm_vm_size,table_srm_cpu,2,FALSE),0)," CPUs :",IF(AND(sizing_w07_chosen="Included",sizing_w07_spr_chosen="Include"),VLOOKUP(input_wld_srm_vm_size,table_srm_ram,2,FALSE),0)," GB : ",IF(AND(sizing_w07_chosen="Included",sizing_w07_spr_chosen="Include"),VLOOKUP(input_wld_srm_vm_size,table_srm_disk,2,FALSE),0)," GB"))</f>
        <v>0 CPUs :0 GB : 0 GB</v>
      </c>
      <c r="T50" s="430"/>
      <c r="U50" s="123" t="s">
        <v>1918</v>
      </c>
      <c r="V50" s="430" t="str">
        <f>CONCATENATE(IF(AND(sizing_w07_chosen="Included",sizing_w07_avi_appliance_size&lt;&gt;"Excluded"),VLOOKUP(sizing_w07_avi_appliance_size,table_avi_lb_cpu,2,FALSE),0), " CPUs : ",IF(AND(sizing_w07_chosen="Included",sizing_w07_avi_appliance_size&lt;&gt;"Excluded"),VLOOKUP(sizing_w07_avi_appliance_size,table_avi_lb_ram,2,FALSE),0), " GB : ",IF(AND(sizing_w07_chosen="Included",sizing_w07_avi_appliance_size&lt;&gt;"Excluded"),VLOOKUP(sizing_w07_avi_appliance_size,table_avi_lb_disk,2,FALSE),0)," GB")</f>
        <v>0 CPUs : 0 GB : 0 GB</v>
      </c>
      <c r="W50" s="443"/>
      <c r="X50" s="66" t="s">
        <v>1918</v>
      </c>
      <c r="Y50" s="8" t="str">
        <f>CONCATENATE(
IF(AND(sizing_w07_ssp_chosen&lt;&gt;"Excluded",sizing_w07_ssp_chosen&lt;&gt;"Deployed in WLD"),VLOOKUP(sizing_w07_nsxt_appliance_size,table_ssp_cpu,2,FALSE),0)," CPUs : ",
IF(AND(sizing_w07_ssp_chosen&lt;&gt;"Excluded",sizing_w07_ssp_chosen&lt;&gt;"Deployed in WLD"),VLOOKUP(sizing_w07_nsxt_appliance_size,table_ssp_ram,2,FALSE),0), " GB : ",
IF(AND(sizing_w07_ssp_chosen&lt;&gt;"Excluded",sizing_w07_ssp_chosen&lt;&gt;"Deployed in WLD"),VLOOKUP(sizing_w07_nsxt_appliance_size,table_ssp_disk,2,FALSE),0)," GB")</f>
        <v>0 CPUs : 0 GB : 0 GB</v>
      </c>
      <c r="Z50" s="415" t="str">
        <f>IF(sizing_w07_chosen="Included",CONCATENATE("vCenter:",VLOOKUP(sizing_w07_vcenter_appliance_size,vcenter_sizing_limits,2,FALSE)," | NSX LM ",VLOOKUP(sizing_w07_nsxt_appliance_size,nsx_sizing_limits,2,FALSE)),"")</f>
        <v/>
      </c>
      <c r="AA50" s="416"/>
      <c r="AB50" s="416"/>
      <c r="AC50" s="416"/>
      <c r="AD50" s="417"/>
    </row>
    <row r="51" spans="2:30" ht="20" customHeight="1" x14ac:dyDescent="0.2">
      <c r="B51" s="26" t="s">
        <v>2938</v>
      </c>
      <c r="C51" s="139" t="s">
        <v>1918</v>
      </c>
      <c r="D51" s="137" t="s">
        <v>92</v>
      </c>
      <c r="E51" s="121" t="str">
        <f>CONCATENATE(IF(sizing_w08_chosen="Included",VLOOKUP(sizing_w08_vcenter_appliance_size,table_vcenter_appliance_cpu,2,FALSE),0)," CPUs ",": ",IF(sizing_w08_chosen="Included",VLOOKUP(sizing_w08_vcenter_appliance_size,table_vcenter_appliance_ram,2,FALSE),0)," GB")</f>
        <v>0 CPUs : 0 GB</v>
      </c>
      <c r="F51" s="137" t="s">
        <v>724</v>
      </c>
      <c r="G51" s="121" t="str">
        <f>CONCATENATE(IF(sizing_w08_chosen="Included",VLOOKUP(CONCATENATE(sizing_w08_vcenter_appliance_size,sizing_w08_vcenter_storage_size),table_vcenter_disk_gb,2,FALSE),0)," GB")</f>
        <v>0 GB</v>
      </c>
      <c r="H51" s="137" t="s">
        <v>2052</v>
      </c>
      <c r="I51" s="137" t="s">
        <v>639</v>
      </c>
      <c r="J51" s="476" t="str">
        <f>CONCATENATE(IF(AND(sizing_w08_chosen="Included",sizing_w08_nsxt_model&lt;&gt;"Shared"),VLOOKUP(sizing_w08_nsxt_appliance_size,table_nsxt_manager_cpu,2,FALSE),0)," CPUs : ",IF(AND(sizing_w08_chosen="Included",sizing_w08_nsxt_model&lt;&gt;"Shared"),VLOOKUP(sizing_w08_nsxt_appliance_size,table_nsxt_manager_ram,2,FALSE),0), " GB : ",IF(AND(sizing_w08_chosen="Included",sizing_w08_nsxt_model&lt;&gt;"Shared"),VLOOKUP(sizing_w08_nsxt_appliance_size,table_nsxt_manager_disk_gb,2,FALSE),0)," GB")</f>
        <v>0 CPUs : 0 GB : 0 GB</v>
      </c>
      <c r="K51" s="477"/>
      <c r="L51" s="123" t="s">
        <v>1918</v>
      </c>
      <c r="M51" s="66" t="s">
        <v>639</v>
      </c>
      <c r="N51" s="473" t="str">
        <f>CONCATENATE(IF(AND(sizing_w08_gm_chosen&lt;&gt;"Excluded",sizing_w08_gm_chosen&lt;&gt;"Connect Instance"),VLOOKUP(sizing_w08_nsxt_gm_appliance_size,table_nsxt_manager_cpu,2,FALSE),0)," CPUs : ",IF(AND(sizing_w08_gm_chosen&lt;&gt;"Excluded",sizing_w08_gm_chosen&lt;&gt;"Connect Instance"),VLOOKUP(sizing_w08_nsxt_gm_appliance_size,table_nsxt_manager_ram,2,FALSE),0)," GB : ",IF(AND(sizing_w08_gm_chosen&lt;&gt;"Excluded",sizing_w08_gm_chosen&lt;&gt;"Connect Instance"),VLOOKUP(sizing_w08_nsxt_gm_appliance_size,table_nsxt_manager_disk_gb,2,FALSE),0)," GB")</f>
        <v>0 CPUs : 0 GB : 0 GB</v>
      </c>
      <c r="O51" s="474"/>
      <c r="P51" s="474"/>
      <c r="Q51" s="475"/>
      <c r="R51" s="123" t="s">
        <v>13</v>
      </c>
      <c r="S51" s="430" t="str">
        <f>(CONCATENATE(IF(AND(sizing_w08_chosen="Included",sizing_w08_spr_chosen="Include"),VLOOKUP(input_wld_srm_vm_size,table_srm_cpu,2,FALSE),0)," CPUs :",IF(AND(sizing_w08_chosen="Included",sizing_w08_spr_chosen="Include"),VLOOKUP(input_wld_srm_vm_size,table_srm_ram,2,FALSE),0)," GB : ",IF(AND(sizing_w08_chosen="Included",sizing_w08_spr_chosen="Include"),VLOOKUP(input_wld_srm_vm_size,table_srm_disk,2,FALSE),0)," GB"))</f>
        <v>0 CPUs :0 GB : 0 GB</v>
      </c>
      <c r="T51" s="430"/>
      <c r="U51" s="123" t="s">
        <v>1918</v>
      </c>
      <c r="V51" s="430" t="str">
        <f>CONCATENATE(IF(AND(sizing_w08_chosen="Included",sizing_w08_avi_appliance_size&lt;&gt;"Excluded"),VLOOKUP(sizing_w08_avi_appliance_size,table_avi_lb_cpu,2,FALSE),0), " CPUs : ",IF(AND(sizing_w08_chosen="Included",sizing_w08_avi_appliance_size&lt;&gt;"Excluded"),VLOOKUP(sizing_w08_avi_appliance_size,table_avi_lb_ram,2,FALSE),0), " GB : ",IF(AND(sizing_w08_chosen="Included",sizing_w08_avi_appliance_size&lt;&gt;"Excluded"),VLOOKUP(sizing_w08_avi_appliance_size,table_avi_lb_disk,2,FALSE),0)," GB")</f>
        <v>0 CPUs : 0 GB : 0 GB</v>
      </c>
      <c r="W51" s="443"/>
      <c r="X51" s="66" t="s">
        <v>1918</v>
      </c>
      <c r="Y51" s="8" t="str">
        <f>CONCATENATE(
IF(AND(sizing_w08_ssp_chosen&lt;&gt;"Excluded",sizing_w08_ssp_chosen&lt;&gt;"Deployed in WLD"),VLOOKUP(sizing_w08_nsxt_appliance_size,table_ssp_cpu,2,FALSE),0)," CPUs : ",
IF(AND(sizing_w08_ssp_chosen&lt;&gt;"Excluded",sizing_w08_ssp_chosen&lt;&gt;"Deployed in WLD"),VLOOKUP(sizing_w08_nsxt_appliance_size,table_ssp_ram,2,FALSE),0), " GB : ",
IF(AND(sizing_w08_ssp_chosen&lt;&gt;"Excluded",sizing_w08_ssp_chosen&lt;&gt;"Deployed in WLD"),VLOOKUP(sizing_w08_nsxt_appliance_size,table_ssp_disk,2,FALSE),0)," GB")</f>
        <v>0 CPUs : 0 GB : 0 GB</v>
      </c>
      <c r="Z51" s="415" t="str">
        <f>IF(sizing_w08_chosen="Included",CONCATENATE("vCenter:",VLOOKUP(sizing_w08_vcenter_appliance_size,vcenter_sizing_limits,2,FALSE)," | NSX LM ",VLOOKUP(sizing_w08_nsxt_appliance_size,nsx_sizing_limits,2,FALSE)),"")</f>
        <v/>
      </c>
      <c r="AA51" s="416"/>
      <c r="AB51" s="416"/>
      <c r="AC51" s="416"/>
      <c r="AD51" s="417"/>
    </row>
    <row r="52" spans="2:30" ht="20" customHeight="1" x14ac:dyDescent="0.2">
      <c r="B52" s="26" t="s">
        <v>2939</v>
      </c>
      <c r="C52" s="139" t="s">
        <v>1918</v>
      </c>
      <c r="D52" s="137" t="s">
        <v>92</v>
      </c>
      <c r="E52" s="121" t="str">
        <f>CONCATENATE(IF(sizing_w09_chosen="Included",VLOOKUP(sizing_w09_vcenter_appliance_size,table_vcenter_appliance_cpu,2,FALSE),0)," CPUs ",": ",IF(sizing_w09_chosen="Included",VLOOKUP(sizing_w09_vcenter_appliance_size,table_vcenter_appliance_ram,2,FALSE),0)," GB")</f>
        <v>0 CPUs : 0 GB</v>
      </c>
      <c r="F52" s="137" t="s">
        <v>724</v>
      </c>
      <c r="G52" s="121" t="str">
        <f>CONCATENATE(IF(sizing_w09_chosen="Included",VLOOKUP(CONCATENATE(sizing_w09_vcenter_appliance_size,sizing_w09_vcenter_storage_size),table_vcenter_disk_gb,2,FALSE),0)," GB")</f>
        <v>0 GB</v>
      </c>
      <c r="H52" s="137" t="s">
        <v>2052</v>
      </c>
      <c r="I52" s="137" t="s">
        <v>639</v>
      </c>
      <c r="J52" s="476" t="str">
        <f>CONCATENATE(IF(AND(sizing_w09_chosen="Included",sizing_w09_nsxt_model&lt;&gt;"Shared"),VLOOKUP(sizing_w09_nsxt_appliance_size,table_nsxt_manager_cpu,2,FALSE),0)," CPUs : ",IF(AND(sizing_w09_chosen="Included",sizing_w09_nsxt_model&lt;&gt;"Shared"),VLOOKUP(sizing_w09_nsxt_appliance_size,table_nsxt_manager_ram,2,FALSE),0), " GB : ",IF(AND(sizing_w09_chosen="Included",sizing_w09_nsxt_model&lt;&gt;"Shared"),VLOOKUP(sizing_w09_nsxt_appliance_size,table_nsxt_manager_disk_gb,2,FALSE),0)," GB")</f>
        <v>0 CPUs : 0 GB : 0 GB</v>
      </c>
      <c r="K52" s="477"/>
      <c r="L52" s="123" t="s">
        <v>1918</v>
      </c>
      <c r="M52" s="66" t="s">
        <v>639</v>
      </c>
      <c r="N52" s="473" t="str">
        <f>CONCATENATE(IF(AND(sizing_w09_gm_chosen&lt;&gt;"Excluded",sizing_w09_gm_chosen&lt;&gt;"Connect Instance"),VLOOKUP(sizing_w09_nsxt_gm_appliance_size,table_nsxt_manager_cpu,2,FALSE),0)," CPUs : ",IF(AND(sizing_w09_gm_chosen&lt;&gt;"Excluded",sizing_w09_gm_chosen&lt;&gt;"Connect Instance"),VLOOKUP(sizing_w09_nsxt_gm_appliance_size,table_nsxt_manager_ram,2,FALSE),0)," GB : ",IF(AND(sizing_w09_gm_chosen&lt;&gt;"Excluded",sizing_w09_gm_chosen&lt;&gt;"Connect Instance"),VLOOKUP(sizing_w09_nsxt_gm_appliance_size,table_nsxt_manager_disk_gb,2,FALSE),0)," GB")</f>
        <v>0 CPUs : 0 GB : 0 GB</v>
      </c>
      <c r="O52" s="474"/>
      <c r="P52" s="474"/>
      <c r="Q52" s="475"/>
      <c r="R52" s="123" t="s">
        <v>13</v>
      </c>
      <c r="S52" s="430" t="str">
        <f>(CONCATENATE(IF(AND(sizing_w09_chosen="Included",sizing_w09_spr_chosen="Include"),VLOOKUP(input_wld_srm_vm_size,table_srm_cpu,2,FALSE),0)," CPUs :",IF(AND(sizing_w09_chosen="Included",sizing_w09_spr_chosen="Include"),VLOOKUP(input_wld_srm_vm_size,table_srm_ram,2,FALSE),0)," GB : ",IF(AND(sizing_w09_chosen="Included",sizing_w09_spr_chosen="Include"),VLOOKUP(input_wld_srm_vm_size,table_srm_disk,2,FALSE),0)," GB"))</f>
        <v>0 CPUs :0 GB : 0 GB</v>
      </c>
      <c r="T52" s="430"/>
      <c r="U52" s="123" t="s">
        <v>1918</v>
      </c>
      <c r="V52" s="430" t="str">
        <f>CONCATENATE(IF(AND(sizing_w09_chosen="Included",sizing_w09_avi_appliance_size&lt;&gt;"Excluded"),VLOOKUP(sizing_w09_avi_appliance_size,table_avi_lb_cpu,2,FALSE),0), " CPUs : ",IF(AND(sizing_w09_chosen="Included",sizing_w09_avi_appliance_size&lt;&gt;"Excluded"),VLOOKUP(sizing_w09_avi_appliance_size,table_avi_lb_ram,2,FALSE),0), " GB : ",IF(AND(sizing_w09_chosen="Included",sizing_w09_avi_appliance_size&lt;&gt;"Excluded"),VLOOKUP(sizing_w09_avi_appliance_size,table_avi_lb_disk,2,FALSE),0)," GB")</f>
        <v>0 CPUs : 0 GB : 0 GB</v>
      </c>
      <c r="W52" s="443"/>
      <c r="X52" s="66" t="s">
        <v>1918</v>
      </c>
      <c r="Y52" s="8" t="str">
        <f>CONCATENATE(
IF(AND(sizing_w09_ssp_chosen&lt;&gt;"Excluded",sizing_w09_ssp_chosen&lt;&gt;"Deployed in WLD"),VLOOKUP(sizing_w09_nsxt_appliance_size,table_ssp_cpu,2,FALSE),0)," CPUs : ",
IF(AND(sizing_w09_ssp_chosen&lt;&gt;"Excluded",sizing_w09_ssp_chosen&lt;&gt;"Deployed in WLD"),VLOOKUP(sizing_w09_nsxt_appliance_size,table_ssp_ram,2,FALSE),0), " GB : ",
IF(AND(sizing_w09_ssp_chosen&lt;&gt;"Excluded",sizing_w09_ssp_chosen&lt;&gt;"Deployed in WLD"),VLOOKUP(sizing_w09_nsxt_appliance_size,table_ssp_disk,2,FALSE),0)," GB")</f>
        <v>0 CPUs : 0 GB : 0 GB</v>
      </c>
      <c r="Z52" s="415" t="str">
        <f>IF(sizing_w09_chosen="Included",CONCATENATE("vCenter:",VLOOKUP(sizing_w09_vcenter_appliance_size,vcenter_sizing_limits,2,FALSE)," | NSX LM ",VLOOKUP(sizing_w09_nsxt_appliance_size,nsx_sizing_limits,2,FALSE)),"")</f>
        <v/>
      </c>
      <c r="AA52" s="416"/>
      <c r="AB52" s="416"/>
      <c r="AC52" s="416"/>
      <c r="AD52" s="417"/>
    </row>
    <row r="53" spans="2:30" ht="20" customHeight="1" x14ac:dyDescent="0.2">
      <c r="B53" s="26" t="s">
        <v>2940</v>
      </c>
      <c r="C53" s="139" t="s">
        <v>1918</v>
      </c>
      <c r="D53" s="137" t="s">
        <v>92</v>
      </c>
      <c r="E53" s="121" t="str">
        <f>CONCATENATE(IF(sizing_w10_chosen="Included",VLOOKUP(sizing_w10_vcenter_appliance_size,table_vcenter_appliance_cpu,2,FALSE),0)," CPUs ",": ",IF(sizing_w10_chosen="Included",VLOOKUP(sizing_w10_vcenter_appliance_size,table_vcenter_appliance_ram,2,FALSE),0)," GB")</f>
        <v>0 CPUs : 0 GB</v>
      </c>
      <c r="F53" s="137" t="s">
        <v>724</v>
      </c>
      <c r="G53" s="121" t="str">
        <f>CONCATENATE(IF(sizing_w10_chosen="Included",VLOOKUP(CONCATENATE(sizing_w10_vcenter_appliance_size,sizing_w10_vcenter_storage_size),table_vcenter_disk_gb,2,FALSE),0)," GB")</f>
        <v>0 GB</v>
      </c>
      <c r="H53" s="137" t="s">
        <v>2052</v>
      </c>
      <c r="I53" s="137" t="s">
        <v>639</v>
      </c>
      <c r="J53" s="476" t="str">
        <f>CONCATENATE(IF(AND(sizing_w10_chosen="Included",sizing_w10_nsxt_model&lt;&gt;"Shared"),VLOOKUP(sizing_w10_nsxt_appliance_size,table_nsxt_manager_cpu,2,FALSE),0)," CPUs : ",IF(AND(sizing_w10_chosen="Included",sizing_w10_nsxt_model&lt;&gt;"Shared"),VLOOKUP(sizing_w10_nsxt_appliance_size,table_nsxt_manager_ram,2,FALSE),0), " GB : ",IF(AND(sizing_w10_chosen="Included",sizing_w10_nsxt_model&lt;&gt;"Shared"),VLOOKUP(sizing_w10_nsxt_appliance_size,table_nsxt_manager_disk_gb,2,FALSE),0)," GB")</f>
        <v>0 CPUs : 0 GB : 0 GB</v>
      </c>
      <c r="K53" s="477"/>
      <c r="L53" s="123" t="s">
        <v>1918</v>
      </c>
      <c r="M53" s="66" t="s">
        <v>639</v>
      </c>
      <c r="N53" s="473" t="str">
        <f>CONCATENATE(IF(AND(sizing_w10_gm_chosen&lt;&gt;"Excluded",sizing_w10_gm_chosen&lt;&gt;"Connect Instance"),VLOOKUP(sizing_w10_nsxt_gm_appliance_size,table_nsxt_manager_cpu,2,FALSE),0)," CPUs : ",IF(AND(sizing_w10_gm_chosen&lt;&gt;"Excluded",sizing_w10_gm_chosen&lt;&gt;"Connect Instance"),VLOOKUP(sizing_w10_nsxt_gm_appliance_size,table_nsxt_manager_ram,2,FALSE),0)," GB : ",IF(AND(sizing_w10_gm_chosen&lt;&gt;"Excluded",sizing_w10_gm_chosen&lt;&gt;"Connect Instance"),VLOOKUP(sizing_w10_nsxt_gm_appliance_size,table_nsxt_manager_disk_gb,2,FALSE),0)," GB")</f>
        <v>0 CPUs : 0 GB : 0 GB</v>
      </c>
      <c r="O53" s="474"/>
      <c r="P53" s="474"/>
      <c r="Q53" s="475"/>
      <c r="R53" s="123" t="s">
        <v>13</v>
      </c>
      <c r="S53" s="430" t="str">
        <f>(CONCATENATE(IF(AND(sizing_w10_chosen="Included",sizing_w10_spr_chosen="Include"),VLOOKUP(input_wld_srm_vm_size,table_srm_cpu,2,FALSE),0)," CPUs :",IF(AND(sizing_w10_chosen="Included",sizing_w10_spr_chosen="Include"),VLOOKUP(input_wld_srm_vm_size,table_srm_ram,2,FALSE),0)," GB : ",IF(AND(sizing_w10_chosen="Included",sizing_w10_spr_chosen="Include"),VLOOKUP(input_wld_srm_vm_size,table_srm_disk,2,FALSE),0)," GB"))</f>
        <v>0 CPUs :0 GB : 0 GB</v>
      </c>
      <c r="T53" s="430"/>
      <c r="U53" s="123" t="s">
        <v>1918</v>
      </c>
      <c r="V53" s="430" t="str">
        <f>CONCATENATE(IF(AND(sizing_w10_chosen="Included",sizing_w10_avi_appliance_size&lt;&gt;"Excluded"),VLOOKUP(sizing_w10_avi_appliance_size,table_avi_lb_cpu,2,FALSE),0), " CPUs : ",IF(AND(sizing_w10_chosen="Included",sizing_w10_avi_appliance_size&lt;&gt;"Excluded"),VLOOKUP(sizing_w10_avi_appliance_size,table_avi_lb_ram,2,FALSE),0), " GB : ",IF(AND(sizing_w10_chosen="Included",sizing_w10_avi_appliance_size&lt;&gt;"Excluded"),VLOOKUP(sizing_w10_avi_appliance_size,table_avi_lb_disk,2,FALSE),0)," GB")</f>
        <v>0 CPUs : 0 GB : 0 GB</v>
      </c>
      <c r="W53" s="443"/>
      <c r="X53" s="66" t="s">
        <v>1918</v>
      </c>
      <c r="Y53" s="8" t="str">
        <f>CONCATENATE(
IF(AND(sizing_w10_ssp_chosen&lt;&gt;"Excluded",sizing_w10_ssp_chosen&lt;&gt;"Deployed in WLD"),VLOOKUP(sizing_w10_nsxt_appliance_size,table_ssp_cpu,2,FALSE),0)," CPUs : ",
IF(AND(sizing_w10_ssp_chosen&lt;&gt;"Excluded",sizing_w10_ssp_chosen&lt;&gt;"Deployed in WLD"),VLOOKUP(sizing_w10_nsxt_appliance_size,table_ssp_ram,2,FALSE),0), " GB : ",
IF(AND(sizing_w10_ssp_chosen&lt;&gt;"Excluded",sizing_w10_ssp_chosen&lt;&gt;"Deployed in WLD"),VLOOKUP(sizing_w10_nsxt_appliance_size,table_ssp_disk,2,FALSE),0)," GB")</f>
        <v>0 CPUs : 0 GB : 0 GB</v>
      </c>
      <c r="Z53" s="415" t="str">
        <f>IF(sizing_w10_chosen="Included",CONCATENATE("vCenter:",VLOOKUP(sizing_w10_vcenter_appliance_size,vcenter_sizing_limits,2,FALSE)," | NSX LM ",VLOOKUP(sizing_w10_nsxt_appliance_size,nsx_sizing_limits,2,FALSE)),"")</f>
        <v/>
      </c>
      <c r="AA53" s="416"/>
      <c r="AB53" s="416"/>
      <c r="AC53" s="416"/>
      <c r="AD53" s="417"/>
    </row>
    <row r="54" spans="2:30" ht="20" customHeight="1" x14ac:dyDescent="0.2">
      <c r="B54" s="26" t="s">
        <v>2941</v>
      </c>
      <c r="C54" s="139" t="s">
        <v>1918</v>
      </c>
      <c r="D54" s="137" t="s">
        <v>92</v>
      </c>
      <c r="E54" s="121" t="str">
        <f>CONCATENATE(IF(sizing_w11_chosen="Included",VLOOKUP(sizing_w11_vcenter_appliance_size,table_vcenter_appliance_cpu,2,FALSE),0)," CPUs ",": ",IF(sizing_w11_chosen="Included",VLOOKUP(sizing_w11_vcenter_appliance_size,table_vcenter_appliance_ram,2,FALSE),0)," GB")</f>
        <v>0 CPUs : 0 GB</v>
      </c>
      <c r="F54" s="137" t="s">
        <v>724</v>
      </c>
      <c r="G54" s="121" t="str">
        <f>CONCATENATE(IF(sizing_w11_chosen="Included",VLOOKUP(CONCATENATE(sizing_w11_vcenter_appliance_size,sizing_w11_vcenter_storage_size),table_vcenter_disk_gb,2,FALSE),0)," GB")</f>
        <v>0 GB</v>
      </c>
      <c r="H54" s="137" t="s">
        <v>2052</v>
      </c>
      <c r="I54" s="137" t="s">
        <v>639</v>
      </c>
      <c r="J54" s="476" t="str">
        <f>CONCATENATE(IF(AND(sizing_w11_chosen="Included",sizing_w11_nsxt_model&lt;&gt;"Shared"),VLOOKUP(sizing_w11_nsxt_appliance_size,table_nsxt_manager_cpu,2,FALSE),0)," CPUs : ",IF(AND(sizing_w11_chosen="Included",sizing_w11_nsxt_model&lt;&gt;"Shared"),VLOOKUP(sizing_w11_nsxt_appliance_size,table_nsxt_manager_ram,2,FALSE),0), " GB : ",IF(AND(sizing_w11_chosen="Included",sizing_w11_nsxt_model&lt;&gt;"Shared"),VLOOKUP(sizing_w11_nsxt_appliance_size,table_nsxt_manager_disk_gb,2,FALSE),0)," GB")</f>
        <v>0 CPUs : 0 GB : 0 GB</v>
      </c>
      <c r="K54" s="477"/>
      <c r="L54" s="123" t="s">
        <v>1918</v>
      </c>
      <c r="M54" s="66" t="s">
        <v>639</v>
      </c>
      <c r="N54" s="473" t="str">
        <f>CONCATENATE(IF(AND(sizing_w11_gm_chosen&lt;&gt;"Excluded",sizing_w11_gm_chosen&lt;&gt;"Connect Instance"),VLOOKUP(sizing_w11_nsxt_gm_appliance_size,table_nsxt_manager_cpu,2,FALSE),0)," CPUs : ",IF(AND(sizing_w11_gm_chosen&lt;&gt;"Excluded",sizing_w11_gm_chosen&lt;&gt;"Connect Instance"),VLOOKUP(sizing_w11_nsxt_gm_appliance_size,table_nsxt_manager_ram,2,FALSE),0)," GB : ",IF(AND(sizing_w11_gm_chosen&lt;&gt;"Excluded",sizing_w11_gm_chosen&lt;&gt;"Connect Instance"),VLOOKUP(sizing_w11_nsxt_gm_appliance_size,table_nsxt_manager_disk_gb,2,FALSE),0)," GB")</f>
        <v>0 CPUs : 0 GB : 0 GB</v>
      </c>
      <c r="O54" s="474"/>
      <c r="P54" s="474"/>
      <c r="Q54" s="475"/>
      <c r="R54" s="123" t="s">
        <v>13</v>
      </c>
      <c r="S54" s="430" t="str">
        <f>(CONCATENATE(IF(AND(sizing_w11_chosen="Included",sizing_w11_spr_chosen="Include"),VLOOKUP(input_wld_srm_vm_size,table_srm_cpu,2,FALSE),0)," CPUs :",IF(AND(sizing_w11_chosen="Included",sizing_w11_spr_chosen="Include"),VLOOKUP(input_wld_srm_vm_size,table_srm_ram,2,FALSE),0)," GB : ",IF(AND(sizing_w11_chosen="Included",sizing_w11_spr_chosen="Include"),VLOOKUP(input_wld_srm_vm_size,table_srm_disk,2,FALSE),0)," GB"))</f>
        <v>0 CPUs :0 GB : 0 GB</v>
      </c>
      <c r="T54" s="430"/>
      <c r="U54" s="123" t="s">
        <v>1918</v>
      </c>
      <c r="V54" s="430" t="str">
        <f>CONCATENATE(IF(AND(sizing_w11_chosen="Included",sizing_w11_avi_appliance_size&lt;&gt;"Excluded"),VLOOKUP(sizing_w11_avi_appliance_size,table_avi_lb_cpu,2,FALSE),0), " CPUs : ",IF(AND(sizing_w11_chosen="Included",sizing_w11_avi_appliance_size&lt;&gt;"Excluded"),VLOOKUP(sizing_w11_avi_appliance_size,table_avi_lb_ram,2,FALSE),0), " GB : ",IF(AND(sizing_w11_chosen="Included",sizing_w11_avi_appliance_size&lt;&gt;"Excluded"),VLOOKUP(sizing_w11_avi_appliance_size,table_avi_lb_disk,2,FALSE),0)," GB")</f>
        <v>0 CPUs : 0 GB : 0 GB</v>
      </c>
      <c r="W54" s="443"/>
      <c r="X54" s="66" t="s">
        <v>1918</v>
      </c>
      <c r="Y54" s="8" t="str">
        <f>CONCATENATE(
IF(AND(sizing_w11_ssp_chosen&lt;&gt;"Excluded",sizing_w11_ssp_chosen&lt;&gt;"Deployed in WLD"),VLOOKUP(sizing_w11_nsxt_appliance_size,table_ssp_cpu,2,FALSE),0)," CPUs : ",
IF(AND(sizing_w11_ssp_chosen&lt;&gt;"Excluded",sizing_w11_ssp_chosen&lt;&gt;"Deployed in WLD"),VLOOKUP(sizing_w11_nsxt_appliance_size,table_ssp_ram,2,FALSE),0), " GB : ",
IF(AND(sizing_w11_ssp_chosen&lt;&gt;"Excluded",sizing_w11_ssp_chosen&lt;&gt;"Deployed in WLD"),VLOOKUP(sizing_w11_nsxt_appliance_size,table_ssp_disk,2,FALSE),0)," GB")</f>
        <v>0 CPUs : 0 GB : 0 GB</v>
      </c>
      <c r="Z54" s="415" t="str">
        <f>IF(sizing_w11_chosen="Included",CONCATENATE("vCenter:",VLOOKUP(sizing_w11_vcenter_appliance_size,vcenter_sizing_limits,2,FALSE)," | NSX LM ",VLOOKUP(sizing_w11_nsxt_appliance_size,nsx_sizing_limits,2,FALSE)),"")</f>
        <v/>
      </c>
      <c r="AA54" s="416"/>
      <c r="AB54" s="416"/>
      <c r="AC54" s="416"/>
      <c r="AD54" s="417"/>
    </row>
    <row r="55" spans="2:30" ht="20" customHeight="1" x14ac:dyDescent="0.2">
      <c r="B55" s="26" t="s">
        <v>2942</v>
      </c>
      <c r="C55" s="139" t="s">
        <v>1918</v>
      </c>
      <c r="D55" s="137" t="s">
        <v>92</v>
      </c>
      <c r="E55" s="121" t="str">
        <f>CONCATENATE(IF(sizing_w12_chosen="Included",VLOOKUP(sizing_w12_vcenter_appliance_size,table_vcenter_appliance_cpu,2,FALSE),0)," CPUs ",": ",IF(sizing_w12_chosen="Included",VLOOKUP(sizing_w12_vcenter_appliance_size,table_vcenter_appliance_ram,2,FALSE),0)," GB")</f>
        <v>0 CPUs : 0 GB</v>
      </c>
      <c r="F55" s="137" t="s">
        <v>724</v>
      </c>
      <c r="G55" s="121" t="str">
        <f>CONCATENATE(IF(sizing_w12_chosen="Included",VLOOKUP(CONCATENATE(sizing_w12_vcenter_appliance_size,sizing_w12_vcenter_storage_size),table_vcenter_disk_gb,2,FALSE),0)," GB")</f>
        <v>0 GB</v>
      </c>
      <c r="H55" s="137" t="s">
        <v>2052</v>
      </c>
      <c r="I55" s="137" t="s">
        <v>639</v>
      </c>
      <c r="J55" s="476" t="str">
        <f>CONCATENATE(IF(AND(sizing_w12_chosen="Included",sizing_w12_nsxt_model&lt;&gt;"Shared"),VLOOKUP(sizing_w12_nsxt_appliance_size,table_nsxt_manager_cpu,2,FALSE),0)," CPUs : ",IF(AND(sizing_w12_chosen="Included",sizing_w12_nsxt_model&lt;&gt;"Shared"),VLOOKUP(sizing_w12_nsxt_appliance_size,table_nsxt_manager_ram,2,FALSE),0), " GB : ",IF(AND(sizing_w12_chosen="Included",sizing_w12_nsxt_model&lt;&gt;"Shared"),VLOOKUP(sizing_w12_nsxt_appliance_size,table_nsxt_manager_disk_gb,2,FALSE),0)," GB")</f>
        <v>0 CPUs : 0 GB : 0 GB</v>
      </c>
      <c r="K55" s="477"/>
      <c r="L55" s="123" t="s">
        <v>1918</v>
      </c>
      <c r="M55" s="66" t="s">
        <v>639</v>
      </c>
      <c r="N55" s="473" t="str">
        <f>CONCATENATE(IF(AND(sizing_w12_gm_chosen&lt;&gt;"Excluded",sizing_w12_gm_chosen&lt;&gt;"Connect Instance"),VLOOKUP(sizing_w12_nsxt_gm_appliance_size,table_nsxt_manager_cpu,2,FALSE),0)," CPUs : ",IF(AND(sizing_w12_gm_chosen&lt;&gt;"Excluded",sizing_w12_gm_chosen&lt;&gt;"Connect Instance"),VLOOKUP(sizing_w12_nsxt_gm_appliance_size,table_nsxt_manager_ram,2,FALSE),0)," GB : ",IF(AND(sizing_w12_gm_chosen&lt;&gt;"Excluded",sizing_w12_gm_chosen&lt;&gt;"Connect Instance"),VLOOKUP(sizing_w12_nsxt_gm_appliance_size,table_nsxt_manager_disk_gb,2,FALSE),0)," GB")</f>
        <v>0 CPUs : 0 GB : 0 GB</v>
      </c>
      <c r="O55" s="474"/>
      <c r="P55" s="474"/>
      <c r="Q55" s="475"/>
      <c r="R55" s="123" t="s">
        <v>13</v>
      </c>
      <c r="S55" s="430" t="str">
        <f>(CONCATENATE(IF(AND(sizing_w12_chosen="Included",sizing_w12_spr_chosen="Include"),VLOOKUP(input_wld_srm_vm_size,table_srm_cpu,2,FALSE),0)," CPUs :",IF(AND(sizing_w12_chosen="Included",sizing_w12_spr_chosen="Include"),VLOOKUP(input_wld_srm_vm_size,table_srm_ram,2,FALSE),0)," GB : ",IF(AND(sizing_w12_chosen="Included",sizing_w12_spr_chosen="Include"),VLOOKUP(input_wld_srm_vm_size,table_srm_disk,2,FALSE),0)," GB"))</f>
        <v>0 CPUs :0 GB : 0 GB</v>
      </c>
      <c r="T55" s="430"/>
      <c r="U55" s="123" t="s">
        <v>1918</v>
      </c>
      <c r="V55" s="430" t="str">
        <f>CONCATENATE(IF(AND(sizing_w12_chosen="Included",sizing_w12_avi_appliance_size&lt;&gt;"Excluded"),VLOOKUP(sizing_w12_avi_appliance_size,table_avi_lb_cpu,2,FALSE),0), " CPUs : ",IF(AND(sizing_w12_chosen="Included",sizing_w12_avi_appliance_size&lt;&gt;"Excluded"),VLOOKUP(sizing_w12_avi_appliance_size,table_avi_lb_ram,2,FALSE),0), " GB : ",IF(AND(sizing_w12_chosen="Included",sizing_w12_avi_appliance_size&lt;&gt;"Excluded"),VLOOKUP(sizing_w12_avi_appliance_size,table_avi_lb_disk,2,FALSE),0)," GB")</f>
        <v>0 CPUs : 0 GB : 0 GB</v>
      </c>
      <c r="W55" s="443"/>
      <c r="X55" s="66" t="s">
        <v>1918</v>
      </c>
      <c r="Y55" s="8" t="str">
        <f>CONCATENATE(
IF(AND(sizing_w12_ssp_chosen&lt;&gt;"Excluded",sizing_w12_ssp_chosen&lt;&gt;"Deployed in WLD"),VLOOKUP(sizing_w12_nsxt_appliance_size,table_ssp_cpu,2,FALSE),0)," CPUs : ",
IF(AND(sizing_w12_ssp_chosen&lt;&gt;"Excluded",sizing_w12_ssp_chosen&lt;&gt;"Deployed in WLD"),VLOOKUP(sizing_w12_nsxt_appliance_size,table_ssp_ram,2,FALSE),0), " GB : ",
IF(AND(sizing_w12_ssp_chosen&lt;&gt;"Excluded",sizing_w12_ssp_chosen&lt;&gt;"Deployed in WLD"),VLOOKUP(sizing_w12_nsxt_appliance_size,table_ssp_disk,2,FALSE),0)," GB")</f>
        <v>0 CPUs : 0 GB : 0 GB</v>
      </c>
      <c r="Z55" s="415" t="str">
        <f>IF(sizing_w12_chosen="Included",CONCATENATE("vCenter:",VLOOKUP(sizing_w12_vcenter_appliance_size,vcenter_sizing_limits,2,FALSE)," | NSX LM ",VLOOKUP(sizing_w12_nsxt_appliance_size,nsx_sizing_limits,2,FALSE)),"")</f>
        <v/>
      </c>
      <c r="AA55" s="416"/>
      <c r="AB55" s="416"/>
      <c r="AC55" s="416"/>
      <c r="AD55" s="417"/>
    </row>
    <row r="56" spans="2:30" ht="20" customHeight="1" x14ac:dyDescent="0.2">
      <c r="B56" s="26" t="s">
        <v>2943</v>
      </c>
      <c r="C56" s="139" t="s">
        <v>1918</v>
      </c>
      <c r="D56" s="137" t="s">
        <v>92</v>
      </c>
      <c r="E56" s="121" t="str">
        <f>CONCATENATE(IF(sizing_w13_chosen="Included",VLOOKUP(sizing_w13_vcenter_appliance_size,table_vcenter_appliance_cpu,2,FALSE),0)," CPUs ",": ",IF(sizing_w13_chosen="Included",VLOOKUP(sizing_w13_vcenter_appliance_size,table_vcenter_appliance_ram,2,FALSE),0)," GB")</f>
        <v>0 CPUs : 0 GB</v>
      </c>
      <c r="F56" s="137" t="s">
        <v>724</v>
      </c>
      <c r="G56" s="121" t="str">
        <f>CONCATENATE(IF(sizing_w13_chosen="Included",VLOOKUP(CONCATENATE(sizing_w13_vcenter_appliance_size,sizing_w13_vcenter_storage_size),table_vcenter_disk_gb,2,FALSE),0)," GB")</f>
        <v>0 GB</v>
      </c>
      <c r="H56" s="137" t="s">
        <v>2052</v>
      </c>
      <c r="I56" s="137" t="s">
        <v>639</v>
      </c>
      <c r="J56" s="476" t="str">
        <f>CONCATENATE(IF(AND(sizing_w13_chosen="Included",sizing_w13_nsxt_model&lt;&gt;"Shared"),VLOOKUP(sizing_w13_nsxt_appliance_size,table_nsxt_manager_cpu,2,FALSE),0)," CPUs : ",IF(AND(sizing_w13_chosen="Included",sizing_w13_nsxt_model&lt;&gt;"Shared"),VLOOKUP(sizing_w13_nsxt_appliance_size,table_nsxt_manager_ram,2,FALSE),0), " GB : ",IF(AND(sizing_w13_chosen="Included",sizing_w13_nsxt_model&lt;&gt;"Shared"),VLOOKUP(sizing_w13_nsxt_appliance_size,table_nsxt_manager_disk_gb,2,FALSE),0)," GB")</f>
        <v>0 CPUs : 0 GB : 0 GB</v>
      </c>
      <c r="K56" s="477"/>
      <c r="L56" s="123" t="s">
        <v>1918</v>
      </c>
      <c r="M56" s="66" t="s">
        <v>639</v>
      </c>
      <c r="N56" s="473" t="str">
        <f>CONCATENATE(IF(AND(sizing_w13_gm_chosen&lt;&gt;"Excluded",sizing_w13_gm_chosen&lt;&gt;"Connect Instance"),VLOOKUP(sizing_w13_nsxt_gm_appliance_size,table_nsxt_manager_cpu,2,FALSE),0)," CPUs : ",IF(AND(sizing_w13_gm_chosen&lt;&gt;"Excluded",sizing_w13_gm_chosen&lt;&gt;"Connect Instance"),VLOOKUP(sizing_w13_nsxt_gm_appliance_size,table_nsxt_manager_ram,2,FALSE),0)," GB : ",IF(AND(sizing_w13_gm_chosen&lt;&gt;"Excluded",sizing_w13_gm_chosen&lt;&gt;"Connect Instance"),VLOOKUP(sizing_w13_nsxt_gm_appliance_size,table_nsxt_manager_disk_gb,2,FALSE),0)," GB")</f>
        <v>0 CPUs : 0 GB : 0 GB</v>
      </c>
      <c r="O56" s="474"/>
      <c r="P56" s="474"/>
      <c r="Q56" s="475"/>
      <c r="R56" s="123" t="s">
        <v>13</v>
      </c>
      <c r="S56" s="430" t="str">
        <f>(CONCATENATE(IF(AND(sizing_w13_chosen="Included",sizing_w13_spr_chosen="Include"),VLOOKUP(input_wld_srm_vm_size,table_srm_cpu,2,FALSE),0)," CPUs :",IF(AND(sizing_w13_chosen="Included",sizing_w13_spr_chosen="Include"),VLOOKUP(input_wld_srm_vm_size,table_srm_ram,2,FALSE),0)," GB : ",IF(AND(sizing_w13_chosen="Included",sizing_w13_spr_chosen="Include"),VLOOKUP(input_wld_srm_vm_size,table_srm_disk,2,FALSE),0)," GB"))</f>
        <v>0 CPUs :0 GB : 0 GB</v>
      </c>
      <c r="T56" s="430"/>
      <c r="U56" s="123" t="s">
        <v>1918</v>
      </c>
      <c r="V56" s="430" t="str">
        <f>CONCATENATE(IF(AND(sizing_w13_chosen="Included",sizing_w13_avi_appliance_size&lt;&gt;"Excluded"),VLOOKUP(sizing_w13_avi_appliance_size,table_avi_lb_cpu,2,FALSE),0), " CPUs : ",IF(AND(sizing_w13_chosen="Included",sizing_w13_avi_appliance_size&lt;&gt;"Excluded"),VLOOKUP(sizing_w13_avi_appliance_size,table_avi_lb_ram,2,FALSE),0), " GB : ",IF(AND(sizing_w13_chosen="Included",sizing_w13_avi_appliance_size&lt;&gt;"Excluded"),VLOOKUP(sizing_w13_avi_appliance_size,table_avi_lb_disk,2,FALSE),0)," GB")</f>
        <v>0 CPUs : 0 GB : 0 GB</v>
      </c>
      <c r="W56" s="443"/>
      <c r="X56" s="66" t="s">
        <v>1918</v>
      </c>
      <c r="Y56" s="8" t="str">
        <f>CONCATENATE(
IF(AND(sizing_w13_ssp_chosen&lt;&gt;"Excluded",sizing_w13_ssp_chosen&lt;&gt;"Deployed in WLD"),VLOOKUP(sizing_w13_nsxt_appliance_size,table_ssp_cpu,2,FALSE),0)," CPUs : ",
IF(AND(sizing_w13_ssp_chosen&lt;&gt;"Excluded",sizing_w13_ssp_chosen&lt;&gt;"Deployed in WLD"),VLOOKUP(sizing_w13_nsxt_appliance_size,table_ssp_ram,2,FALSE),0), " GB : ",
IF(AND(sizing_w13_ssp_chosen&lt;&gt;"Excluded",sizing_w13_ssp_chosen&lt;&gt;"Deployed in WLD"),VLOOKUP(sizing_w13_nsxt_appliance_size,table_ssp_disk,2,FALSE),0)," GB")</f>
        <v>0 CPUs : 0 GB : 0 GB</v>
      </c>
      <c r="Z56" s="415" t="str">
        <f>IF(sizing_w13_chosen="Included",CONCATENATE("vCenter:",VLOOKUP(sizing_w13_vcenter_appliance_size,vcenter_sizing_limits,2,FALSE)," | NSX LM ",VLOOKUP(sizing_w13_nsxt_appliance_size,nsx_sizing_limits,2,FALSE)),"")</f>
        <v/>
      </c>
      <c r="AA56" s="416"/>
      <c r="AB56" s="416"/>
      <c r="AC56" s="416"/>
      <c r="AD56" s="417"/>
    </row>
    <row r="57" spans="2:30" ht="20" customHeight="1" x14ac:dyDescent="0.2">
      <c r="B57" s="26" t="s">
        <v>2944</v>
      </c>
      <c r="C57" s="139" t="s">
        <v>1918</v>
      </c>
      <c r="D57" s="137" t="s">
        <v>92</v>
      </c>
      <c r="E57" s="121" t="str">
        <f>CONCATENATE(IF(sizing_w14_chosen="Included",VLOOKUP(sizing_w14_vcenter_appliance_size,table_vcenter_appliance_cpu,2,FALSE),0)," CPUs ",": ",IF(sizing_w14_chosen="Included",VLOOKUP(sizing_w14_vcenter_appliance_size,table_vcenter_appliance_ram,2,FALSE),0)," GB")</f>
        <v>0 CPUs : 0 GB</v>
      </c>
      <c r="F57" s="137" t="s">
        <v>724</v>
      </c>
      <c r="G57" s="121" t="str">
        <f>CONCATENATE(IF(sizing_w14_chosen="Included",VLOOKUP(CONCATENATE(sizing_w14_vcenter_appliance_size,sizing_w14_vcenter_storage_size),table_vcenter_disk_gb,2,FALSE),0)," GB")</f>
        <v>0 GB</v>
      </c>
      <c r="H57" s="137" t="s">
        <v>2052</v>
      </c>
      <c r="I57" s="137" t="s">
        <v>639</v>
      </c>
      <c r="J57" s="476" t="str">
        <f>CONCATENATE(IF(AND(sizing_w14_chosen="Included",sizing_w14_nsxt_model&lt;&gt;"Shared"),VLOOKUP(sizing_w14_nsxt_appliance_size,table_nsxt_manager_cpu,2,FALSE),0)," CPUs : ",IF(AND(sizing_w14_chosen="Included",sizing_w14_nsxt_model&lt;&gt;"Shared"),VLOOKUP(sizing_w14_nsxt_appliance_size,table_nsxt_manager_ram,2,FALSE),0), " GB : ",IF(AND(sizing_w14_chosen="Included",sizing_w14_nsxt_model&lt;&gt;"Shared"),VLOOKUP(sizing_w14_nsxt_appliance_size,table_nsxt_manager_disk_gb,2,FALSE),0)," GB")</f>
        <v>0 CPUs : 0 GB : 0 GB</v>
      </c>
      <c r="K57" s="477"/>
      <c r="L57" s="123" t="s">
        <v>1918</v>
      </c>
      <c r="M57" s="66" t="s">
        <v>639</v>
      </c>
      <c r="N57" s="473" t="str">
        <f>CONCATENATE(IF(AND(sizing_w14_gm_chosen&lt;&gt;"Excluded",sizing_w14_gm_chosen&lt;&gt;"Connect Instance"),VLOOKUP(sizing_w14_nsxt_gm_appliance_size,table_nsxt_manager_cpu,2,FALSE),0)," CPUs : ",IF(AND(sizing_w14_gm_chosen&lt;&gt;"Excluded",sizing_w14_gm_chosen&lt;&gt;"Connect Instance"),VLOOKUP(sizing_w14_nsxt_gm_appliance_size,table_nsxt_manager_ram,2,FALSE),0)," GB : ",IF(AND(sizing_w14_gm_chosen&lt;&gt;"Excluded",sizing_w14_gm_chosen&lt;&gt;"Connect Instance"),VLOOKUP(sizing_w14_nsxt_gm_appliance_size,table_nsxt_manager_disk_gb,2,FALSE),0)," GB")</f>
        <v>0 CPUs : 0 GB : 0 GB</v>
      </c>
      <c r="O57" s="474"/>
      <c r="P57" s="474"/>
      <c r="Q57" s="475"/>
      <c r="R57" s="123" t="s">
        <v>13</v>
      </c>
      <c r="S57" s="430" t="str">
        <f>(CONCATENATE(IF(AND(sizing_w14_chosen="Included",sizing_w14_spr_chosen="Include"),VLOOKUP(input_wld_srm_vm_size,table_srm_cpu,2,FALSE),0)," CPUs :",IF(AND(sizing_w14_chosen="Included",sizing_w14_spr_chosen="Include"),VLOOKUP(input_wld_srm_vm_size,table_srm_ram,2,FALSE),0)," GB : ",IF(AND(sizing_w14_chosen="Included",sizing_w14_spr_chosen="Include"),VLOOKUP(input_wld_srm_vm_size,table_srm_disk,2,FALSE),0)," GB"))</f>
        <v>0 CPUs :0 GB : 0 GB</v>
      </c>
      <c r="T57" s="430"/>
      <c r="U57" s="123" t="s">
        <v>1918</v>
      </c>
      <c r="V57" s="430" t="str">
        <f>CONCATENATE(IF(AND(sizing_w14_chosen="Included",sizing_w14_avi_appliance_size&lt;&gt;"Excluded"),VLOOKUP(sizing_w14_avi_appliance_size,table_avi_lb_cpu,2,FALSE),0), " CPUs : ",IF(AND(sizing_w14_chosen="Included",sizing_w14_avi_appliance_size&lt;&gt;"Excluded"),VLOOKUP(sizing_w14_avi_appliance_size,table_avi_lb_ram,2,FALSE),0), " GB : ",IF(AND(sizing_w14_chosen="Included",sizing_w14_avi_appliance_size&lt;&gt;"Excluded"),VLOOKUP(sizing_w14_avi_appliance_size,table_avi_lb_disk,2,FALSE),0)," GB")</f>
        <v>0 CPUs : 0 GB : 0 GB</v>
      </c>
      <c r="W57" s="443"/>
      <c r="X57" s="66" t="s">
        <v>1918</v>
      </c>
      <c r="Y57" s="8" t="str">
        <f>CONCATENATE(
IF(AND(sizing_w14_ssp_chosen&lt;&gt;"Excluded",sizing_w14_ssp_chosen&lt;&gt;"Deployed in WLD"),VLOOKUP(sizing_w14_nsxt_appliance_size,table_ssp_cpu,2,FALSE),0)," CPUs : ",
IF(AND(sizing_w14_ssp_chosen&lt;&gt;"Excluded",sizing_w14_ssp_chosen&lt;&gt;"Deployed in WLD"),VLOOKUP(sizing_w14_nsxt_appliance_size,table_ssp_ram,2,FALSE),0), " GB : ",
IF(AND(sizing_w14_ssp_chosen&lt;&gt;"Excluded",sizing_w14_ssp_chosen&lt;&gt;"Deployed in WLD"),VLOOKUP(sizing_w14_nsxt_appliance_size,table_ssp_disk,2,FALSE),0)," GB")</f>
        <v>0 CPUs : 0 GB : 0 GB</v>
      </c>
      <c r="Z57" s="415" t="str">
        <f>IF(sizing_w14_chosen="Included",CONCATENATE("vCenter:",VLOOKUP(sizing_w14_vcenter_appliance_size,vcenter_sizing_limits,2,FALSE)," | NSX LM ",VLOOKUP(sizing_w14_nsxt_appliance_size,nsx_sizing_limits,2,FALSE)),"")</f>
        <v/>
      </c>
      <c r="AA57" s="416"/>
      <c r="AB57" s="416"/>
      <c r="AC57" s="416"/>
      <c r="AD57" s="417"/>
    </row>
    <row r="58" spans="2:30" ht="20" customHeight="1" x14ac:dyDescent="0.2">
      <c r="B58" s="26" t="s">
        <v>2945</v>
      </c>
      <c r="C58" s="139" t="s">
        <v>1918</v>
      </c>
      <c r="D58" s="137" t="s">
        <v>92</v>
      </c>
      <c r="E58" s="121" t="str">
        <f>CONCATENATE(IF(sizing_w15_chosen="Included",VLOOKUP(sizing_w15_vcenter_appliance_size,table_vcenter_appliance_cpu,2,FALSE),0)," CPUs ",": ",IF(sizing_w15_chosen="Included",VLOOKUP(sizing_w15_vcenter_appliance_size,table_vcenter_appliance_ram,2,FALSE),0)," GB")</f>
        <v>0 CPUs : 0 GB</v>
      </c>
      <c r="F58" s="137" t="s">
        <v>724</v>
      </c>
      <c r="G58" s="121" t="str">
        <f>CONCATENATE(IF(sizing_w15_chosen="Included",VLOOKUP(CONCATENATE(sizing_w15_vcenter_appliance_size,sizing_w15_vcenter_storage_size),table_vcenter_disk_gb,2,FALSE),0)," GB")</f>
        <v>0 GB</v>
      </c>
      <c r="H58" s="137" t="s">
        <v>2052</v>
      </c>
      <c r="I58" s="137" t="s">
        <v>639</v>
      </c>
      <c r="J58" s="476" t="str">
        <f>CONCATENATE(IF(AND(sizing_w15_chosen="Included",sizing_w15_nsxt_model&lt;&gt;"Shared"),VLOOKUP(sizing_w15_nsxt_appliance_size,table_nsxt_manager_cpu,2,FALSE),0)," CPUs : ",IF(AND(sizing_w15_chosen="Included",sizing_w15_nsxt_model&lt;&gt;"Shared"),VLOOKUP(sizing_w15_nsxt_appliance_size,table_nsxt_manager_ram,2,FALSE),0), " GB : ",IF(AND(sizing_w15_chosen="Included",sizing_w15_nsxt_model&lt;&gt;"Shared"),VLOOKUP(sizing_w15_nsxt_appliance_size,table_nsxt_manager_disk_gb,2,FALSE),0)," GB")</f>
        <v>0 CPUs : 0 GB : 0 GB</v>
      </c>
      <c r="K58" s="477"/>
      <c r="L58" s="123" t="s">
        <v>1918</v>
      </c>
      <c r="M58" s="66" t="s">
        <v>639</v>
      </c>
      <c r="N58" s="473" t="str">
        <f>CONCATENATE(IF(AND(sizing_w15_gm_chosen&lt;&gt;"Excluded",sizing_w15_gm_chosen&lt;&gt;"Connect Instance"),VLOOKUP(sizing_w15_nsxt_gm_appliance_size,table_nsxt_manager_cpu,2,FALSE),0)," CPUs : ",IF(AND(sizing_w15_gm_chosen&lt;&gt;"Excluded",sizing_w15_gm_chosen&lt;&gt;"Connect Instance"),VLOOKUP(sizing_w15_nsxt_gm_appliance_size,table_nsxt_manager_ram,2,FALSE),0)," GB : ",IF(AND(sizing_w15_gm_chosen&lt;&gt;"Excluded",sizing_w15_gm_chosen&lt;&gt;"Connect Instance"),VLOOKUP(sizing_w15_nsxt_gm_appliance_size,table_nsxt_manager_disk_gb,2,FALSE),0)," GB")</f>
        <v>0 CPUs : 0 GB : 0 GB</v>
      </c>
      <c r="O58" s="474"/>
      <c r="P58" s="474"/>
      <c r="Q58" s="475"/>
      <c r="R58" s="123" t="s">
        <v>13</v>
      </c>
      <c r="S58" s="430" t="str">
        <f>(CONCATENATE(IF(AND(sizing_w15_chosen="Included",sizing_w15_spr_chosen="Include"),VLOOKUP(input_wld_srm_vm_size,table_srm_cpu,2,FALSE),0)," CPUs :",IF(AND(sizing_w15_chosen="Included",sizing_w15_spr_chosen="Include"),VLOOKUP(input_wld_srm_vm_size,table_srm_ram,2,FALSE),0)," GB : ",IF(AND(sizing_w15_chosen="Included",sizing_w15_spr_chosen="Include"),VLOOKUP(input_wld_srm_vm_size,table_srm_disk,2,FALSE),0)," GB"))</f>
        <v>0 CPUs :0 GB : 0 GB</v>
      </c>
      <c r="T58" s="430"/>
      <c r="U58" s="123" t="s">
        <v>1918</v>
      </c>
      <c r="V58" s="430" t="str">
        <f>CONCATENATE(IF(AND(sizing_w15_chosen="Included",sizing_w15_avi_appliance_size&lt;&gt;"Excluded"),VLOOKUP(sizing_w15_avi_appliance_size,table_avi_lb_cpu,2,FALSE),0), " CPUs : ",IF(AND(sizing_w15_chosen="Included",sizing_w15_avi_appliance_size&lt;&gt;"Excluded"),VLOOKUP(sizing_w15_avi_appliance_size,table_avi_lb_ram,2,FALSE),0), " GB : ",IF(AND(sizing_w15_chosen="Included",sizing_w15_avi_appliance_size&lt;&gt;"Excluded"),VLOOKUP(sizing_w15_avi_appliance_size,table_avi_lb_disk,2,FALSE),0)," GB")</f>
        <v>0 CPUs : 0 GB : 0 GB</v>
      </c>
      <c r="W58" s="443"/>
      <c r="X58" s="66" t="s">
        <v>1918</v>
      </c>
      <c r="Y58" s="8" t="str">
        <f>CONCATENATE(
IF(AND(sizing_w15_ssp_chosen&lt;&gt;"Excluded",sizing_w15_ssp_chosen&lt;&gt;"Deployed in WLD"),VLOOKUP(sizing_w15_nsxt_appliance_size,table_ssp_cpu,2,FALSE),0)," CPUs : ",
IF(AND(sizing_w15_ssp_chosen&lt;&gt;"Excluded",sizing_w15_ssp_chosen&lt;&gt;"Deployed in WLD"),VLOOKUP(sizing_w15_nsxt_appliance_size,table_ssp_ram,2,FALSE),0), " GB : ",
IF(AND(sizing_w15_ssp_chosen&lt;&gt;"Excluded",sizing_w15_ssp_chosen&lt;&gt;"Deployed in WLD"),VLOOKUP(sizing_w15_nsxt_appliance_size,table_ssp_disk,2,FALSE),0)," GB")</f>
        <v>0 CPUs : 0 GB : 0 GB</v>
      </c>
      <c r="Z58" s="415" t="str">
        <f>IF(sizing_w15_chosen="Included",CONCATENATE("vCenter:",VLOOKUP(sizing_w15_vcenter_appliance_size,vcenter_sizing_limits,2,FALSE)," | NSX LM ",VLOOKUP(sizing_w15_nsxt_appliance_size,nsx_sizing_limits,2,FALSE)),"")</f>
        <v/>
      </c>
      <c r="AA58" s="416"/>
      <c r="AB58" s="416"/>
      <c r="AC58" s="416"/>
      <c r="AD58" s="417"/>
    </row>
    <row r="59" spans="2:30" ht="20" customHeight="1" x14ac:dyDescent="0.2">
      <c r="B59" s="26" t="s">
        <v>2946</v>
      </c>
      <c r="C59" s="139" t="s">
        <v>1918</v>
      </c>
      <c r="D59" s="137" t="s">
        <v>92</v>
      </c>
      <c r="E59" s="121" t="str">
        <f>CONCATENATE(IF(sizing_w16_chosen="Included",VLOOKUP(sizing_w16_vcenter_appliance_size,table_vcenter_appliance_cpu,2,FALSE),0)," CPUs ",": ",IF(sizing_w16_chosen="Included",VLOOKUP(sizing_w16_vcenter_appliance_size,table_vcenter_appliance_ram,2,FALSE),0)," GB")</f>
        <v>0 CPUs : 0 GB</v>
      </c>
      <c r="F59" s="137" t="s">
        <v>724</v>
      </c>
      <c r="G59" s="121" t="str">
        <f>CONCATENATE(IF(sizing_w16_chosen="Included",VLOOKUP(CONCATENATE(sizing_w16_vcenter_appliance_size,sizing_w16_vcenter_storage_size),table_vcenter_disk_gb,2,FALSE),0)," GB")</f>
        <v>0 GB</v>
      </c>
      <c r="H59" s="137" t="s">
        <v>2052</v>
      </c>
      <c r="I59" s="137" t="s">
        <v>639</v>
      </c>
      <c r="J59" s="476" t="str">
        <f>CONCATENATE(IF(AND(sizing_w16_chosen="Included",sizing_w16_nsxt_model&lt;&gt;"Shared"),VLOOKUP(sizing_w16_nsxt_appliance_size,table_nsxt_manager_cpu,2,FALSE),0)," CPUs : ",IF(AND(sizing_w16_chosen="Included",sizing_w16_nsxt_model&lt;&gt;"Shared"),VLOOKUP(sizing_w16_nsxt_appliance_size,table_nsxt_manager_ram,2,FALSE),0), " GB : ",IF(AND(sizing_w16_chosen="Included",sizing_w16_nsxt_model&lt;&gt;"Shared"),VLOOKUP(sizing_w16_nsxt_appliance_size,table_nsxt_manager_disk_gb,2,FALSE),0)," GB")</f>
        <v>0 CPUs : 0 GB : 0 GB</v>
      </c>
      <c r="K59" s="477"/>
      <c r="L59" s="123" t="s">
        <v>1918</v>
      </c>
      <c r="M59" s="66" t="s">
        <v>639</v>
      </c>
      <c r="N59" s="473" t="str">
        <f>CONCATENATE(IF(AND(sizing_w16_gm_chosen&lt;&gt;"Excluded",sizing_w16_gm_chosen&lt;&gt;"Connect Instance"),VLOOKUP(sizing_w16_nsxt_gm_appliance_size,table_nsxt_manager_cpu,2,FALSE),0)," CPUs : ",IF(AND(sizing_w16_gm_chosen&lt;&gt;"Excluded",sizing_w16_gm_chosen&lt;&gt;"Connect Instance"),VLOOKUP(sizing_w16_nsxt_gm_appliance_size,table_nsxt_manager_ram,2,FALSE),0)," GB : ",IF(AND(sizing_w16_gm_chosen&lt;&gt;"Excluded",sizing_w16_gm_chosen&lt;&gt;"Connect Instance"),VLOOKUP(sizing_w16_nsxt_gm_appliance_size,table_nsxt_manager_disk_gb,2,FALSE),0)," GB")</f>
        <v>0 CPUs : 0 GB : 0 GB</v>
      </c>
      <c r="O59" s="474"/>
      <c r="P59" s="474"/>
      <c r="Q59" s="475"/>
      <c r="R59" s="123" t="s">
        <v>13</v>
      </c>
      <c r="S59" s="430" t="str">
        <f>(CONCATENATE(IF(AND(sizing_w16_chosen="Included",sizing_w16_spr_chosen="Include"),VLOOKUP(input_wld_srm_vm_size,table_srm_cpu,2,FALSE),0)," CPUs :",IF(AND(sizing_w16_chosen="Included",sizing_w16_spr_chosen="Include"),VLOOKUP(input_wld_srm_vm_size,table_srm_ram,2,FALSE),0)," GB : ",IF(AND(sizing_w16_chosen="Included",sizing_w16_spr_chosen="Include"),VLOOKUP(input_wld_srm_vm_size,table_srm_disk,2,FALSE),0)," GB"))</f>
        <v>0 CPUs :0 GB : 0 GB</v>
      </c>
      <c r="T59" s="430"/>
      <c r="U59" s="123" t="s">
        <v>1918</v>
      </c>
      <c r="V59" s="430" t="str">
        <f>CONCATENATE(IF(AND(sizing_w16_chosen="Included",sizing_w16_avi_appliance_size&lt;&gt;"Excluded"),VLOOKUP(sizing_w16_avi_appliance_size,table_avi_lb_cpu,2,FALSE),0), " CPUs : ",IF(AND(sizing_w16_chosen="Included",sizing_w16_avi_appliance_size&lt;&gt;"Excluded"),VLOOKUP(sizing_w16_avi_appliance_size,table_avi_lb_ram,2,FALSE),0), " GB : ",IF(AND(sizing_w16_chosen="Included",sizing_w16_avi_appliance_size&lt;&gt;"Excluded"),VLOOKUP(sizing_w16_avi_appliance_size,table_avi_lb_disk,2,FALSE),0)," GB")</f>
        <v>0 CPUs : 0 GB : 0 GB</v>
      </c>
      <c r="W59" s="443"/>
      <c r="X59" s="66" t="s">
        <v>1918</v>
      </c>
      <c r="Y59" s="8" t="str">
        <f>CONCATENATE(
IF(AND(sizing_w16_ssp_chosen&lt;&gt;"Excluded",sizing_w16_ssp_chosen&lt;&gt;"Deployed in WLD"),VLOOKUP(sizing_w16_nsxt_appliance_size,table_ssp_cpu,2,FALSE),0)," CPUs : ",
IF(AND(sizing_w16_ssp_chosen&lt;&gt;"Excluded",sizing_w16_ssp_chosen&lt;&gt;"Deployed in WLD"),VLOOKUP(sizing_w16_nsxt_appliance_size,table_ssp_ram,2,FALSE),0), " GB : ",
IF(AND(sizing_w16_ssp_chosen&lt;&gt;"Excluded",sizing_w16_ssp_chosen&lt;&gt;"Deployed in WLD"),VLOOKUP(sizing_w16_nsxt_appliance_size,table_ssp_disk,2,FALSE),0)," GB")</f>
        <v>0 CPUs : 0 GB : 0 GB</v>
      </c>
      <c r="Z59" s="415" t="str">
        <f>IF(sizing_w16_chosen="Included",CONCATENATE("vCenter:",VLOOKUP(sizing_w16_vcenter_appliance_size,vcenter_sizing_limits,2,FALSE)," | NSX LM ",VLOOKUP(sizing_w16_nsxt_appliance_size,nsx_sizing_limits,2,FALSE)),"")</f>
        <v/>
      </c>
      <c r="AA59" s="416"/>
      <c r="AB59" s="416"/>
      <c r="AC59" s="416"/>
      <c r="AD59" s="417"/>
    </row>
    <row r="60" spans="2:30" ht="20" customHeight="1" x14ac:dyDescent="0.2">
      <c r="B60" s="26" t="s">
        <v>2947</v>
      </c>
      <c r="C60" s="139" t="s">
        <v>1918</v>
      </c>
      <c r="D60" s="137" t="s">
        <v>92</v>
      </c>
      <c r="E60" s="121" t="str">
        <f>CONCATENATE(IF(sizing_w17_chosen="Included",VLOOKUP(sizing_w17_vcenter_appliance_size,table_vcenter_appliance_cpu,2,FALSE),0)," CPUs ",": ",IF(sizing_w17_chosen="Included",VLOOKUP(sizing_w17_vcenter_appliance_size,table_vcenter_appliance_ram,2,FALSE),0)," GB")</f>
        <v>0 CPUs : 0 GB</v>
      </c>
      <c r="F60" s="137" t="s">
        <v>724</v>
      </c>
      <c r="G60" s="121" t="str">
        <f>CONCATENATE(IF(sizing_w17_chosen="Included",VLOOKUP(CONCATENATE(sizing_w17_vcenter_appliance_size,sizing_w17_vcenter_storage_size),table_vcenter_disk_gb,2,FALSE),0)," GB")</f>
        <v>0 GB</v>
      </c>
      <c r="H60" s="137" t="s">
        <v>2052</v>
      </c>
      <c r="I60" s="137" t="s">
        <v>639</v>
      </c>
      <c r="J60" s="476" t="str">
        <f>CONCATENATE(IF(AND(sizing_w17_chosen="Included",sizing_w17_nsxt_model&lt;&gt;"Shared"),VLOOKUP(sizing_w17_nsxt_appliance_size,table_nsxt_manager_cpu,2,FALSE),0)," CPUs : ",IF(AND(sizing_w17_chosen="Included",sizing_w17_nsxt_model&lt;&gt;"Shared"),VLOOKUP(sizing_w17_nsxt_appliance_size,table_nsxt_manager_ram,2,FALSE),0), " GB : ",IF(AND(sizing_w17_chosen="Included",sizing_w17_nsxt_model&lt;&gt;"Shared"),VLOOKUP(sizing_w17_nsxt_appliance_size,table_nsxt_manager_disk_gb,2,FALSE),0)," GB")</f>
        <v>0 CPUs : 0 GB : 0 GB</v>
      </c>
      <c r="K60" s="477"/>
      <c r="L60" s="123" t="s">
        <v>1918</v>
      </c>
      <c r="M60" s="66" t="s">
        <v>639</v>
      </c>
      <c r="N60" s="473" t="str">
        <f>CONCATENATE(IF(AND(sizing_w17_gm_chosen&lt;&gt;"Excluded",sizing_w17_gm_chosen&lt;&gt;"Connect Instance"),VLOOKUP(sizing_w17_nsxt_gm_appliance_size,table_nsxt_manager_cpu,2,FALSE),0)," CPUs : ",IF(AND(sizing_w17_gm_chosen&lt;&gt;"Excluded",sizing_w17_gm_chosen&lt;&gt;"Connect Instance"),VLOOKUP(sizing_w17_nsxt_gm_appliance_size,table_nsxt_manager_ram,2,FALSE),0)," GB : ",IF(AND(sizing_w17_gm_chosen&lt;&gt;"Excluded",sizing_w17_gm_chosen&lt;&gt;"Connect Instance"),VLOOKUP(sizing_w17_nsxt_gm_appliance_size,table_nsxt_manager_disk_gb,2,FALSE),0)," GB")</f>
        <v>0 CPUs : 0 GB : 0 GB</v>
      </c>
      <c r="O60" s="474"/>
      <c r="P60" s="474"/>
      <c r="Q60" s="475"/>
      <c r="R60" s="123" t="s">
        <v>13</v>
      </c>
      <c r="S60" s="430" t="str">
        <f>(CONCATENATE(IF(AND(sizing_w17_chosen="Included",sizing_w17_spr_chosen="Include"),VLOOKUP(input_wld_srm_vm_size,table_srm_cpu,2,FALSE),0)," CPUs :",IF(AND(sizing_w17_chosen="Included",sizing_w17_spr_chosen="Include"),VLOOKUP(input_wld_srm_vm_size,table_srm_ram,2,FALSE),0)," GB : ",IF(AND(sizing_w17_chosen="Included",sizing_w17_spr_chosen="Include"),VLOOKUP(input_wld_srm_vm_size,table_srm_disk,2,FALSE),0)," GB"))</f>
        <v>0 CPUs :0 GB : 0 GB</v>
      </c>
      <c r="T60" s="430"/>
      <c r="U60" s="123" t="s">
        <v>1918</v>
      </c>
      <c r="V60" s="430" t="str">
        <f>CONCATENATE(IF(AND(sizing_w17_chosen="Included",sizing_w17_avi_appliance_size&lt;&gt;"Excluded"),VLOOKUP(sizing_w17_avi_appliance_size,table_avi_lb_cpu,2,FALSE),0), " CPUs : ",IF(AND(sizing_w17_chosen="Included",sizing_w17_avi_appliance_size&lt;&gt;"Excluded"),VLOOKUP(sizing_w17_avi_appliance_size,table_avi_lb_ram,2,FALSE),0), " GB : ",IF(AND(sizing_w17_chosen="Included",sizing_w17_avi_appliance_size&lt;&gt;"Excluded"),VLOOKUP(sizing_w17_avi_appliance_size,table_avi_lb_disk,2,FALSE),0)," GB")</f>
        <v>0 CPUs : 0 GB : 0 GB</v>
      </c>
      <c r="W60" s="443"/>
      <c r="X60" s="66" t="s">
        <v>1918</v>
      </c>
      <c r="Y60" s="8" t="str">
        <f>CONCATENATE(
IF(AND(sizing_w17_ssp_chosen&lt;&gt;"Excluded",sizing_w17_ssp_chosen&lt;&gt;"Deployed in WLD"),VLOOKUP(sizing_w17_nsxt_appliance_size,table_ssp_cpu,2,FALSE),0)," CPUs : ",
IF(AND(sizing_w17_ssp_chosen&lt;&gt;"Excluded",sizing_w17_ssp_chosen&lt;&gt;"Deployed in WLD"),VLOOKUP(sizing_w17_nsxt_appliance_size,table_ssp_ram,2,FALSE),0), " GB : ",
IF(AND(sizing_w17_ssp_chosen&lt;&gt;"Excluded",sizing_w17_ssp_chosen&lt;&gt;"Deployed in WLD"),VLOOKUP(sizing_w17_nsxt_appliance_size,table_ssp_disk,2,FALSE),0)," GB")</f>
        <v>0 CPUs : 0 GB : 0 GB</v>
      </c>
      <c r="Z60" s="415" t="str">
        <f>IF(sizing_w17_chosen="Included",CONCATENATE("vCenter:",VLOOKUP(sizing_w17_vcenter_appliance_size,vcenter_sizing_limits,2,FALSE)," | NSX LM ",VLOOKUP(sizing_w17_nsxt_appliance_size,nsx_sizing_limits,2,FALSE)),"")</f>
        <v/>
      </c>
      <c r="AA60" s="416"/>
      <c r="AB60" s="416"/>
      <c r="AC60" s="416"/>
      <c r="AD60" s="417"/>
    </row>
    <row r="61" spans="2:30" ht="20" customHeight="1" x14ac:dyDescent="0.2">
      <c r="B61" s="26" t="s">
        <v>2948</v>
      </c>
      <c r="C61" s="139" t="s">
        <v>1918</v>
      </c>
      <c r="D61" s="137" t="s">
        <v>92</v>
      </c>
      <c r="E61" s="121" t="str">
        <f>CONCATENATE(IF(sizing_w18_chosen="Included",VLOOKUP(sizing_w18_vcenter_appliance_size,table_vcenter_appliance_cpu,2,FALSE),0)," CPUs ",": ",IF(sizing_w18_chosen="Included",VLOOKUP(sizing_w18_vcenter_appliance_size,table_vcenter_appliance_ram,2,FALSE),0)," GB")</f>
        <v>0 CPUs : 0 GB</v>
      </c>
      <c r="F61" s="137" t="s">
        <v>724</v>
      </c>
      <c r="G61" s="121" t="str">
        <f>CONCATENATE(IF(sizing_w18_chosen="Included",VLOOKUP(CONCATENATE(sizing_w18_vcenter_appliance_size,sizing_w18_vcenter_storage_size),table_vcenter_disk_gb,2,FALSE),0)," GB")</f>
        <v>0 GB</v>
      </c>
      <c r="H61" s="137" t="s">
        <v>2052</v>
      </c>
      <c r="I61" s="137" t="s">
        <v>639</v>
      </c>
      <c r="J61" s="476" t="str">
        <f>CONCATENATE(IF(AND(sizing_w18_chosen="Included",sizing_w18_nsxt_model&lt;&gt;"Shared"),VLOOKUP(sizing_w18_nsxt_appliance_size,table_nsxt_manager_cpu,2,FALSE),0)," CPUs : ",IF(AND(sizing_w18_chosen="Included",sizing_w18_nsxt_model&lt;&gt;"Shared"),VLOOKUP(sizing_w18_nsxt_appliance_size,table_nsxt_manager_ram,2,FALSE),0), " GB : ",IF(AND(sizing_w18_chosen="Included",sizing_w18_nsxt_model&lt;&gt;"Shared"),VLOOKUP(sizing_w18_nsxt_appliance_size,table_nsxt_manager_disk_gb,2,FALSE),0)," GB")</f>
        <v>0 CPUs : 0 GB : 0 GB</v>
      </c>
      <c r="K61" s="477"/>
      <c r="L61" s="123" t="s">
        <v>1918</v>
      </c>
      <c r="M61" s="66" t="s">
        <v>639</v>
      </c>
      <c r="N61" s="473" t="str">
        <f>CONCATENATE(IF(AND(sizing_w18_gm_chosen&lt;&gt;"Excluded",sizing_w18_gm_chosen&lt;&gt;"Connect Instance"),VLOOKUP(sizing_w18_nsxt_gm_appliance_size,table_nsxt_manager_cpu,2,FALSE),0)," CPUs : ",IF(AND(sizing_w18_gm_chosen&lt;&gt;"Excluded",sizing_w18_gm_chosen&lt;&gt;"Connect Instance"),VLOOKUP(sizing_w18_nsxt_gm_appliance_size,table_nsxt_manager_ram,2,FALSE),0)," GB : ",IF(AND(sizing_w18_gm_chosen&lt;&gt;"Excluded",sizing_w18_gm_chosen&lt;&gt;"Connect Instance"),VLOOKUP(sizing_w18_nsxt_gm_appliance_size,table_nsxt_manager_disk_gb,2,FALSE),0)," GB")</f>
        <v>0 CPUs : 0 GB : 0 GB</v>
      </c>
      <c r="O61" s="474"/>
      <c r="P61" s="474"/>
      <c r="Q61" s="475"/>
      <c r="R61" s="123" t="s">
        <v>13</v>
      </c>
      <c r="S61" s="430" t="str">
        <f>(CONCATENATE(IF(AND(sizing_w18_chosen="Included",sizing_w18_spr_chosen="Include"),VLOOKUP(input_wld_srm_vm_size,table_srm_cpu,2,FALSE),0)," CPUs :",IF(AND(sizing_w18_chosen="Included",sizing_w18_spr_chosen="Include"),VLOOKUP(input_wld_srm_vm_size,table_srm_ram,2,FALSE),0)," GB : ",IF(AND(sizing_w18_chosen="Included",sizing_w18_spr_chosen="Include"),VLOOKUP(input_wld_srm_vm_size,table_srm_disk,2,FALSE),0)," GB"))</f>
        <v>0 CPUs :0 GB : 0 GB</v>
      </c>
      <c r="T61" s="430"/>
      <c r="U61" s="123" t="s">
        <v>1918</v>
      </c>
      <c r="V61" s="430" t="str">
        <f>CONCATENATE(IF(AND(sizing_w18_chosen="Included",sizing_w18_avi_appliance_size&lt;&gt;"Excluded"),VLOOKUP(sizing_w18_avi_appliance_size,table_avi_lb_cpu,2,FALSE),0), " CPUs : ",IF(AND(sizing_w18_chosen="Included",sizing_w18_avi_appliance_size&lt;&gt;"Excluded"),VLOOKUP(sizing_w18_avi_appliance_size,table_avi_lb_ram,2,FALSE),0), " GB : ",IF(AND(sizing_w18_chosen="Included",sizing_w18_avi_appliance_size&lt;&gt;"Excluded"),VLOOKUP(sizing_w18_avi_appliance_size,table_avi_lb_disk,2,FALSE),0)," GB")</f>
        <v>0 CPUs : 0 GB : 0 GB</v>
      </c>
      <c r="W61" s="443"/>
      <c r="X61" s="66" t="s">
        <v>1918</v>
      </c>
      <c r="Y61" s="8" t="str">
        <f>CONCATENATE(
IF(AND(sizing_w18_ssp_chosen&lt;&gt;"Excluded",sizing_w18_ssp_chosen&lt;&gt;"Deployed in WLD"),VLOOKUP(sizing_w18_nsxt_appliance_size,table_ssp_cpu,2,FALSE),0)," CPUs : ",
IF(AND(sizing_w18_ssp_chosen&lt;&gt;"Excluded",sizing_w18_ssp_chosen&lt;&gt;"Deployed in WLD"),VLOOKUP(sizing_w18_nsxt_appliance_size,table_ssp_ram,2,FALSE),0), " GB : ",
IF(AND(sizing_w18_ssp_chosen&lt;&gt;"Excluded",sizing_w18_ssp_chosen&lt;&gt;"Deployed in WLD"),VLOOKUP(sizing_w18_nsxt_appliance_size,table_ssp_disk,2,FALSE),0)," GB")</f>
        <v>0 CPUs : 0 GB : 0 GB</v>
      </c>
      <c r="Z61" s="415" t="str">
        <f>IF(sizing_w18_chosen="Included",CONCATENATE("vCenter:",VLOOKUP(sizing_w18_vcenter_appliance_size,vcenter_sizing_limits,2,FALSE)," | NSX LM ",VLOOKUP(sizing_w18_nsxt_appliance_size,nsx_sizing_limits,2,FALSE)),"")</f>
        <v/>
      </c>
      <c r="AA61" s="416"/>
      <c r="AB61" s="416"/>
      <c r="AC61" s="416"/>
      <c r="AD61" s="417"/>
    </row>
    <row r="62" spans="2:30" ht="20" customHeight="1" x14ac:dyDescent="0.2">
      <c r="B62" s="26" t="s">
        <v>2949</v>
      </c>
      <c r="C62" s="139" t="s">
        <v>1918</v>
      </c>
      <c r="D62" s="137" t="s">
        <v>92</v>
      </c>
      <c r="E62" s="121" t="str">
        <f>CONCATENATE(IF(sizing_w19_chosen="Included",VLOOKUP(sizing_w19_vcenter_appliance_size,table_vcenter_appliance_cpu,2,FALSE),0)," CPUs ",": ",IF(sizing_w19_chosen="Included",VLOOKUP(sizing_w19_vcenter_appliance_size,table_vcenter_appliance_ram,2,FALSE),0)," GB")</f>
        <v>0 CPUs : 0 GB</v>
      </c>
      <c r="F62" s="137" t="s">
        <v>724</v>
      </c>
      <c r="G62" s="121" t="str">
        <f>CONCATENATE(IF(sizing_w19_chosen="Included",VLOOKUP(CONCATENATE(sizing_w19_vcenter_appliance_size,sizing_w19_vcenter_storage_size),table_vcenter_disk_gb,2,FALSE),0)," GB")</f>
        <v>0 GB</v>
      </c>
      <c r="H62" s="137" t="s">
        <v>2052</v>
      </c>
      <c r="I62" s="137" t="s">
        <v>639</v>
      </c>
      <c r="J62" s="476" t="str">
        <f>CONCATENATE(IF(AND(sizing_w19_chosen="Included",sizing_w19_nsxt_model&lt;&gt;"Shared"),VLOOKUP(sizing_w19_nsxt_appliance_size,table_nsxt_manager_cpu,2,FALSE),0)," CPUs : ",IF(AND(sizing_w19_chosen="Included",sizing_w19_nsxt_model&lt;&gt;"Shared"),VLOOKUP(sizing_w19_nsxt_appliance_size,table_nsxt_manager_ram,2,FALSE),0), " GB : ",IF(AND(sizing_w19_chosen="Included",sizing_w19_nsxt_model&lt;&gt;"Shared"),VLOOKUP(sizing_w19_nsxt_appliance_size,table_nsxt_manager_disk_gb,2,FALSE),0)," GB")</f>
        <v>0 CPUs : 0 GB : 0 GB</v>
      </c>
      <c r="K62" s="477"/>
      <c r="L62" s="123" t="s">
        <v>1918</v>
      </c>
      <c r="M62" s="66" t="s">
        <v>639</v>
      </c>
      <c r="N62" s="473" t="str">
        <f>CONCATENATE(IF(AND(sizing_w19_gm_chosen&lt;&gt;"Excluded",sizing_w19_gm_chosen&lt;&gt;"Connect Instance"),VLOOKUP(sizing_w19_nsxt_gm_appliance_size,table_nsxt_manager_cpu,2,FALSE),0)," CPUs : ",IF(AND(sizing_w19_gm_chosen&lt;&gt;"Excluded",sizing_w19_gm_chosen&lt;&gt;"Connect Instance"),VLOOKUP(sizing_w19_nsxt_gm_appliance_size,table_nsxt_manager_ram,2,FALSE),0)," GB : ",IF(AND(sizing_w19_gm_chosen&lt;&gt;"Excluded",sizing_w19_gm_chosen&lt;&gt;"Connect Instance"),VLOOKUP(sizing_w19_nsxt_gm_appliance_size,table_nsxt_manager_disk_gb,2,FALSE),0)," GB")</f>
        <v>0 CPUs : 0 GB : 0 GB</v>
      </c>
      <c r="O62" s="474"/>
      <c r="P62" s="474"/>
      <c r="Q62" s="475"/>
      <c r="R62" s="123" t="s">
        <v>13</v>
      </c>
      <c r="S62" s="430" t="str">
        <f>(CONCATENATE(IF(AND(sizing_w19_chosen="Included",sizing_w19_spr_chosen="Include"),VLOOKUP(input_wld_srm_vm_size,table_srm_cpu,2,FALSE),0)," CPUs :",IF(AND(sizing_w19_chosen="Included",sizing_w19_spr_chosen="Include"),VLOOKUP(input_wld_srm_vm_size,table_srm_ram,2,FALSE),0)," GB : ",IF(AND(sizing_w19_chosen="Included",sizing_w19_spr_chosen="Include"),VLOOKUP(input_wld_srm_vm_size,table_srm_disk,2,FALSE),0)," GB"))</f>
        <v>0 CPUs :0 GB : 0 GB</v>
      </c>
      <c r="T62" s="430"/>
      <c r="U62" s="123" t="s">
        <v>1918</v>
      </c>
      <c r="V62" s="430" t="str">
        <f>CONCATENATE(IF(AND(sizing_w19_chosen="Included",sizing_w19_avi_appliance_size&lt;&gt;"Excluded"),VLOOKUP(sizing_w19_avi_appliance_size,table_avi_lb_cpu,2,FALSE),0), " CPUs : ",IF(AND(sizing_w19_chosen="Included",sizing_w19_avi_appliance_size&lt;&gt;"Excluded"),VLOOKUP(sizing_w19_avi_appliance_size,table_avi_lb_ram,2,FALSE),0), " GB : ",IF(AND(sizing_w19_chosen="Included",sizing_w19_avi_appliance_size&lt;&gt;"Excluded"),VLOOKUP(sizing_w19_avi_appliance_size,table_avi_lb_disk,2,FALSE),0)," GB")</f>
        <v>0 CPUs : 0 GB : 0 GB</v>
      </c>
      <c r="W62" s="443"/>
      <c r="X62" s="66" t="s">
        <v>1918</v>
      </c>
      <c r="Y62" s="8" t="str">
        <f>CONCATENATE(
IF(AND(sizing_w19_ssp_chosen&lt;&gt;"Excluded",sizing_w19_ssp_chosen&lt;&gt;"Deployed in WLD"),VLOOKUP(sizing_w19_nsxt_appliance_size,table_ssp_cpu,2,FALSE),0)," CPUs : ",
IF(AND(sizing_w19_ssp_chosen&lt;&gt;"Excluded",sizing_w19_ssp_chosen&lt;&gt;"Deployed in WLD"),VLOOKUP(sizing_w19_nsxt_appliance_size,table_ssp_ram,2,FALSE),0), " GB : ",
IF(AND(sizing_w19_ssp_chosen&lt;&gt;"Excluded",sizing_w19_ssp_chosen&lt;&gt;"Deployed in WLD"),VLOOKUP(sizing_w19_nsxt_appliance_size,table_ssp_disk,2,FALSE),0)," GB")</f>
        <v>0 CPUs : 0 GB : 0 GB</v>
      </c>
      <c r="Z62" s="415" t="str">
        <f>IF(sizing_w19_chosen="Included",CONCATENATE("vCenter:",VLOOKUP(sizing_w19_vcenter_appliance_size,vcenter_sizing_limits,2,FALSE)," | NSX LM ",VLOOKUP(sizing_w19_nsxt_appliance_size,nsx_sizing_limits,2,FALSE)),"")</f>
        <v/>
      </c>
      <c r="AA62" s="416"/>
      <c r="AB62" s="416"/>
      <c r="AC62" s="416"/>
      <c r="AD62" s="417"/>
    </row>
    <row r="63" spans="2:30" ht="20" customHeight="1" x14ac:dyDescent="0.2">
      <c r="B63" s="26" t="s">
        <v>2950</v>
      </c>
      <c r="C63" s="139" t="s">
        <v>1918</v>
      </c>
      <c r="D63" s="137" t="s">
        <v>92</v>
      </c>
      <c r="E63" s="121" t="str">
        <f>CONCATENATE(IF(sizing_w20_chosen="Included",VLOOKUP(sizing_w20_vcenter_appliance_size,table_vcenter_appliance_cpu,2,FALSE),0)," CPUs ",": ",IF(sizing_w20_chosen="Included",VLOOKUP(sizing_w20_vcenter_appliance_size,table_vcenter_appliance_ram,2,FALSE),0)," GB")</f>
        <v>0 CPUs : 0 GB</v>
      </c>
      <c r="F63" s="137" t="s">
        <v>724</v>
      </c>
      <c r="G63" s="121" t="str">
        <f>CONCATENATE(IF(sizing_w20_chosen="Included",VLOOKUP(CONCATENATE(sizing_w20_vcenter_appliance_size,sizing_w20_vcenter_storage_size),table_vcenter_disk_gb,2,FALSE),0)," GB")</f>
        <v>0 GB</v>
      </c>
      <c r="H63" s="137" t="s">
        <v>2052</v>
      </c>
      <c r="I63" s="137" t="s">
        <v>639</v>
      </c>
      <c r="J63" s="476" t="str">
        <f>CONCATENATE(IF(AND(sizing_w20_chosen="Included",sizing_w20_nsxt_model&lt;&gt;"Shared"),VLOOKUP(sizing_w20_nsxt_appliance_size,table_nsxt_manager_cpu,2,FALSE),0)," CPUs : ",IF(AND(sizing_w20_chosen="Included",sizing_w20_nsxt_model&lt;&gt;"Shared"),VLOOKUP(sizing_w20_nsxt_appliance_size,table_nsxt_manager_ram,2,FALSE),0), " GB : ",IF(AND(sizing_w20_chosen="Included",sizing_w20_nsxt_model&lt;&gt;"Shared"),VLOOKUP(sizing_w20_nsxt_appliance_size,table_nsxt_manager_disk_gb,2,FALSE),0)," GB")</f>
        <v>0 CPUs : 0 GB : 0 GB</v>
      </c>
      <c r="K63" s="477"/>
      <c r="L63" s="123" t="s">
        <v>1918</v>
      </c>
      <c r="M63" s="66" t="s">
        <v>639</v>
      </c>
      <c r="N63" s="473" t="str">
        <f>CONCATENATE(IF(AND(sizing_w20_gm_chosen&lt;&gt;"Excluded",sizing_w20_gm_chosen&lt;&gt;"Connect Instance"),VLOOKUP(sizing_w20_nsxt_gm_appliance_size,table_nsxt_manager_cpu,2,FALSE),0)," CPUs : ",IF(AND(sizing_w20_gm_chosen&lt;&gt;"Excluded",sizing_w20_gm_chosen&lt;&gt;"Connect Instance"),VLOOKUP(sizing_w20_nsxt_gm_appliance_size,table_nsxt_manager_ram,2,FALSE),0)," GB : ",IF(AND(sizing_w20_gm_chosen&lt;&gt;"Excluded",sizing_w20_gm_chosen&lt;&gt;"Connect Instance"),VLOOKUP(sizing_w20_nsxt_gm_appliance_size,table_nsxt_manager_disk_gb,2,FALSE),0)," GB")</f>
        <v>0 CPUs : 0 GB : 0 GB</v>
      </c>
      <c r="O63" s="474"/>
      <c r="P63" s="474"/>
      <c r="Q63" s="475"/>
      <c r="R63" s="123" t="s">
        <v>13</v>
      </c>
      <c r="S63" s="430" t="str">
        <f>(CONCATENATE(IF(AND(sizing_w20_chosen="Included",sizing_w20_spr_chosen="Include"),VLOOKUP(input_wld_srm_vm_size,table_srm_cpu,2,FALSE),0)," CPUs :",IF(AND(sizing_w20_chosen="Included",sizing_w20_spr_chosen="Include"),VLOOKUP(input_wld_srm_vm_size,table_srm_ram,2,FALSE),0)," GB : ",IF(AND(sizing_w20_chosen="Included",sizing_w20_spr_chosen="Include"),VLOOKUP(input_wld_srm_vm_size,table_srm_disk,2,FALSE),0)," GB"))</f>
        <v>0 CPUs :0 GB : 0 GB</v>
      </c>
      <c r="T63" s="430"/>
      <c r="U63" s="123" t="s">
        <v>1918</v>
      </c>
      <c r="V63" s="430" t="str">
        <f>CONCATENATE(IF(AND(sizing_w20_chosen="Included",sizing_w20_avi_appliance_size&lt;&gt;"Excluded"),VLOOKUP(sizing_w20_avi_appliance_size,table_avi_lb_cpu,2,FALSE),0), " CPUs : ",IF(AND(sizing_w20_chosen="Included",sizing_w20_avi_appliance_size&lt;&gt;"Excluded"),VLOOKUP(sizing_w20_avi_appliance_size,table_avi_lb_ram,2,FALSE),0), " GB : ",IF(AND(sizing_w20_chosen="Included",sizing_w20_avi_appliance_size&lt;&gt;"Excluded"),VLOOKUP(sizing_w20_avi_appliance_size,table_avi_lb_disk,2,FALSE),0)," GB")</f>
        <v>0 CPUs : 0 GB : 0 GB</v>
      </c>
      <c r="W63" s="443"/>
      <c r="X63" s="66" t="s">
        <v>1918</v>
      </c>
      <c r="Y63" s="8" t="str">
        <f>CONCATENATE(
IF(AND(sizing_w20_ssp_chosen&lt;&gt;"Excluded",sizing_w20_ssp_chosen&lt;&gt;"Deployed in WLD"),VLOOKUP(sizing_w20_nsxt_appliance_size,table_ssp_cpu,2,FALSE),0)," CPUs : ",
IF(AND(sizing_w20_ssp_chosen&lt;&gt;"Excluded",sizing_w20_ssp_chosen&lt;&gt;"Deployed in WLD"),VLOOKUP(sizing_w20_nsxt_appliance_size,table_ssp_ram,2,FALSE),0), " GB : ",
IF(AND(sizing_w20_ssp_chosen&lt;&gt;"Excluded",sizing_w20_ssp_chosen&lt;&gt;"Deployed in WLD"),VLOOKUP(sizing_w20_nsxt_appliance_size,table_ssp_disk,2,FALSE),0)," GB")</f>
        <v>0 CPUs : 0 GB : 0 GB</v>
      </c>
      <c r="Z63" s="415" t="str">
        <f>IF(sizing_w20_chosen="Included",CONCATENATE("vCenter:",VLOOKUP(sizing_w20_vcenter_appliance_size,vcenter_sizing_limits,2,FALSE)," | NSX LM ",VLOOKUP(sizing_w20_nsxt_appliance_size,nsx_sizing_limits,2,FALSE)),"")</f>
        <v/>
      </c>
      <c r="AA63" s="416"/>
      <c r="AB63" s="416"/>
      <c r="AC63" s="416"/>
      <c r="AD63" s="417"/>
    </row>
    <row r="64" spans="2:30" ht="20" customHeight="1" x14ac:dyDescent="0.2">
      <c r="B64" s="26" t="s">
        <v>2951</v>
      </c>
      <c r="C64" s="139" t="s">
        <v>1918</v>
      </c>
      <c r="D64" s="137" t="s">
        <v>92</v>
      </c>
      <c r="E64" s="121" t="str">
        <f>CONCATENATE(IF(sizing_w21_chosen="Included",VLOOKUP(sizing_w21_vcenter_appliance_size,table_vcenter_appliance_cpu,2,FALSE),0)," CPUs ",": ",IF(sizing_w21_chosen="Included",VLOOKUP(sizing_w21_vcenter_appliance_size,table_vcenter_appliance_ram,2,FALSE),0)," GB")</f>
        <v>0 CPUs : 0 GB</v>
      </c>
      <c r="F64" s="137" t="s">
        <v>724</v>
      </c>
      <c r="G64" s="121" t="str">
        <f>CONCATENATE(IF(sizing_w21_chosen="Included",VLOOKUP(CONCATENATE(sizing_w21_vcenter_appliance_size,sizing_w21_vcenter_storage_size),table_vcenter_disk_gb,2,FALSE),0)," GB")</f>
        <v>0 GB</v>
      </c>
      <c r="H64" s="137" t="s">
        <v>2052</v>
      </c>
      <c r="I64" s="137" t="s">
        <v>639</v>
      </c>
      <c r="J64" s="476" t="str">
        <f>CONCATENATE(IF(AND(sizing_w21_chosen="Included",sizing_w21_nsxt_model&lt;&gt;"Shared"),VLOOKUP(sizing_w21_nsxt_appliance_size,table_nsxt_manager_cpu,2,FALSE),0)," CPUs : ",IF(AND(sizing_w21_chosen="Included",sizing_w21_nsxt_model&lt;&gt;"Shared"),VLOOKUP(sizing_w21_nsxt_appliance_size,table_nsxt_manager_ram,2,FALSE),0), " GB : ",IF(AND(sizing_w21_chosen="Included",sizing_w21_nsxt_model&lt;&gt;"Shared"),VLOOKUP(sizing_w21_nsxt_appliance_size,table_nsxt_manager_disk_gb,2,FALSE),0)," GB")</f>
        <v>0 CPUs : 0 GB : 0 GB</v>
      </c>
      <c r="K64" s="477"/>
      <c r="L64" s="123" t="s">
        <v>1918</v>
      </c>
      <c r="M64" s="66" t="s">
        <v>639</v>
      </c>
      <c r="N64" s="473" t="str">
        <f>CONCATENATE(IF(AND(sizing_w21_gm_chosen&lt;&gt;"Excluded",sizing_w21_gm_chosen&lt;&gt;"Connect Instance"),VLOOKUP(sizing_w21_nsxt_gm_appliance_size,table_nsxt_manager_cpu,2,FALSE),0)," CPUs : ",IF(AND(sizing_w21_gm_chosen&lt;&gt;"Excluded",sizing_w21_gm_chosen&lt;&gt;"Connect Instance"),VLOOKUP(sizing_w21_nsxt_gm_appliance_size,table_nsxt_manager_ram,2,FALSE),0)," GB : ",IF(AND(sizing_w21_gm_chosen&lt;&gt;"Excluded",sizing_w21_gm_chosen&lt;&gt;"Connect Instance"),VLOOKUP(sizing_w21_nsxt_gm_appliance_size,table_nsxt_manager_disk_gb,2,FALSE),0)," GB")</f>
        <v>0 CPUs : 0 GB : 0 GB</v>
      </c>
      <c r="O64" s="474"/>
      <c r="P64" s="474"/>
      <c r="Q64" s="475"/>
      <c r="R64" s="123" t="s">
        <v>13</v>
      </c>
      <c r="S64" s="430" t="str">
        <f>(CONCATENATE(IF(AND(sizing_w21_chosen="Included",sizing_w21_spr_chosen="Include"),VLOOKUP(input_wld_srm_vm_size,table_srm_cpu,2,FALSE),0)," CPUs :",IF(AND(sizing_w21_chosen="Included",sizing_w21_spr_chosen="Include"),VLOOKUP(input_wld_srm_vm_size,table_srm_ram,2,FALSE),0)," GB : ",IF(AND(sizing_w21_chosen="Included",sizing_w21_spr_chosen="Include"),VLOOKUP(input_wld_srm_vm_size,table_srm_disk,2,FALSE),0)," GB"))</f>
        <v>0 CPUs :0 GB : 0 GB</v>
      </c>
      <c r="T64" s="430"/>
      <c r="U64" s="123" t="s">
        <v>1918</v>
      </c>
      <c r="V64" s="430" t="str">
        <f>CONCATENATE(IF(AND(sizing_w21_chosen="Included",sizing_w21_avi_appliance_size&lt;&gt;"Excluded"),VLOOKUP(sizing_w21_avi_appliance_size,table_avi_lb_cpu,2,FALSE),0), " CPUs : ",IF(AND(sizing_w21_chosen="Included",sizing_w21_avi_appliance_size&lt;&gt;"Excluded"),VLOOKUP(sizing_w21_avi_appliance_size,table_avi_lb_ram,2,FALSE),0), " GB : ",IF(AND(sizing_w21_chosen="Included",sizing_w21_avi_appliance_size&lt;&gt;"Excluded"),VLOOKUP(sizing_w21_avi_appliance_size,table_avi_lb_disk,2,FALSE),0)," GB")</f>
        <v>0 CPUs : 0 GB : 0 GB</v>
      </c>
      <c r="W64" s="443"/>
      <c r="X64" s="66" t="s">
        <v>1918</v>
      </c>
      <c r="Y64" s="8" t="str">
        <f>CONCATENATE(
IF(AND(sizing_w21_ssp_chosen&lt;&gt;"Excluded",sizing_w21_ssp_chosen&lt;&gt;"Deployed in WLD"),VLOOKUP(sizing_w21_nsxt_appliance_size,table_ssp_cpu,2,FALSE),0)," CPUs : ",
IF(AND(sizing_w21_ssp_chosen&lt;&gt;"Excluded",sizing_w21_ssp_chosen&lt;&gt;"Deployed in WLD"),VLOOKUP(sizing_w21_nsxt_appliance_size,table_ssp_ram,2,FALSE),0), " GB : ",
IF(AND(sizing_w21_ssp_chosen&lt;&gt;"Excluded",sizing_w21_ssp_chosen&lt;&gt;"Deployed in WLD"),VLOOKUP(sizing_w21_nsxt_appliance_size,table_ssp_disk,2,FALSE),0)," GB")</f>
        <v>0 CPUs : 0 GB : 0 GB</v>
      </c>
      <c r="Z64" s="415" t="str">
        <f>IF(sizing_w21_chosen="Included",CONCATENATE("vCenter:",VLOOKUP(sizing_w21_vcenter_appliance_size,vcenter_sizing_limits,2,FALSE)," | NSX LM ",VLOOKUP(sizing_w21_nsxt_appliance_size,nsx_sizing_limits,2,FALSE)),"")</f>
        <v/>
      </c>
      <c r="AA64" s="416"/>
      <c r="AB64" s="416"/>
      <c r="AC64" s="416"/>
      <c r="AD64" s="417"/>
    </row>
    <row r="65" spans="1:30" ht="20" customHeight="1" x14ac:dyDescent="0.2">
      <c r="B65" s="26" t="s">
        <v>2952</v>
      </c>
      <c r="C65" s="139" t="s">
        <v>1918</v>
      </c>
      <c r="D65" s="137" t="s">
        <v>92</v>
      </c>
      <c r="E65" s="121" t="str">
        <f>CONCATENATE(IF(sizing_w22_chosen="Included",VLOOKUP(sizing_w22_vcenter_appliance_size,table_vcenter_appliance_cpu,2,FALSE),0)," CPUs ",": ",IF(sizing_w22_chosen="Included",VLOOKUP(sizing_w22_vcenter_appliance_size,table_vcenter_appliance_ram,2,FALSE),0)," GB")</f>
        <v>0 CPUs : 0 GB</v>
      </c>
      <c r="F65" s="137" t="s">
        <v>724</v>
      </c>
      <c r="G65" s="121" t="str">
        <f>CONCATENATE(IF(sizing_w22_chosen="Included",VLOOKUP(CONCATENATE(sizing_w22_vcenter_appliance_size,sizing_w22_vcenter_storage_size),table_vcenter_disk_gb,2,FALSE),0)," GB")</f>
        <v>0 GB</v>
      </c>
      <c r="H65" s="137" t="s">
        <v>2052</v>
      </c>
      <c r="I65" s="137" t="s">
        <v>639</v>
      </c>
      <c r="J65" s="476" t="str">
        <f>CONCATENATE(IF(AND(sizing_w22_chosen="Included",sizing_w22_nsxt_model&lt;&gt;"Shared"),VLOOKUP(sizing_w22_nsxt_appliance_size,table_nsxt_manager_cpu,2,FALSE),0)," CPUs : ",IF(AND(sizing_w22_chosen="Included",sizing_w22_nsxt_model&lt;&gt;"Shared"),VLOOKUP(sizing_w22_nsxt_appliance_size,table_nsxt_manager_ram,2,FALSE),0), " GB : ",IF(AND(sizing_w22_chosen="Included",sizing_w22_nsxt_model&lt;&gt;"Shared"),VLOOKUP(sizing_w22_nsxt_appliance_size,table_nsxt_manager_disk_gb,2,FALSE),0)," GB")</f>
        <v>0 CPUs : 0 GB : 0 GB</v>
      </c>
      <c r="K65" s="477"/>
      <c r="L65" s="123" t="s">
        <v>1918</v>
      </c>
      <c r="M65" s="66" t="s">
        <v>639</v>
      </c>
      <c r="N65" s="473" t="str">
        <f>CONCATENATE(IF(AND(sizing_w22_gm_chosen&lt;&gt;"Excluded",sizing_w22_gm_chosen&lt;&gt;"Connect Instance"),VLOOKUP(sizing_w22_nsxt_gm_appliance_size,table_nsxt_manager_cpu,2,FALSE),0)," CPUs : ",IF(AND(sizing_w22_gm_chosen&lt;&gt;"Excluded",sizing_w22_gm_chosen&lt;&gt;"Connect Instance"),VLOOKUP(sizing_w22_nsxt_gm_appliance_size,table_nsxt_manager_ram,2,FALSE),0)," GB : ",IF(AND(sizing_w22_gm_chosen&lt;&gt;"Excluded",sizing_w22_gm_chosen&lt;&gt;"Connect Instance"),VLOOKUP(sizing_w22_nsxt_gm_appliance_size,table_nsxt_manager_disk_gb,2,FALSE),0)," GB")</f>
        <v>0 CPUs : 0 GB : 0 GB</v>
      </c>
      <c r="O65" s="474"/>
      <c r="P65" s="474"/>
      <c r="Q65" s="475"/>
      <c r="R65" s="123" t="s">
        <v>13</v>
      </c>
      <c r="S65" s="430" t="str">
        <f>(CONCATENATE(IF(AND(sizing_w22_chosen="Included",sizing_w22_spr_chosen="Include"),VLOOKUP(input_wld_srm_vm_size,table_srm_cpu,2,FALSE),0)," CPUs :",IF(AND(sizing_w22_chosen="Included",sizing_w22_spr_chosen="Include"),VLOOKUP(input_wld_srm_vm_size,table_srm_ram,2,FALSE),0)," GB : ",IF(AND(sizing_w22_chosen="Included",sizing_w22_spr_chosen="Include"),VLOOKUP(input_wld_srm_vm_size,table_srm_disk,2,FALSE),0)," GB"))</f>
        <v>0 CPUs :0 GB : 0 GB</v>
      </c>
      <c r="T65" s="430"/>
      <c r="U65" s="123" t="s">
        <v>1918</v>
      </c>
      <c r="V65" s="430" t="str">
        <f>CONCATENATE(IF(AND(sizing_w22_chosen="Included",sizing_w22_avi_appliance_size&lt;&gt;"Excluded"),VLOOKUP(sizing_w22_avi_appliance_size,table_avi_lb_cpu,2,FALSE),0), " CPUs : ",IF(AND(sizing_w22_chosen="Included",sizing_w22_avi_appliance_size&lt;&gt;"Excluded"),VLOOKUP(sizing_w22_avi_appliance_size,table_avi_lb_ram,2,FALSE),0), " GB : ",IF(AND(sizing_w22_chosen="Included",sizing_w22_avi_appliance_size&lt;&gt;"Excluded"),VLOOKUP(sizing_w22_avi_appliance_size,table_avi_lb_disk,2,FALSE),0)," GB")</f>
        <v>0 CPUs : 0 GB : 0 GB</v>
      </c>
      <c r="W65" s="443"/>
      <c r="X65" s="66" t="s">
        <v>1918</v>
      </c>
      <c r="Y65" s="8" t="str">
        <f>CONCATENATE(
IF(AND(sizing_w22_ssp_chosen&lt;&gt;"Excluded",sizing_w22_ssp_chosen&lt;&gt;"Deployed in WLD"),VLOOKUP(sizing_w22_nsxt_appliance_size,table_ssp_cpu,2,FALSE),0)," CPUs : ",
IF(AND(sizing_w22_ssp_chosen&lt;&gt;"Excluded",sizing_w22_ssp_chosen&lt;&gt;"Deployed in WLD"),VLOOKUP(sizing_w22_nsxt_appliance_size,table_ssp_ram,2,FALSE),0), " GB : ",
IF(AND(sizing_w22_ssp_chosen&lt;&gt;"Excluded",sizing_w22_ssp_chosen&lt;&gt;"Deployed in WLD"),VLOOKUP(sizing_w22_nsxt_appliance_size,table_ssp_disk,2,FALSE),0)," GB")</f>
        <v>0 CPUs : 0 GB : 0 GB</v>
      </c>
      <c r="Z65" s="415" t="str">
        <f>IF(sizing_w22_chosen="Included",CONCATENATE("vCenter:",VLOOKUP(sizing_w22_vcenter_appliance_size,vcenter_sizing_limits,2,FALSE)," | NSX LM ",VLOOKUP(sizing_w22_nsxt_appliance_size,nsx_sizing_limits,2,FALSE)),"")</f>
        <v/>
      </c>
      <c r="AA65" s="416"/>
      <c r="AB65" s="416"/>
      <c r="AC65" s="416"/>
      <c r="AD65" s="417"/>
    </row>
    <row r="66" spans="1:30" ht="20" customHeight="1" x14ac:dyDescent="0.2">
      <c r="B66" s="26" t="s">
        <v>2953</v>
      </c>
      <c r="C66" s="139" t="s">
        <v>1918</v>
      </c>
      <c r="D66" s="137" t="s">
        <v>92</v>
      </c>
      <c r="E66" s="121" t="str">
        <f>CONCATENATE(IF(sizing_w23_chosen="Included",VLOOKUP(sizing_w23_vcenter_appliance_size,table_vcenter_appliance_cpu,2,FALSE),0)," CPUs ",": ",IF(sizing_w23_chosen="Included",VLOOKUP(sizing_w23_vcenter_appliance_size,table_vcenter_appliance_ram,2,FALSE),0)," GB")</f>
        <v>0 CPUs : 0 GB</v>
      </c>
      <c r="F66" s="137" t="s">
        <v>724</v>
      </c>
      <c r="G66" s="121" t="str">
        <f>CONCATENATE(IF(sizing_w23_chosen="Included",VLOOKUP(CONCATENATE(sizing_w23_vcenter_appliance_size,sizing_w23_vcenter_storage_size),table_vcenter_disk_gb,2,FALSE),0)," GB")</f>
        <v>0 GB</v>
      </c>
      <c r="H66" s="137" t="s">
        <v>2052</v>
      </c>
      <c r="I66" s="137" t="s">
        <v>639</v>
      </c>
      <c r="J66" s="476" t="str">
        <f>CONCATENATE(IF(AND(sizing_w23_chosen="Included",sizing_w23_nsxt_model&lt;&gt;"Shared"),VLOOKUP(sizing_w23_nsxt_appliance_size,table_nsxt_manager_cpu,2,FALSE),0)," CPUs : ",IF(AND(sizing_w23_chosen="Included",sizing_w23_nsxt_model&lt;&gt;"Shared"),VLOOKUP(sizing_w23_nsxt_appliance_size,table_nsxt_manager_ram,2,FALSE),0), " GB : ",IF(AND(sizing_w23_chosen="Included",sizing_w23_nsxt_model&lt;&gt;"Shared"),VLOOKUP(sizing_w23_nsxt_appliance_size,table_nsxt_manager_disk_gb,2,FALSE),0)," GB")</f>
        <v>0 CPUs : 0 GB : 0 GB</v>
      </c>
      <c r="K66" s="477"/>
      <c r="L66" s="123" t="s">
        <v>1918</v>
      </c>
      <c r="M66" s="66" t="s">
        <v>639</v>
      </c>
      <c r="N66" s="473" t="str">
        <f>CONCATENATE(IF(AND(sizing_w23_gm_chosen&lt;&gt;"Excluded",sizing_w23_gm_chosen&lt;&gt;"Connect Instance"),VLOOKUP(sizing_w23_nsxt_gm_appliance_size,table_nsxt_manager_cpu,2,FALSE),0)," CPUs : ",IF(AND(sizing_w23_gm_chosen&lt;&gt;"Excluded",sizing_w23_gm_chosen&lt;&gt;"Connect Instance"),VLOOKUP(sizing_w23_nsxt_gm_appliance_size,table_nsxt_manager_ram,2,FALSE),0)," GB : ",IF(AND(sizing_w23_gm_chosen&lt;&gt;"Excluded",sizing_w23_gm_chosen&lt;&gt;"Connect Instance"),VLOOKUP(sizing_w23_nsxt_gm_appliance_size,table_nsxt_manager_disk_gb,2,FALSE),0)," GB")</f>
        <v>0 CPUs : 0 GB : 0 GB</v>
      </c>
      <c r="O66" s="474"/>
      <c r="P66" s="474"/>
      <c r="Q66" s="475"/>
      <c r="R66" s="123" t="s">
        <v>13</v>
      </c>
      <c r="S66" s="430" t="str">
        <f>(CONCATENATE(IF(AND(sizing_w23_chosen="Included",sizing_w23_spr_chosen="Include"),VLOOKUP(input_wld_srm_vm_size,table_srm_cpu,2,FALSE),0)," CPUs :",IF(AND(sizing_w23_chosen="Included",sizing_w23_spr_chosen="Include"),VLOOKUP(input_wld_srm_vm_size,table_srm_ram,2,FALSE),0)," GB : ",IF(AND(sizing_w23_chosen="Included",sizing_w23_spr_chosen="Include"),VLOOKUP(input_wld_srm_vm_size,table_srm_disk,2,FALSE),0)," GB"))</f>
        <v>0 CPUs :0 GB : 0 GB</v>
      </c>
      <c r="T66" s="430"/>
      <c r="U66" s="123" t="s">
        <v>1918</v>
      </c>
      <c r="V66" s="430" t="str">
        <f>CONCATENATE(IF(AND(sizing_w23_chosen="Included",sizing_w23_avi_appliance_size&lt;&gt;"Excluded"),VLOOKUP(sizing_w23_avi_appliance_size,table_avi_lb_cpu,2,FALSE),0), " CPUs : ",IF(AND(sizing_w23_chosen="Included",sizing_w23_avi_appliance_size&lt;&gt;"Excluded"),VLOOKUP(sizing_w23_avi_appliance_size,table_avi_lb_ram,2,FALSE),0), " GB : ",IF(AND(sizing_w23_chosen="Included",sizing_w23_avi_appliance_size&lt;&gt;"Excluded"),VLOOKUP(sizing_w23_avi_appliance_size,table_avi_lb_disk,2,FALSE),0)," GB")</f>
        <v>0 CPUs : 0 GB : 0 GB</v>
      </c>
      <c r="W66" s="443"/>
      <c r="X66" s="66" t="s">
        <v>1918</v>
      </c>
      <c r="Y66" s="8" t="str">
        <f>CONCATENATE(
IF(AND(sizing_w23_ssp_chosen&lt;&gt;"Excluded",sizing_w23_ssp_chosen&lt;&gt;"Deployed in WLD"),VLOOKUP(sizing_w23_nsxt_appliance_size,table_ssp_cpu,2,FALSE),0)," CPUs : ",
IF(AND(sizing_w23_ssp_chosen&lt;&gt;"Excluded",sizing_w23_ssp_chosen&lt;&gt;"Deployed in WLD"),VLOOKUP(sizing_w23_nsxt_appliance_size,table_ssp_ram,2,FALSE),0), " GB : ",
IF(AND(sizing_w23_ssp_chosen&lt;&gt;"Excluded",sizing_w23_ssp_chosen&lt;&gt;"Deployed in WLD"),VLOOKUP(sizing_w23_nsxt_appliance_size,table_ssp_disk,2,FALSE),0)," GB")</f>
        <v>0 CPUs : 0 GB : 0 GB</v>
      </c>
      <c r="Z66" s="415" t="str">
        <f>IF(sizing_w23_chosen="Included",CONCATENATE("vCenter:",VLOOKUP(sizing_w23_vcenter_appliance_size,vcenter_sizing_limits,2,FALSE)," | NSX LM ",VLOOKUP(sizing_w23_nsxt_appliance_size,nsx_sizing_limits,2,FALSE)),"")</f>
        <v/>
      </c>
      <c r="AA66" s="416"/>
      <c r="AB66" s="416"/>
      <c r="AC66" s="416"/>
      <c r="AD66" s="417"/>
    </row>
    <row r="67" spans="1:30" ht="20" customHeight="1" x14ac:dyDescent="0.2">
      <c r="B67" s="26" t="s">
        <v>2954</v>
      </c>
      <c r="C67" s="139" t="s">
        <v>1918</v>
      </c>
      <c r="D67" s="137" t="s">
        <v>92</v>
      </c>
      <c r="E67" s="121" t="str">
        <f>CONCATENATE(IF(sizing_w24_chosen="Included",VLOOKUP(sizing_w24_vcenter_appliance_size,table_vcenter_appliance_cpu,2,FALSE),0)," CPUs ",": ",IF(sizing_w24_chosen="Included",VLOOKUP(sizing_w24_vcenter_appliance_size,table_vcenter_appliance_ram,2,FALSE),0)," GB")</f>
        <v>0 CPUs : 0 GB</v>
      </c>
      <c r="F67" s="137" t="s">
        <v>724</v>
      </c>
      <c r="G67" s="121" t="str">
        <f>CONCATENATE(IF(sizing_w24_chosen="Included",VLOOKUP(CONCATENATE(sizing_w24_vcenter_appliance_size,sizing_w24_vcenter_storage_size),table_vcenter_disk_gb,2,FALSE),0)," GB")</f>
        <v>0 GB</v>
      </c>
      <c r="H67" s="137" t="s">
        <v>2052</v>
      </c>
      <c r="I67" s="137" t="s">
        <v>92</v>
      </c>
      <c r="J67" s="476" t="str">
        <f>CONCATENATE(IF(AND(sizing_w24_chosen="Included",sizing_w24_nsxt_model&lt;&gt;"Shared"),VLOOKUP(sizing_w24_nsxt_appliance_size,table_nsxt_manager_cpu,2,FALSE),0)," CPUs : ",IF(AND(sizing_w24_chosen="Included",sizing_w24_nsxt_model&lt;&gt;"Shared"),VLOOKUP(sizing_w24_nsxt_appliance_size,table_nsxt_manager_ram,2,FALSE),0), " GB : ",IF(AND(sizing_w24_chosen="Included",sizing_w24_nsxt_model&lt;&gt;"Shared"),VLOOKUP(sizing_w24_nsxt_appliance_size,table_nsxt_manager_disk_gb,2,FALSE),0)," GB")</f>
        <v>0 CPUs : 0 GB : 0 GB</v>
      </c>
      <c r="K67" s="477"/>
      <c r="L67" s="123" t="s">
        <v>1918</v>
      </c>
      <c r="M67" s="66" t="s">
        <v>639</v>
      </c>
      <c r="N67" s="473" t="str">
        <f>CONCATENATE(IF(AND(sizing_w24_gm_chosen&lt;&gt;"Excluded",sizing_w24_gm_chosen&lt;&gt;"Connect Instance"),VLOOKUP(sizing_w24_nsxt_gm_appliance_size,table_nsxt_manager_cpu,2,FALSE),0)," CPUs : ",IF(AND(sizing_w24_gm_chosen&lt;&gt;"Excluded",sizing_w24_gm_chosen&lt;&gt;"Connect Instance"),VLOOKUP(sizing_w24_nsxt_gm_appliance_size,table_nsxt_manager_ram,2,FALSE),0)," GB : ",IF(AND(sizing_w24_gm_chosen&lt;&gt;"Excluded",sizing_w24_gm_chosen&lt;&gt;"Connect Instance"),VLOOKUP(sizing_w24_nsxt_gm_appliance_size,table_nsxt_manager_disk_gb,2,FALSE),0)," GB")</f>
        <v>0 CPUs : 0 GB : 0 GB</v>
      </c>
      <c r="O67" s="474"/>
      <c r="P67" s="474"/>
      <c r="Q67" s="475"/>
      <c r="R67" s="123" t="s">
        <v>13</v>
      </c>
      <c r="S67" s="430" t="str">
        <f>(CONCATENATE(IF(AND(sizing_w24_chosen="Included",sizing_w24_spr_chosen="Include"),VLOOKUP(input_wld_srm_vm_size,table_srm_cpu,2,FALSE),0)," CPUs :",IF(AND(sizing_w24_chosen="Included",sizing_w24_spr_chosen="Include"),VLOOKUP(input_wld_srm_vm_size,table_srm_ram,2,FALSE),0)," GB : ",IF(AND(sizing_w24_chosen="Included",sizing_w24_spr_chosen="Include"),VLOOKUP(input_wld_srm_vm_size,table_srm_disk,2,FALSE),0)," GB"))</f>
        <v>0 CPUs :0 GB : 0 GB</v>
      </c>
      <c r="T67" s="430"/>
      <c r="U67" s="123" t="s">
        <v>1918</v>
      </c>
      <c r="V67" s="430" t="str">
        <f>CONCATENATE(IF(AND(sizing_w24_chosen="Included",sizing_w24_avi_appliance_size&lt;&gt;"Excluded"),VLOOKUP(sizing_w24_avi_appliance_size,table_avi_lb_cpu,2,FALSE),0), " CPUs : ",IF(AND(sizing_w24_chosen="Included",sizing_w24_avi_appliance_size&lt;&gt;"Excluded"),VLOOKUP(sizing_w24_avi_appliance_size,table_avi_lb_ram,2,FALSE),0), " GB : ",IF(AND(sizing_w24_chosen="Included",sizing_w24_avi_appliance_size&lt;&gt;"Excluded"),VLOOKUP(sizing_w24_avi_appliance_size,table_avi_lb_disk,2,FALSE),0)," GB")</f>
        <v>0 CPUs : 0 GB : 0 GB</v>
      </c>
      <c r="W67" s="443"/>
      <c r="X67" s="66" t="s">
        <v>1918</v>
      </c>
      <c r="Y67" s="8" t="str">
        <f>CONCATENATE(
IF(AND(sizing_w24_ssp_chosen&lt;&gt;"Excluded",sizing_w24_ssp_chosen&lt;&gt;"Deployed in WLD"),VLOOKUP(sizing_w24_nsxt_appliance_size,table_ssp_cpu,2,FALSE),0)," CPUs : ",
IF(AND(sizing_w24_ssp_chosen&lt;&gt;"Excluded",sizing_w24_ssp_chosen&lt;&gt;"Deployed in WLD"),VLOOKUP(sizing_w24_nsxt_appliance_size,table_ssp_ram,2,FALSE),0), " GB : ",
IF(AND(sizing_w24_ssp_chosen&lt;&gt;"Excluded",sizing_w24_ssp_chosen&lt;&gt;"Deployed in WLD"),VLOOKUP(sizing_w24_nsxt_appliance_size,table_ssp_disk,2,FALSE),0)," GB")</f>
        <v>0 CPUs : 0 GB : 0 GB</v>
      </c>
      <c r="Z67" s="415" t="str">
        <f>IF(sizing_w24_chosen="Included",CONCATENATE("vCenter:",VLOOKUP(sizing_w24_vcenter_appliance_size,vcenter_sizing_limits,2,FALSE)," | NSX LM ",VLOOKUP(sizing_w24_nsxt_appliance_size,nsx_sizing_limits,2,FALSE)),"")</f>
        <v/>
      </c>
      <c r="AA67" s="416"/>
      <c r="AB67" s="416"/>
      <c r="AC67" s="416"/>
      <c r="AD67" s="417"/>
    </row>
    <row r="68" spans="1:30" ht="20" customHeight="1" x14ac:dyDescent="0.2">
      <c r="B68" s="26" t="s">
        <v>3529</v>
      </c>
      <c r="C68" s="139" t="s">
        <v>1918</v>
      </c>
      <c r="D68" s="137" t="s">
        <v>92</v>
      </c>
      <c r="E68" s="121" t="str">
        <f>CONCATENATE(IF(sizing_w25_chosen="Included",VLOOKUP(sizing_w25_vcenter_appliance_size,table_vcenter_appliance_cpu,2,FALSE),0)," CPUs ",": ",IF(sizing_w25_chosen="Included",VLOOKUP(sizing_w25_vcenter_appliance_size,table_vcenter_appliance_ram,2,FALSE),0)," GB")</f>
        <v>0 CPUs : 0 GB</v>
      </c>
      <c r="F68" s="137" t="s">
        <v>724</v>
      </c>
      <c r="G68" s="121" t="str">
        <f>CONCATENATE(IF(sizing_w25_chosen="Included",VLOOKUP(CONCATENATE(sizing_w25_vcenter_appliance_size,sizing_w25_vcenter_storage_size),table_vcenter_disk_gb,2,FALSE),0)," GB")</f>
        <v>0 GB</v>
      </c>
      <c r="H68" s="137" t="s">
        <v>2052</v>
      </c>
      <c r="I68" s="137" t="s">
        <v>92</v>
      </c>
      <c r="J68" s="476" t="str">
        <f>CONCATENATE(IF(AND(sizing_w25_chosen="Included",sizing_w25_nsxt_model&lt;&gt;"Shared"),VLOOKUP(sizing_w25_nsxt_appliance_size,table_nsxt_manager_cpu,2,FALSE),0)," CPUs : ",IF(AND(sizing_w25_chosen="Included",sizing_w25_nsxt_model&lt;&gt;"Shared"),VLOOKUP(sizing_w25_nsxt_appliance_size,table_nsxt_manager_ram,2,FALSE),0), " GB : ",IF(AND(sizing_w25_chosen="Included",sizing_w25_nsxt_model&lt;&gt;"Shared"),VLOOKUP(sizing_w25_nsxt_appliance_size,table_nsxt_manager_disk_gb,2,FALSE),0)," GB")</f>
        <v>0 CPUs : 0 GB : 0 GB</v>
      </c>
      <c r="K68" s="477"/>
      <c r="L68" s="123" t="s">
        <v>1918</v>
      </c>
      <c r="M68" s="66" t="s">
        <v>639</v>
      </c>
      <c r="N68" s="473" t="str">
        <f>CONCATENATE(IF(AND(sizing_w25_gm_chosen&lt;&gt;"Excluded",sizing_w25_gm_chosen&lt;&gt;"Connect Instance"),VLOOKUP(sizing_w25_nsxt_gm_appliance_size,table_nsxt_manager_cpu,2,FALSE),0)," CPUs : ",IF(AND(sizing_w25_gm_chosen&lt;&gt;"Excluded",sizing_w25_gm_chosen&lt;&gt;"Connect Instance"),VLOOKUP(sizing_w25_nsxt_gm_appliance_size,table_nsxt_manager_ram,2,FALSE),0)," GB : ",IF(AND(sizing_w25_gm_chosen&lt;&gt;"Excluded",sizing_w25_gm_chosen&lt;&gt;"Connect Instance"),VLOOKUP(sizing_w25_nsxt_gm_appliance_size,table_nsxt_manager_disk_gb,2,FALSE),0)," GB")</f>
        <v>0 CPUs : 0 GB : 0 GB</v>
      </c>
      <c r="O68" s="474"/>
      <c r="P68" s="474"/>
      <c r="Q68" s="475"/>
      <c r="R68" s="123" t="s">
        <v>13</v>
      </c>
      <c r="S68" s="430" t="str">
        <f>(CONCATENATE(IF(AND(sizing_w25_chosen="Included",sizing_w25_spr_chosen="Include"),VLOOKUP(input_wld_srm_vm_size,table_srm_cpu,2,FALSE),0)," CPUs :",IF(AND(sizing_w25_chosen="Included",sizing_w25_spr_chosen="Include"),VLOOKUP(input_wld_srm_vm_size,table_srm_ram,2,FALSE),0)," GB : ",IF(AND(sizing_w25_chosen="Included",sizing_w25_spr_chosen="Include"),VLOOKUP(input_wld_srm_vm_size,table_srm_disk,2,FALSE),0)," GB"))</f>
        <v>0 CPUs :0 GB : 0 GB</v>
      </c>
      <c r="T68" s="430"/>
      <c r="U68" s="123" t="s">
        <v>1918</v>
      </c>
      <c r="V68" s="430" t="str">
        <f>CONCATENATE(IF(AND(sizing_w25_chosen="Included",sizing_w25_avi_appliance_size&lt;&gt;"Excluded"),VLOOKUP(sizing_w25_avi_appliance_size,table_avi_lb_cpu,2,FALSE),0), " CPUs : ",IF(AND(sizing_w25_chosen="Included",sizing_w25_avi_appliance_size&lt;&gt;"Excluded"),VLOOKUP(sizing_w25_avi_appliance_size,table_avi_lb_ram,2,FALSE),0), " GB : ",IF(AND(sizing_w25_chosen="Included",sizing_w25_avi_appliance_size&lt;&gt;"Excluded"),VLOOKUP(sizing_w25_avi_appliance_size,table_avi_lb_disk,2,FALSE),0)," GB")</f>
        <v>0 CPUs : 0 GB : 0 GB</v>
      </c>
      <c r="W68" s="443"/>
      <c r="X68" s="66" t="s">
        <v>1918</v>
      </c>
      <c r="Y68" s="8" t="str">
        <f>CONCATENATE(
IF(AND(sizing_w25_ssp_chosen&lt;&gt;"Excluded",sizing_w25_ssp_chosen&lt;&gt;"Deployed in WLD"),VLOOKUP(sizing_w25_nsxt_appliance_size,table_ssp_cpu,2,FALSE),0)," CPUs : ",
IF(AND(sizing_w25_ssp_chosen&lt;&gt;"Excluded",sizing_w25_ssp_chosen&lt;&gt;"Deployed in WLD"),VLOOKUP(sizing_w25_nsxt_appliance_size,table_ssp_ram,2,FALSE),0), " GB : ",
IF(AND(sizing_w25_ssp_chosen&lt;&gt;"Excluded",sizing_w25_ssp_chosen&lt;&gt;"Deployed in WLD"),VLOOKUP(sizing_w25_nsxt_appliance_size,table_ssp_disk,2,FALSE),0)," GB")</f>
        <v>0 CPUs : 0 GB : 0 GB</v>
      </c>
      <c r="Z68" s="415" t="str">
        <f>IF(sizing_w25_chosen="Included",CONCATENATE("vCenter:",VLOOKUP(sizing_w25_vcenter_appliance_size,vcenter_sizing_limits,2,FALSE)," | NSX LM ",VLOOKUP(sizing_w25_nsxt_appliance_size,nsx_sizing_limits,2,FALSE)),"")</f>
        <v/>
      </c>
      <c r="AA68" s="416"/>
      <c r="AB68" s="416"/>
      <c r="AC68" s="416"/>
      <c r="AD68" s="417"/>
    </row>
    <row r="69" spans="1:30" ht="20" customHeight="1" x14ac:dyDescent="0.2">
      <c r="B69" s="26" t="s">
        <v>3530</v>
      </c>
      <c r="C69" s="139" t="s">
        <v>1918</v>
      </c>
      <c r="D69" s="137" t="s">
        <v>92</v>
      </c>
      <c r="E69" s="121" t="str">
        <f>CONCATENATE(IF(sizing_w26_chosen="Included",VLOOKUP(sizing_w26_vcenter_appliance_size,table_vcenter_appliance_cpu,2,FALSE),0)," CPUs ",": ",IF(sizing_w26_chosen="Included",VLOOKUP(sizing_w26_vcenter_appliance_size,table_vcenter_appliance_ram,2,FALSE),0)," GB")</f>
        <v>0 CPUs : 0 GB</v>
      </c>
      <c r="F69" s="137" t="s">
        <v>724</v>
      </c>
      <c r="G69" s="121" t="str">
        <f>CONCATENATE(IF(sizing_w26_chosen="Included",VLOOKUP(CONCATENATE(sizing_w26_vcenter_appliance_size,sizing_w26_vcenter_storage_size),table_vcenter_disk_gb,2,FALSE),0)," GB")</f>
        <v>0 GB</v>
      </c>
      <c r="H69" s="137" t="s">
        <v>2052</v>
      </c>
      <c r="I69" s="137" t="s">
        <v>92</v>
      </c>
      <c r="J69" s="476" t="str">
        <f>CONCATENATE(IF(AND(sizing_w26_chosen="Included",sizing_w26_nsxt_model&lt;&gt;"Shared"),VLOOKUP(sizing_w26_nsxt_appliance_size,table_nsxt_manager_cpu,2,FALSE),0)," CPUs : ",IF(AND(sizing_w26_chosen="Included",sizing_w26_nsxt_model&lt;&gt;"Shared"),VLOOKUP(sizing_w26_nsxt_appliance_size,table_nsxt_manager_ram,2,FALSE),0), " GB : ",IF(AND(sizing_w26_chosen="Included",sizing_w26_nsxt_model&lt;&gt;"Shared"),VLOOKUP(sizing_w26_nsxt_appliance_size,table_nsxt_manager_disk_gb,2,FALSE),0)," GB")</f>
        <v>0 CPUs : 0 GB : 0 GB</v>
      </c>
      <c r="K69" s="477"/>
      <c r="L69" s="123" t="s">
        <v>1918</v>
      </c>
      <c r="M69" s="66" t="s">
        <v>639</v>
      </c>
      <c r="N69" s="473" t="str">
        <f>CONCATENATE(IF(AND(sizing_w26_gm_chosen&lt;&gt;"Excluded",sizing_w26_gm_chosen&lt;&gt;"Connect Instance"),VLOOKUP(sizing_w26_nsxt_gm_appliance_size,table_nsxt_manager_cpu,2,FALSE),0)," CPUs : ",IF(AND(sizing_w26_gm_chosen&lt;&gt;"Excluded",sizing_w26_gm_chosen&lt;&gt;"Connect Instance"),VLOOKUP(sizing_w26_nsxt_gm_appliance_size,table_nsxt_manager_ram,2,FALSE),0)," GB : ",IF(AND(sizing_w26_gm_chosen&lt;&gt;"Excluded",sizing_w26_gm_chosen&lt;&gt;"Connect Instance"),VLOOKUP(sizing_w26_nsxt_gm_appliance_size,table_nsxt_manager_disk_gb,2,FALSE),0)," GB")</f>
        <v>0 CPUs : 0 GB : 0 GB</v>
      </c>
      <c r="O69" s="474"/>
      <c r="P69" s="474"/>
      <c r="Q69" s="475"/>
      <c r="R69" s="123" t="s">
        <v>13</v>
      </c>
      <c r="S69" s="430" t="str">
        <f>(CONCATENATE(IF(AND(sizing_w26_chosen="Included",sizing_w26_spr_chosen="Include"),VLOOKUP(input_wld_srm_vm_size,table_srm_cpu,2,FALSE),0)," CPUs :",IF(AND(sizing_w26_chosen="Included",sizing_w26_spr_chosen="Include"),VLOOKUP(input_wld_srm_vm_size,table_srm_ram,2,FALSE),0)," GB : ",IF(AND(sizing_w26_chosen="Included",sizing_w26_spr_chosen="Include"),VLOOKUP(input_wld_srm_vm_size,table_srm_disk,2,FALSE),0)," GB"))</f>
        <v>0 CPUs :0 GB : 0 GB</v>
      </c>
      <c r="T69" s="430"/>
      <c r="U69" s="123" t="s">
        <v>1918</v>
      </c>
      <c r="V69" s="430" t="str">
        <f>CONCATENATE(IF(AND(sizing_w26_chosen="Included",sizing_w26_avi_appliance_size&lt;&gt;"Excluded"),VLOOKUP(sizing_w26_avi_appliance_size,table_avi_lb_cpu,2,FALSE),0), " CPUs : ",IF(AND(sizing_w26_chosen="Included",sizing_w26_avi_appliance_size&lt;&gt;"Excluded"),VLOOKUP(sizing_w26_avi_appliance_size,table_avi_lb_ram,2,FALSE),0), " GB : ",IF(AND(sizing_w26_chosen="Included",sizing_w26_avi_appliance_size&lt;&gt;"Excluded"),VLOOKUP(sizing_w26_avi_appliance_size,table_avi_lb_disk,2,FALSE),0)," GB")</f>
        <v>0 CPUs : 0 GB : 0 GB</v>
      </c>
      <c r="W69" s="443"/>
      <c r="X69" s="66" t="s">
        <v>1918</v>
      </c>
      <c r="Y69" s="8" t="str">
        <f>CONCATENATE(
IF(AND(sizing_w26_ssp_chosen&lt;&gt;"Excluded",sizing_w26_ssp_chosen&lt;&gt;"Deployed in WLD"),VLOOKUP(sizing_w26_nsxt_appliance_size,table_ssp_cpu,2,FALSE),0)," CPUs : ",
IF(AND(sizing_w26_ssp_chosen&lt;&gt;"Excluded",sizing_w26_ssp_chosen&lt;&gt;"Deployed in WLD"),VLOOKUP(sizing_w26_nsxt_appliance_size,table_ssp_ram,2,FALSE),0), " GB : ",
IF(AND(sizing_w26_ssp_chosen&lt;&gt;"Excluded",sizing_w26_ssp_chosen&lt;&gt;"Deployed in WLD"),VLOOKUP(sizing_w26_nsxt_appliance_size,table_ssp_disk,2,FALSE),0)," GB")</f>
        <v>0 CPUs : 0 GB : 0 GB</v>
      </c>
      <c r="Z69" s="415" t="str">
        <f>IF(sizing_w26_chosen="Included",CONCATENATE("vCenter:",VLOOKUP(sizing_w26_vcenter_appliance_size,vcenter_sizing_limits,2,FALSE)," | NSX LM ",VLOOKUP(sizing_w26_nsxt_appliance_size,nsx_sizing_limits,2,FALSE)),"")</f>
        <v/>
      </c>
      <c r="AA69" s="416"/>
      <c r="AB69" s="416"/>
      <c r="AC69" s="416"/>
      <c r="AD69" s="417"/>
    </row>
    <row r="70" spans="1:30" ht="20" customHeight="1" x14ac:dyDescent="0.2">
      <c r="B70" s="26" t="s">
        <v>3531</v>
      </c>
      <c r="C70" s="139" t="s">
        <v>1918</v>
      </c>
      <c r="D70" s="137" t="s">
        <v>92</v>
      </c>
      <c r="E70" s="121" t="str">
        <f>CONCATENATE(IF(sizing_w27_chosen="Included",VLOOKUP(sizing_w27_vcenter_appliance_size,table_vcenter_appliance_cpu,2,FALSE),0)," CPUs ",": ",IF(sizing_w27_chosen="Included",VLOOKUP(sizing_w27_vcenter_appliance_size,table_vcenter_appliance_ram,2,FALSE),0)," GB")</f>
        <v>0 CPUs : 0 GB</v>
      </c>
      <c r="F70" s="137" t="s">
        <v>724</v>
      </c>
      <c r="G70" s="121" t="str">
        <f>CONCATENATE(IF(sizing_w27_chosen="Included",VLOOKUP(CONCATENATE(sizing_w27_vcenter_appliance_size,sizing_w27_vcenter_storage_size),table_vcenter_disk_gb,2,FALSE),0)," GB")</f>
        <v>0 GB</v>
      </c>
      <c r="H70" s="137" t="s">
        <v>2052</v>
      </c>
      <c r="I70" s="137" t="s">
        <v>92</v>
      </c>
      <c r="J70" s="476" t="str">
        <f>CONCATENATE(IF(AND(sizing_w27_chosen="Included",sizing_w27_nsxt_model&lt;&gt;"Shared"),VLOOKUP(sizing_w27_nsxt_appliance_size,table_nsxt_manager_cpu,2,FALSE),0)," CPUs : ",IF(AND(sizing_w27_chosen="Included",sizing_w27_nsxt_model&lt;&gt;"Shared"),VLOOKUP(sizing_w27_nsxt_appliance_size,table_nsxt_manager_ram,2,FALSE),0), " GB : ",IF(AND(sizing_w27_chosen="Included",sizing_w27_nsxt_model&lt;&gt;"Shared"),VLOOKUP(sizing_w27_nsxt_appliance_size,table_nsxt_manager_disk_gb,2,FALSE),0)," GB")</f>
        <v>0 CPUs : 0 GB : 0 GB</v>
      </c>
      <c r="K70" s="477"/>
      <c r="L70" s="123" t="s">
        <v>1918</v>
      </c>
      <c r="M70" s="66" t="s">
        <v>639</v>
      </c>
      <c r="N70" s="473" t="str">
        <f>CONCATENATE(IF(AND(sizing_w27_gm_chosen&lt;&gt;"Excluded",sizing_w27_gm_chosen&lt;&gt;"Connect Instance"),VLOOKUP(sizing_w27_nsxt_gm_appliance_size,table_nsxt_manager_cpu,2,FALSE),0)," CPUs : ",IF(AND(sizing_w27_gm_chosen&lt;&gt;"Excluded",sizing_w27_gm_chosen&lt;&gt;"Connect Instance"),VLOOKUP(sizing_w27_nsxt_gm_appliance_size,table_nsxt_manager_ram,2,FALSE),0)," GB : ",IF(AND(sizing_w27_gm_chosen&lt;&gt;"Excluded",sizing_w27_gm_chosen&lt;&gt;"Connect Instance"),VLOOKUP(sizing_w27_nsxt_gm_appliance_size,table_nsxt_manager_disk_gb,2,FALSE),0)," GB")</f>
        <v>0 CPUs : 0 GB : 0 GB</v>
      </c>
      <c r="O70" s="474"/>
      <c r="P70" s="474"/>
      <c r="Q70" s="475"/>
      <c r="R70" s="123" t="s">
        <v>13</v>
      </c>
      <c r="S70" s="430" t="str">
        <f>(CONCATENATE(IF(AND(sizing_w27_chosen="Included",sizing_w27_spr_chosen="Include"),VLOOKUP(input_wld_srm_vm_size,table_srm_cpu,2,FALSE),0)," CPUs :",IF(AND(sizing_w27_chosen="Included",sizing_w27_spr_chosen="Include"),VLOOKUP(input_wld_srm_vm_size,table_srm_ram,2,FALSE),0)," GB : ",IF(AND(sizing_w27_chosen="Included",sizing_w27_spr_chosen="Include"),VLOOKUP(input_wld_srm_vm_size,table_srm_disk,2,FALSE),0)," GB"))</f>
        <v>0 CPUs :0 GB : 0 GB</v>
      </c>
      <c r="T70" s="430"/>
      <c r="U70" s="123" t="s">
        <v>1918</v>
      </c>
      <c r="V70" s="430" t="str">
        <f>CONCATENATE(IF(AND(sizing_w27_chosen="Included",sizing_w27_avi_appliance_size&lt;&gt;"Excluded"),VLOOKUP(sizing_w27_avi_appliance_size,table_avi_lb_cpu,2,FALSE),0), " CPUs : ",IF(AND(sizing_w27_chosen="Included",sizing_w27_avi_appliance_size&lt;&gt;"Excluded"),VLOOKUP(sizing_w27_avi_appliance_size,table_avi_lb_ram,2,FALSE),0), " GB : ",IF(AND(sizing_w27_chosen="Included",sizing_w27_avi_appliance_size&lt;&gt;"Excluded"),VLOOKUP(sizing_w27_avi_appliance_size,table_avi_lb_disk,2,FALSE),0)," GB")</f>
        <v>0 CPUs : 0 GB : 0 GB</v>
      </c>
      <c r="W70" s="443"/>
      <c r="X70" s="66" t="s">
        <v>1918</v>
      </c>
      <c r="Y70" s="8" t="str">
        <f>CONCATENATE(
IF(AND(sizing_w27_ssp_chosen&lt;&gt;"Excluded",sizing_w27_ssp_chosen&lt;&gt;"Deployed in WLD"),VLOOKUP(sizing_w27_nsxt_appliance_size,table_ssp_cpu,2,FALSE),0)," CPUs : ",
IF(AND(sizing_w27_ssp_chosen&lt;&gt;"Excluded",sizing_w27_ssp_chosen&lt;&gt;"Deployed in WLD"),VLOOKUP(sizing_w27_nsxt_appliance_size,table_ssp_ram,2,FALSE),0), " GB : ",
IF(AND(sizing_w27_ssp_chosen&lt;&gt;"Excluded",sizing_w27_ssp_chosen&lt;&gt;"Deployed in WLD"),VLOOKUP(sizing_w27_nsxt_appliance_size,table_ssp_disk,2,FALSE),0)," GB")</f>
        <v>0 CPUs : 0 GB : 0 GB</v>
      </c>
      <c r="Z70" s="415" t="str">
        <f>IF(sizing_w27_chosen="Included",CONCATENATE("vCenter:",VLOOKUP(sizing_w27_vcenter_appliance_size,vcenter_sizing_limits,2,FALSE)," | NSX LM ",VLOOKUP(sizing_w27_nsxt_appliance_size,nsx_sizing_limits,2,FALSE)),"")</f>
        <v/>
      </c>
      <c r="AA70" s="416"/>
      <c r="AB70" s="416"/>
      <c r="AC70" s="416"/>
      <c r="AD70" s="417"/>
    </row>
    <row r="71" spans="1:30" ht="20" customHeight="1" x14ac:dyDescent="0.2">
      <c r="B71" s="26" t="s">
        <v>3532</v>
      </c>
      <c r="C71" s="139" t="s">
        <v>1918</v>
      </c>
      <c r="D71" s="137" t="s">
        <v>92</v>
      </c>
      <c r="E71" s="121" t="str">
        <f>CONCATENATE(IF(sizing_w28_chosen="Included",VLOOKUP(sizing_w28_vcenter_appliance_size,table_vcenter_appliance_cpu,2,FALSE),0)," CPUs ",": ",IF(sizing_w28_chosen="Included",VLOOKUP(sizing_w28_vcenter_appliance_size,table_vcenter_appliance_ram,2,FALSE),0)," GB")</f>
        <v>0 CPUs : 0 GB</v>
      </c>
      <c r="F71" s="137" t="s">
        <v>724</v>
      </c>
      <c r="G71" s="121" t="str">
        <f>CONCATENATE(IF(sizing_w28_chosen="Included",VLOOKUP(CONCATENATE(sizing_w28_vcenter_appliance_size,sizing_w28_vcenter_storage_size),table_vcenter_disk_gb,2,FALSE),0)," GB")</f>
        <v>0 GB</v>
      </c>
      <c r="H71" s="137" t="s">
        <v>2052</v>
      </c>
      <c r="I71" s="137" t="s">
        <v>92</v>
      </c>
      <c r="J71" s="476" t="str">
        <f>CONCATENATE(IF(AND(sizing_w28_chosen="Included",sizing_w28_nsxt_model&lt;&gt;"Shared"),VLOOKUP(sizing_w28_nsxt_appliance_size,table_nsxt_manager_cpu,2,FALSE),0)," CPUs : ",IF(AND(sizing_w28_chosen="Included",sizing_w28_nsxt_model&lt;&gt;"Shared"),VLOOKUP(sizing_w28_nsxt_appliance_size,table_nsxt_manager_ram,2,FALSE),0), " GB : ",IF(AND(sizing_w28_chosen="Included",sizing_w28_nsxt_model&lt;&gt;"Shared"),VLOOKUP(sizing_w28_nsxt_appliance_size,table_nsxt_manager_disk_gb,2,FALSE),0)," GB")</f>
        <v>0 CPUs : 0 GB : 0 GB</v>
      </c>
      <c r="K71" s="477"/>
      <c r="L71" s="123" t="s">
        <v>1918</v>
      </c>
      <c r="M71" s="66" t="s">
        <v>639</v>
      </c>
      <c r="N71" s="473" t="str">
        <f>CONCATENATE(IF(AND(sizing_w28_gm_chosen&lt;&gt;"Excluded",sizing_w28_gm_chosen&lt;&gt;"Connect Instance"),VLOOKUP(sizing_w28_nsxt_gm_appliance_size,table_nsxt_manager_cpu,2,FALSE),0)," CPUs : ",IF(AND(sizing_w28_gm_chosen&lt;&gt;"Excluded",sizing_w28_gm_chosen&lt;&gt;"Connect Instance"),VLOOKUP(sizing_w28_nsxt_gm_appliance_size,table_nsxt_manager_ram,2,FALSE),0)," GB : ",IF(AND(sizing_w28_gm_chosen&lt;&gt;"Excluded",sizing_w28_gm_chosen&lt;&gt;"Connect Instance"),VLOOKUP(sizing_w28_nsxt_gm_appliance_size,table_nsxt_manager_disk_gb,2,FALSE),0)," GB")</f>
        <v>0 CPUs : 0 GB : 0 GB</v>
      </c>
      <c r="O71" s="474"/>
      <c r="P71" s="474"/>
      <c r="Q71" s="475"/>
      <c r="R71" s="123" t="s">
        <v>13</v>
      </c>
      <c r="S71" s="430" t="str">
        <f>(CONCATENATE(IF(AND(sizing_w28_chosen="Included",sizing_w28_spr_chosen="Include"),VLOOKUP(input_wld_srm_vm_size,table_srm_cpu,2,FALSE),0)," CPUs :",IF(AND(sizing_w28_chosen="Included",sizing_w28_spr_chosen="Include"),VLOOKUP(input_wld_srm_vm_size,table_srm_ram,2,FALSE),0)," GB : ",IF(AND(sizing_w28_chosen="Included",sizing_w28_spr_chosen="Include"),VLOOKUP(input_wld_srm_vm_size,table_srm_disk,2,FALSE),0)," GB"))</f>
        <v>0 CPUs :0 GB : 0 GB</v>
      </c>
      <c r="T71" s="430"/>
      <c r="U71" s="123" t="s">
        <v>1918</v>
      </c>
      <c r="V71" s="430" t="str">
        <f>CONCATENATE(IF(AND(sizing_w28_chosen="Included",sizing_w28_avi_appliance_size&lt;&gt;"Excluded"),VLOOKUP(sizing_w28_avi_appliance_size,table_avi_lb_cpu,2,FALSE),0), " CPUs : ",IF(AND(sizing_w28_chosen="Included",sizing_w28_avi_appliance_size&lt;&gt;"Excluded"),VLOOKUP(sizing_w28_avi_appliance_size,table_avi_lb_ram,2,FALSE),0), " GB : ",IF(AND(sizing_w28_chosen="Included",sizing_w28_avi_appliance_size&lt;&gt;"Excluded"),VLOOKUP(sizing_w28_avi_appliance_size,table_avi_lb_disk,2,FALSE),0)," GB")</f>
        <v>0 CPUs : 0 GB : 0 GB</v>
      </c>
      <c r="W71" s="443"/>
      <c r="X71" s="66" t="s">
        <v>1918</v>
      </c>
      <c r="Y71" s="8" t="str">
        <f>CONCATENATE(
IF(AND(sizing_w28_ssp_chosen&lt;&gt;"Excluded",sizing_w28_ssp_chosen&lt;&gt;"Deployed in WLD"),VLOOKUP(sizing_w28_nsxt_appliance_size,table_ssp_cpu,2,FALSE),0)," CPUs : ",
IF(AND(sizing_w28_ssp_chosen&lt;&gt;"Excluded",sizing_w28_ssp_chosen&lt;&gt;"Deployed in WLD"),VLOOKUP(sizing_w28_nsxt_appliance_size,table_ssp_ram,2,FALSE),0), " GB : ",
IF(AND(sizing_w28_ssp_chosen&lt;&gt;"Excluded",sizing_w28_ssp_chosen&lt;&gt;"Deployed in WLD"),VLOOKUP(sizing_w28_nsxt_appliance_size,table_ssp_disk,2,FALSE),0)," GB")</f>
        <v>0 CPUs : 0 GB : 0 GB</v>
      </c>
      <c r="Z71" s="415" t="str">
        <f>IF(sizing_w28_chosen="Included",CONCATENATE("vCenter:",VLOOKUP(sizing_w28_vcenter_appliance_size,vcenter_sizing_limits,2,FALSE)," | NSX LM ",VLOOKUP(sizing_w28_nsxt_appliance_size,nsx_sizing_limits,2,FALSE)),"")</f>
        <v/>
      </c>
      <c r="AA71" s="416"/>
      <c r="AB71" s="416"/>
      <c r="AC71" s="416"/>
      <c r="AD71" s="417"/>
    </row>
    <row r="72" spans="1:30" ht="20" customHeight="1" x14ac:dyDescent="0.2">
      <c r="B72" s="26" t="s">
        <v>3533</v>
      </c>
      <c r="C72" s="139" t="s">
        <v>1918</v>
      </c>
      <c r="D72" s="137" t="s">
        <v>92</v>
      </c>
      <c r="E72" s="121" t="str">
        <f>CONCATENATE(IF(sizing_w29_chosen="Included",VLOOKUP(sizing_w29_vcenter_appliance_size,table_vcenter_appliance_cpu,2,FALSE),0)," CPUs ",": ",IF(sizing_w29_chosen="Included",VLOOKUP(sizing_w29_vcenter_appliance_size,table_vcenter_appliance_ram,2,FALSE),0)," GB")</f>
        <v>0 CPUs : 0 GB</v>
      </c>
      <c r="F72" s="137" t="s">
        <v>724</v>
      </c>
      <c r="G72" s="121" t="str">
        <f>CONCATENATE(IF(sizing_w29_chosen="Included",VLOOKUP(CONCATENATE(sizing_w29_vcenter_appliance_size,sizing_w29_vcenter_storage_size),table_vcenter_disk_gb,2,FALSE),0)," GB")</f>
        <v>0 GB</v>
      </c>
      <c r="H72" s="137" t="s">
        <v>2052</v>
      </c>
      <c r="I72" s="137" t="s">
        <v>92</v>
      </c>
      <c r="J72" s="476" t="str">
        <f>CONCATENATE(IF(AND(sizing_w29_chosen="Included",sizing_w29_nsxt_model&lt;&gt;"Shared"),VLOOKUP(sizing_w29_nsxt_appliance_size,table_nsxt_manager_cpu,2,FALSE),0)," CPUs : ",IF(AND(sizing_w29_chosen="Included",sizing_w29_nsxt_model&lt;&gt;"Shared"),VLOOKUP(sizing_w29_nsxt_appliance_size,table_nsxt_manager_ram,2,FALSE),0), " GB : ",IF(AND(sizing_w29_chosen="Included",sizing_w29_nsxt_model&lt;&gt;"Shared"),VLOOKUP(sizing_w29_nsxt_appliance_size,table_nsxt_manager_disk_gb,2,FALSE),0)," GB")</f>
        <v>0 CPUs : 0 GB : 0 GB</v>
      </c>
      <c r="K72" s="477"/>
      <c r="L72" s="123" t="s">
        <v>1918</v>
      </c>
      <c r="M72" s="66" t="s">
        <v>639</v>
      </c>
      <c r="N72" s="473" t="str">
        <f>CONCATENATE(IF(AND(sizing_w29_gm_chosen&lt;&gt;"Excluded",sizing_w29_gm_chosen&lt;&gt;"Connect Instance"),VLOOKUP(sizing_w29_nsxt_gm_appliance_size,table_nsxt_manager_cpu,2,FALSE),0)," CPUs : ",IF(AND(sizing_w29_gm_chosen&lt;&gt;"Excluded",sizing_w29_gm_chosen&lt;&gt;"Connect Instance"),VLOOKUP(sizing_w29_nsxt_gm_appliance_size,table_nsxt_manager_ram,2,FALSE),0)," GB : ",IF(AND(sizing_w29_gm_chosen&lt;&gt;"Excluded",sizing_w29_gm_chosen&lt;&gt;"Connect Instance"),VLOOKUP(sizing_w29_nsxt_gm_appliance_size,table_nsxt_manager_disk_gb,2,FALSE),0)," GB")</f>
        <v>0 CPUs : 0 GB : 0 GB</v>
      </c>
      <c r="O72" s="474"/>
      <c r="P72" s="474"/>
      <c r="Q72" s="475"/>
      <c r="R72" s="123" t="s">
        <v>13</v>
      </c>
      <c r="S72" s="430" t="str">
        <f>(CONCATENATE(IF(AND(sizing_w29_chosen="Included",sizing_w29_spr_chosen="Include"),VLOOKUP(input_wld_srm_vm_size,table_srm_cpu,2,FALSE),0)," CPUs :",IF(AND(sizing_w29_chosen="Included",sizing_w29_spr_chosen="Include"),VLOOKUP(input_wld_srm_vm_size,table_srm_ram,2,FALSE),0)," GB : ",IF(AND(sizing_w29_chosen="Included",sizing_w29_spr_chosen="Include"),VLOOKUP(input_wld_srm_vm_size,table_srm_disk,2,FALSE),0)," GB"))</f>
        <v>0 CPUs :0 GB : 0 GB</v>
      </c>
      <c r="T72" s="430"/>
      <c r="U72" s="123" t="s">
        <v>1918</v>
      </c>
      <c r="V72" s="430" t="str">
        <f>CONCATENATE(IF(AND(sizing_w29_chosen="Included",sizing_w29_avi_appliance_size&lt;&gt;"Excluded"),VLOOKUP(sizing_w29_avi_appliance_size,table_avi_lb_cpu,2,FALSE),0), " CPUs : ",IF(AND(sizing_w29_chosen="Included",sizing_w29_avi_appliance_size&lt;&gt;"Excluded"),VLOOKUP(sizing_w29_avi_appliance_size,table_avi_lb_ram,2,FALSE),0), " GB : ",IF(AND(sizing_w29_chosen="Included",sizing_w29_avi_appliance_size&lt;&gt;"Excluded"),VLOOKUP(sizing_w29_avi_appliance_size,table_avi_lb_disk,2,FALSE),0)," GB")</f>
        <v>0 CPUs : 0 GB : 0 GB</v>
      </c>
      <c r="W72" s="443"/>
      <c r="X72" s="66" t="s">
        <v>1918</v>
      </c>
      <c r="Y72" s="8" t="str">
        <f>CONCATENATE(
IF(AND(sizing_w29_ssp_chosen&lt;&gt;"Excluded",sizing_w29_ssp_chosen&lt;&gt;"Deployed in WLD"),VLOOKUP(sizing_w29_nsxt_appliance_size,table_ssp_cpu,2,FALSE),0)," CPUs : ",
IF(AND(sizing_w29_ssp_chosen&lt;&gt;"Excluded",sizing_w29_ssp_chosen&lt;&gt;"Deployed in WLD"),VLOOKUP(sizing_w29_nsxt_appliance_size,table_ssp_ram,2,FALSE),0), " GB : ",
IF(AND(sizing_w29_ssp_chosen&lt;&gt;"Excluded",sizing_w29_ssp_chosen&lt;&gt;"Deployed in WLD"),VLOOKUP(sizing_w29_nsxt_appliance_size,table_ssp_disk,2,FALSE),0)," GB")</f>
        <v>0 CPUs : 0 GB : 0 GB</v>
      </c>
      <c r="Z72" s="415" t="str">
        <f>IF(sizing_w29_chosen="Included",CONCATENATE("vCenter:",VLOOKUP(sizing_w29_vcenter_appliance_size,vcenter_sizing_limits,2,FALSE)," | NSX LM ",VLOOKUP(sizing_w29_nsxt_appliance_size,nsx_sizing_limits,2,FALSE)),"")</f>
        <v/>
      </c>
      <c r="AA72" s="416"/>
      <c r="AB72" s="416"/>
      <c r="AC72" s="416"/>
      <c r="AD72" s="417"/>
    </row>
    <row r="73" spans="1:30" ht="20" customHeight="1" x14ac:dyDescent="0.2">
      <c r="B73" s="26" t="s">
        <v>3534</v>
      </c>
      <c r="C73" s="139" t="s">
        <v>1918</v>
      </c>
      <c r="D73" s="137" t="s">
        <v>92</v>
      </c>
      <c r="E73" s="121" t="str">
        <f>CONCATENATE(IF(sizing_w30_chosen="Included",VLOOKUP(sizing_w30_vcenter_appliance_size,table_vcenter_appliance_cpu,2,FALSE),0)," CPUs ",": ",IF(sizing_w30_chosen="Included",VLOOKUP(sizing_w30_vcenter_appliance_size,table_vcenter_appliance_ram,2,FALSE),0)," GB")</f>
        <v>0 CPUs : 0 GB</v>
      </c>
      <c r="F73" s="137" t="s">
        <v>724</v>
      </c>
      <c r="G73" s="121" t="str">
        <f>CONCATENATE(IF(sizing_w30_chosen="Included",VLOOKUP(CONCATENATE(sizing_w30_vcenter_appliance_size,sizing_w30_vcenter_storage_size),table_vcenter_disk_gb,2,FALSE),0)," GB")</f>
        <v>0 GB</v>
      </c>
      <c r="H73" s="137" t="s">
        <v>2052</v>
      </c>
      <c r="I73" s="137" t="s">
        <v>92</v>
      </c>
      <c r="J73" s="476" t="str">
        <f>CONCATENATE(IF(AND(sizing_w30_chosen="Included",sizing_w30_nsxt_model&lt;&gt;"Shared"),VLOOKUP(sizing_w30_nsxt_appliance_size,table_nsxt_manager_cpu,2,FALSE),0)," CPUs : ",IF(AND(sizing_w30_chosen="Included",sizing_w30_nsxt_model&lt;&gt;"Shared"),VLOOKUP(sizing_w30_nsxt_appliance_size,table_nsxt_manager_ram,2,FALSE),0), " GB : ",IF(AND(sizing_w30_chosen="Included",sizing_w30_nsxt_model&lt;&gt;"Shared"),VLOOKUP(sizing_w30_nsxt_appliance_size,table_nsxt_manager_disk_gb,2,FALSE),0)," GB")</f>
        <v>0 CPUs : 0 GB : 0 GB</v>
      </c>
      <c r="K73" s="477"/>
      <c r="L73" s="123" t="s">
        <v>1918</v>
      </c>
      <c r="M73" s="66" t="s">
        <v>639</v>
      </c>
      <c r="N73" s="473" t="str">
        <f>CONCATENATE(IF(AND(sizing_w30_gm_chosen&lt;&gt;"Excluded",sizing_w30_gm_chosen&lt;&gt;"Connect Instance"),VLOOKUP(sizing_w30_nsxt_gm_appliance_size,table_nsxt_manager_cpu,2,FALSE),0)," CPUs : ",IF(AND(sizing_w30_gm_chosen&lt;&gt;"Excluded",sizing_w30_gm_chosen&lt;&gt;"Connect Instance"),VLOOKUP(sizing_w30_nsxt_gm_appliance_size,table_nsxt_manager_ram,2,FALSE),0)," GB : ",IF(AND(sizing_w30_gm_chosen&lt;&gt;"Excluded",sizing_w30_gm_chosen&lt;&gt;"Connect Instance"),VLOOKUP(sizing_w30_nsxt_gm_appliance_size,table_nsxt_manager_disk_gb,2,FALSE),0)," GB")</f>
        <v>0 CPUs : 0 GB : 0 GB</v>
      </c>
      <c r="O73" s="474"/>
      <c r="P73" s="474"/>
      <c r="Q73" s="475"/>
      <c r="R73" s="123" t="s">
        <v>13</v>
      </c>
      <c r="S73" s="430" t="str">
        <f>(CONCATENATE(IF(AND(sizing_w30_chosen="Included",sizing_w30_spr_chosen="Include"),VLOOKUP(input_wld_srm_vm_size,table_srm_cpu,2,FALSE),0)," CPUs :",IF(AND(sizing_w30_chosen="Included",sizing_w30_spr_chosen="Include"),VLOOKUP(input_wld_srm_vm_size,table_srm_ram,2,FALSE),0)," GB : ",IF(AND(sizing_w30_chosen="Included",sizing_w30_spr_chosen="Include"),VLOOKUP(input_wld_srm_vm_size,table_srm_disk,2,FALSE),0)," GB"))</f>
        <v>0 CPUs :0 GB : 0 GB</v>
      </c>
      <c r="T73" s="430"/>
      <c r="U73" s="123" t="s">
        <v>1918</v>
      </c>
      <c r="V73" s="430" t="str">
        <f>CONCATENATE(IF(AND(sizing_w30_chosen="Included",sizing_w30_avi_appliance_size&lt;&gt;"Excluded"),VLOOKUP(sizing_w30_avi_appliance_size,table_avi_lb_cpu,2,FALSE),0), " CPUs : ",IF(AND(sizing_w30_chosen="Included",sizing_w30_avi_appliance_size&lt;&gt;"Excluded"),VLOOKUP(sizing_w30_avi_appliance_size,table_avi_lb_ram,2,FALSE),0), " GB : ",IF(AND(sizing_w30_chosen="Included",sizing_w30_avi_appliance_size&lt;&gt;"Excluded"),VLOOKUP(sizing_w30_avi_appliance_size,table_avi_lb_disk,2,FALSE),0)," GB")</f>
        <v>0 CPUs : 0 GB : 0 GB</v>
      </c>
      <c r="W73" s="443"/>
      <c r="X73" s="66" t="s">
        <v>1918</v>
      </c>
      <c r="Y73" s="8" t="str">
        <f>CONCATENATE(
IF(AND(sizing_w30_ssp_chosen&lt;&gt;"Excluded",sizing_w30_ssp_chosen&lt;&gt;"Deployed in WLD"),VLOOKUP(sizing_w30_nsxt_appliance_size,table_ssp_cpu,2,FALSE),0)," CPUs : ",
IF(AND(sizing_w30_ssp_chosen&lt;&gt;"Excluded",sizing_w30_ssp_chosen&lt;&gt;"Deployed in WLD"),VLOOKUP(sizing_w30_nsxt_appliance_size,table_ssp_ram,2,FALSE),0), " GB : ",
IF(AND(sizing_w30_ssp_chosen&lt;&gt;"Excluded",sizing_w30_ssp_chosen&lt;&gt;"Deployed in WLD"),VLOOKUP(sizing_w30_nsxt_appliance_size,table_ssp_disk,2,FALSE),0)," GB")</f>
        <v>0 CPUs : 0 GB : 0 GB</v>
      </c>
      <c r="Z73" s="415" t="str">
        <f>IF(sizing_w30_chosen="Included",CONCATENATE("vCenter:",VLOOKUP(sizing_w30_vcenter_appliance_size,vcenter_sizing_limits,2,FALSE)," | NSX LM ",VLOOKUP(sizing_w30_nsxt_appliance_size,nsx_sizing_limits,2,FALSE)),"")</f>
        <v/>
      </c>
      <c r="AA73" s="416"/>
      <c r="AB73" s="416"/>
      <c r="AC73" s="416"/>
      <c r="AD73" s="417"/>
    </row>
    <row r="74" spans="1:30" ht="20" customHeight="1" x14ac:dyDescent="0.2">
      <c r="B74" s="26" t="s">
        <v>3535</v>
      </c>
      <c r="C74" s="139" t="s">
        <v>1918</v>
      </c>
      <c r="D74" s="137" t="s">
        <v>92</v>
      </c>
      <c r="E74" s="121" t="str">
        <f>CONCATENATE(IF(sizing_w31_chosen="Included",VLOOKUP(sizing_w31_vcenter_appliance_size,table_vcenter_appliance_cpu,2,FALSE),0)," CPUs ",": ",IF(sizing_w31_chosen="Included",VLOOKUP(sizing_w31_vcenter_appliance_size,table_vcenter_appliance_ram,2,FALSE),0)," GB")</f>
        <v>0 CPUs : 0 GB</v>
      </c>
      <c r="F74" s="137" t="s">
        <v>724</v>
      </c>
      <c r="G74" s="121" t="str">
        <f>CONCATENATE(IF(sizing_w31_chosen="Included",VLOOKUP(CONCATENATE(sizing_w31_vcenter_appliance_size,sizing_w31_vcenter_storage_size),table_vcenter_disk_gb,2,FALSE),0)," GB")</f>
        <v>0 GB</v>
      </c>
      <c r="H74" s="137" t="s">
        <v>2052</v>
      </c>
      <c r="I74" s="137" t="s">
        <v>92</v>
      </c>
      <c r="J74" s="476" t="str">
        <f>CONCATENATE(IF(AND(sizing_w31_chosen="Included",sizing_w31_nsxt_model&lt;&gt;"Shared"),VLOOKUP(sizing_w31_nsxt_appliance_size,table_nsxt_manager_cpu,2,FALSE),0)," CPUs : ",IF(AND(sizing_w31_chosen="Included",sizing_w31_nsxt_model&lt;&gt;"Shared"),VLOOKUP(sizing_w31_nsxt_appliance_size,table_nsxt_manager_ram,2,FALSE),0), " GB : ",IF(AND(sizing_w31_chosen="Included",sizing_w31_nsxt_model&lt;&gt;"Shared"),VLOOKUP(sizing_w31_nsxt_appliance_size,table_nsxt_manager_disk_gb,2,FALSE),0)," GB")</f>
        <v>0 CPUs : 0 GB : 0 GB</v>
      </c>
      <c r="K74" s="477"/>
      <c r="L74" s="123" t="s">
        <v>1918</v>
      </c>
      <c r="M74" s="66" t="s">
        <v>639</v>
      </c>
      <c r="N74" s="473" t="str">
        <f>CONCATENATE(IF(AND(sizing_w31_gm_chosen&lt;&gt;"Excluded",sizing_w31_gm_chosen&lt;&gt;"Connect Instance"),VLOOKUP(sizing_w31_nsxt_gm_appliance_size,table_nsxt_manager_cpu,2,FALSE),0)," CPUs : ",IF(AND(sizing_w31_gm_chosen&lt;&gt;"Excluded",sizing_w31_gm_chosen&lt;&gt;"Connect Instance"),VLOOKUP(sizing_w31_nsxt_gm_appliance_size,table_nsxt_manager_ram,2,FALSE),0)," GB : ",IF(AND(sizing_w31_gm_chosen&lt;&gt;"Excluded",sizing_w31_gm_chosen&lt;&gt;"Connect Instance"),VLOOKUP(sizing_w31_nsxt_gm_appliance_size,table_nsxt_manager_disk_gb,2,FALSE),0)," GB")</f>
        <v>0 CPUs : 0 GB : 0 GB</v>
      </c>
      <c r="O74" s="474"/>
      <c r="P74" s="474"/>
      <c r="Q74" s="475"/>
      <c r="R74" s="123" t="s">
        <v>13</v>
      </c>
      <c r="S74" s="430" t="str">
        <f>(CONCATENATE(IF(AND(sizing_w31_chosen="Included",sizing_w31_spr_chosen="Include"),VLOOKUP(input_wld_srm_vm_size,table_srm_cpu,2,FALSE),0)," CPUs :",IF(AND(sizing_w31_chosen="Included",sizing_w31_spr_chosen="Include"),VLOOKUP(input_wld_srm_vm_size,table_srm_ram,2,FALSE),0)," GB : ",IF(AND(sizing_w31_chosen="Included",sizing_w31_spr_chosen="Include"),VLOOKUP(input_wld_srm_vm_size,table_srm_disk,2,FALSE),0)," GB"))</f>
        <v>0 CPUs :0 GB : 0 GB</v>
      </c>
      <c r="T74" s="430"/>
      <c r="U74" s="123" t="s">
        <v>1918</v>
      </c>
      <c r="V74" s="430" t="str">
        <f>CONCATENATE(IF(AND(sizing_w31_chosen="Included",sizing_w31_avi_appliance_size&lt;&gt;"Excluded"),VLOOKUP(sizing_w31_avi_appliance_size,table_avi_lb_cpu,2,FALSE),0), " CPUs : ",IF(AND(sizing_w31_chosen="Included",sizing_w31_avi_appliance_size&lt;&gt;"Excluded"),VLOOKUP(sizing_w31_avi_appliance_size,table_avi_lb_ram,2,FALSE),0), " GB : ",IF(AND(sizing_w31_chosen="Included",sizing_w31_avi_appliance_size&lt;&gt;"Excluded"),VLOOKUP(sizing_w31_avi_appliance_size,table_avi_lb_disk,2,FALSE),0)," GB")</f>
        <v>0 CPUs : 0 GB : 0 GB</v>
      </c>
      <c r="W74" s="443"/>
      <c r="X74" s="66" t="s">
        <v>1918</v>
      </c>
      <c r="Y74" s="8" t="str">
        <f>CONCATENATE(
IF(AND(sizing_w31_ssp_chosen&lt;&gt;"Excluded",sizing_w31_ssp_chosen&lt;&gt;"Deployed in WLD"),VLOOKUP(sizing_w31_nsxt_appliance_size,table_ssp_cpu,2,FALSE),0)," CPUs : ",
IF(AND(sizing_w31_ssp_chosen&lt;&gt;"Excluded",sizing_w31_ssp_chosen&lt;&gt;"Deployed in WLD"),VLOOKUP(sizing_w31_nsxt_appliance_size,table_ssp_ram,2,FALSE),0), " GB : ",
IF(AND(sizing_w31_ssp_chosen&lt;&gt;"Excluded",sizing_w31_ssp_chosen&lt;&gt;"Deployed in WLD"),VLOOKUP(sizing_w31_nsxt_appliance_size,table_ssp_disk,2,FALSE),0)," GB")</f>
        <v>0 CPUs : 0 GB : 0 GB</v>
      </c>
      <c r="Z74" s="415" t="str">
        <f>IF(sizing_w31_chosen="Included",CONCATENATE("vCenter:",VLOOKUP(sizing_w31_vcenter_appliance_size,vcenter_sizing_limits,2,FALSE)," | NSX LM ",VLOOKUP(sizing_w31_nsxt_appliance_size,nsx_sizing_limits,2,FALSE)),"")</f>
        <v/>
      </c>
      <c r="AA74" s="416"/>
      <c r="AB74" s="416"/>
      <c r="AC74" s="416"/>
      <c r="AD74" s="417"/>
    </row>
    <row r="75" spans="1:30" ht="20" customHeight="1" x14ac:dyDescent="0.2">
      <c r="B75" s="26" t="s">
        <v>3536</v>
      </c>
      <c r="C75" s="139" t="s">
        <v>1918</v>
      </c>
      <c r="D75" s="137" t="s">
        <v>92</v>
      </c>
      <c r="E75" s="121" t="str">
        <f>CONCATENATE(IF(sizing_w32_chosen="Included",VLOOKUP(sizing_w32_vcenter_appliance_size,table_vcenter_appliance_cpu,2,FALSE),0)," CPUs ",": ",IF(sizing_w32_chosen="Included",VLOOKUP(sizing_w32_vcenter_appliance_size,table_vcenter_appliance_ram,2,FALSE),0)," GB")</f>
        <v>0 CPUs : 0 GB</v>
      </c>
      <c r="F75" s="137" t="s">
        <v>724</v>
      </c>
      <c r="G75" s="121" t="str">
        <f>CONCATENATE(IF(sizing_w32_chosen="Included",VLOOKUP(CONCATENATE(sizing_w32_vcenter_appliance_size,sizing_w32_vcenter_storage_size),table_vcenter_disk_gb,2,FALSE),0)," GB")</f>
        <v>0 GB</v>
      </c>
      <c r="H75" s="137" t="s">
        <v>2052</v>
      </c>
      <c r="I75" s="137" t="s">
        <v>92</v>
      </c>
      <c r="J75" s="476" t="str">
        <f>CONCATENATE(IF(AND(sizing_w32_chosen="Included",sizing_w32_nsxt_model&lt;&gt;"Shared"),VLOOKUP(sizing_w32_nsxt_appliance_size,table_nsxt_manager_cpu,2,FALSE),0)," CPUs : ",IF(AND(sizing_w32_chosen="Included",sizing_w32_nsxt_model&lt;&gt;"Shared"),VLOOKUP(sizing_w32_nsxt_appliance_size,table_nsxt_manager_ram,2,FALSE),0), " GB : ",IF(AND(sizing_w32_chosen="Included",sizing_w32_nsxt_model&lt;&gt;"Shared"),VLOOKUP(sizing_w32_nsxt_appliance_size,table_nsxt_manager_disk_gb,2,FALSE),0)," GB")</f>
        <v>0 CPUs : 0 GB : 0 GB</v>
      </c>
      <c r="K75" s="477"/>
      <c r="L75" s="123" t="s">
        <v>1918</v>
      </c>
      <c r="M75" s="66" t="s">
        <v>639</v>
      </c>
      <c r="N75" s="473" t="str">
        <f>CONCATENATE(IF(AND(sizing_w32_gm_chosen&lt;&gt;"Excluded",sizing_w32_gm_chosen&lt;&gt;"Connect Instance"),VLOOKUP(sizing_w32_nsxt_gm_appliance_size,table_nsxt_manager_cpu,2,FALSE),0)," CPUs : ",IF(AND(sizing_w32_gm_chosen&lt;&gt;"Excluded",sizing_w32_gm_chosen&lt;&gt;"Connect Instance"),VLOOKUP(sizing_w32_nsxt_gm_appliance_size,table_nsxt_manager_ram,2,FALSE),0)," GB : ",IF(AND(sizing_w32_gm_chosen&lt;&gt;"Excluded",sizing_w32_gm_chosen&lt;&gt;"Connect Instance"),VLOOKUP(sizing_w32_nsxt_gm_appliance_size,table_nsxt_manager_disk_gb,2,FALSE),0)," GB")</f>
        <v>0 CPUs : 0 GB : 0 GB</v>
      </c>
      <c r="O75" s="474"/>
      <c r="P75" s="474"/>
      <c r="Q75" s="475"/>
      <c r="R75" s="123" t="s">
        <v>13</v>
      </c>
      <c r="S75" s="430" t="str">
        <f>(CONCATENATE(IF(AND(sizing_w32_chosen="Included",sizing_w32_spr_chosen="Include"),VLOOKUP(input_wld_srm_vm_size,table_srm_cpu,2,FALSE),0)," CPUs :",IF(AND(sizing_w32_chosen="Included",sizing_w32_spr_chosen="Include"),VLOOKUP(input_wld_srm_vm_size,table_srm_ram,2,FALSE),0)," GB : ",IF(AND(sizing_w32_chosen="Included",sizing_w32_spr_chosen="Include"),VLOOKUP(input_wld_srm_vm_size,table_srm_disk,2,FALSE),0)," GB"))</f>
        <v>0 CPUs :0 GB : 0 GB</v>
      </c>
      <c r="T75" s="430"/>
      <c r="U75" s="123" t="s">
        <v>1918</v>
      </c>
      <c r="V75" s="430" t="str">
        <f>CONCATENATE(IF(AND(sizing_w32_chosen="Included",sizing_w32_avi_appliance_size&lt;&gt;"Excluded"),VLOOKUP(sizing_w32_avi_appliance_size,table_avi_lb_cpu,2,FALSE),0), " CPUs : ",IF(AND(sizing_w32_chosen="Included",sizing_w32_avi_appliance_size&lt;&gt;"Excluded"),VLOOKUP(sizing_w32_avi_appliance_size,table_avi_lb_ram,2,FALSE),0), " GB : ",IF(AND(sizing_w32_chosen="Included",sizing_w32_avi_appliance_size&lt;&gt;"Excluded"),VLOOKUP(sizing_w32_avi_appliance_size,table_avi_lb_disk,2,FALSE),0)," GB")</f>
        <v>0 CPUs : 0 GB : 0 GB</v>
      </c>
      <c r="W75" s="443"/>
      <c r="X75" s="66" t="s">
        <v>1918</v>
      </c>
      <c r="Y75" s="8" t="str">
        <f>CONCATENATE(
IF(AND(sizing_w32_ssp_chosen&lt;&gt;"Excluded",sizing_w32_ssp_chosen&lt;&gt;"Deployed in WLD"),VLOOKUP(sizing_w32_nsxt_appliance_size,table_ssp_cpu,2,FALSE),0)," CPUs : ",
IF(AND(sizing_w32_ssp_chosen&lt;&gt;"Excluded",sizing_w32_ssp_chosen&lt;&gt;"Deployed in WLD"),VLOOKUP(sizing_w32_nsxt_appliance_size,table_ssp_ram,2,FALSE),0), " GB : ",
IF(AND(sizing_w32_ssp_chosen&lt;&gt;"Excluded",sizing_w32_ssp_chosen&lt;&gt;"Deployed in WLD"),VLOOKUP(sizing_w32_nsxt_appliance_size,table_ssp_disk,2,FALSE),0)," GB")</f>
        <v>0 CPUs : 0 GB : 0 GB</v>
      </c>
      <c r="Z75" s="415" t="str">
        <f>IF(sizing_w32_chosen="Included",CONCATENATE("vCenter:",VLOOKUP(sizing_w32_vcenter_appliance_size,vcenter_sizing_limits,2,FALSE)," | NSX LM ",VLOOKUP(sizing_w32_nsxt_appliance_size,nsx_sizing_limits,2,FALSE)),"")</f>
        <v/>
      </c>
      <c r="AA75" s="416"/>
      <c r="AB75" s="416"/>
      <c r="AC75" s="416"/>
      <c r="AD75" s="417"/>
    </row>
    <row r="76" spans="1:30" ht="20" customHeight="1" x14ac:dyDescent="0.2">
      <c r="B76" s="26" t="s">
        <v>3537</v>
      </c>
      <c r="C76" s="139" t="s">
        <v>1918</v>
      </c>
      <c r="D76" s="137" t="s">
        <v>92</v>
      </c>
      <c r="E76" s="121" t="str">
        <f>CONCATENATE(IF(sizing_w33_chosen="Included",VLOOKUP(sizing_w33_vcenter_appliance_size,table_vcenter_appliance_cpu,2,FALSE),0)," CPUs ",": ",IF(sizing_w33_chosen="Included",VLOOKUP(sizing_w33_vcenter_appliance_size,table_vcenter_appliance_ram,2,FALSE),0)," GB")</f>
        <v>0 CPUs : 0 GB</v>
      </c>
      <c r="F76" s="137" t="s">
        <v>724</v>
      </c>
      <c r="G76" s="121" t="str">
        <f>CONCATENATE(IF(sizing_w33_chosen="Included",VLOOKUP(CONCATENATE(sizing_w33_vcenter_appliance_size,sizing_w33_vcenter_storage_size),table_vcenter_disk_gb,2,FALSE),0)," GB")</f>
        <v>0 GB</v>
      </c>
      <c r="H76" s="137" t="s">
        <v>2052</v>
      </c>
      <c r="I76" s="137" t="s">
        <v>92</v>
      </c>
      <c r="J76" s="476" t="str">
        <f>CONCATENATE(IF(AND(sizing_w33_chosen="Included",sizing_w33_nsxt_model&lt;&gt;"Shared"),VLOOKUP(sizing_w33_nsxt_appliance_size,table_nsxt_manager_cpu,2,FALSE),0)," CPUs : ",IF(AND(sizing_w33_chosen="Included",sizing_w33_nsxt_model&lt;&gt;"Shared"),VLOOKUP(sizing_w33_nsxt_appliance_size,table_nsxt_manager_ram,2,FALSE),0), " GB : ",IF(AND(sizing_w33_chosen="Included",sizing_w33_nsxt_model&lt;&gt;"Shared"),VLOOKUP(sizing_w33_nsxt_appliance_size,table_nsxt_manager_disk_gb,2,FALSE),0)," GB")</f>
        <v>0 CPUs : 0 GB : 0 GB</v>
      </c>
      <c r="K76" s="477"/>
      <c r="L76" s="123" t="s">
        <v>1918</v>
      </c>
      <c r="M76" s="66" t="s">
        <v>639</v>
      </c>
      <c r="N76" s="473" t="str">
        <f>CONCATENATE(IF(AND(sizing_w33_gm_chosen&lt;&gt;"Excluded",sizing_w33_gm_chosen&lt;&gt;"Connect Instance"),VLOOKUP(sizing_w33_nsxt_gm_appliance_size,table_nsxt_manager_cpu,2,FALSE),0)," CPUs : ",IF(AND(sizing_w33_gm_chosen&lt;&gt;"Excluded",sizing_w33_gm_chosen&lt;&gt;"Connect Instance"),VLOOKUP(sizing_w33_nsxt_gm_appliance_size,table_nsxt_manager_ram,2,FALSE),0)," GB : ",IF(AND(sizing_w33_gm_chosen&lt;&gt;"Excluded",sizing_w33_gm_chosen&lt;&gt;"Connect Instance"),VLOOKUP(sizing_w33_nsxt_gm_appliance_size,table_nsxt_manager_disk_gb,2,FALSE),0)," GB")</f>
        <v>0 CPUs : 0 GB : 0 GB</v>
      </c>
      <c r="O76" s="474"/>
      <c r="P76" s="474"/>
      <c r="Q76" s="475"/>
      <c r="R76" s="123" t="s">
        <v>13</v>
      </c>
      <c r="S76" s="430" t="str">
        <f>(CONCATENATE(IF(AND(sizing_w33_chosen="Included",sizing_w33_spr_chosen="Include"),VLOOKUP(input_wld_srm_vm_size,table_srm_cpu,2,FALSE),0)," CPUs :",IF(AND(sizing_w33_chosen="Included",sizing_w33_spr_chosen="Include"),VLOOKUP(input_wld_srm_vm_size,table_srm_ram,2,FALSE),0)," GB : ",IF(AND(sizing_w33_chosen="Included",sizing_w33_spr_chosen="Include"),VLOOKUP(input_wld_srm_vm_size,table_srm_disk,2,FALSE),0)," GB"))</f>
        <v>0 CPUs :0 GB : 0 GB</v>
      </c>
      <c r="T76" s="430"/>
      <c r="U76" s="123" t="s">
        <v>1918</v>
      </c>
      <c r="V76" s="430" t="str">
        <f>CONCATENATE(IF(AND(sizing_w33_chosen="Included",sizing_w33_avi_appliance_size&lt;&gt;"Excluded"),VLOOKUP(sizing_w33_avi_appliance_size,table_avi_lb_cpu,2,FALSE),0), " CPUs : ",IF(AND(sizing_w33_chosen="Included",sizing_w33_avi_appliance_size&lt;&gt;"Excluded"),VLOOKUP(sizing_w33_avi_appliance_size,table_avi_lb_ram,2,FALSE),0), " GB : ",IF(AND(sizing_w33_chosen="Included",sizing_w33_avi_appliance_size&lt;&gt;"Excluded"),VLOOKUP(sizing_w33_avi_appliance_size,table_avi_lb_disk,2,FALSE),0)," GB")</f>
        <v>0 CPUs : 0 GB : 0 GB</v>
      </c>
      <c r="W76" s="443"/>
      <c r="X76" s="66" t="s">
        <v>1918</v>
      </c>
      <c r="Y76" s="8" t="str">
        <f>CONCATENATE(
IF(AND(sizing_w33_ssp_chosen&lt;&gt;"Excluded",sizing_w33_ssp_chosen&lt;&gt;"Deployed in WLD"),VLOOKUP(sizing_w33_nsxt_appliance_size,table_ssp_cpu,2,FALSE),0)," CPUs : ",
IF(AND(sizing_w33_ssp_chosen&lt;&gt;"Excluded",sizing_w33_ssp_chosen&lt;&gt;"Deployed in WLD"),VLOOKUP(sizing_w33_nsxt_appliance_size,table_ssp_ram,2,FALSE),0), " GB : ",
IF(AND(sizing_w33_ssp_chosen&lt;&gt;"Excluded",sizing_w33_ssp_chosen&lt;&gt;"Deployed in WLD"),VLOOKUP(sizing_w33_nsxt_appliance_size,table_ssp_disk,2,FALSE),0)," GB")</f>
        <v>0 CPUs : 0 GB : 0 GB</v>
      </c>
      <c r="Z76" s="415" t="str">
        <f>IF(sizing_w33_chosen="Included",CONCATENATE("vCenter:",VLOOKUP(sizing_w33_vcenter_appliance_size,vcenter_sizing_limits,2,FALSE)," | NSX LM ",VLOOKUP(sizing_w33_nsxt_appliance_size,nsx_sizing_limits,2,FALSE)),"")</f>
        <v/>
      </c>
      <c r="AA76" s="416"/>
      <c r="AB76" s="416"/>
      <c r="AC76" s="416"/>
      <c r="AD76" s="417"/>
    </row>
    <row r="77" spans="1:30" ht="20" customHeight="1" x14ac:dyDescent="0.2">
      <c r="B77" s="26" t="s">
        <v>3538</v>
      </c>
      <c r="C77" s="139" t="s">
        <v>1918</v>
      </c>
      <c r="D77" s="137" t="s">
        <v>92</v>
      </c>
      <c r="E77" s="121" t="str">
        <f>CONCATENATE(IF(sizing_w34_chosen="Included",VLOOKUP(sizing_w34_vcenter_appliance_size,table_vcenter_appliance_cpu,2,FALSE),0)," CPUs ",": ",IF(sizing_w34_chosen="Included",VLOOKUP(sizing_w34_vcenter_appliance_size,table_vcenter_appliance_ram,2,FALSE),0)," GB")</f>
        <v>0 CPUs : 0 GB</v>
      </c>
      <c r="F77" s="137" t="s">
        <v>724</v>
      </c>
      <c r="G77" s="121" t="str">
        <f>CONCATENATE(IF(sizing_w34_chosen="Included",VLOOKUP(CONCATENATE(sizing_w34_vcenter_appliance_size,sizing_w34_vcenter_storage_size),table_vcenter_disk_gb,2,FALSE),0)," GB")</f>
        <v>0 GB</v>
      </c>
      <c r="H77" s="137" t="s">
        <v>2052</v>
      </c>
      <c r="I77" s="137" t="s">
        <v>92</v>
      </c>
      <c r="J77" s="476" t="str">
        <f>CONCATENATE(IF(AND(sizing_w34_chosen="Included",sizing_w34_nsxt_model&lt;&gt;"Shared"),VLOOKUP(sizing_w34_nsxt_appliance_size,table_nsxt_manager_cpu,2,FALSE),0)," CPUs : ",IF(AND(sizing_w34_chosen="Included",sizing_w34_nsxt_model&lt;&gt;"Shared"),VLOOKUP(sizing_w34_nsxt_appliance_size,table_nsxt_manager_ram,2,FALSE),0), " GB : ",IF(AND(sizing_w34_chosen="Included",sizing_w34_nsxt_model&lt;&gt;"Shared"),VLOOKUP(sizing_w34_nsxt_appliance_size,table_nsxt_manager_disk_gb,2,FALSE),0)," GB")</f>
        <v>0 CPUs : 0 GB : 0 GB</v>
      </c>
      <c r="K77" s="477"/>
      <c r="L77" s="123" t="s">
        <v>1918</v>
      </c>
      <c r="M77" s="66" t="s">
        <v>639</v>
      </c>
      <c r="N77" s="473" t="str">
        <f>CONCATENATE(IF(AND(sizing_w34_gm_chosen&lt;&gt;"Excluded",sizing_w34_gm_chosen&lt;&gt;"Connect Instance"),VLOOKUP(sizing_w34_nsxt_gm_appliance_size,table_nsxt_manager_cpu,2,FALSE),0)," CPUs : ",IF(AND(sizing_w34_gm_chosen&lt;&gt;"Excluded",sizing_w34_gm_chosen&lt;&gt;"Connect Instance"),VLOOKUP(sizing_w34_nsxt_gm_appliance_size,table_nsxt_manager_ram,2,FALSE),0)," GB : ",IF(AND(sizing_w34_gm_chosen&lt;&gt;"Excluded",sizing_w34_gm_chosen&lt;&gt;"Connect Instance"),VLOOKUP(sizing_w34_nsxt_gm_appliance_size,table_nsxt_manager_disk_gb,2,FALSE),0)," GB")</f>
        <v>0 CPUs : 0 GB : 0 GB</v>
      </c>
      <c r="O77" s="474"/>
      <c r="P77" s="474"/>
      <c r="Q77" s="475"/>
      <c r="R77" s="123" t="s">
        <v>13</v>
      </c>
      <c r="S77" s="430" t="str">
        <f>(CONCATENATE(IF(AND(sizing_w34_chosen="Included",sizing_w34_spr_chosen="Include"),VLOOKUP(input_wld_srm_vm_size,table_srm_cpu,2,FALSE),0)," CPUs :",IF(AND(sizing_w34_chosen="Included",sizing_w34_spr_chosen="Include"),VLOOKUP(input_wld_srm_vm_size,table_srm_ram,2,FALSE),0)," GB : ",IF(AND(sizing_w34_chosen="Included",sizing_w34_spr_chosen="Include"),VLOOKUP(input_wld_srm_vm_size,table_srm_disk,2,FALSE),0)," GB"))</f>
        <v>0 CPUs :0 GB : 0 GB</v>
      </c>
      <c r="T77" s="430"/>
      <c r="U77" s="123" t="s">
        <v>1918</v>
      </c>
      <c r="V77" s="430" t="str">
        <f>CONCATENATE(IF(AND(sizing_w34_chosen="Included",sizing_w34_avi_appliance_size&lt;&gt;"Excluded"),VLOOKUP(sizing_w34_avi_appliance_size,table_avi_lb_cpu,2,FALSE),0), " CPUs : ",IF(AND(sizing_w34_chosen="Included",sizing_w34_avi_appliance_size&lt;&gt;"Excluded"),VLOOKUP(sizing_w34_avi_appliance_size,table_avi_lb_ram,2,FALSE),0), " GB : ",IF(AND(sizing_w34_chosen="Included",sizing_w34_avi_appliance_size&lt;&gt;"Excluded"),VLOOKUP(sizing_w34_avi_appliance_size,table_avi_lb_disk,2,FALSE),0)," GB")</f>
        <v>0 CPUs : 0 GB : 0 GB</v>
      </c>
      <c r="W77" s="443"/>
      <c r="X77" s="66" t="s">
        <v>1918</v>
      </c>
      <c r="Y77" s="8" t="str">
        <f>CONCATENATE(
IF(AND(sizing_w34_ssp_chosen&lt;&gt;"Excluded",sizing_w34_ssp_chosen&lt;&gt;"Deployed in WLD"),VLOOKUP(sizing_w34_nsxt_appliance_size,table_ssp_cpu,2,FALSE),0)," CPUs : ",
IF(AND(sizing_w34_ssp_chosen&lt;&gt;"Excluded",sizing_w34_ssp_chosen&lt;&gt;"Deployed in WLD"),VLOOKUP(sizing_w34_nsxt_appliance_size,table_ssp_ram,2,FALSE),0), " GB : ",
IF(AND(sizing_w34_ssp_chosen&lt;&gt;"Excluded",sizing_w34_ssp_chosen&lt;&gt;"Deployed in WLD"),VLOOKUP(sizing_w34_nsxt_appliance_size,table_ssp_disk,2,FALSE),0)," GB")</f>
        <v>0 CPUs : 0 GB : 0 GB</v>
      </c>
      <c r="Z77" s="415" t="str">
        <f>IF(sizing_w34_chosen="Included",CONCATENATE("vCenter:",VLOOKUP(sizing_w34_vcenter_appliance_size,vcenter_sizing_limits,2,FALSE)," | NSX LM ",VLOOKUP(sizing_w34_nsxt_appliance_size,nsx_sizing_limits,2,FALSE)),"")</f>
        <v/>
      </c>
      <c r="AA77" s="416"/>
      <c r="AB77" s="416"/>
      <c r="AC77" s="416"/>
      <c r="AD77" s="417"/>
    </row>
    <row r="78" spans="1:30" ht="20" customHeight="1" x14ac:dyDescent="0.2">
      <c r="B78" s="26" t="s">
        <v>3539</v>
      </c>
      <c r="C78" s="139" t="s">
        <v>1918</v>
      </c>
      <c r="D78" s="137" t="s">
        <v>92</v>
      </c>
      <c r="E78" s="121" t="str">
        <f>CONCATENATE(IF(sizing_w35_chosen="Included",VLOOKUP(sizing_w35_vcenter_appliance_size,table_vcenter_appliance_cpu,2,FALSE),0)," CPUs ",": ",IF(sizing_w35_chosen="Included",VLOOKUP(sizing_w35_vcenter_appliance_size,table_vcenter_appliance_ram,2,FALSE),0)," GB")</f>
        <v>0 CPUs : 0 GB</v>
      </c>
      <c r="F78" s="137" t="s">
        <v>724</v>
      </c>
      <c r="G78" s="121" t="str">
        <f>CONCATENATE(IF(sizing_w35_chosen="Included",VLOOKUP(CONCATENATE(sizing_w35_vcenter_appliance_size,sizing_w35_vcenter_storage_size),table_vcenter_disk_gb,2,FALSE),0)," GB")</f>
        <v>0 GB</v>
      </c>
      <c r="H78" s="137" t="s">
        <v>2052</v>
      </c>
      <c r="I78" s="137" t="s">
        <v>92</v>
      </c>
      <c r="J78" s="476" t="str">
        <f>CONCATENATE(IF(AND(sizing_w35_chosen="Included",sizing_w35_nsxt_model&lt;&gt;"Shared"),VLOOKUP(sizing_w35_nsxt_appliance_size,table_nsxt_manager_cpu,2,FALSE),0)," CPUs : ",IF(AND(sizing_w35_chosen="Included",sizing_w35_nsxt_model&lt;&gt;"Shared"),VLOOKUP(sizing_w35_nsxt_appliance_size,table_nsxt_manager_ram,2,FALSE),0), " GB : ",IF(AND(sizing_w35_chosen="Included",sizing_w35_nsxt_model&lt;&gt;"Shared"),VLOOKUP(sizing_w35_nsxt_appliance_size,table_nsxt_manager_disk_gb,2,FALSE),0)," GB")</f>
        <v>0 CPUs : 0 GB : 0 GB</v>
      </c>
      <c r="K78" s="477"/>
      <c r="L78" s="123" t="s">
        <v>1918</v>
      </c>
      <c r="M78" s="66" t="s">
        <v>639</v>
      </c>
      <c r="N78" s="473" t="str">
        <f>CONCATENATE(IF(AND(sizing_w35_gm_chosen&lt;&gt;"Excluded",sizing_w35_gm_chosen&lt;&gt;"Connect Instance"),VLOOKUP(sizing_w35_nsxt_gm_appliance_size,table_nsxt_manager_cpu,2,FALSE),0)," CPUs : ",IF(AND(sizing_w35_gm_chosen&lt;&gt;"Excluded",sizing_w35_gm_chosen&lt;&gt;"Connect Instance"),VLOOKUP(sizing_w35_nsxt_gm_appliance_size,table_nsxt_manager_ram,2,FALSE),0)," GB : ",IF(AND(sizing_w35_gm_chosen&lt;&gt;"Excluded",sizing_w35_gm_chosen&lt;&gt;"Connect Instance"),VLOOKUP(sizing_w35_nsxt_gm_appliance_size,table_nsxt_manager_disk_gb,2,FALSE),0)," GB")</f>
        <v>0 CPUs : 0 GB : 0 GB</v>
      </c>
      <c r="O78" s="474"/>
      <c r="P78" s="474"/>
      <c r="Q78" s="475"/>
      <c r="R78" s="123" t="s">
        <v>13</v>
      </c>
      <c r="S78" s="430" t="str">
        <f>(CONCATENATE(IF(AND(sizing_w35_chosen="Included",sizing_w35_spr_chosen="Include"),VLOOKUP(input_wld_srm_vm_size,table_srm_cpu,2,FALSE),0)," CPUs :",IF(AND(sizing_w35_chosen="Included",sizing_w35_spr_chosen="Include"),VLOOKUP(input_wld_srm_vm_size,table_srm_ram,2,FALSE),0)," GB : ",IF(AND(sizing_w35_chosen="Included",sizing_w35_spr_chosen="Include"),VLOOKUP(input_wld_srm_vm_size,table_srm_disk,2,FALSE),0)," GB"))</f>
        <v>0 CPUs :0 GB : 0 GB</v>
      </c>
      <c r="T78" s="430"/>
      <c r="U78" s="123" t="s">
        <v>1918</v>
      </c>
      <c r="V78" s="430" t="str">
        <f>CONCATENATE(IF(AND(sizing_w35_chosen="Included",sizing_w35_avi_appliance_size&lt;&gt;"Excluded"),VLOOKUP(sizing_w35_avi_appliance_size,table_avi_lb_cpu,2,FALSE),0), " CPUs : ",IF(AND(sizing_w35_chosen="Included",sizing_w35_avi_appliance_size&lt;&gt;"Excluded"),VLOOKUP(sizing_w35_avi_appliance_size,table_avi_lb_ram,2,FALSE),0), " GB : ",IF(AND(sizing_w35_chosen="Included",sizing_w35_avi_appliance_size&lt;&gt;"Excluded"),VLOOKUP(sizing_w35_avi_appliance_size,table_avi_lb_disk,2,FALSE),0)," GB")</f>
        <v>0 CPUs : 0 GB : 0 GB</v>
      </c>
      <c r="W78" s="443"/>
      <c r="X78" s="66" t="s">
        <v>1918</v>
      </c>
      <c r="Y78" s="8" t="str">
        <f>CONCATENATE(
IF(AND(sizing_w35_ssp_chosen&lt;&gt;"Excluded",sizing_w35_ssp_chosen&lt;&gt;"Deployed in WLD"),VLOOKUP(sizing_w35_nsxt_appliance_size,table_ssp_cpu,2,FALSE),0)," CPUs : ",
IF(AND(sizing_w35_ssp_chosen&lt;&gt;"Excluded",sizing_w35_ssp_chosen&lt;&gt;"Deployed in WLD"),VLOOKUP(sizing_w35_nsxt_appliance_size,table_ssp_ram,2,FALSE),0), " GB : ",
IF(AND(sizing_w35_ssp_chosen&lt;&gt;"Excluded",sizing_w35_ssp_chosen&lt;&gt;"Deployed in WLD"),VLOOKUP(sizing_w35_nsxt_appliance_size,table_ssp_disk,2,FALSE),0)," GB")</f>
        <v>0 CPUs : 0 GB : 0 GB</v>
      </c>
      <c r="Z78" s="415" t="str">
        <f>IF(sizing_w35_chosen="Included",CONCATENATE("vCenter:",VLOOKUP(sizing_w35_vcenter_appliance_size,vcenter_sizing_limits,2,FALSE)," | NSX LM ",VLOOKUP(sizing_w35_nsxt_appliance_size,nsx_sizing_limits,2,FALSE)),"")</f>
        <v/>
      </c>
      <c r="AA78" s="416"/>
      <c r="AB78" s="416"/>
      <c r="AC78" s="416"/>
      <c r="AD78" s="417"/>
    </row>
    <row r="79" spans="1:30" ht="20" customHeight="1" x14ac:dyDescent="0.2"/>
    <row r="80" spans="1:30" ht="34" customHeight="1" x14ac:dyDescent="0.2">
      <c r="A80" s="7"/>
      <c r="B80" s="380" t="s">
        <v>3375</v>
      </c>
      <c r="C80" s="378"/>
      <c r="D80" s="378"/>
      <c r="E80" s="378"/>
      <c r="F80" s="378"/>
      <c r="G80" s="378"/>
      <c r="H80" s="378"/>
      <c r="I80" s="378"/>
      <c r="J80" s="378"/>
      <c r="K80" s="378"/>
      <c r="L80" s="378"/>
      <c r="M80" s="378"/>
      <c r="N80" s="378"/>
      <c r="O80" s="378"/>
      <c r="P80" s="378"/>
      <c r="Q80" s="378"/>
      <c r="R80" s="378"/>
      <c r="S80" s="378"/>
      <c r="T80" s="385"/>
      <c r="U80" s="7"/>
      <c r="V80" s="7"/>
      <c r="W80" s="7"/>
      <c r="X80" s="7"/>
      <c r="Y80" s="7"/>
      <c r="Z80" s="7"/>
      <c r="AA80" s="7"/>
      <c r="AB80" s="7"/>
      <c r="AC80" s="7"/>
    </row>
    <row r="81" spans="1:29" ht="20" customHeight="1" x14ac:dyDescent="0.2">
      <c r="A81" s="7"/>
      <c r="B81" s="478" t="s">
        <v>9</v>
      </c>
      <c r="C81" s="480"/>
      <c r="D81" s="479"/>
      <c r="E81" s="374" t="s">
        <v>10</v>
      </c>
      <c r="F81" s="375"/>
      <c r="G81" s="375"/>
      <c r="H81" s="129"/>
      <c r="I81" s="63" t="s">
        <v>1535</v>
      </c>
      <c r="J81" s="374" t="s">
        <v>12</v>
      </c>
      <c r="K81" s="375"/>
      <c r="L81" s="375"/>
      <c r="M81" s="375"/>
      <c r="N81" s="375"/>
      <c r="O81" s="375"/>
      <c r="P81" s="375"/>
      <c r="Q81" s="375"/>
      <c r="R81" s="375"/>
      <c r="S81" s="375"/>
      <c r="T81" s="129"/>
      <c r="U81" s="7"/>
      <c r="V81" s="7"/>
      <c r="W81" s="7"/>
      <c r="Y81" s="7"/>
      <c r="Z81" s="7"/>
      <c r="AA81" s="7"/>
      <c r="AB81" s="7"/>
      <c r="AC81" s="7"/>
    </row>
    <row r="82" spans="1:29" ht="20" customHeight="1" x14ac:dyDescent="0.2">
      <c r="A82" s="7"/>
      <c r="B82" s="492" t="s">
        <v>13</v>
      </c>
      <c r="C82" s="493"/>
      <c r="D82" s="494"/>
      <c r="E82" s="387" t="s">
        <v>2955</v>
      </c>
      <c r="F82" s="388"/>
      <c r="G82" s="388"/>
      <c r="H82" s="389"/>
      <c r="I82" s="140" t="str">
        <f>IF(spr_chosen="Management &amp; Workload","Included",IF(spr_chosen="Management Only","Included",IF(spr_chosen="Workload Only","Included","Excluded")))</f>
        <v>Excluded</v>
      </c>
      <c r="J82" s="495" t="str">
        <f>IF(spr_result="Excluded","Cause: Not Selected. Site Protection and Disaster Recovery will not be deployed",IF(spr_chosen="Management Only","Site Protection and Disaster Recovery will be deployed in the Management Workload Domain",IF(spr_chosen="Management &amp; Workload","Site Protection and Disaster Recovery will be deployed in the Management Workload Domain and selected Workload Domains",IF(spr_chosen="Workload Only","Site Protection and Disaster Recovery will be in selected Workload Domains",""))))</f>
        <v>Cause: Not Selected. Site Protection and Disaster Recovery will not be deployed</v>
      </c>
      <c r="K82" s="496"/>
      <c r="L82" s="496"/>
      <c r="M82" s="496"/>
      <c r="N82" s="496"/>
      <c r="O82" s="496"/>
      <c r="P82" s="496"/>
      <c r="Q82" s="496"/>
      <c r="R82" s="496"/>
      <c r="S82" s="496"/>
      <c r="T82" s="497"/>
      <c r="U82" s="7"/>
      <c r="V82" s="7"/>
      <c r="W82" s="7"/>
      <c r="X82" s="7"/>
      <c r="Y82" s="7"/>
      <c r="Z82" s="7"/>
      <c r="AA82" s="7"/>
    </row>
    <row r="83" spans="1:29" ht="20" customHeight="1" x14ac:dyDescent="0.2">
      <c r="A83" s="7"/>
      <c r="B83" s="492" t="s">
        <v>13</v>
      </c>
      <c r="C83" s="493"/>
      <c r="D83" s="494"/>
      <c r="E83" s="387" t="s">
        <v>2956</v>
      </c>
      <c r="F83" s="388"/>
      <c r="G83" s="388"/>
      <c r="H83" s="389"/>
      <c r="I83" s="140" t="str">
        <f>IF(rwr_chosen="Exclude","Excluded","Included")</f>
        <v>Excluded</v>
      </c>
      <c r="J83" s="495" t="str">
        <f>IF(rwr_chosen="Exclude","Cause: Not Selected. On Premise Ransomware Recovery will not be deployed","On Premise Ransomware Recovery will be deployed")</f>
        <v>Cause: Not Selected. On Premise Ransomware Recovery will not be deployed</v>
      </c>
      <c r="K83" s="496"/>
      <c r="L83" s="496"/>
      <c r="M83" s="496"/>
      <c r="N83" s="496"/>
      <c r="O83" s="496"/>
      <c r="P83" s="496"/>
      <c r="Q83" s="496"/>
      <c r="R83" s="496"/>
      <c r="S83" s="496"/>
      <c r="T83" s="497"/>
      <c r="U83" s="7"/>
      <c r="V83" s="7"/>
      <c r="W83" s="7"/>
      <c r="X83" s="7"/>
      <c r="Y83" s="7"/>
      <c r="Z83" s="7"/>
      <c r="AA83" s="7"/>
    </row>
    <row r="84" spans="1:29" ht="20" customHeight="1" x14ac:dyDescent="0.2"/>
    <row r="85" spans="1:29" ht="34" customHeight="1" x14ac:dyDescent="0.2">
      <c r="B85" s="54" t="s">
        <v>3374</v>
      </c>
      <c r="C85" s="55"/>
      <c r="D85" s="55"/>
      <c r="E85" s="55"/>
      <c r="F85" s="55"/>
      <c r="G85" s="55"/>
      <c r="H85" s="55"/>
      <c r="I85" s="56"/>
      <c r="J85" s="117"/>
      <c r="K85" s="117"/>
      <c r="L85" s="117"/>
      <c r="M85" s="117"/>
      <c r="N85" s="117"/>
      <c r="O85" s="117"/>
      <c r="P85" s="117"/>
      <c r="Q85" s="117"/>
      <c r="R85" s="117"/>
      <c r="S85" s="117"/>
      <c r="T85" s="117"/>
    </row>
    <row r="86" spans="1:29" ht="20" customHeight="1" x14ac:dyDescent="0.2">
      <c r="B86" s="478" t="s">
        <v>250</v>
      </c>
      <c r="C86" s="480"/>
      <c r="D86" s="480"/>
      <c r="E86" s="479"/>
      <c r="F86" s="119" t="s">
        <v>1020</v>
      </c>
      <c r="G86" s="130" t="s">
        <v>2888</v>
      </c>
      <c r="H86" s="130" t="s">
        <v>2889</v>
      </c>
      <c r="I86" s="130" t="s">
        <v>2957</v>
      </c>
      <c r="J86" s="130" t="s">
        <v>3609</v>
      </c>
      <c r="K86" s="131" t="s">
        <v>21</v>
      </c>
      <c r="L86" s="132"/>
      <c r="M86" s="132"/>
      <c r="N86" s="132"/>
      <c r="O86" s="132"/>
      <c r="P86" s="132"/>
      <c r="Q86" s="132"/>
      <c r="R86" s="132"/>
      <c r="S86" s="132"/>
      <c r="T86" s="379"/>
    </row>
    <row r="87" spans="1:29" ht="20" customHeight="1" x14ac:dyDescent="0.2">
      <c r="B87" s="319" t="s">
        <v>2955</v>
      </c>
      <c r="C87" s="320"/>
      <c r="D87" s="320"/>
      <c r="E87" s="320"/>
      <c r="F87" s="320"/>
      <c r="G87" s="320"/>
      <c r="H87" s="320"/>
      <c r="I87" s="320"/>
      <c r="J87" s="320"/>
      <c r="K87" s="320"/>
      <c r="L87" s="320"/>
      <c r="M87" s="320"/>
      <c r="N87" s="320"/>
      <c r="O87" s="320"/>
      <c r="P87" s="320"/>
      <c r="Q87" s="320"/>
      <c r="R87" s="320"/>
      <c r="S87" s="320"/>
      <c r="T87" s="381"/>
    </row>
    <row r="88" spans="1:29" ht="20" customHeight="1" x14ac:dyDescent="0.2">
      <c r="B88" s="415" t="s">
        <v>2958</v>
      </c>
      <c r="C88" s="416"/>
      <c r="D88" s="416"/>
      <c r="E88" s="417"/>
      <c r="F88" s="8" t="s">
        <v>521</v>
      </c>
      <c r="G88" s="26">
        <f>IF(OR(spr_mo_result="True",spr_mw_result="True"),1,0)</f>
        <v>0</v>
      </c>
      <c r="H88" s="26">
        <f>IF(OR(spr_mo_result="True",spr_mw_result="True"),VLOOKUP(input_mgmt_srm_vm_size,table_srm_cpu,2,FALSE),0)</f>
        <v>0</v>
      </c>
      <c r="I88" s="26">
        <f>IF(OR(spr_mo_result="True",spr_mw_result="True"),VLOOKUP(input_mgmt_srm_vm_size,table_srm_ram,2,FALSE),0)</f>
        <v>0</v>
      </c>
      <c r="J88" s="26">
        <f>IF(OR(spr_mo_result="True",spr_mw_result="True"),VLOOKUP(input_mgmt_srm_vm_size,table_srm_disk,2,FALSE),0)</f>
        <v>0</v>
      </c>
      <c r="K88" s="265" t="s">
        <v>2959</v>
      </c>
      <c r="L88" s="377"/>
      <c r="M88" s="377"/>
      <c r="N88" s="377"/>
      <c r="O88" s="377"/>
      <c r="P88" s="377"/>
      <c r="Q88" s="377"/>
      <c r="R88" s="377"/>
      <c r="S88" s="377"/>
      <c r="T88" s="266"/>
    </row>
    <row r="89" spans="1:29" ht="20" customHeight="1" x14ac:dyDescent="0.2">
      <c r="B89" s="415" t="s">
        <v>3380</v>
      </c>
      <c r="C89" s="416"/>
      <c r="D89" s="416"/>
      <c r="E89" s="417"/>
      <c r="F89" s="8" t="s">
        <v>521</v>
      </c>
      <c r="G89" s="26">
        <f>IF(spr_chosen="Management Only","0",COUNTIF(R44:R78,"Include"))</f>
        <v>0</v>
      </c>
      <c r="H89" s="26">
        <f>IF(OR(spr_wo_result="True",spr_mw_result="True"),VLOOKUP(input_wld_srm_vm_size,table_srm_cpu,2,FALSE),0)</f>
        <v>0</v>
      </c>
      <c r="I89" s="26">
        <f>IF(OR(spr_wo_result="True",spr_mw_result="True"),VLOOKUP(input_wld_srm_vm_size,table_srm_ram,2,FALSE),0)</f>
        <v>0</v>
      </c>
      <c r="J89" s="26">
        <f>IF(OR(spr_wo_result="True",spr_mw_result="True"),VLOOKUP(input_wld_srm_vm_size,table_srm_disk,2,FALSE),0)</f>
        <v>0</v>
      </c>
      <c r="K89" s="265" t="str">
        <f>IF(OR(spr_chosen="Management &amp; Workload",spr_chosen="Workload Only"),"Include Or Exclude Site Protection Disaster Recovery on each Workload Domain where required - Starting at Row 35  Column P","No sizing optionality for the appliance")</f>
        <v>No sizing optionality for the appliance</v>
      </c>
      <c r="L89" s="377"/>
      <c r="M89" s="377"/>
      <c r="N89" s="377"/>
      <c r="O89" s="377"/>
      <c r="P89" s="377"/>
      <c r="Q89" s="377"/>
      <c r="R89" s="377"/>
      <c r="S89" s="377"/>
      <c r="T89" s="266"/>
    </row>
    <row r="90" spans="1:29" ht="20" hidden="1" customHeight="1" x14ac:dyDescent="0.2">
      <c r="B90" s="382" t="s">
        <v>2960</v>
      </c>
      <c r="C90" s="383"/>
      <c r="D90" s="383"/>
      <c r="E90" s="383"/>
      <c r="F90" s="383"/>
      <c r="G90" s="383"/>
      <c r="H90" s="383"/>
      <c r="I90" s="383"/>
      <c r="J90" s="383"/>
      <c r="K90" s="383"/>
      <c r="L90" s="383"/>
      <c r="M90" s="383"/>
      <c r="N90" s="383"/>
      <c r="O90" s="383"/>
      <c r="P90" s="383"/>
      <c r="Q90" s="383"/>
      <c r="R90" s="383"/>
      <c r="S90" s="383"/>
      <c r="T90" s="384"/>
    </row>
    <row r="91" spans="1:29" ht="20" hidden="1" customHeight="1" x14ac:dyDescent="0.2">
      <c r="B91" s="415" t="s">
        <v>2961</v>
      </c>
      <c r="C91" s="416"/>
      <c r="D91" s="416"/>
      <c r="E91" s="417"/>
      <c r="F91" s="8" t="s">
        <v>521</v>
      </c>
      <c r="G91" s="26">
        <f>IF(rwr_result="Excluded",0,1)</f>
        <v>0</v>
      </c>
      <c r="H91" s="26">
        <f>IF(rwr_result="Excluded",0,8)</f>
        <v>0</v>
      </c>
      <c r="I91" s="26">
        <f>IF(rwr_result="Excluded",0,24)</f>
        <v>0</v>
      </c>
      <c r="J91" s="26">
        <f>IF(rwr_result="Excluded",0,800)</f>
        <v>0</v>
      </c>
      <c r="K91" s="265" t="s">
        <v>2959</v>
      </c>
      <c r="L91" s="377"/>
      <c r="M91" s="377"/>
      <c r="N91" s="377"/>
      <c r="O91" s="377"/>
      <c r="P91" s="377"/>
      <c r="Q91" s="377"/>
      <c r="R91" s="377"/>
      <c r="S91" s="377"/>
      <c r="T91" s="266"/>
    </row>
    <row r="92" spans="1:29" ht="20" customHeight="1" x14ac:dyDescent="0.2">
      <c r="E92" s="67" t="s">
        <v>2916</v>
      </c>
      <c r="F92" s="376"/>
      <c r="G92" s="4">
        <f>SUM(G88:G89,,G91)</f>
        <v>0</v>
      </c>
      <c r="H92" s="4" t="str">
        <f>CONCATENATE(SUMPRODUCT('Management Domain Sizing'!$G$88:$G$91,'Management Domain Sizing'!H88:H91)," CPUs")</f>
        <v>0 CPUs</v>
      </c>
      <c r="I92" s="4" t="str">
        <f>CONCATENATE(SUMPRODUCT('Management Domain Sizing'!$G$88:$G$91,'Management Domain Sizing'!I88:I91)," GB")</f>
        <v>0 GB</v>
      </c>
      <c r="J92" s="4" t="str">
        <f>CONCATENATE(SUMPRODUCT('Management Domain Sizing'!$G$88:$G$91,'Management Domain Sizing'!J88:J91)," GB")</f>
        <v>0 GB</v>
      </c>
    </row>
    <row r="93" spans="1:29" ht="20" customHeight="1" x14ac:dyDescent="0.2"/>
    <row r="94" spans="1:29" ht="20" customHeight="1" x14ac:dyDescent="0.2"/>
    <row r="95" spans="1:29" ht="20" customHeight="1" x14ac:dyDescent="0.2">
      <c r="H95" s="2"/>
      <c r="J95" s="3"/>
      <c r="K95" s="3"/>
    </row>
    <row r="96" spans="1:29" ht="20" customHeight="1" x14ac:dyDescent="0.2">
      <c r="H96" s="2"/>
      <c r="J96" s="3"/>
      <c r="K96" s="3"/>
    </row>
    <row r="97" spans="3:24" ht="20" customHeight="1" x14ac:dyDescent="0.2">
      <c r="H97" s="2"/>
      <c r="J97" s="3"/>
      <c r="K97" s="3"/>
    </row>
    <row r="98" spans="3:24" x14ac:dyDescent="0.2">
      <c r="H98" s="2"/>
      <c r="J98" s="3"/>
      <c r="K98" s="3"/>
    </row>
    <row r="99" spans="3:24" x14ac:dyDescent="0.2">
      <c r="H99" s="2"/>
      <c r="J99" s="3"/>
      <c r="K99" s="3"/>
    </row>
    <row r="100" spans="3:24" x14ac:dyDescent="0.2">
      <c r="C100" s="1"/>
    </row>
    <row r="110" spans="3:24" x14ac:dyDescent="0.2">
      <c r="X110" s="32"/>
    </row>
    <row r="111" spans="3:24" x14ac:dyDescent="0.2">
      <c r="X111" s="32"/>
    </row>
    <row r="112" spans="3:24" x14ac:dyDescent="0.2">
      <c r="X112" s="32"/>
    </row>
    <row r="113" spans="24:24" x14ac:dyDescent="0.2">
      <c r="X113" s="32"/>
    </row>
    <row r="114" spans="24:24" x14ac:dyDescent="0.2">
      <c r="X114" s="32"/>
    </row>
    <row r="115" spans="24:24" x14ac:dyDescent="0.2">
      <c r="X115" s="32"/>
    </row>
  </sheetData>
  <sheetProtection algorithmName="SHA-512" hashValue="g5BXGuYk0DZe6XGbbOke9fwiBvr+TAbUX26MZ4CDlRjcZfH6HL/3VD6HdFPLYMHYaaogU+snAGhOZk2ZC4aueQ==" saltValue="jKrq+TeqSQ/RpcyjoL2AaA==" spinCount="100000" sheet="1" selectLockedCells="1"/>
  <dataConsolidate/>
  <mergeCells count="290">
    <mergeCell ref="G16:I16"/>
    <mergeCell ref="V72:W72"/>
    <mergeCell ref="V73:W73"/>
    <mergeCell ref="V74:W74"/>
    <mergeCell ref="V75:W75"/>
    <mergeCell ref="V76:W76"/>
    <mergeCell ref="Z77:AD77"/>
    <mergeCell ref="Z78:AD78"/>
    <mergeCell ref="Z68:AD68"/>
    <mergeCell ref="Z69:AD69"/>
    <mergeCell ref="Z70:AD70"/>
    <mergeCell ref="Z71:AD71"/>
    <mergeCell ref="Z72:AD72"/>
    <mergeCell ref="Z73:AD73"/>
    <mergeCell ref="Z74:AD74"/>
    <mergeCell ref="Z75:AD75"/>
    <mergeCell ref="Z76:AD76"/>
    <mergeCell ref="V77:W77"/>
    <mergeCell ref="V78:W78"/>
    <mergeCell ref="S56:T56"/>
    <mergeCell ref="S57:T57"/>
    <mergeCell ref="J78:K78"/>
    <mergeCell ref="N68:Q68"/>
    <mergeCell ref="N69:Q69"/>
    <mergeCell ref="S78:T78"/>
    <mergeCell ref="S64:T64"/>
    <mergeCell ref="J76:K76"/>
    <mergeCell ref="J77:K77"/>
    <mergeCell ref="S65:T65"/>
    <mergeCell ref="N63:Q63"/>
    <mergeCell ref="J65:K65"/>
    <mergeCell ref="N66:Q66"/>
    <mergeCell ref="J63:K63"/>
    <mergeCell ref="N70:Q70"/>
    <mergeCell ref="N71:Q71"/>
    <mergeCell ref="N72:Q72"/>
    <mergeCell ref="N73:Q73"/>
    <mergeCell ref="N74:Q74"/>
    <mergeCell ref="N75:Q75"/>
    <mergeCell ref="N76:Q76"/>
    <mergeCell ref="N77:Q77"/>
    <mergeCell ref="N78:Q78"/>
    <mergeCell ref="Z52:AD52"/>
    <mergeCell ref="Z53:AD53"/>
    <mergeCell ref="Z54:AD54"/>
    <mergeCell ref="S48:T48"/>
    <mergeCell ref="S49:T49"/>
    <mergeCell ref="S50:T50"/>
    <mergeCell ref="S51:T51"/>
    <mergeCell ref="V51:W51"/>
    <mergeCell ref="Z48:AD48"/>
    <mergeCell ref="Z49:AD49"/>
    <mergeCell ref="Z50:AD50"/>
    <mergeCell ref="V48:W48"/>
    <mergeCell ref="V49:W49"/>
    <mergeCell ref="V54:W54"/>
    <mergeCell ref="S53:T53"/>
    <mergeCell ref="S54:T54"/>
    <mergeCell ref="V53:W53"/>
    <mergeCell ref="Z51:AD51"/>
    <mergeCell ref="V50:W50"/>
    <mergeCell ref="V52:W52"/>
    <mergeCell ref="S60:T60"/>
    <mergeCell ref="J83:T83"/>
    <mergeCell ref="V65:W65"/>
    <mergeCell ref="Z67:AD67"/>
    <mergeCell ref="Z66:AD66"/>
    <mergeCell ref="Z65:AD65"/>
    <mergeCell ref="B83:D83"/>
    <mergeCell ref="J66:K66"/>
    <mergeCell ref="N65:Q65"/>
    <mergeCell ref="N67:Q67"/>
    <mergeCell ref="V67:W67"/>
    <mergeCell ref="V66:W66"/>
    <mergeCell ref="J68:K68"/>
    <mergeCell ref="J69:K69"/>
    <mergeCell ref="J70:K70"/>
    <mergeCell ref="J71:K71"/>
    <mergeCell ref="J72:K72"/>
    <mergeCell ref="J73:K73"/>
    <mergeCell ref="J74:K74"/>
    <mergeCell ref="J75:K75"/>
    <mergeCell ref="V68:W68"/>
    <mergeCell ref="V69:W69"/>
    <mergeCell ref="V70:W70"/>
    <mergeCell ref="V71:W71"/>
    <mergeCell ref="N62:Q62"/>
    <mergeCell ref="B82:D82"/>
    <mergeCell ref="B81:D81"/>
    <mergeCell ref="J82:T82"/>
    <mergeCell ref="J67:K67"/>
    <mergeCell ref="B89:E89"/>
    <mergeCell ref="B88:E88"/>
    <mergeCell ref="B91:E91"/>
    <mergeCell ref="B86:E86"/>
    <mergeCell ref="S66:T66"/>
    <mergeCell ref="S67:T67"/>
    <mergeCell ref="S68:T68"/>
    <mergeCell ref="S69:T69"/>
    <mergeCell ref="S70:T70"/>
    <mergeCell ref="S71:T71"/>
    <mergeCell ref="S72:T72"/>
    <mergeCell ref="S73:T73"/>
    <mergeCell ref="S74:T74"/>
    <mergeCell ref="S75:T75"/>
    <mergeCell ref="S76:T76"/>
    <mergeCell ref="J64:K64"/>
    <mergeCell ref="N64:Q64"/>
    <mergeCell ref="J62:K62"/>
    <mergeCell ref="S77:T77"/>
    <mergeCell ref="J61:K61"/>
    <mergeCell ref="N48:Q48"/>
    <mergeCell ref="N49:Q49"/>
    <mergeCell ref="N50:Q50"/>
    <mergeCell ref="N51:Q51"/>
    <mergeCell ref="N52:Q52"/>
    <mergeCell ref="N53:Q53"/>
    <mergeCell ref="N58:Q58"/>
    <mergeCell ref="N59:Q59"/>
    <mergeCell ref="N60:Q60"/>
    <mergeCell ref="N61:Q61"/>
    <mergeCell ref="J58:K58"/>
    <mergeCell ref="N56:Q56"/>
    <mergeCell ref="N57:Q57"/>
    <mergeCell ref="J55:K55"/>
    <mergeCell ref="J53:K53"/>
    <mergeCell ref="J54:K54"/>
    <mergeCell ref="J48:K48"/>
    <mergeCell ref="J51:K51"/>
    <mergeCell ref="J52:K52"/>
    <mergeCell ref="J49:K49"/>
    <mergeCell ref="J59:K59"/>
    <mergeCell ref="J60:K60"/>
    <mergeCell ref="Z61:AD61"/>
    <mergeCell ref="Z62:AD62"/>
    <mergeCell ref="Z63:AD63"/>
    <mergeCell ref="S62:T62"/>
    <mergeCell ref="Z55:AD55"/>
    <mergeCell ref="Z64:AD64"/>
    <mergeCell ref="Z57:AD57"/>
    <mergeCell ref="Z58:AD58"/>
    <mergeCell ref="Z59:AD59"/>
    <mergeCell ref="Z60:AD60"/>
    <mergeCell ref="V56:W56"/>
    <mergeCell ref="V55:W55"/>
    <mergeCell ref="V64:W64"/>
    <mergeCell ref="Z56:AD56"/>
    <mergeCell ref="V59:W59"/>
    <mergeCell ref="V62:W62"/>
    <mergeCell ref="V63:W63"/>
    <mergeCell ref="S58:T58"/>
    <mergeCell ref="S59:T59"/>
    <mergeCell ref="S63:T63"/>
    <mergeCell ref="V60:W60"/>
    <mergeCell ref="V61:W61"/>
    <mergeCell ref="S61:T61"/>
    <mergeCell ref="V57:W57"/>
    <mergeCell ref="V58:W58"/>
    <mergeCell ref="S52:T52"/>
    <mergeCell ref="N54:Q54"/>
    <mergeCell ref="B8:D8"/>
    <mergeCell ref="B9:D9"/>
    <mergeCell ref="B12:D12"/>
    <mergeCell ref="B13:D13"/>
    <mergeCell ref="B18:E18"/>
    <mergeCell ref="B19:D19"/>
    <mergeCell ref="B21:D21"/>
    <mergeCell ref="B11:E11"/>
    <mergeCell ref="S55:T55"/>
    <mergeCell ref="N47:Q47"/>
    <mergeCell ref="J56:K56"/>
    <mergeCell ref="J57:K57"/>
    <mergeCell ref="N55:Q55"/>
    <mergeCell ref="V46:W46"/>
    <mergeCell ref="J46:K46"/>
    <mergeCell ref="I43:K43"/>
    <mergeCell ref="J44:K44"/>
    <mergeCell ref="S44:T44"/>
    <mergeCell ref="S45:T45"/>
    <mergeCell ref="F43:G43"/>
    <mergeCell ref="T40:V40"/>
    <mergeCell ref="B2:AD2"/>
    <mergeCell ref="G6:M6"/>
    <mergeCell ref="B6:E6"/>
    <mergeCell ref="B7:D7"/>
    <mergeCell ref="G7:I7"/>
    <mergeCell ref="G8:I8"/>
    <mergeCell ref="B32:D32"/>
    <mergeCell ref="B31:D31"/>
    <mergeCell ref="G9:I9"/>
    <mergeCell ref="G10:I10"/>
    <mergeCell ref="B20:D20"/>
    <mergeCell ref="B3:AD3"/>
    <mergeCell ref="O7:Q7"/>
    <mergeCell ref="O8:Q8"/>
    <mergeCell ref="O9:Q9"/>
    <mergeCell ref="O10:Q10"/>
    <mergeCell ref="O26:Q26"/>
    <mergeCell ref="O27:Q27"/>
    <mergeCell ref="O28:Q28"/>
    <mergeCell ref="O29:Q29"/>
    <mergeCell ref="O30:Q30"/>
    <mergeCell ref="O31:Q31"/>
    <mergeCell ref="O32:Q32"/>
    <mergeCell ref="U7:AD37"/>
    <mergeCell ref="J45:K45"/>
    <mergeCell ref="N45:Q45"/>
    <mergeCell ref="G12:I12"/>
    <mergeCell ref="D43:E43"/>
    <mergeCell ref="L39:N39"/>
    <mergeCell ref="U43:W43"/>
    <mergeCell ref="V44:W44"/>
    <mergeCell ref="V45:W45"/>
    <mergeCell ref="J40:K40"/>
    <mergeCell ref="W39:Y39"/>
    <mergeCell ref="M40:N40"/>
    <mergeCell ref="S39:V39"/>
    <mergeCell ref="O16:Q16"/>
    <mergeCell ref="O17:Q17"/>
    <mergeCell ref="B14:D14"/>
    <mergeCell ref="B15:D15"/>
    <mergeCell ref="B16:D16"/>
    <mergeCell ref="B22:D22"/>
    <mergeCell ref="B36:D36"/>
    <mergeCell ref="B34:D34"/>
    <mergeCell ref="O39:P39"/>
    <mergeCell ref="O13:Q13"/>
    <mergeCell ref="O24:Q24"/>
    <mergeCell ref="O25:Q25"/>
    <mergeCell ref="S46:T46"/>
    <mergeCell ref="N44:Q44"/>
    <mergeCell ref="N46:Q46"/>
    <mergeCell ref="J50:K50"/>
    <mergeCell ref="J47:K47"/>
    <mergeCell ref="D39:E39"/>
    <mergeCell ref="T42:AD42"/>
    <mergeCell ref="R43:T43"/>
    <mergeCell ref="B24:D24"/>
    <mergeCell ref="M43:Q43"/>
    <mergeCell ref="V47:W47"/>
    <mergeCell ref="Q39:R39"/>
    <mergeCell ref="Z43:AD43"/>
    <mergeCell ref="Z44:AD44"/>
    <mergeCell ref="Z45:AD45"/>
    <mergeCell ref="Z46:AD46"/>
    <mergeCell ref="Z47:AD47"/>
    <mergeCell ref="X43:Y43"/>
    <mergeCell ref="S47:T47"/>
    <mergeCell ref="Z40:AD40"/>
    <mergeCell ref="F39:G39"/>
    <mergeCell ref="N38:AD38"/>
    <mergeCell ref="X40:Y40"/>
    <mergeCell ref="I39:K39"/>
    <mergeCell ref="B33:D33"/>
    <mergeCell ref="O15:Q15"/>
    <mergeCell ref="G11:I11"/>
    <mergeCell ref="G14:I14"/>
    <mergeCell ref="O14:Q14"/>
    <mergeCell ref="R14:S14"/>
    <mergeCell ref="R15:S15"/>
    <mergeCell ref="R16:S16"/>
    <mergeCell ref="R17:S17"/>
    <mergeCell ref="R18:S18"/>
    <mergeCell ref="R19:S19"/>
    <mergeCell ref="R20:S20"/>
    <mergeCell ref="R21:S21"/>
    <mergeCell ref="G13:I13"/>
    <mergeCell ref="G15:I15"/>
    <mergeCell ref="O18:Q18"/>
    <mergeCell ref="O19:Q19"/>
    <mergeCell ref="O20:Q20"/>
    <mergeCell ref="O21:Q21"/>
    <mergeCell ref="R28:S28"/>
    <mergeCell ref="R29:S29"/>
    <mergeCell ref="R30:S30"/>
    <mergeCell ref="R31:S31"/>
    <mergeCell ref="R32:S32"/>
    <mergeCell ref="O34:S34"/>
    <mergeCell ref="O35:S35"/>
    <mergeCell ref="O36:S36"/>
    <mergeCell ref="R7:S7"/>
    <mergeCell ref="R8:S8"/>
    <mergeCell ref="R9:S9"/>
    <mergeCell ref="R10:S10"/>
    <mergeCell ref="R13:S13"/>
    <mergeCell ref="U6:AD6"/>
    <mergeCell ref="R25:S25"/>
    <mergeCell ref="R26:S26"/>
    <mergeCell ref="R27:S27"/>
    <mergeCell ref="R24:S24"/>
  </mergeCells>
  <phoneticPr fontId="4" type="noConversion"/>
  <conditionalFormatting sqref="B82:C82">
    <cfRule type="expression" dxfId="2299" priority="435">
      <formula>(spr_chosen="Exclude")</formula>
    </cfRule>
    <cfRule type="expression" dxfId="2298" priority="436">
      <formula>AND((spr_chosen&lt;&gt;"Exclude"),(spr_result="Excluded"))</formula>
    </cfRule>
    <cfRule type="expression" dxfId="2297" priority="437">
      <formula>AND((spr_chosen&lt;&gt;"Exclude"),(spr_result="Included"))</formula>
    </cfRule>
  </conditionalFormatting>
  <conditionalFormatting sqref="B83:D83 I83:J83">
    <cfRule type="expression" dxfId="2296" priority="288">
      <formula>(rwr_chosen="Include")</formula>
    </cfRule>
    <cfRule type="expression" dxfId="2295" priority="289">
      <formula>(rwr_chosen="Exclude")</formula>
    </cfRule>
  </conditionalFormatting>
  <conditionalFormatting sqref="C68">
    <cfRule type="expression" dxfId="2294" priority="188">
      <formula>(sizing_w25_chosen="Included")</formula>
    </cfRule>
  </conditionalFormatting>
  <conditionalFormatting sqref="C69">
    <cfRule type="expression" dxfId="2293" priority="180">
      <formula>(sizing_w26_chosen="Included")</formula>
    </cfRule>
  </conditionalFormatting>
  <conditionalFormatting sqref="C70">
    <cfRule type="expression" dxfId="2292" priority="186">
      <formula>(sizing_w27_chosen="Included")</formula>
    </cfRule>
  </conditionalFormatting>
  <conditionalFormatting sqref="C71">
    <cfRule type="expression" dxfId="2291" priority="187">
      <formula>(sizing_w28_chosen="Included")</formula>
    </cfRule>
  </conditionalFormatting>
  <conditionalFormatting sqref="C72">
    <cfRule type="expression" dxfId="2290" priority="185">
      <formula>(sizing_w29_chosen="Included")</formula>
    </cfRule>
  </conditionalFormatting>
  <conditionalFormatting sqref="C73">
    <cfRule type="expression" dxfId="2289" priority="184">
      <formula>(sizing_w30_chosen="Included")</formula>
    </cfRule>
  </conditionalFormatting>
  <conditionalFormatting sqref="C74">
    <cfRule type="expression" dxfId="2288" priority="183">
      <formula>(sizing_w31_chosen="Included")</formula>
    </cfRule>
  </conditionalFormatting>
  <conditionalFormatting sqref="C75">
    <cfRule type="expression" dxfId="2287" priority="182">
      <formula>(sizing_w32_chosen="Included")</formula>
    </cfRule>
  </conditionalFormatting>
  <conditionalFormatting sqref="C76">
    <cfRule type="expression" dxfId="2286" priority="181">
      <formula>(sizing_w33_chosen="Included")</formula>
    </cfRule>
  </conditionalFormatting>
  <conditionalFormatting sqref="C77">
    <cfRule type="expression" dxfId="2285" priority="179">
      <formula>(sizing_w34_chosen="Included")</formula>
    </cfRule>
  </conditionalFormatting>
  <conditionalFormatting sqref="C78">
    <cfRule type="expression" dxfId="2284" priority="178">
      <formula>(sizing_w35_chosen="Included")</formula>
    </cfRule>
  </conditionalFormatting>
  <conditionalFormatting sqref="C48:J48">
    <cfRule type="expression" dxfId="2283" priority="923">
      <formula>(sizing_w05_chosen="Included")</formula>
    </cfRule>
  </conditionalFormatting>
  <conditionalFormatting sqref="C49:J49">
    <cfRule type="expression" dxfId="2282" priority="921">
      <formula>(sizing_w06_chosen="Included")</formula>
    </cfRule>
  </conditionalFormatting>
  <conditionalFormatting sqref="C50:J50">
    <cfRule type="expression" dxfId="2281" priority="919">
      <formula>(sizing_w07_chosen="Included")</formula>
    </cfRule>
  </conditionalFormatting>
  <conditionalFormatting sqref="C51:J51">
    <cfRule type="expression" dxfId="2280" priority="917">
      <formula>(sizing_w08_chosen="Included")</formula>
    </cfRule>
  </conditionalFormatting>
  <conditionalFormatting sqref="C52:J52">
    <cfRule type="expression" dxfId="2279" priority="916">
      <formula>(sizing_w09_chosen="Included")</formula>
    </cfRule>
  </conditionalFormatting>
  <conditionalFormatting sqref="C53:J53">
    <cfRule type="expression" dxfId="2278" priority="915">
      <formula>(sizing_w10_chosen="Included")</formula>
    </cfRule>
  </conditionalFormatting>
  <conditionalFormatting sqref="C54:J54">
    <cfRule type="expression" dxfId="2277" priority="911">
      <formula>(sizing_w11_chosen="Included")</formula>
    </cfRule>
  </conditionalFormatting>
  <conditionalFormatting sqref="C55:J55">
    <cfRule type="expression" dxfId="2276" priority="914">
      <formula>(sizing_w12_chosen="Included")</formula>
    </cfRule>
  </conditionalFormatting>
  <conditionalFormatting sqref="C56:J56">
    <cfRule type="expression" dxfId="2275" priority="913">
      <formula>(sizing_w13_chosen="Included")</formula>
    </cfRule>
  </conditionalFormatting>
  <conditionalFormatting sqref="C57:J57">
    <cfRule type="expression" dxfId="2274" priority="912">
      <formula>(sizing_w14_chosen="Included")</formula>
    </cfRule>
  </conditionalFormatting>
  <conditionalFormatting sqref="C58:J58">
    <cfRule type="expression" dxfId="2273" priority="904">
      <formula>(sizing_w15_chosen="Included")</formula>
    </cfRule>
  </conditionalFormatting>
  <conditionalFormatting sqref="C59:J59">
    <cfRule type="expression" dxfId="2272" priority="908">
      <formula>(sizing_w16_chosen="Included")</formula>
    </cfRule>
  </conditionalFormatting>
  <conditionalFormatting sqref="C60:J60">
    <cfRule type="expression" dxfId="2271" priority="907">
      <formula>(sizing_w17_chosen="Included")</formula>
    </cfRule>
  </conditionalFormatting>
  <conditionalFormatting sqref="C61:J61">
    <cfRule type="expression" dxfId="2270" priority="905">
      <formula>(sizing_w18_chosen="Included")</formula>
    </cfRule>
  </conditionalFormatting>
  <conditionalFormatting sqref="C62:J62">
    <cfRule type="expression" dxfId="2269" priority="903">
      <formula>(sizing_w19_chosen="Included")</formula>
    </cfRule>
  </conditionalFormatting>
  <conditionalFormatting sqref="C63:J63">
    <cfRule type="expression" dxfId="2268" priority="901">
      <formula>(sizing_w20_chosen="Included")</formula>
    </cfRule>
  </conditionalFormatting>
  <conditionalFormatting sqref="C64:J64">
    <cfRule type="expression" dxfId="2267" priority="898">
      <formula>(sizing_w21_chosen="Included")</formula>
    </cfRule>
  </conditionalFormatting>
  <conditionalFormatting sqref="C65:J65">
    <cfRule type="expression" dxfId="2266" priority="896">
      <formula>(sizing_w22_chosen="Included")</formula>
    </cfRule>
  </conditionalFormatting>
  <conditionalFormatting sqref="C66:J66">
    <cfRule type="expression" dxfId="2265" priority="786">
      <formula>(sizing_w23_chosen="Included")</formula>
    </cfRule>
  </conditionalFormatting>
  <conditionalFormatting sqref="C67:J67">
    <cfRule type="expression" dxfId="2264" priority="785">
      <formula>(sizing_w24_chosen="Included")</formula>
    </cfRule>
  </conditionalFormatting>
  <conditionalFormatting sqref="C45:K45">
    <cfRule type="expression" dxfId="2263" priority="937">
      <formula>(sizing_w02_chosen="Included")</formula>
    </cfRule>
  </conditionalFormatting>
  <conditionalFormatting sqref="C46:K46">
    <cfRule type="expression" dxfId="2262" priority="1328">
      <formula>(sizing_w03_chosen="Included")</formula>
    </cfRule>
  </conditionalFormatting>
  <conditionalFormatting sqref="C47:K47">
    <cfRule type="expression" dxfId="2261" priority="926">
      <formula>(sizing_w04_chosen="Included")</formula>
    </cfRule>
  </conditionalFormatting>
  <conditionalFormatting sqref="D44:J44 L44:P44 R44:S44 U44:Y44">
    <cfRule type="expression" dxfId="2260" priority="230">
      <formula>(sizing_w01_chosen="Excluded")</formula>
    </cfRule>
  </conditionalFormatting>
  <conditionalFormatting sqref="D48:J48 L48:P48 R48:S48 U48:Y48">
    <cfRule type="expression" dxfId="2259" priority="236">
      <formula>(sizing_w05_chosen="Excluded")</formula>
    </cfRule>
  </conditionalFormatting>
  <conditionalFormatting sqref="D49:J49 L49:P49 R49:S49 U49:Y49">
    <cfRule type="expression" dxfId="2258" priority="237">
      <formula>(sizing_w06_chosen="Excluded")</formula>
    </cfRule>
  </conditionalFormatting>
  <conditionalFormatting sqref="D50:J50 L50:P50 R50:S50 U50:Y50">
    <cfRule type="expression" dxfId="2257" priority="238">
      <formula>(sizing_w07_chosen="Excluded")</formula>
    </cfRule>
  </conditionalFormatting>
  <conditionalFormatting sqref="D51:J51 L51:P51 R51:S51 U51:Y51">
    <cfRule type="expression" dxfId="2256" priority="239">
      <formula>(sizing_w08_chosen="Excluded")</formula>
    </cfRule>
  </conditionalFormatting>
  <conditionalFormatting sqref="D52:J52 L52:P52 R52:S52 U52:Y52">
    <cfRule type="expression" dxfId="2255" priority="240">
      <formula>(sizing_w09_chosen="Excluded")</formula>
    </cfRule>
  </conditionalFormatting>
  <conditionalFormatting sqref="D53:J53 L53:P53 R53:S53 U53:Y53">
    <cfRule type="expression" dxfId="2254" priority="241">
      <formula>(sizing_w10_chosen="Excluded")</formula>
    </cfRule>
  </conditionalFormatting>
  <conditionalFormatting sqref="D54:J54 L54:P54 R54:S54 U54:Y54">
    <cfRule type="expression" dxfId="2253" priority="242">
      <formula>(sizing_w11_chosen="Excluded")</formula>
    </cfRule>
  </conditionalFormatting>
  <conditionalFormatting sqref="D55:J55 L55:P55 R55:S55 U55:Y55">
    <cfRule type="expression" dxfId="2252" priority="243">
      <formula>(sizing_w12_chosen="Excluded")</formula>
    </cfRule>
  </conditionalFormatting>
  <conditionalFormatting sqref="D56:J56 L56:P56 R56:S56 U56:Y56">
    <cfRule type="expression" dxfId="2251" priority="244">
      <formula>(sizing_w13_chosen="Excluded")</formula>
    </cfRule>
  </conditionalFormatting>
  <conditionalFormatting sqref="D57:J57 L57:P57 R57:S57 U57:Y57">
    <cfRule type="expression" dxfId="2250" priority="245">
      <formula>(sizing_w14_chosen="Excluded")</formula>
    </cfRule>
  </conditionalFormatting>
  <conditionalFormatting sqref="D58:J58 L58:P58 R58:S58 U58:Y58">
    <cfRule type="expression" dxfId="2249" priority="246">
      <formula>(sizing_w15_chosen="Excluded")</formula>
    </cfRule>
  </conditionalFormatting>
  <conditionalFormatting sqref="D59:J59 L59:P59 R59:S59 U59:Y59">
    <cfRule type="expression" dxfId="2248" priority="247">
      <formula>(sizing_w16_chosen="Excluded")</formula>
    </cfRule>
  </conditionalFormatting>
  <conditionalFormatting sqref="D60:J60 L60:P60 R60:S60 U60:Y60">
    <cfRule type="expression" dxfId="2247" priority="248">
      <formula>(sizing_w17_chosen="Excluded")</formula>
    </cfRule>
  </conditionalFormatting>
  <conditionalFormatting sqref="D61:J61 L61:P61 R61:S61 U61:Y61">
    <cfRule type="expression" dxfId="2246" priority="249">
      <formula>(sizing_w18_chosen="Excluded")</formula>
    </cfRule>
  </conditionalFormatting>
  <conditionalFormatting sqref="D62:J62 L62:P62 R62:S62 U62:Y62">
    <cfRule type="expression" dxfId="2245" priority="250">
      <formula>(sizing_w19_chosen="Excluded")</formula>
    </cfRule>
  </conditionalFormatting>
  <conditionalFormatting sqref="D63:J63 L63:P63 R63:S63 U63:Y63">
    <cfRule type="expression" dxfId="2244" priority="251">
      <formula>(sizing_w20_chosen="Excluded")</formula>
    </cfRule>
  </conditionalFormatting>
  <conditionalFormatting sqref="D64:J64 L64:P64 R64:S64 U64:Y64">
    <cfRule type="expression" dxfId="2243" priority="252">
      <formula>(sizing_w21_chosen="Excluded")</formula>
    </cfRule>
  </conditionalFormatting>
  <conditionalFormatting sqref="D65:J65 L65:P65 R65:S65 U65:Y65">
    <cfRule type="expression" dxfId="2242" priority="253">
      <formula>(sizing_w22_chosen="Excluded")</formula>
    </cfRule>
  </conditionalFormatting>
  <conditionalFormatting sqref="D66:J66 L66:P66 R66:S66 U66:Y66">
    <cfRule type="expression" dxfId="2241" priority="256">
      <formula>(sizing_w23_chosen="Excluded")</formula>
    </cfRule>
  </conditionalFormatting>
  <conditionalFormatting sqref="D67:J67 L67:P67 R67:S67 U67:Y67">
    <cfRule type="expression" dxfId="2240" priority="275">
      <formula>(sizing_w24_chosen="Excluded")</formula>
    </cfRule>
  </conditionalFormatting>
  <conditionalFormatting sqref="D68:J68">
    <cfRule type="expression" dxfId="2239" priority="33">
      <formula>(sizing_w25_chosen="Excluded")</formula>
    </cfRule>
    <cfRule type="expression" dxfId="2238" priority="34">
      <formula>(sizing_w25_chosen="Included")</formula>
    </cfRule>
  </conditionalFormatting>
  <conditionalFormatting sqref="D69:J69">
    <cfRule type="expression" dxfId="2237" priority="31">
      <formula>(sizing_w26_chosen="Excluded")</formula>
    </cfRule>
    <cfRule type="expression" dxfId="2236" priority="32">
      <formula>(sizing_w26_chosen="Included")</formula>
    </cfRule>
  </conditionalFormatting>
  <conditionalFormatting sqref="D70:J70">
    <cfRule type="expression" dxfId="2235" priority="29">
      <formula>(sizing_w27_chosen="Excluded")</formula>
    </cfRule>
    <cfRule type="expression" dxfId="2234" priority="30">
      <formula>(sizing_w27_chosen="Included")</formula>
    </cfRule>
  </conditionalFormatting>
  <conditionalFormatting sqref="D71:J71">
    <cfRule type="expression" dxfId="2233" priority="27">
      <formula>(sizing_w28_chosen="Excluded")</formula>
    </cfRule>
    <cfRule type="expression" dxfId="2232" priority="28">
      <formula>(sizing_w28_chosen="Included")</formula>
    </cfRule>
  </conditionalFormatting>
  <conditionalFormatting sqref="D72:J72">
    <cfRule type="expression" dxfId="2231" priority="25">
      <formula>(sizing_w29_chosen="Excluded")</formula>
    </cfRule>
    <cfRule type="expression" dxfId="2230" priority="26">
      <formula>(sizing_w29_chosen="Included")</formula>
    </cfRule>
  </conditionalFormatting>
  <conditionalFormatting sqref="D73:J73">
    <cfRule type="expression" dxfId="2229" priority="23">
      <formula>(sizing_w30_chosen="Excluded")</formula>
    </cfRule>
    <cfRule type="expression" dxfId="2228" priority="24">
      <formula>(sizing_w30_chosen="Included")</formula>
    </cfRule>
  </conditionalFormatting>
  <conditionalFormatting sqref="D74:J74">
    <cfRule type="expression" dxfId="2227" priority="21">
      <formula>(sizing_w31_chosen="Excluded")</formula>
    </cfRule>
    <cfRule type="expression" dxfId="2226" priority="22">
      <formula>(sizing_w31_chosen="Included")</formula>
    </cfRule>
  </conditionalFormatting>
  <conditionalFormatting sqref="D75:J75">
    <cfRule type="expression" dxfId="2225" priority="19">
      <formula>(sizing_w32_chosen="Excluded")</formula>
    </cfRule>
    <cfRule type="expression" dxfId="2224" priority="20">
      <formula>(sizing_w32_chosen="Included")</formula>
    </cfRule>
  </conditionalFormatting>
  <conditionalFormatting sqref="D76:J76">
    <cfRule type="expression" dxfId="2223" priority="17">
      <formula>(sizing_w33_chosen="Excluded")</formula>
    </cfRule>
    <cfRule type="expression" dxfId="2222" priority="18">
      <formula>(sizing_w33_chosen="Included")</formula>
    </cfRule>
  </conditionalFormatting>
  <conditionalFormatting sqref="D77:J77">
    <cfRule type="expression" dxfId="2221" priority="15">
      <formula>(sizing_w34_chosen="Excluded")</formula>
    </cfRule>
    <cfRule type="expression" dxfId="2220" priority="16">
      <formula>(sizing_w34_chosen="Included")</formula>
    </cfRule>
  </conditionalFormatting>
  <conditionalFormatting sqref="D78:J78">
    <cfRule type="expression" dxfId="2219" priority="13">
      <formula>(sizing_w35_chosen="Excluded")</formula>
    </cfRule>
    <cfRule type="expression" dxfId="2218" priority="14">
      <formula>(sizing_w35_chosen="Included")</formula>
    </cfRule>
  </conditionalFormatting>
  <conditionalFormatting sqref="D46:P46 R46:S46 U46:Y46">
    <cfRule type="expression" dxfId="2217" priority="234">
      <formula>(sizing_w03_chosen="Excluded")</formula>
    </cfRule>
  </conditionalFormatting>
  <conditionalFormatting sqref="D47:P47 R47:S47 U47:Y47">
    <cfRule type="expression" dxfId="2216" priority="235" stopIfTrue="1">
      <formula>(sizing_w04_chosen="Excluded")</formula>
    </cfRule>
  </conditionalFormatting>
  <conditionalFormatting sqref="D45:Y45">
    <cfRule type="expression" dxfId="2215" priority="233">
      <formula>(sizing_w02_chosen="Excluded")</formula>
    </cfRule>
  </conditionalFormatting>
  <conditionalFormatting sqref="E8:E9 C40:J40 L40:M40 Q40:T40 E13:E16 F88:F89 U44:V44 E24:E28 E31 E33:E35">
    <cfRule type="notContainsBlanks" dxfId="2214" priority="1326">
      <formula>LEN(TRIM(C8))&gt;0</formula>
    </cfRule>
  </conditionalFormatting>
  <conditionalFormatting sqref="E20:E22 E24">
    <cfRule type="expression" dxfId="2213" priority="226">
      <formula>$E$21="Exclude"</formula>
    </cfRule>
  </conditionalFormatting>
  <conditionalFormatting sqref="E20:E22">
    <cfRule type="notContainsBlanks" dxfId="2212" priority="320">
      <formula>LEN(TRIM(E20))&gt;0</formula>
    </cfRule>
  </conditionalFormatting>
  <conditionalFormatting sqref="E22 J22:M23 E25">
    <cfRule type="expression" dxfId="2211" priority="6">
      <formula>AND((sizing_vcf_deployment_size_chosen="Medium"),(sizing_vcfops_logs_chosen="Large"))</formula>
    </cfRule>
    <cfRule type="expression" dxfId="2210" priority="200">
      <formula>AND((sizing_vcf_deployment_model_chosen="Simple"),(sizing_vcfops_logs_chosen="Large"))</formula>
    </cfRule>
    <cfRule type="expression" dxfId="2209" priority="201">
      <formula>AND((sizing_vcf_deployment_model_chosen="Simple"),(sizing_vcfops_logs_chosen="Medium"))</formula>
    </cfRule>
    <cfRule type="expression" dxfId="2208" priority="202">
      <formula>AND((sizing_vcf_deployment_size_chosen="Small"),(sizing_vcfops_logs_chosen="Medium"))</formula>
    </cfRule>
  </conditionalFormatting>
  <conditionalFormatting sqref="E22">
    <cfRule type="expression" dxfId="2207" priority="204">
      <formula>AND((sizing_vcf_deployment_model_chosen="Simple"),(sizing_vcf_deployment_size_chosen&lt;&gt;"Small"))</formula>
    </cfRule>
  </conditionalFormatting>
  <conditionalFormatting sqref="E25">
    <cfRule type="expression" dxfId="2206" priority="207">
      <formula>AND((sizing_vcfops_logs_chosen&lt;&gt;"Exclude"),(sizing_vcf_instance_model="Additional Instance"))</formula>
    </cfRule>
  </conditionalFormatting>
  <conditionalFormatting sqref="E25:E26">
    <cfRule type="expression" dxfId="2205" priority="208">
      <formula>sizing_vcf_instance_model="Additional Instance"</formula>
    </cfRule>
    <cfRule type="expression" dxfId="2204" priority="316">
      <formula>sizing_vcfops_logs_chosen="Exclude"</formula>
    </cfRule>
  </conditionalFormatting>
  <conditionalFormatting sqref="E26">
    <cfRule type="expression" dxfId="2203" priority="209">
      <formula>AND((sizing_vcfops_logs_chosen="Large"),(sizing_vcfops_logs_replica_count_chosen&lt;3))</formula>
    </cfRule>
    <cfRule type="expression" dxfId="2202" priority="213">
      <formula>AND(OR(sizing_vcfops_logs_chosen="Medium",sizing_vcfops_logs_chosen="Large"),(sizing_vcfops_logs_replica_count_chosen&lt;3))</formula>
    </cfRule>
    <cfRule type="expression" dxfId="2201" priority="214">
      <formula>AND((sizing_vcfops_logs_chosen&lt;&gt;"Exclude"),(sizing_vcfops_logs_replica_count_chosen="Exclude"))</formula>
    </cfRule>
  </conditionalFormatting>
  <conditionalFormatting sqref="E27">
    <cfRule type="expression" dxfId="2200" priority="225">
      <formula>sizing_vcfrtm_chosen="Exclude"</formula>
    </cfRule>
  </conditionalFormatting>
  <conditionalFormatting sqref="E28">
    <cfRule type="expression" dxfId="2199" priority="222">
      <formula>sizing_vcfsd_chosen="Exclude"</formula>
    </cfRule>
  </conditionalFormatting>
  <conditionalFormatting sqref="E28:E29">
    <cfRule type="expression" dxfId="2198" priority="210">
      <formula>sizing_vcf_instance_model="First Instance"</formula>
    </cfRule>
  </conditionalFormatting>
  <conditionalFormatting sqref="E29">
    <cfRule type="expression" dxfId="2197" priority="220">
      <formula>sizing_vcfvidb_chosen="Exclude"</formula>
    </cfRule>
    <cfRule type="notContainsBlanks" dxfId="2196" priority="1331">
      <formula>LEN(TRIM(E29))&gt;0</formula>
    </cfRule>
  </conditionalFormatting>
  <conditionalFormatting sqref="E31 E24:E28 E33:E35 E20:E22">
    <cfRule type="containsBlanks" dxfId="2195" priority="319">
      <formula>LEN(TRIM(E20))=0</formula>
    </cfRule>
  </conditionalFormatting>
  <conditionalFormatting sqref="E31 E33:E35">
    <cfRule type="expression" dxfId="2194" priority="189">
      <formula>sizing_advanced_mgmt_chosen="Selected"</formula>
    </cfRule>
  </conditionalFormatting>
  <conditionalFormatting sqref="E31">
    <cfRule type="expression" dxfId="2193" priority="3">
      <formula>sizing_vcf_instance_model="Additional Instance"</formula>
    </cfRule>
    <cfRule type="expression" dxfId="2192" priority="206">
      <formula>AND((sizing_vcf_instance_model="Additional Instance"),(sizing_vcfops_ha_chosen="Include"))</formula>
    </cfRule>
    <cfRule type="expression" dxfId="2191" priority="318">
      <formula>sizing_vcfops_ha_chosen="Exclude"</formula>
    </cfRule>
  </conditionalFormatting>
  <conditionalFormatting sqref="E32">
    <cfRule type="expression" dxfId="2190" priority="4">
      <formula>sizing_vcf_instance_model="First instance"</formula>
    </cfRule>
    <cfRule type="expression" dxfId="2189" priority="5">
      <formula>sizing_vcfops_ca_chosen="Exclude"</formula>
    </cfRule>
  </conditionalFormatting>
  <conditionalFormatting sqref="E33">
    <cfRule type="expression" dxfId="2188" priority="1">
      <formula>sizing_vcfops_ha_chosen&lt;&gt;"Exclude"</formula>
    </cfRule>
    <cfRule type="expression" dxfId="2187" priority="283">
      <formula>sizing_vcfops_collector_chosen="Exclude"</formula>
    </cfRule>
  </conditionalFormatting>
  <conditionalFormatting sqref="E34">
    <cfRule type="expression" dxfId="2186" priority="205">
      <formula>AND((sizing_vcf_instance_model="Additional Instance"),(sizing_vcfauto_chosen="Include"))</formula>
    </cfRule>
    <cfRule type="expression" dxfId="2185" priority="315">
      <formula>sizing_vcfauto_chosen="Exclude"</formula>
    </cfRule>
  </conditionalFormatting>
  <conditionalFormatting sqref="E35">
    <cfRule type="expression" dxfId="2184" priority="285">
      <formula>sizing_vcfops_net_chosen="Exclude"</formula>
    </cfRule>
    <cfRule type="expression" dxfId="2183" priority="5430">
      <formula>sizing_vdefend_licensing_hub_chosen="Include"</formula>
    </cfRule>
    <cfRule type="expression" dxfId="2182" priority="5431">
      <formula>COUNTIF(U45:U78,"&lt;&gt;Excluded")&lt;&gt;0</formula>
    </cfRule>
    <cfRule type="expression" dxfId="2181" priority="5432">
      <formula>sizing_mgmt_avi_lb_appliance_size&lt;&gt;"Excluded"</formula>
    </cfRule>
    <cfRule type="expression" dxfId="2180" priority="5433">
      <formula>sizing_m01_ssp_chosen&lt;&gt;"Excluded"</formula>
    </cfRule>
    <cfRule type="expression" dxfId="2179" priority="5434">
      <formula>COUNTIF(X45:X78,"&lt;&gt;Excluded")&lt;&gt;0</formula>
    </cfRule>
  </conditionalFormatting>
  <conditionalFormatting sqref="E36">
    <cfRule type="expression" dxfId="2178" priority="7">
      <formula>sizing_vdefend_licensing_hub_chosen="Include"</formula>
    </cfRule>
    <cfRule type="expression" dxfId="2177" priority="8">
      <formula>COUNTIF(U44:U77,"&lt;&gt;Excluded")&lt;&gt;0</formula>
    </cfRule>
    <cfRule type="expression" dxfId="2176" priority="9">
      <formula>sizing_mgmt_avi_lb_appliance_size&lt;&gt;"Excluded"</formula>
    </cfRule>
    <cfRule type="expression" dxfId="2175" priority="10">
      <formula>sizing_m01_ssp_chosen&lt;&gt;"Excluded"</formula>
    </cfRule>
    <cfRule type="expression" dxfId="2174" priority="11">
      <formula>COUNTIF(X44:X77,"&lt;&gt;Excluded")&lt;&gt;0</formula>
    </cfRule>
    <cfRule type="expression" dxfId="2173" priority="12">
      <formula>sizing_vdefend_licensing_hub_chosen="Exclude"</formula>
    </cfRule>
  </conditionalFormatting>
  <conditionalFormatting sqref="F88:F89 E13:E16 D40:E40">
    <cfRule type="containsBlanks" dxfId="2172" priority="1322">
      <formula>LEN(TRIM(D13))=0</formula>
    </cfRule>
  </conditionalFormatting>
  <conditionalFormatting sqref="F91:J91">
    <cfRule type="expression" dxfId="2171" priority="286">
      <formula>rwr_chosen="Include"</formula>
    </cfRule>
  </conditionalFormatting>
  <conditionalFormatting sqref="F91:K91">
    <cfRule type="expression" dxfId="2170" priority="287">
      <formula>rwr_chosen="Exclude"</formula>
    </cfRule>
  </conditionalFormatting>
  <conditionalFormatting sqref="F88:T88">
    <cfRule type="expression" dxfId="2169" priority="317">
      <formula>AND((spr_mo_result="False"),(spr_mw_result="False"))</formula>
    </cfRule>
  </conditionalFormatting>
  <conditionalFormatting sqref="F89:T89">
    <cfRule type="expression" dxfId="2168" priority="279">
      <formula>AND((spr_wo_result="False"),(spr_mw_result="False"))</formula>
    </cfRule>
  </conditionalFormatting>
  <conditionalFormatting sqref="G88:J88">
    <cfRule type="expression" dxfId="2167" priority="280">
      <formula>$G$88=1</formula>
    </cfRule>
  </conditionalFormatting>
  <conditionalFormatting sqref="G89:J89">
    <cfRule type="expression" dxfId="2166" priority="613">
      <formula>$G$89&gt;0</formula>
    </cfRule>
  </conditionalFormatting>
  <conditionalFormatting sqref="H44">
    <cfRule type="expression" dxfId="2165" priority="712">
      <formula>AND(sizing_w01_chosen="Isolated Vi Workload Domain",sizing_w01_nsxt_model="Shared")</formula>
    </cfRule>
  </conditionalFormatting>
  <conditionalFormatting sqref="I48:J48">
    <cfRule type="expression" dxfId="2164" priority="809">
      <formula>(sizing_w05_nsxt_model="Shared")</formula>
    </cfRule>
  </conditionalFormatting>
  <conditionalFormatting sqref="I49:J49">
    <cfRule type="expression" dxfId="2163" priority="808">
      <formula>(sizing_w06_nsxt_model="Shared")</formula>
    </cfRule>
  </conditionalFormatting>
  <conditionalFormatting sqref="I50:J50">
    <cfRule type="expression" dxfId="2162" priority="807">
      <formula>(sizing_w07_nsxt_model="Shared")</formula>
    </cfRule>
  </conditionalFormatting>
  <conditionalFormatting sqref="I51:J51">
    <cfRule type="expression" dxfId="2161" priority="806">
      <formula>(sizing_w08_nsxt_model="Shared")</formula>
    </cfRule>
  </conditionalFormatting>
  <conditionalFormatting sqref="I52:J52">
    <cfRule type="expression" dxfId="2160" priority="805">
      <formula>(sizing_w09_nsxt_model="Shared")</formula>
    </cfRule>
  </conditionalFormatting>
  <conditionalFormatting sqref="I53:J53">
    <cfRule type="expression" dxfId="2159" priority="804">
      <formula>(sizing_w10_nsxt_model="Shared")</formula>
    </cfRule>
  </conditionalFormatting>
  <conditionalFormatting sqref="I54:J54">
    <cfRule type="expression" dxfId="2158" priority="803">
      <formula>(sizing_w11_nsxt_model="Shared")</formula>
    </cfRule>
  </conditionalFormatting>
  <conditionalFormatting sqref="I55:J55">
    <cfRule type="expression" dxfId="2157" priority="802">
      <formula>(sizing_w12_nsxt_model="Shared")</formula>
    </cfRule>
  </conditionalFormatting>
  <conditionalFormatting sqref="I56:J56">
    <cfRule type="expression" dxfId="2156" priority="801">
      <formula>(sizing_w13_nsxt_model="Shared")</formula>
    </cfRule>
  </conditionalFormatting>
  <conditionalFormatting sqref="I57:J57">
    <cfRule type="expression" dxfId="2155" priority="800">
      <formula>(sizing_w14_nsxt_model="Shared")</formula>
    </cfRule>
  </conditionalFormatting>
  <conditionalFormatting sqref="I82:J82">
    <cfRule type="expression" dxfId="2154" priority="432">
      <formula>(spr_chosen="Exclude")</formula>
    </cfRule>
    <cfRule type="expression" dxfId="2153" priority="433">
      <formula>AND((spr_chosen&lt;&gt;"Exclude"),(spr_result="Excluded"))</formula>
    </cfRule>
    <cfRule type="expression" dxfId="2152" priority="434">
      <formula>AND((spr_chosen&lt;&gt;"Exclude"),(spr_result="Included"))</formula>
    </cfRule>
  </conditionalFormatting>
  <conditionalFormatting sqref="I44:K44">
    <cfRule type="expression" dxfId="2151" priority="221">
      <formula>sizing_w01_nsxt_model="Shared"</formula>
    </cfRule>
  </conditionalFormatting>
  <conditionalFormatting sqref="I45:K45">
    <cfRule type="expression" dxfId="2150" priority="936">
      <formula>(sizing_w02_nsxt_model="Shared")</formula>
    </cfRule>
  </conditionalFormatting>
  <conditionalFormatting sqref="I46:K46">
    <cfRule type="expression" dxfId="2149" priority="811">
      <formula>(sizing_w03_nsxt_model="Shared")</formula>
    </cfRule>
  </conditionalFormatting>
  <conditionalFormatting sqref="I47:K47">
    <cfRule type="expression" dxfId="2148" priority="810">
      <formula>(sizing_w04_nsxt_model="Shared")</formula>
    </cfRule>
  </conditionalFormatting>
  <conditionalFormatting sqref="L40:M40">
    <cfRule type="expression" dxfId="2147" priority="322">
      <formula>sizing_m01_nsxt_edge_size="Excluded"</formula>
    </cfRule>
  </conditionalFormatting>
  <conditionalFormatting sqref="L44:P44 U44:V44 C44:J44 R44:S44">
    <cfRule type="expression" dxfId="2146" priority="944">
      <formula>(sizing_w01_chosen="Included")</formula>
    </cfRule>
  </conditionalFormatting>
  <conditionalFormatting sqref="L44:P44">
    <cfRule type="expression" dxfId="2145" priority="940">
      <formula>(sizing_w01_gm_chosen="Excluded")</formula>
    </cfRule>
    <cfRule type="expression" dxfId="2144" priority="943">
      <formula>(sizing_w01_gm_chosen&lt;&gt;"Excluded")</formula>
    </cfRule>
  </conditionalFormatting>
  <conditionalFormatting sqref="L46:P46">
    <cfRule type="expression" dxfId="2143" priority="788">
      <formula>(sizing_w03_gm_chosen="Excluded")</formula>
    </cfRule>
    <cfRule type="expression" dxfId="2142" priority="932">
      <formula>(sizing_w03_gm_chosen&lt;&gt;"Excluded")</formula>
    </cfRule>
  </conditionalFormatting>
  <conditionalFormatting sqref="L47:P47">
    <cfRule type="expression" dxfId="2141" priority="789">
      <formula>(sizing_w04_gm_chosen="Excluded")</formula>
    </cfRule>
    <cfRule type="expression" dxfId="2140" priority="925">
      <formula>(sizing_w04_gm_chosen&lt;&gt;"Excluded")</formula>
    </cfRule>
  </conditionalFormatting>
  <conditionalFormatting sqref="L48:P48">
    <cfRule type="expression" dxfId="2139" priority="790">
      <formula>(sizing_w05_gm_chosen="Excluded")</formula>
    </cfRule>
    <cfRule type="expression" dxfId="2138" priority="924">
      <formula>(sizing_w05_gm_chosen&lt;&gt;"Excluded")</formula>
    </cfRule>
  </conditionalFormatting>
  <conditionalFormatting sqref="L49:P49">
    <cfRule type="expression" dxfId="2137" priority="791">
      <formula>(sizing_w06_gm_chosen="Excluded")</formula>
    </cfRule>
    <cfRule type="expression" dxfId="2136" priority="922">
      <formula>(sizing_w06_gm_chosen&lt;&gt;"Excluded")</formula>
    </cfRule>
  </conditionalFormatting>
  <conditionalFormatting sqref="L50:P50">
    <cfRule type="expression" dxfId="2135" priority="792">
      <formula>(sizing_w07_gm_chosen="Excluded")</formula>
    </cfRule>
    <cfRule type="expression" dxfId="2134" priority="920">
      <formula>(sizing_w07_gm_chosen&lt;&gt;"Excluded")</formula>
    </cfRule>
  </conditionalFormatting>
  <conditionalFormatting sqref="L51:P51">
    <cfRule type="expression" dxfId="2133" priority="877">
      <formula>(sizing_w08_gm_chosen="Excluded")</formula>
    </cfRule>
    <cfRule type="expression" dxfId="2132" priority="906">
      <formula>(sizing_w08_gm_chosen&lt;&gt;"Excluded")</formula>
    </cfRule>
  </conditionalFormatting>
  <conditionalFormatting sqref="L52:P52">
    <cfRule type="expression" dxfId="2131" priority="793">
      <formula>(sizing_w09_gm_chosen="Excluded")</formula>
    </cfRule>
    <cfRule type="expression" dxfId="2130" priority="902" stopIfTrue="1">
      <formula>(sizing_w09_gm_chosen&lt;&gt;"Excluded")</formula>
    </cfRule>
  </conditionalFormatting>
  <conditionalFormatting sqref="L53:P53">
    <cfRule type="expression" dxfId="2129" priority="878">
      <formula>(sizing_w10_gm_chosen="Excluded")</formula>
    </cfRule>
    <cfRule type="expression" dxfId="2128" priority="900">
      <formula>(sizing_w10_gm_chosen&lt;&gt;"Excluded")</formula>
    </cfRule>
  </conditionalFormatting>
  <conditionalFormatting sqref="L54:P54">
    <cfRule type="expression" dxfId="2127" priority="879">
      <formula>(sizing_w11_gm_chosen="Excluded")</formula>
    </cfRule>
    <cfRule type="expression" dxfId="2126" priority="899">
      <formula>(sizing_w11_gm_chosen&lt;&gt;"Excluded")</formula>
    </cfRule>
  </conditionalFormatting>
  <conditionalFormatting sqref="L55:P55">
    <cfRule type="expression" dxfId="2125" priority="880">
      <formula>(sizing_w12_gm_chosen="Excluded")</formula>
    </cfRule>
    <cfRule type="expression" dxfId="2124" priority="897">
      <formula>(sizing_w12_gm_chosen&lt;&gt;"Excluded")</formula>
    </cfRule>
  </conditionalFormatting>
  <conditionalFormatting sqref="L56:P56">
    <cfRule type="expression" dxfId="2123" priority="881">
      <formula>(sizing_w13_gm_chosen="Excluded")</formula>
    </cfRule>
  </conditionalFormatting>
  <conditionalFormatting sqref="L57:P57">
    <cfRule type="expression" dxfId="2122" priority="882">
      <formula>(sizing_w14_gm_chosen="Excluded")</formula>
    </cfRule>
    <cfRule type="expression" dxfId="2121" priority="894">
      <formula>(sizing_w14_gm_chosen&lt;&gt;"Excluded")</formula>
    </cfRule>
  </conditionalFormatting>
  <conditionalFormatting sqref="L58:P58">
    <cfRule type="expression" dxfId="2120" priority="883">
      <formula>(sizing_w15_gm_chosen="Excluded")</formula>
    </cfRule>
    <cfRule type="expression" dxfId="2119" priority="893">
      <formula>(sizing_w15_gm_chosen&lt;&gt;"Excluded")</formula>
    </cfRule>
  </conditionalFormatting>
  <conditionalFormatting sqref="L59:P59">
    <cfRule type="expression" dxfId="2118" priority="735">
      <formula>(sizing_w16_gm_chosen="Excluded")</formula>
    </cfRule>
    <cfRule type="expression" dxfId="2117" priority="890">
      <formula>(sizing_w16_gm_chosen&lt;&gt;"Excluded")</formula>
    </cfRule>
  </conditionalFormatting>
  <conditionalFormatting sqref="L60:P60">
    <cfRule type="expression" dxfId="2116" priority="736">
      <formula>(sizing_w17_gm_chosen="Excluded")</formula>
    </cfRule>
    <cfRule type="expression" dxfId="2115" priority="891">
      <formula>(sizing_w17_gm_chosen&lt;&gt;"Excluded")</formula>
    </cfRule>
  </conditionalFormatting>
  <conditionalFormatting sqref="L61:P61">
    <cfRule type="expression" dxfId="2114" priority="737">
      <formula>(sizing_w18_gm_chosen="Excluded")</formula>
    </cfRule>
    <cfRule type="expression" dxfId="2113" priority="892">
      <formula>(sizing_w18_gm_chosen&lt;&gt;"Excluded")</formula>
    </cfRule>
  </conditionalFormatting>
  <conditionalFormatting sqref="L62:P62">
    <cfRule type="expression" dxfId="2112" priority="738">
      <formula>(sizing_w19_gm_chosen="Excluded")</formula>
    </cfRule>
    <cfRule type="expression" dxfId="2111" priority="889">
      <formula>(sizing_w19_gm_chosen&lt;&gt;"Excluded")</formula>
    </cfRule>
  </conditionalFormatting>
  <conditionalFormatting sqref="L63:P63">
    <cfRule type="expression" dxfId="2110" priority="739">
      <formula>(sizing_w20_gm_chosen="Excluded")</formula>
    </cfRule>
    <cfRule type="expression" dxfId="2109" priority="888">
      <formula>(sizing_w20_gm_chosen&lt;&gt;"Excluded")</formula>
    </cfRule>
  </conditionalFormatting>
  <conditionalFormatting sqref="L64:P64">
    <cfRule type="expression" dxfId="2108" priority="740">
      <formula>(sizing_w21_gm_chosen="Excluded")</formula>
    </cfRule>
    <cfRule type="expression" dxfId="2107" priority="887">
      <formula>(sizing_w21_gm_chosen&lt;&gt;"Excluded")</formula>
    </cfRule>
  </conditionalFormatting>
  <conditionalFormatting sqref="L65:P65">
    <cfRule type="expression" dxfId="2106" priority="741">
      <formula>(sizing_w22_gm_chosen="Excluded")</formula>
    </cfRule>
    <cfRule type="expression" dxfId="2105" priority="886">
      <formula>(sizing_w22_gm_chosen&lt;&gt;"Excluded")</formula>
    </cfRule>
  </conditionalFormatting>
  <conditionalFormatting sqref="L66:P66">
    <cfRule type="expression" dxfId="2104" priority="742">
      <formula>(sizing_w23_gm_chosen="Excluded")</formula>
    </cfRule>
    <cfRule type="expression" dxfId="2103" priority="885">
      <formula>(sizing_w23_gm_chosen&lt;&gt;"Excluded")</formula>
    </cfRule>
  </conditionalFormatting>
  <conditionalFormatting sqref="L67:P67">
    <cfRule type="expression" dxfId="2102" priority="764">
      <formula>(sizing_w24_gm_chosen="Excluded")</formula>
    </cfRule>
    <cfRule type="expression" dxfId="2101" priority="884">
      <formula>(sizing_w24_gm_chosen&lt;&gt;"Excluded")</formula>
    </cfRule>
  </conditionalFormatting>
  <conditionalFormatting sqref="L68:P68">
    <cfRule type="expression" dxfId="2100" priority="174">
      <formula>(sizing_w25_chosen="Excluded")</formula>
    </cfRule>
    <cfRule type="expression" dxfId="2099" priority="176">
      <formula>(sizing_w25_gm_chosen="Excluded")</formula>
    </cfRule>
    <cfRule type="expression" dxfId="2098" priority="177">
      <formula>(sizing_w25_gm_chosen&lt;&gt;"Excluded")</formula>
    </cfRule>
  </conditionalFormatting>
  <conditionalFormatting sqref="L69:P69">
    <cfRule type="expression" dxfId="2097" priority="170">
      <formula>(sizing_w26_chosen="Excluded")</formula>
    </cfRule>
    <cfRule type="expression" dxfId="2096" priority="172">
      <formula>(sizing_w26_gm_chosen="Excluded")</formula>
    </cfRule>
    <cfRule type="expression" dxfId="2095" priority="173">
      <formula>(sizing_w26_gm_chosen&lt;&gt;"Excluded")</formula>
    </cfRule>
  </conditionalFormatting>
  <conditionalFormatting sqref="L70:P70">
    <cfRule type="expression" dxfId="2094" priority="166">
      <formula>(sizing_w27_chosen="Excluded")</formula>
    </cfRule>
    <cfRule type="expression" dxfId="2093" priority="168">
      <formula>(sizing_w27_gm_chosen="Excluded")</formula>
    </cfRule>
    <cfRule type="expression" dxfId="2092" priority="169">
      <formula>(sizing_w27_gm_chosen&lt;&gt;"Excluded")</formula>
    </cfRule>
  </conditionalFormatting>
  <conditionalFormatting sqref="L71:P71">
    <cfRule type="expression" dxfId="2091" priority="162">
      <formula>(sizing_w28_chosen="Excluded")</formula>
    </cfRule>
    <cfRule type="expression" dxfId="2090" priority="164">
      <formula>(sizing_w28_gm_chosen="Excluded")</formula>
    </cfRule>
    <cfRule type="expression" dxfId="2089" priority="165">
      <formula>(sizing_w28_gm_chosen&lt;&gt;"Excluded")</formula>
    </cfRule>
  </conditionalFormatting>
  <conditionalFormatting sqref="L72:P72">
    <cfRule type="expression" dxfId="2088" priority="158">
      <formula>(sizing_w29_chosen="Excluded")</formula>
    </cfRule>
    <cfRule type="expression" dxfId="2087" priority="160">
      <formula>(sizing_w29_gm_chosen="Excluded")</formula>
    </cfRule>
    <cfRule type="expression" dxfId="2086" priority="161">
      <formula>(sizing_w29_gm_chosen&lt;&gt;"Excluded")</formula>
    </cfRule>
  </conditionalFormatting>
  <conditionalFormatting sqref="L73:P73">
    <cfRule type="expression" dxfId="2085" priority="154">
      <formula>(sizing_w30_chosen="Excluded")</formula>
    </cfRule>
    <cfRule type="expression" dxfId="2084" priority="156">
      <formula>(sizing_w30_gm_chosen="Excluded")</formula>
    </cfRule>
    <cfRule type="expression" dxfId="2083" priority="157">
      <formula>(sizing_w30_gm_chosen&lt;&gt;"Excluded")</formula>
    </cfRule>
  </conditionalFormatting>
  <conditionalFormatting sqref="L74:P74">
    <cfRule type="expression" dxfId="2082" priority="150">
      <formula>(sizing_w31_chosen="Excluded")</formula>
    </cfRule>
    <cfRule type="expression" dxfId="2081" priority="152">
      <formula>(sizing_w31_gm_chosen="Excluded")</formula>
    </cfRule>
    <cfRule type="expression" dxfId="2080" priority="153">
      <formula>(sizing_w31_gm_chosen&lt;&gt;"Excluded")</formula>
    </cfRule>
  </conditionalFormatting>
  <conditionalFormatting sqref="L75:P75">
    <cfRule type="expression" dxfId="2079" priority="146">
      <formula>(sizing_w32_chosen="Excluded")</formula>
    </cfRule>
    <cfRule type="expression" dxfId="2078" priority="148">
      <formula>(sizing_w32_gm_chosen="Excluded")</formula>
    </cfRule>
    <cfRule type="expression" dxfId="2077" priority="149">
      <formula>(sizing_w32_gm_chosen&lt;&gt;"Excluded")</formula>
    </cfRule>
  </conditionalFormatting>
  <conditionalFormatting sqref="L76:P76">
    <cfRule type="expression" dxfId="2076" priority="142">
      <formula>(sizing_w33_chosen="Excluded")</formula>
    </cfRule>
    <cfRule type="expression" dxfId="2075" priority="144">
      <formula>(sizing_w33_gm_chosen="Excluded")</formula>
    </cfRule>
    <cfRule type="expression" dxfId="2074" priority="145">
      <formula>(sizing_w33_gm_chosen&lt;&gt;"Excluded")</formula>
    </cfRule>
  </conditionalFormatting>
  <conditionalFormatting sqref="L77:P77">
    <cfRule type="expression" dxfId="2073" priority="138">
      <formula>(sizing_w34_chosen="Excluded")</formula>
    </cfRule>
    <cfRule type="expression" dxfId="2072" priority="140">
      <formula>(sizing_w34_gm_chosen="Excluded")</formula>
    </cfRule>
    <cfRule type="expression" dxfId="2071" priority="141">
      <formula>(sizing_w34_gm_chosen&lt;&gt;"Excluded")</formula>
    </cfRule>
  </conditionalFormatting>
  <conditionalFormatting sqref="L78:P78">
    <cfRule type="expression" dxfId="2070" priority="134">
      <formula>(sizing_w35_chosen="Excluded")</formula>
    </cfRule>
    <cfRule type="expression" dxfId="2069" priority="136">
      <formula>(sizing_w35_gm_chosen="Excluded")</formula>
    </cfRule>
    <cfRule type="expression" dxfId="2068" priority="137">
      <formula>(sizing_w35_gm_chosen&lt;&gt;"Excluded")</formula>
    </cfRule>
  </conditionalFormatting>
  <conditionalFormatting sqref="L45:Q45">
    <cfRule type="expression" dxfId="2067" priority="928">
      <formula>(sizing_w02_gm_chosen="Excluded")</formula>
    </cfRule>
    <cfRule type="expression" dxfId="2066" priority="938">
      <formula>(sizing_w02_gm_chosen&lt;&gt;"Excluded")</formula>
    </cfRule>
  </conditionalFormatting>
  <conditionalFormatting sqref="M44:P44">
    <cfRule type="expression" dxfId="2065" priority="939">
      <formula>(sizing_w01_gm_chosen="Connect Instance")</formula>
    </cfRule>
  </conditionalFormatting>
  <conditionalFormatting sqref="M46:P46">
    <cfRule type="expression" dxfId="2064" priority="572">
      <formula>(sizing_w03_gm_chosen="Connect Instance")</formula>
    </cfRule>
  </conditionalFormatting>
  <conditionalFormatting sqref="M47:P47">
    <cfRule type="expression" dxfId="2063" priority="464">
      <formula>(sizing_w04_gm_chosen="Connect Instance")</formula>
    </cfRule>
  </conditionalFormatting>
  <conditionalFormatting sqref="M48:P48">
    <cfRule type="expression" dxfId="2062" priority="505">
      <formula>(sizing_w05_gm_chosen="Connect Instance")</formula>
    </cfRule>
  </conditionalFormatting>
  <conditionalFormatting sqref="M49:P49">
    <cfRule type="expression" dxfId="2061" priority="504">
      <formula>(sizing_w06_gm_chosen="Connect Instance")</formula>
    </cfRule>
  </conditionalFormatting>
  <conditionalFormatting sqref="M50:P50">
    <cfRule type="expression" dxfId="2060" priority="526">
      <formula>(sizing_w07_gm_chosen="Connect Instance")</formula>
    </cfRule>
  </conditionalFormatting>
  <conditionalFormatting sqref="M51:P51">
    <cfRule type="expression" dxfId="2059" priority="503">
      <formula>(sizing_w08_gm_chosen="Connect Instance")</formula>
    </cfRule>
  </conditionalFormatting>
  <conditionalFormatting sqref="M52:P52">
    <cfRule type="expression" dxfId="2058" priority="502">
      <formula>(sizing_w09_gm_chosen="Connect Instance")</formula>
    </cfRule>
  </conditionalFormatting>
  <conditionalFormatting sqref="M53:P53">
    <cfRule type="expression" dxfId="2057" priority="501">
      <formula>(sizing_w10_gm_chosen="Connect Instance")</formula>
    </cfRule>
  </conditionalFormatting>
  <conditionalFormatting sqref="M54:P54">
    <cfRule type="expression" dxfId="2056" priority="500">
      <formula>(sizing_w11_gm_chosen="Connect Instance")</formula>
    </cfRule>
  </conditionalFormatting>
  <conditionalFormatting sqref="M55:P55">
    <cfRule type="expression" dxfId="2055" priority="499">
      <formula>(sizing_w12_gm_chosen="Connect Instance")</formula>
    </cfRule>
  </conditionalFormatting>
  <conditionalFormatting sqref="M56:P56">
    <cfRule type="expression" dxfId="2054" priority="301">
      <formula>(sizing_w13_gm_chosen="Connect Instance")</formula>
    </cfRule>
  </conditionalFormatting>
  <conditionalFormatting sqref="M57:P57">
    <cfRule type="expression" dxfId="2053" priority="497">
      <formula>(sizing_w14_gm_chosen="Connect Instance")</formula>
    </cfRule>
  </conditionalFormatting>
  <conditionalFormatting sqref="M58:P58">
    <cfRule type="expression" dxfId="2052" priority="496">
      <formula>(sizing_w15_gm_chosen="Connect Instance")</formula>
    </cfRule>
  </conditionalFormatting>
  <conditionalFormatting sqref="M59:P59">
    <cfRule type="expression" dxfId="2051" priority="298">
      <formula>(sizing_w16_gm_chosen="Connect Instance")</formula>
    </cfRule>
  </conditionalFormatting>
  <conditionalFormatting sqref="M60:P60">
    <cfRule type="expression" dxfId="2050" priority="494">
      <formula>(sizing_w17_gm_chosen="Connect Instance")</formula>
    </cfRule>
  </conditionalFormatting>
  <conditionalFormatting sqref="M61:P61">
    <cfRule type="expression" dxfId="2049" priority="493">
      <formula>(sizing_w18_gm_chosen="Connect Instance")</formula>
    </cfRule>
  </conditionalFormatting>
  <conditionalFormatting sqref="M62:P62">
    <cfRule type="expression" dxfId="2048" priority="492">
      <formula>(sizing_w19_gm_chosen="Connect Instance")</formula>
    </cfRule>
  </conditionalFormatting>
  <conditionalFormatting sqref="M63:P63">
    <cfRule type="expression" dxfId="2047" priority="491">
      <formula>(sizing_w20_gm_chosen="Connect Instance")</formula>
    </cfRule>
  </conditionalFormatting>
  <conditionalFormatting sqref="M64:P64">
    <cfRule type="expression" dxfId="2046" priority="490">
      <formula>(sizing_w21_gm_chosen="Connect Instance")</formula>
    </cfRule>
  </conditionalFormatting>
  <conditionalFormatting sqref="M65:P65">
    <cfRule type="expression" dxfId="2045" priority="489">
      <formula>(sizing_w22_gm_chosen="Connect Instance")</formula>
    </cfRule>
  </conditionalFormatting>
  <conditionalFormatting sqref="M66:P66">
    <cfRule type="expression" dxfId="2044" priority="488">
      <formula>(sizing_w23_gm_chosen="Connect Instance")</formula>
    </cfRule>
  </conditionalFormatting>
  <conditionalFormatting sqref="M67:P67">
    <cfRule type="expression" dxfId="2043" priority="290">
      <formula>(sizing_w24_gm_chosen="Connect Instance")</formula>
    </cfRule>
  </conditionalFormatting>
  <conditionalFormatting sqref="M68:P68">
    <cfRule type="expression" dxfId="2042" priority="175">
      <formula>(sizing_w25_gm_chosen="Connect Instance")</formula>
    </cfRule>
  </conditionalFormatting>
  <conditionalFormatting sqref="M69:P69">
    <cfRule type="expression" dxfId="2041" priority="171">
      <formula>(sizing_w26_gm_chosen="Connect Instance")</formula>
    </cfRule>
  </conditionalFormatting>
  <conditionalFormatting sqref="M70:P70">
    <cfRule type="expression" dxfId="2040" priority="167">
      <formula>(sizing_w27_gm_chosen="Connect Instance")</formula>
    </cfRule>
  </conditionalFormatting>
  <conditionalFormatting sqref="M71:P71">
    <cfRule type="expression" dxfId="2039" priority="163">
      <formula>(sizing_w28_gm_chosen="Connect Instance")</formula>
    </cfRule>
  </conditionalFormatting>
  <conditionalFormatting sqref="M72:P72">
    <cfRule type="expression" dxfId="2038" priority="159">
      <formula>(sizing_w29_gm_chosen="Connect Instance")</formula>
    </cfRule>
  </conditionalFormatting>
  <conditionalFormatting sqref="M73:P73">
    <cfRule type="expression" dxfId="2037" priority="155">
      <formula>(sizing_w30_gm_chosen="Connect Instance")</formula>
    </cfRule>
  </conditionalFormatting>
  <conditionalFormatting sqref="M74:P74">
    <cfRule type="expression" dxfId="2036" priority="151">
      <formula>(sizing_w31_gm_chosen="Connect Instance")</formula>
    </cfRule>
  </conditionalFormatting>
  <conditionalFormatting sqref="M75:P75">
    <cfRule type="expression" dxfId="2035" priority="147">
      <formula>(sizing_w32_gm_chosen="Connect Instance")</formula>
    </cfRule>
  </conditionalFormatting>
  <conditionalFormatting sqref="M76:P76">
    <cfRule type="expression" dxfId="2034" priority="143">
      <formula>(sizing_w33_gm_chosen="Connect Instance")</formula>
    </cfRule>
  </conditionalFormatting>
  <conditionalFormatting sqref="M77:P77">
    <cfRule type="expression" dxfId="2033" priority="139">
      <formula>(sizing_w34_gm_chosen="Connect Instance")</formula>
    </cfRule>
  </conditionalFormatting>
  <conditionalFormatting sqref="M78:P78">
    <cfRule type="expression" dxfId="2032" priority="135">
      <formula>(sizing_w35_gm_chosen="Connect Instance")</formula>
    </cfRule>
  </conditionalFormatting>
  <conditionalFormatting sqref="M45:Q45">
    <cfRule type="expression" dxfId="2031" priority="574">
      <formula>(sizing_w02_gm_chosen="Connect Instance")</formula>
    </cfRule>
  </conditionalFormatting>
  <conditionalFormatting sqref="N56:P57 M57 L56:M56">
    <cfRule type="expression" dxfId="2030" priority="895">
      <formula>(sizing_w13_gm_chosen&lt;&gt;"Excluded")</formula>
    </cfRule>
  </conditionalFormatting>
  <conditionalFormatting sqref="O40:P40">
    <cfRule type="expression" dxfId="2029" priority="2">
      <formula>sizing_m01_supervisor_mode="Excluded"</formula>
    </cfRule>
  </conditionalFormatting>
  <conditionalFormatting sqref="Q40:R40">
    <cfRule type="expression" dxfId="2028" priority="321">
      <formula>sizing_m01_nsxt_gm_appliance_size="Excluded"</formula>
    </cfRule>
  </conditionalFormatting>
  <conditionalFormatting sqref="Q40:T40 L40:M40 E8:E9 I40:J40">
    <cfRule type="containsBlanks" dxfId="2027" priority="1324">
      <formula>LEN(TRIM(E8))=0</formula>
    </cfRule>
  </conditionalFormatting>
  <conditionalFormatting sqref="R18:R19 R21">
    <cfRule type="expression" dxfId="2026" priority="227">
      <formula>OR((sizing_storage_type="FC"),(sizing_storage_type="NFS"))</formula>
    </cfRule>
  </conditionalFormatting>
  <conditionalFormatting sqref="R25:R28">
    <cfRule type="expression" dxfId="2025" priority="195">
      <formula>sizing_advanced_mgmt_chosen="Selected"</formula>
    </cfRule>
  </conditionalFormatting>
  <conditionalFormatting sqref="R25:R32">
    <cfRule type="expression" dxfId="2024" priority="190">
      <formula>sizing_advanced_mgmt_chosen="Unselected"</formula>
    </cfRule>
  </conditionalFormatting>
  <conditionalFormatting sqref="R29">
    <cfRule type="expression" dxfId="2023" priority="196">
      <formula>sizing_advanced_vcfops_model_chosen="Exclude"</formula>
    </cfRule>
  </conditionalFormatting>
  <conditionalFormatting sqref="R30">
    <cfRule type="expression" dxfId="2022" priority="191">
      <formula>sizing_advanced_vcfops_model_chosen="Exclude"</formula>
    </cfRule>
    <cfRule type="expression" dxfId="2021" priority="193">
      <formula>sizing_advanced_vcfops_size_chosen="Exclude"</formula>
    </cfRule>
  </conditionalFormatting>
  <conditionalFormatting sqref="R31">
    <cfRule type="expression" dxfId="2020" priority="194">
      <formula>sizing_advanced_vcfops_collector_chosen="Exclude"</formula>
    </cfRule>
  </conditionalFormatting>
  <conditionalFormatting sqref="R32">
    <cfRule type="expression" dxfId="2019" priority="192">
      <formula>sizing_advanced_vcfauto_chosen="Exclude"</formula>
    </cfRule>
  </conditionalFormatting>
  <conditionalFormatting sqref="R44:S44">
    <cfRule type="expression" dxfId="2018" priority="607">
      <formula>(sizing_w01_spr_chosen="Exclude")</formula>
    </cfRule>
    <cfRule type="expression" dxfId="2017" priority="941">
      <formula>(sizing_w01_spr_chosen="Include")</formula>
    </cfRule>
  </conditionalFormatting>
  <conditionalFormatting sqref="R45:S45">
    <cfRule type="expression" dxfId="2016" priority="929">
      <formula>(sizing_w02_spr_chosen="Exclude")</formula>
    </cfRule>
    <cfRule type="expression" dxfId="2015" priority="931">
      <formula>(sizing_w02_spr_chosen="Include")</formula>
    </cfRule>
  </conditionalFormatting>
  <conditionalFormatting sqref="R46:S46">
    <cfRule type="expression" dxfId="2014" priority="848">
      <formula>(sizing_w03_spr_chosen="Exclude")</formula>
    </cfRule>
    <cfRule type="expression" dxfId="2013" priority="849">
      <formula>(sizing_w03_spr_chosen="Include")</formula>
    </cfRule>
  </conditionalFormatting>
  <conditionalFormatting sqref="R47:S47">
    <cfRule type="expression" dxfId="2012" priority="845">
      <formula>(sizing_w04_spr_chosen="Exclude")</formula>
    </cfRule>
    <cfRule type="expression" dxfId="2011" priority="846">
      <formula>(sizing_w04_spr_chosen="Include")</formula>
    </cfRule>
  </conditionalFormatting>
  <conditionalFormatting sqref="R48:S48">
    <cfRule type="expression" dxfId="2010" priority="842">
      <formula>(sizing_w05_spr_chosen="Exclude")</formula>
    </cfRule>
    <cfRule type="expression" dxfId="2009" priority="843" stopIfTrue="1">
      <formula>(sizing_w05_spr_chosen="Include")</formula>
    </cfRule>
  </conditionalFormatting>
  <conditionalFormatting sqref="R49:S49">
    <cfRule type="expression" dxfId="2008" priority="839">
      <formula>(sizing_w06_spr_chosen="Exclude")</formula>
    </cfRule>
    <cfRule type="expression" dxfId="2007" priority="840">
      <formula>(sizing_w06_spr_chosen="Include")</formula>
    </cfRule>
  </conditionalFormatting>
  <conditionalFormatting sqref="R50:S50">
    <cfRule type="expression" dxfId="2006" priority="836">
      <formula>(sizing_w07_spr_chosen="Exclude")</formula>
    </cfRule>
    <cfRule type="expression" dxfId="2005" priority="837">
      <formula>(sizing_w07_spr_chosen="Include")</formula>
    </cfRule>
  </conditionalFormatting>
  <conditionalFormatting sqref="R51:S51">
    <cfRule type="expression" dxfId="2004" priority="832">
      <formula>(sizing_w08_spr_chosen="Include")</formula>
    </cfRule>
    <cfRule type="expression" dxfId="2003" priority="834">
      <formula>(sizing_w08_spr_chosen="Exclude")</formula>
    </cfRule>
  </conditionalFormatting>
  <conditionalFormatting sqref="R52:S52">
    <cfRule type="expression" dxfId="2002" priority="830">
      <formula>(sizing_w09_spr_chosen="Exclude")</formula>
    </cfRule>
    <cfRule type="expression" dxfId="2001" priority="831">
      <formula>(sizing_w09_spr_chosen="Include")</formula>
    </cfRule>
  </conditionalFormatting>
  <conditionalFormatting sqref="R53:S53">
    <cfRule type="expression" dxfId="2000" priority="827">
      <formula>(sizing_w10_spr_chosen="Exclude")</formula>
    </cfRule>
    <cfRule type="expression" dxfId="1999" priority="828">
      <formula>(sizing_w10_spr_chosen="Include")</formula>
    </cfRule>
  </conditionalFormatting>
  <conditionalFormatting sqref="R54:S54">
    <cfRule type="expression" dxfId="1998" priority="824">
      <formula>(sizing_w11_spr_chosen="Exclude")</formula>
    </cfRule>
    <cfRule type="expression" dxfId="1997" priority="825">
      <formula>(sizing_w11_spr_chosen="Include")</formula>
    </cfRule>
  </conditionalFormatting>
  <conditionalFormatting sqref="R55:S55">
    <cfRule type="expression" dxfId="1996" priority="819">
      <formula>(sizing_w12_spr_chosen="Exclude")</formula>
    </cfRule>
    <cfRule type="expression" dxfId="1995" priority="821">
      <formula>(sizing_w12_spr_chosen="Include")</formula>
    </cfRule>
  </conditionalFormatting>
  <conditionalFormatting sqref="R56:S56">
    <cfRule type="expression" dxfId="1994" priority="816">
      <formula>(sizing_w13_spr_chosen="Exclude")</formula>
    </cfRule>
    <cfRule type="expression" dxfId="1993" priority="817">
      <formula>(sizing_w13_spr_chosen="Include")</formula>
    </cfRule>
  </conditionalFormatting>
  <conditionalFormatting sqref="R57:S57">
    <cfRule type="expression" dxfId="1992" priority="813">
      <formula>(sizing_w14_spr_chosen="Exclude")</formula>
    </cfRule>
    <cfRule type="expression" dxfId="1991" priority="814">
      <formula>(sizing_w14_spr_chosen="Include")</formula>
    </cfRule>
  </conditionalFormatting>
  <conditionalFormatting sqref="R58:S58">
    <cfRule type="expression" dxfId="1990" priority="763">
      <formula>(sizing_w15_spr_chosen="Exclude")</formula>
    </cfRule>
    <cfRule type="expression" dxfId="1989" priority="784">
      <formula>(sizing_w15_spr_chosen="Include")</formula>
    </cfRule>
  </conditionalFormatting>
  <conditionalFormatting sqref="R59:S59">
    <cfRule type="expression" dxfId="1988" priority="752">
      <formula>(sizing_w16_spr_chosen="Exclude")</formula>
    </cfRule>
    <cfRule type="expression" dxfId="1987" priority="762">
      <formula>(sizing_w16_spr_chosen="Include")</formula>
    </cfRule>
  </conditionalFormatting>
  <conditionalFormatting sqref="R60:S60">
    <cfRule type="expression" dxfId="1986" priority="751">
      <formula>(sizing_w17_spr_chosen="Exclude")</formula>
    </cfRule>
    <cfRule type="expression" dxfId="1985" priority="761">
      <formula>(sizing_w17_spr_chosen="Include")</formula>
    </cfRule>
  </conditionalFormatting>
  <conditionalFormatting sqref="R61:S61">
    <cfRule type="expression" dxfId="1984" priority="727">
      <formula>(sizing_w18_spr_chosen="Exclude")</formula>
    </cfRule>
    <cfRule type="expression" dxfId="1983" priority="760">
      <formula>(sizing_w18_spr_chosen="Include")</formula>
    </cfRule>
  </conditionalFormatting>
  <conditionalFormatting sqref="R62:S62">
    <cfRule type="expression" dxfId="1982" priority="749">
      <formula>(sizing_w19_spr_chosen="Exclude")</formula>
    </cfRule>
    <cfRule type="expression" dxfId="1981" priority="759">
      <formula>(sizing_w19_spr_chosen="Include")</formula>
    </cfRule>
  </conditionalFormatting>
  <conditionalFormatting sqref="R63:S63">
    <cfRule type="expression" dxfId="1980" priority="748">
      <formula>(sizing_w20_spr_chosen="Exclude")</formula>
    </cfRule>
    <cfRule type="expression" dxfId="1979" priority="758">
      <formula>(sizing_w20_spr_chosen="Include")</formula>
    </cfRule>
  </conditionalFormatting>
  <conditionalFormatting sqref="R64:S64">
    <cfRule type="expression" dxfId="1978" priority="747">
      <formula>(sizing_w21_spr_chosen="Exclude")</formula>
    </cfRule>
    <cfRule type="expression" dxfId="1977" priority="757">
      <formula>(sizing_w21_spr_chosen="Include")</formula>
    </cfRule>
  </conditionalFormatting>
  <conditionalFormatting sqref="R65:S65">
    <cfRule type="expression" dxfId="1976" priority="746">
      <formula>(sizing_w22_spr_chosen="Exclude")</formula>
    </cfRule>
    <cfRule type="expression" dxfId="1975" priority="756">
      <formula>(sizing_w22_spr_chosen="Include")</formula>
    </cfRule>
  </conditionalFormatting>
  <conditionalFormatting sqref="R66:S66">
    <cfRule type="expression" dxfId="1974" priority="745">
      <formula>(sizing_w23_spr_chosen="Exclude")</formula>
    </cfRule>
    <cfRule type="expression" dxfId="1973" priority="755">
      <formula>(sizing_w23_spr_chosen="Include")</formula>
    </cfRule>
  </conditionalFormatting>
  <conditionalFormatting sqref="R67:S67">
    <cfRule type="expression" dxfId="1972" priority="744">
      <formula>(sizing_w24_spr_chosen="Exclude")</formula>
    </cfRule>
    <cfRule type="expression" dxfId="1971" priority="754">
      <formula>(sizing_w24_spr_chosen="Include")</formula>
    </cfRule>
  </conditionalFormatting>
  <conditionalFormatting sqref="R68:S68">
    <cfRule type="expression" dxfId="1970" priority="101">
      <formula>(sizing_w25_chosen="Excluded")</formula>
    </cfRule>
    <cfRule type="expression" dxfId="1969" priority="102" stopIfTrue="1">
      <formula>(sizing_w25_spr_chosen="Exclude")</formula>
    </cfRule>
    <cfRule type="expression" dxfId="1968" priority="103">
      <formula>(sizing_w25_spr_chosen="Include")</formula>
    </cfRule>
  </conditionalFormatting>
  <conditionalFormatting sqref="R69:S69">
    <cfRule type="expression" dxfId="1967" priority="104">
      <formula>(sizing_w26_chosen="Excluded")</formula>
    </cfRule>
    <cfRule type="expression" dxfId="1966" priority="105" stopIfTrue="1">
      <formula>(sizing_w26_spr_chosen="Exclude")</formula>
    </cfRule>
    <cfRule type="expression" dxfId="1965" priority="106">
      <formula>(sizing_w26_spr_chosen="Include")</formula>
    </cfRule>
  </conditionalFormatting>
  <conditionalFormatting sqref="R70:S70">
    <cfRule type="expression" dxfId="1964" priority="107">
      <formula>(sizing_w27_chosen="Excluded")</formula>
    </cfRule>
    <cfRule type="expression" dxfId="1963" priority="108" stopIfTrue="1">
      <formula>(sizing_w27_spr_chosen="Exclude")</formula>
    </cfRule>
    <cfRule type="expression" dxfId="1962" priority="109">
      <formula>(sizing_w27_spr_chosen="Include")</formula>
    </cfRule>
  </conditionalFormatting>
  <conditionalFormatting sqref="R71:S71">
    <cfRule type="expression" dxfId="1961" priority="110">
      <formula>(sizing_w28_chosen="Excluded")</formula>
    </cfRule>
    <cfRule type="expression" dxfId="1960" priority="111" stopIfTrue="1">
      <formula>(sizing_w28_spr_chosen="Exclude")</formula>
    </cfRule>
    <cfRule type="expression" dxfId="1959" priority="112">
      <formula>(sizing_w28_spr_chosen="Include")</formula>
    </cfRule>
  </conditionalFormatting>
  <conditionalFormatting sqref="R72:S72">
    <cfRule type="expression" dxfId="1958" priority="113">
      <formula>(sizing_w29_chosen="Excluded")</formula>
    </cfRule>
    <cfRule type="expression" dxfId="1957" priority="114" stopIfTrue="1">
      <formula>(sizing_w29_spr_chosen="Exclude")</formula>
    </cfRule>
    <cfRule type="expression" dxfId="1956" priority="115">
      <formula>(sizing_w29_spr_chosen="Include")</formula>
    </cfRule>
  </conditionalFormatting>
  <conditionalFormatting sqref="R73:S73">
    <cfRule type="expression" dxfId="1955" priority="116">
      <formula>(sizing_w30_chosen="Excluded")</formula>
    </cfRule>
    <cfRule type="expression" dxfId="1954" priority="117" stopIfTrue="1">
      <formula>(sizing_w30_spr_chosen="Exclude")</formula>
    </cfRule>
    <cfRule type="expression" dxfId="1953" priority="118">
      <formula>(sizing_w30_spr_chosen="Include")</formula>
    </cfRule>
  </conditionalFormatting>
  <conditionalFormatting sqref="R74:S74">
    <cfRule type="expression" dxfId="1952" priority="119">
      <formula>(sizing_w31_chosen="Excluded")</formula>
    </cfRule>
    <cfRule type="expression" dxfId="1951" priority="120" stopIfTrue="1">
      <formula>(sizing_w31_spr_chosen="Exclude")</formula>
    </cfRule>
    <cfRule type="expression" dxfId="1950" priority="121">
      <formula>(sizing_w31_spr_chosen="Include")</formula>
    </cfRule>
  </conditionalFormatting>
  <conditionalFormatting sqref="R75:S75">
    <cfRule type="expression" dxfId="1949" priority="122">
      <formula>(sizing_w32_chosen="Excluded")</formula>
    </cfRule>
    <cfRule type="expression" dxfId="1948" priority="123" stopIfTrue="1">
      <formula>(sizing_w32_spr_chosen="Exclude")</formula>
    </cfRule>
    <cfRule type="expression" dxfId="1947" priority="124">
      <formula>(sizing_w32_spr_chosen="Include")</formula>
    </cfRule>
  </conditionalFormatting>
  <conditionalFormatting sqref="R76:S76">
    <cfRule type="expression" dxfId="1946" priority="125">
      <formula>(sizing_w33_chosen="Excluded")</formula>
    </cfRule>
    <cfRule type="expression" dxfId="1945" priority="126" stopIfTrue="1">
      <formula>(sizing_w33_spr_chosen="Exclude")</formula>
    </cfRule>
    <cfRule type="expression" dxfId="1944" priority="127">
      <formula>(sizing_w33_spr_chosen="Include")</formula>
    </cfRule>
  </conditionalFormatting>
  <conditionalFormatting sqref="R77:S77">
    <cfRule type="expression" dxfId="1943" priority="128">
      <formula>(sizing_w34_chosen="Excluded")</formula>
    </cfRule>
    <cfRule type="expression" dxfId="1942" priority="129" stopIfTrue="1">
      <formula>(sizing_w34_spr_chosen="Exclude")</formula>
    </cfRule>
    <cfRule type="expression" dxfId="1941" priority="130">
      <formula>(sizing_w34_spr_chosen="Include")</formula>
    </cfRule>
  </conditionalFormatting>
  <conditionalFormatting sqref="R78:S78">
    <cfRule type="expression" dxfId="1940" priority="131">
      <formula>(sizing_w35_chosen="Excluded")</formula>
    </cfRule>
    <cfRule type="expression" dxfId="1939" priority="132" stopIfTrue="1">
      <formula>(sizing_w35_spr_chosen="Exclude")</formula>
    </cfRule>
    <cfRule type="expression" dxfId="1938" priority="133">
      <formula>(sizing_w35_spr_chosen="Include")</formula>
    </cfRule>
  </conditionalFormatting>
  <conditionalFormatting sqref="S40:T40">
    <cfRule type="expression" dxfId="1937" priority="610" stopIfTrue="1">
      <formula>sizing_mgmt_avi_lb_appliance_size="Excluded"</formula>
    </cfRule>
  </conditionalFormatting>
  <conditionalFormatting sqref="U44:V44">
    <cfRule type="expression" dxfId="1936" priority="933">
      <formula>sizing_w01_avi_appliance_size="Excluded"</formula>
    </cfRule>
  </conditionalFormatting>
  <conditionalFormatting sqref="U45:V45">
    <cfRule type="expression" dxfId="1935" priority="787">
      <formula>(sizing_w02_avi_appliance_size="Excluded")</formula>
    </cfRule>
    <cfRule type="expression" dxfId="1934" priority="1330">
      <formula>(sizing_w02_avi_appliance_size&lt;&gt;"Excluded")</formula>
    </cfRule>
  </conditionalFormatting>
  <conditionalFormatting sqref="U46:V46">
    <cfRule type="expression" dxfId="1933" priority="772">
      <formula>sizing_w03_avi_appliance_size="Excluded"</formula>
    </cfRule>
    <cfRule type="expression" dxfId="1932" priority="918">
      <formula>sizing_w03_avi_appliance_size&lt;&gt;"Excluded"</formula>
    </cfRule>
  </conditionalFormatting>
  <conditionalFormatting sqref="U47:V47">
    <cfRule type="expression" dxfId="1931" priority="529" stopIfTrue="1">
      <formula>(sizing_w04_avi_appliance_size="Excluded")</formula>
    </cfRule>
    <cfRule type="expression" dxfId="1930" priority="773" stopIfTrue="1">
      <formula>(sizing_w04_avi_appliance_size&lt;&gt;"Excluded")</formula>
    </cfRule>
  </conditionalFormatting>
  <conditionalFormatting sqref="U48:V48">
    <cfRule type="expression" dxfId="1929" priority="569">
      <formula>(sizing_w05_avi_appliance_size="Excluded")</formula>
    </cfRule>
    <cfRule type="expression" dxfId="1928" priority="774">
      <formula>(sizing_w05_avi_appliance_size&lt;&gt;"Excluded")</formula>
    </cfRule>
  </conditionalFormatting>
  <conditionalFormatting sqref="U49:V49">
    <cfRule type="expression" dxfId="1927" priority="590" stopIfTrue="1">
      <formula>sizing_w06_avi_appliance_size="Excluded"</formula>
    </cfRule>
    <cfRule type="expression" dxfId="1926" priority="775">
      <formula>(sizing_w06_avi_appliance_size&lt;&gt;"Excluded")</formula>
    </cfRule>
  </conditionalFormatting>
  <conditionalFormatting sqref="U50:V50">
    <cfRule type="expression" dxfId="1925" priority="776">
      <formula>sizing_w07_avi_appliance_size="Excluded"</formula>
    </cfRule>
    <cfRule type="expression" dxfId="1924" priority="1329">
      <formula>(sizing_w07_avi_appliance_size&lt;&gt;"Excluded")</formula>
    </cfRule>
  </conditionalFormatting>
  <conditionalFormatting sqref="U51:V51">
    <cfRule type="expression" dxfId="1923" priority="714">
      <formula>(sizing_w08_avi_appliance_size="Excluded")</formula>
    </cfRule>
    <cfRule type="expression" dxfId="1922" priority="777">
      <formula>(sizing_w08_avi_appliance_size&lt;&gt;"Excluded")</formula>
    </cfRule>
  </conditionalFormatting>
  <conditionalFormatting sqref="U52:V52">
    <cfRule type="expression" dxfId="1921" priority="715">
      <formula>(sizing_w09_avi_appliance_size="Excluded")</formula>
    </cfRule>
    <cfRule type="expression" dxfId="1920" priority="778">
      <formula>(sizing_w09_avi_appliance_size&lt;&gt;"Excluded")</formula>
    </cfRule>
  </conditionalFormatting>
  <conditionalFormatting sqref="U53:V53">
    <cfRule type="expression" dxfId="1919" priority="716">
      <formula>(sizing_w10_avi_appliance_size="Excluded")</formula>
    </cfRule>
    <cfRule type="expression" dxfId="1918" priority="779">
      <formula>(sizing_w10_avi_appliance_size&lt;&gt;"Excluded")</formula>
    </cfRule>
  </conditionalFormatting>
  <conditionalFormatting sqref="U54:V54">
    <cfRule type="expression" dxfId="1917" priority="718">
      <formula>(sizing_w11_avi_appliance_size="Excluded")</formula>
    </cfRule>
    <cfRule type="expression" dxfId="1916" priority="780">
      <formula>(sizing_w11_avi_appliance_size&lt;&gt;"Excluded")</formula>
    </cfRule>
  </conditionalFormatting>
  <conditionalFormatting sqref="U55:V55">
    <cfRule type="expression" dxfId="1915" priority="719">
      <formula>(sizing_w12_avi_appliance_size="Excluded")</formula>
    </cfRule>
    <cfRule type="expression" dxfId="1914" priority="781">
      <formula>(sizing_w12_avi_appliance_size&lt;&gt;"Excluded")</formula>
    </cfRule>
  </conditionalFormatting>
  <conditionalFormatting sqref="U56:V56">
    <cfRule type="expression" dxfId="1913" priority="720">
      <formula>(sizing_w13_avi_appliance_size="Excluded")</formula>
    </cfRule>
    <cfRule type="expression" dxfId="1912" priority="782">
      <formula>(sizing_w13_avi_appliance_size&lt;&gt;"Excluded")</formula>
    </cfRule>
  </conditionalFormatting>
  <conditionalFormatting sqref="U57:V57">
    <cfRule type="expression" dxfId="1911" priority="721">
      <formula>(sizing_w14_avi_appliance_size="Excluded")</formula>
    </cfRule>
    <cfRule type="expression" dxfId="1910" priority="783">
      <formula>(sizing_w14_avi_appliance_size&lt;&gt;"Excluded")</formula>
    </cfRule>
  </conditionalFormatting>
  <conditionalFormatting sqref="U58:V58">
    <cfRule type="expression" dxfId="1909" priority="722" stopIfTrue="1">
      <formula>(sizing_w15_avi_appliance_size="Excluded")</formula>
    </cfRule>
    <cfRule type="expression" dxfId="1908" priority="753">
      <formula>(sizing_w15_avi_appliance_size&lt;&gt;"Excluded")</formula>
    </cfRule>
  </conditionalFormatting>
  <conditionalFormatting sqref="U59:V59">
    <cfRule type="expression" dxfId="1907" priority="723" stopIfTrue="1">
      <formula>(sizing_w16_avi_appliance_size="Excluded")</formula>
    </cfRule>
    <cfRule type="expression" dxfId="1906" priority="725">
      <formula>(sizing_w16_avi_appliance_size&lt;&gt;"Excluded")</formula>
    </cfRule>
  </conditionalFormatting>
  <conditionalFormatting sqref="U60:V60">
    <cfRule type="expression" dxfId="1905" priority="726" stopIfTrue="1">
      <formula>(sizing_w17_avi_appliance_size="Excluded")</formula>
    </cfRule>
    <cfRule type="expression" dxfId="1904" priority="750">
      <formula>(sizing_w17_avi_appliance_size&lt;&gt;"Excluded")</formula>
    </cfRule>
  </conditionalFormatting>
  <conditionalFormatting sqref="U61:V61">
    <cfRule type="expression" dxfId="1903" priority="515">
      <formula>(sizing_w18_avi_appliance_size="Excluded")</formula>
    </cfRule>
    <cfRule type="expression" dxfId="1902" priority="717">
      <formula>(sizing_w18_avi_appliance_size&lt;&gt;"Excluded")</formula>
    </cfRule>
  </conditionalFormatting>
  <conditionalFormatting sqref="U62:V62">
    <cfRule type="expression" dxfId="1901" priority="728">
      <formula>(sizing_w19_avi_appliance_size="Excluded")</formula>
    </cfRule>
    <cfRule type="expression" dxfId="1900" priority="815">
      <formula>(sizing_w19_avi_appliance_size&lt;&gt;"Excluded")</formula>
    </cfRule>
  </conditionalFormatting>
  <conditionalFormatting sqref="U63:V63">
    <cfRule type="expression" dxfId="1899" priority="729" stopIfTrue="1">
      <formula>(sizing_w20_avi_appliance_size="Excluded")</formula>
    </cfRule>
    <cfRule type="expression" dxfId="1898" priority="818">
      <formula>(sizing_w20_avi_appliance_size&lt;&gt;"Excluded")</formula>
    </cfRule>
  </conditionalFormatting>
  <conditionalFormatting sqref="U64:V64">
    <cfRule type="expression" dxfId="1897" priority="730" stopIfTrue="1">
      <formula>(sizing_w21_avi_appliance_size="Excluded")</formula>
    </cfRule>
    <cfRule type="expression" dxfId="1896" priority="823">
      <formula>(sizing_w21_avi_appliance_size&lt;&gt;"Excluded")</formula>
    </cfRule>
  </conditionalFormatting>
  <conditionalFormatting sqref="U65:V65">
    <cfRule type="expression" dxfId="1895" priority="731">
      <formula>(sizing_w22_avi_appliance_size="Excluded")</formula>
    </cfRule>
    <cfRule type="expression" dxfId="1894" priority="826">
      <formula>(sizing_w22_avi_appliance_size&lt;&gt;"Excluded")</formula>
    </cfRule>
  </conditionalFormatting>
  <conditionalFormatting sqref="U66:V66">
    <cfRule type="expression" dxfId="1893" priority="733">
      <formula>(sizing_w23_avi_appliance_size="Excluded")</formula>
    </cfRule>
    <cfRule type="expression" dxfId="1892" priority="829">
      <formula>(sizing_w23_avi_appliance_size&lt;&gt;"Excluded")</formula>
    </cfRule>
  </conditionalFormatting>
  <conditionalFormatting sqref="U67:V67">
    <cfRule type="expression" dxfId="1891" priority="734">
      <formula>(sizing_w24_avi_appliance_size="Excluded")</formula>
    </cfRule>
    <cfRule type="expression" dxfId="1890" priority="833">
      <formula>(sizing_w24_avi_appliance_size&lt;&gt;"Excluded")</formula>
    </cfRule>
  </conditionalFormatting>
  <conditionalFormatting sqref="U68:V68">
    <cfRule type="expression" dxfId="1889" priority="99">
      <formula>(sizing_w25_avi_appliance_size="Excluded")</formula>
    </cfRule>
    <cfRule type="expression" dxfId="1888" priority="100">
      <formula>(sizing_w25_avi_appliance_size&lt;&gt;"Excluded")</formula>
    </cfRule>
  </conditionalFormatting>
  <conditionalFormatting sqref="U69:V69">
    <cfRule type="expression" dxfId="1887" priority="96">
      <formula>(sizing_w26_avi_appliance_size="Excluded")</formula>
    </cfRule>
    <cfRule type="expression" dxfId="1886" priority="97">
      <formula>(sizing_w26_avi_appliance_size&lt;&gt;"Excluded")</formula>
    </cfRule>
  </conditionalFormatting>
  <conditionalFormatting sqref="U70:V70">
    <cfRule type="expression" dxfId="1885" priority="93">
      <formula>(sizing_w27_avi_appliance_size="Excluded")</formula>
    </cfRule>
    <cfRule type="expression" dxfId="1884" priority="94">
      <formula>(sizing_w27_avi_appliance_size&lt;&gt;"Excluded")</formula>
    </cfRule>
  </conditionalFormatting>
  <conditionalFormatting sqref="U71:V71">
    <cfRule type="expression" dxfId="1883" priority="90">
      <formula>(sizing_w28_avi_appliance_size="Excluded")</formula>
    </cfRule>
    <cfRule type="expression" dxfId="1882" priority="91">
      <formula>(sizing_w28_avi_appliance_size&lt;&gt;"Excluded")</formula>
    </cfRule>
  </conditionalFormatting>
  <conditionalFormatting sqref="U72:V72">
    <cfRule type="expression" dxfId="1881" priority="87">
      <formula>(sizing_w29_avi_appliance_size="Excluded")</formula>
    </cfRule>
    <cfRule type="expression" dxfId="1880" priority="88">
      <formula>(sizing_w29_avi_appliance_size&lt;&gt;"Excluded")</formula>
    </cfRule>
  </conditionalFormatting>
  <conditionalFormatting sqref="U73:V73">
    <cfRule type="expression" dxfId="1879" priority="84">
      <formula>(sizing_w30_avi_appliance_size="Excluded")</formula>
    </cfRule>
    <cfRule type="expression" dxfId="1878" priority="85">
      <formula>(sizing_w30_avi_appliance_size&lt;&gt;"Excluded")</formula>
    </cfRule>
  </conditionalFormatting>
  <conditionalFormatting sqref="U74:V74">
    <cfRule type="expression" dxfId="1877" priority="81">
      <formula>(sizing_w31_avi_appliance_size="Excluded")</formula>
    </cfRule>
    <cfRule type="expression" dxfId="1876" priority="82">
      <formula>(sizing_w31_avi_appliance_size&lt;&gt;"Excluded")</formula>
    </cfRule>
  </conditionalFormatting>
  <conditionalFormatting sqref="U75:V75">
    <cfRule type="expression" dxfId="1875" priority="78">
      <formula>(sizing_w32_avi_appliance_size="Excluded")</formula>
    </cfRule>
    <cfRule type="expression" dxfId="1874" priority="79">
      <formula>(sizing_w32_avi_appliance_size&lt;&gt;"Excluded")</formula>
    </cfRule>
  </conditionalFormatting>
  <conditionalFormatting sqref="U76:V76">
    <cfRule type="expression" dxfId="1873" priority="75">
      <formula>(sizing_w33_avi_appliance_size="Excluded")</formula>
    </cfRule>
    <cfRule type="expression" dxfId="1872" priority="76">
      <formula>(sizing_w33_avi_appliance_size&lt;&gt;"Excluded")</formula>
    </cfRule>
  </conditionalFormatting>
  <conditionalFormatting sqref="U77:V77">
    <cfRule type="expression" dxfId="1871" priority="72">
      <formula>(sizing_w34_avi_appliance_size="Excluded")</formula>
    </cfRule>
    <cfRule type="expression" dxfId="1870" priority="73">
      <formula>(sizing_w34_avi_appliance_size&lt;&gt;"Excluded")</formula>
    </cfRule>
  </conditionalFormatting>
  <conditionalFormatting sqref="U78:V78">
    <cfRule type="expression" dxfId="1869" priority="69">
      <formula>(sizing_w35_avi_appliance_size="Excluded")</formula>
    </cfRule>
    <cfRule type="expression" dxfId="1868" priority="70">
      <formula>(sizing_w35_avi_appliance_size&lt;&gt;"Excluded")</formula>
    </cfRule>
  </conditionalFormatting>
  <conditionalFormatting sqref="U73:W73">
    <cfRule type="expression" dxfId="1867" priority="83">
      <formula>(sizing_w30_chosen="Excluded")</formula>
    </cfRule>
  </conditionalFormatting>
  <conditionalFormatting sqref="U68:Y68">
    <cfRule type="expression" dxfId="1866" priority="65">
      <formula>(sizing_w25_chosen="Excluded")</formula>
    </cfRule>
  </conditionalFormatting>
  <conditionalFormatting sqref="U69:Y69">
    <cfRule type="expression" dxfId="1865" priority="62">
      <formula>(sizing_w26_chosen="Excluded")</formula>
    </cfRule>
  </conditionalFormatting>
  <conditionalFormatting sqref="U70:Y70">
    <cfRule type="expression" dxfId="1864" priority="59">
      <formula>(sizing_w27_chosen="Excluded")</formula>
    </cfRule>
  </conditionalFormatting>
  <conditionalFormatting sqref="U71:Y71">
    <cfRule type="expression" dxfId="1863" priority="56">
      <formula>(sizing_w28_chosen="Excluded")</formula>
    </cfRule>
  </conditionalFormatting>
  <conditionalFormatting sqref="U72:Y72">
    <cfRule type="expression" dxfId="1862" priority="53">
      <formula>(sizing_w29_chosen="Excluded")</formula>
    </cfRule>
  </conditionalFormatting>
  <conditionalFormatting sqref="U74:Y74">
    <cfRule type="expression" dxfId="1861" priority="50">
      <formula>(sizing_w31_chosen="Excluded")</formula>
    </cfRule>
  </conditionalFormatting>
  <conditionalFormatting sqref="U75:Y75">
    <cfRule type="expression" dxfId="1860" priority="44">
      <formula>(sizing_w32_chosen="Excluded")</formula>
    </cfRule>
  </conditionalFormatting>
  <conditionalFormatting sqref="U76:Y76">
    <cfRule type="expression" dxfId="1859" priority="41">
      <formula>(sizing_w33_chosen="Excluded")</formula>
    </cfRule>
  </conditionalFormatting>
  <conditionalFormatting sqref="U77:Y77">
    <cfRule type="expression" dxfId="1858" priority="38">
      <formula>(sizing_w34_chosen="Excluded")</formula>
    </cfRule>
  </conditionalFormatting>
  <conditionalFormatting sqref="U78:Y78">
    <cfRule type="expression" dxfId="1857" priority="35">
      <formula>(sizing_w35_chosen="Excluded")</formula>
    </cfRule>
  </conditionalFormatting>
  <conditionalFormatting sqref="V45">
    <cfRule type="notContainsBlanks" dxfId="1856" priority="1327">
      <formula>LEN(TRIM(V45))&gt;0</formula>
    </cfRule>
  </conditionalFormatting>
  <conditionalFormatting sqref="W40:Y40">
    <cfRule type="expression" dxfId="1855" priority="228">
      <formula>sizing_m01_ssp_chosen&lt;&gt;"Excluded"</formula>
    </cfRule>
    <cfRule type="expression" dxfId="1854" priority="229">
      <formula>sizing_m01_ssp_chosen="Excluded"</formula>
    </cfRule>
  </conditionalFormatting>
  <conditionalFormatting sqref="X44:Y44">
    <cfRule type="expression" dxfId="1853" priority="231">
      <formula>sizing_w01_ssp_chosen&lt;&gt;"Excluded"</formula>
    </cfRule>
    <cfRule type="expression" dxfId="1852" priority="232">
      <formula>sizing_w01_ssp_chosen="Excluded"</formula>
    </cfRule>
  </conditionalFormatting>
  <conditionalFormatting sqref="X45:Y45">
    <cfRule type="expression" dxfId="1851" priority="268">
      <formula>sizing_w02_ssp_chosen&lt;&gt;"Excluded"</formula>
    </cfRule>
    <cfRule type="expression" dxfId="1850" priority="312">
      <formula>sizing_w02_ssp_chosen="Excluded"</formula>
    </cfRule>
  </conditionalFormatting>
  <conditionalFormatting sqref="X46:Y46">
    <cfRule type="expression" dxfId="1849" priority="267">
      <formula>sizing_w03_ssp_chosen&lt;&gt;"Excluded"</formula>
    </cfRule>
    <cfRule type="expression" dxfId="1848" priority="311">
      <formula>sizing_w03_ssp_chosen="Excluded"</formula>
    </cfRule>
  </conditionalFormatting>
  <conditionalFormatting sqref="X47:Y47">
    <cfRule type="expression" dxfId="1847" priority="266">
      <formula>sizing_w04_ssp_chosen&lt;&gt;"Excluded"</formula>
    </cfRule>
    <cfRule type="expression" dxfId="1846" priority="310">
      <formula>sizing_w04_ssp_chosen="Excluded"</formula>
    </cfRule>
  </conditionalFormatting>
  <conditionalFormatting sqref="X48:Y48">
    <cfRule type="expression" dxfId="1845" priority="265">
      <formula>sizing_w05_ssp_chosen&lt;&gt;"Excluded"</formula>
    </cfRule>
    <cfRule type="expression" dxfId="1844" priority="309">
      <formula>sizing_w05_ssp_chosen="Excluded"</formula>
    </cfRule>
  </conditionalFormatting>
  <conditionalFormatting sqref="X49:Y49">
    <cfRule type="expression" dxfId="1843" priority="264">
      <formula>sizing_w06_ssp_chosen&lt;&gt;"Excluded"</formula>
    </cfRule>
    <cfRule type="expression" dxfId="1842" priority="308">
      <formula>sizing_w06_ssp_chosen="Excluded"</formula>
    </cfRule>
  </conditionalFormatting>
  <conditionalFormatting sqref="X50:Y50">
    <cfRule type="expression" dxfId="1841" priority="263">
      <formula>sizing_w07_ssp_chosen&lt;&gt;"Excluded"</formula>
    </cfRule>
    <cfRule type="expression" dxfId="1840" priority="307">
      <formula>sizing_w07_ssp_chosen="Excluded"</formula>
    </cfRule>
  </conditionalFormatting>
  <conditionalFormatting sqref="X51:Y51">
    <cfRule type="expression" dxfId="1839" priority="262">
      <formula>sizing_w08_ssp_chosen&lt;&gt;"Excluded"</formula>
    </cfRule>
    <cfRule type="expression" dxfId="1838" priority="306">
      <formula>sizing_w08_ssp_chosen="Excluded"</formula>
    </cfRule>
  </conditionalFormatting>
  <conditionalFormatting sqref="X52:Y52">
    <cfRule type="expression" dxfId="1837" priority="261">
      <formula>sizing_w09_ssp_chosen&lt;&gt;"Excluded"</formula>
    </cfRule>
    <cfRule type="expression" dxfId="1836" priority="305">
      <formula>sizing_w09_ssp_chosen="Excluded"</formula>
    </cfRule>
  </conditionalFormatting>
  <conditionalFormatting sqref="X53:Y53">
    <cfRule type="expression" dxfId="1835" priority="260">
      <formula>sizing_w10_ssp_chosen&lt;&gt;"Excluded"</formula>
    </cfRule>
    <cfRule type="expression" dxfId="1834" priority="304">
      <formula>sizing_w10_ssp_chosen="Excluded"</formula>
    </cfRule>
  </conditionalFormatting>
  <conditionalFormatting sqref="X54:Y54">
    <cfRule type="expression" dxfId="1833" priority="259">
      <formula>sizing_w11_ssp_chosen&lt;&gt;"Excluded"</formula>
    </cfRule>
    <cfRule type="expression" dxfId="1832" priority="303">
      <formula>sizing_w11_ssp_chosen="Excluded"</formula>
    </cfRule>
  </conditionalFormatting>
  <conditionalFormatting sqref="X55:Y55">
    <cfRule type="expression" dxfId="1831" priority="257">
      <formula>sizing_w12_ssp_chosen&lt;&gt;"Excluded"</formula>
    </cfRule>
    <cfRule type="expression" dxfId="1830" priority="300">
      <formula>sizing_w12_ssp_chosen="Excluded"</formula>
    </cfRule>
  </conditionalFormatting>
  <conditionalFormatting sqref="X56:Y56">
    <cfRule type="expression" dxfId="1829" priority="255">
      <formula>sizing_w13_ssp_chosen&lt;&gt;"Excluded"</formula>
    </cfRule>
    <cfRule type="expression" dxfId="1828" priority="302">
      <formula>sizing_w13_ssp_chosen="Excluded"</formula>
    </cfRule>
  </conditionalFormatting>
  <conditionalFormatting sqref="X57:Y57">
    <cfRule type="expression" dxfId="1827" priority="254">
      <formula>sizing_w14_ssp_chosen&lt;&gt;"Excluded"</formula>
    </cfRule>
    <cfRule type="expression" dxfId="1826" priority="299">
      <formula>sizing_w14_ssp_chosen="Excluded"</formula>
    </cfRule>
  </conditionalFormatting>
  <conditionalFormatting sqref="X58:Y58">
    <cfRule type="expression" dxfId="1825" priority="258">
      <formula>sizing_w15_ssp_chosen&lt;&gt;"Excluded"</formula>
    </cfRule>
    <cfRule type="expression" dxfId="1824" priority="498">
      <formula>sizing_w15_ssp_chosen="Excluded"</formula>
    </cfRule>
  </conditionalFormatting>
  <conditionalFormatting sqref="X59:Y59">
    <cfRule type="expression" dxfId="1823" priority="269">
      <formula>sizing_w16_ssp_chosen&lt;&gt;"Excluded"</formula>
    </cfRule>
    <cfRule type="expression" dxfId="1822" priority="495">
      <formula>sizing_w16_ssp_chosen="Excluded"</formula>
    </cfRule>
  </conditionalFormatting>
  <conditionalFormatting sqref="X60:Y60">
    <cfRule type="expression" dxfId="1821" priority="270">
      <formula>sizing_w17_ssp_chosen&lt;&gt;"Excluded"</formula>
    </cfRule>
    <cfRule type="expression" dxfId="1820" priority="297">
      <formula>sizing_w17_ssp_chosen="Excluded"</formula>
    </cfRule>
  </conditionalFormatting>
  <conditionalFormatting sqref="X61:Y61">
    <cfRule type="expression" dxfId="1819" priority="271">
      <formula>sizing_w18_ssp_chosen&lt;&gt;"Excluded"</formula>
    </cfRule>
    <cfRule type="expression" dxfId="1818" priority="296">
      <formula>sizing_w18_ssp_chosen="Excluded"</formula>
    </cfRule>
  </conditionalFormatting>
  <conditionalFormatting sqref="X62:Y62">
    <cfRule type="expression" dxfId="1817" priority="272">
      <formula>sizing_w19_ssp_chosen&lt;&gt;"Excluded"</formula>
    </cfRule>
    <cfRule type="expression" dxfId="1816" priority="295">
      <formula>sizing_w19_ssp_chosen="Excluded"</formula>
    </cfRule>
  </conditionalFormatting>
  <conditionalFormatting sqref="X63:Y63">
    <cfRule type="expression" dxfId="1815" priority="273">
      <formula>sizing_w20_ssp_chosen&lt;&gt;"Excluded"</formula>
    </cfRule>
    <cfRule type="expression" dxfId="1814" priority="294">
      <formula>sizing_w20_ssp_chosen="Excluded"</formula>
    </cfRule>
  </conditionalFormatting>
  <conditionalFormatting sqref="X64:Y64">
    <cfRule type="expression" dxfId="1813" priority="274">
      <formula>sizing_w21_ssp_chosen&lt;&gt;"Excluded"</formula>
    </cfRule>
    <cfRule type="expression" dxfId="1812" priority="293">
      <formula>sizing_w21_ssp_chosen="Excluded"</formula>
    </cfRule>
  </conditionalFormatting>
  <conditionalFormatting sqref="X65:Y65">
    <cfRule type="expression" dxfId="1811" priority="276">
      <formula>sizing_w22_ssp_chosen&lt;&gt;"Excluded"</formula>
    </cfRule>
    <cfRule type="expression" dxfId="1810" priority="292">
      <formula>sizing_w22_ssp_chosen="Excluded"</formula>
    </cfRule>
  </conditionalFormatting>
  <conditionalFormatting sqref="X66:Y66">
    <cfRule type="expression" dxfId="1809" priority="277">
      <formula>sizing_w23_ssp_chosen&lt;&gt;"Excluded"</formula>
    </cfRule>
    <cfRule type="expression" dxfId="1808" priority="291">
      <formula>sizing_w23_ssp_chosen="Excluded"</formula>
    </cfRule>
  </conditionalFormatting>
  <conditionalFormatting sqref="X67:Y67">
    <cfRule type="expression" dxfId="1807" priority="278">
      <formula>sizing_w24_ssp_chosen&lt;&gt;"Excluded"</formula>
    </cfRule>
    <cfRule type="expression" dxfId="1806" priority="487">
      <formula>sizing_w24_ssp_chosen="Excluded"</formula>
    </cfRule>
  </conditionalFormatting>
  <conditionalFormatting sqref="X68:Y68">
    <cfRule type="expression" dxfId="1805" priority="66">
      <formula>sizing_w25_ssp_chosen&lt;&gt;"Excluded"</formula>
    </cfRule>
    <cfRule type="expression" dxfId="1804" priority="67">
      <formula>sizing_w25_ssp_chosen="Excluded"</formula>
    </cfRule>
  </conditionalFormatting>
  <conditionalFormatting sqref="X69:Y69">
    <cfRule type="expression" dxfId="1803" priority="63">
      <formula>sizing_w26_ssp_chosen&lt;&gt;"Excluded"</formula>
    </cfRule>
    <cfRule type="expression" dxfId="1802" priority="64">
      <formula>sizing_w26_ssp_chosen="Excluded"</formula>
    </cfRule>
  </conditionalFormatting>
  <conditionalFormatting sqref="X70:Y70">
    <cfRule type="expression" dxfId="1801" priority="60">
      <formula>sizing_w27_ssp_chosen&lt;&gt;"Excluded"</formula>
    </cfRule>
    <cfRule type="expression" dxfId="1800" priority="61">
      <formula>sizing_w27_ssp_chosen="Excluded"</formula>
    </cfRule>
  </conditionalFormatting>
  <conditionalFormatting sqref="X71:Y71">
    <cfRule type="expression" dxfId="1799" priority="57">
      <formula>sizing_w28_ssp_chosen&lt;&gt;"Excluded"</formula>
    </cfRule>
    <cfRule type="expression" dxfId="1798" priority="58">
      <formula>sizing_w28_ssp_chosen="Excluded"</formula>
    </cfRule>
  </conditionalFormatting>
  <conditionalFormatting sqref="X72:Y72">
    <cfRule type="expression" dxfId="1797" priority="54">
      <formula>sizing_w29_ssp_chosen&lt;&gt;"Excluded"</formula>
    </cfRule>
    <cfRule type="expression" dxfId="1796" priority="55">
      <formula>sizing_w29_ssp_chosen="Excluded"</formula>
    </cfRule>
  </conditionalFormatting>
  <conditionalFormatting sqref="X73:Y73">
    <cfRule type="expression" dxfId="1795" priority="47">
      <formula>(sizing_w29_chosen="Excluded")</formula>
    </cfRule>
    <cfRule type="expression" dxfId="1794" priority="48">
      <formula>sizing_w29_ssp_chosen&lt;&gt;"Excluded"</formula>
    </cfRule>
    <cfRule type="expression" dxfId="1793" priority="49">
      <formula>sizing_w29_ssp_chosen="Excluded"</formula>
    </cfRule>
  </conditionalFormatting>
  <conditionalFormatting sqref="X74:Y74">
    <cfRule type="expression" dxfId="1792" priority="51">
      <formula>sizing_w31_ssp_chosen&lt;&gt;"Excluded"</formula>
    </cfRule>
    <cfRule type="expression" dxfId="1791" priority="52">
      <formula>sizing_w31_ssp_chosen="Excluded"</formula>
    </cfRule>
  </conditionalFormatting>
  <conditionalFormatting sqref="X75:Y75">
    <cfRule type="expression" dxfId="1790" priority="45">
      <formula>sizing_w32_ssp_chosen&lt;&gt;"Excluded"</formula>
    </cfRule>
    <cfRule type="expression" dxfId="1789" priority="46">
      <formula>sizing_w32_ssp_chosen="Excluded"</formula>
    </cfRule>
  </conditionalFormatting>
  <conditionalFormatting sqref="X76:Y76">
    <cfRule type="expression" dxfId="1788" priority="42">
      <formula>sizing_w33_ssp_chosen&lt;&gt;"Excluded"</formula>
    </cfRule>
    <cfRule type="expression" dxfId="1787" priority="43">
      <formula>sizing_w33_ssp_chosen="Excluded"</formula>
    </cfRule>
  </conditionalFormatting>
  <conditionalFormatting sqref="X77:Y77">
    <cfRule type="expression" dxfId="1786" priority="39">
      <formula>sizing_w34_ssp_chosen&lt;&gt;"Excluded"</formula>
    </cfRule>
    <cfRule type="expression" dxfId="1785" priority="40">
      <formula>sizing_w34_ssp_chosen="Excluded"</formula>
    </cfRule>
  </conditionalFormatting>
  <conditionalFormatting sqref="X78:Y78">
    <cfRule type="expression" dxfId="1784" priority="36">
      <formula>sizing_w35_ssp_chosen&lt;&gt;"Excluded"</formula>
    </cfRule>
    <cfRule type="expression" dxfId="1783" priority="37">
      <formula>sizing_w35_ssp_chosen="Excluded"</formula>
    </cfRule>
  </conditionalFormatting>
  <dataValidations count="56">
    <dataValidation type="list" allowBlank="1" showInputMessage="1" showErrorMessage="1" sqref="D44:D78 R25" xr:uid="{14357478-74C3-7843-A370-D40D3EBF3D4A}">
      <formula1>sizing_vcenter_appliance_size_list</formula1>
    </dataValidation>
    <dataValidation type="list" allowBlank="1" showInputMessage="1" showErrorMessage="1" sqref="F44:F78 R26" xr:uid="{8B9FC74C-01BD-3B4C-A2CA-80E3E74E6273}">
      <formula1>sizing_vcenter_storage_size_list</formula1>
    </dataValidation>
    <dataValidation type="list" allowBlank="1" showInputMessage="1" showErrorMessage="1" sqref="I44:I78 M44:M78" xr:uid="{00F9908E-9DC1-FA44-97C3-626F106238A4}">
      <formula1>sizing_nsxt_manager_size_list</formula1>
    </dataValidation>
    <dataValidation type="list" allowBlank="1" showInputMessage="1" showErrorMessage="1" sqref="L40" xr:uid="{2D4C7AF1-8E6E-5444-BE95-1DA7C0856F3E}">
      <formula1>sizing_nsxt_edge_sizing_list</formula1>
    </dataValidation>
    <dataValidation type="list" allowBlank="1" showInputMessage="1" showErrorMessage="1" sqref="C44:C78" xr:uid="{850C76AA-40C6-2549-812B-8C66BBC265F7}">
      <formula1>"Excluded,Included"</formula1>
    </dataValidation>
    <dataValidation type="list" allowBlank="1" showInputMessage="1" showErrorMessage="1" sqref="E16" xr:uid="{11BFD4F2-A4DF-254B-BD3F-F35436314266}">
      <formula1>"1,1.5,2"</formula1>
    </dataValidation>
    <dataValidation type="list" allowBlank="1" showInputMessage="1" showErrorMessage="1" sqref="H44:H78" xr:uid="{D48F9B03-DF1B-4E4B-A4FE-17B5F238C2EF}">
      <formula1>table_nsxt_deployment_model</formula1>
    </dataValidation>
    <dataValidation type="list" allowBlank="1" showInputMessage="1" showErrorMessage="1" sqref="R44:R78 E27:E28 E36" xr:uid="{212DB531-E8A7-4742-A595-AAF977392A52}">
      <formula1>"Exclude,Include"</formula1>
    </dataValidation>
    <dataValidation type="list" allowBlank="1" showInputMessage="1" showErrorMessage="1" sqref="L44:L78" xr:uid="{7B474D8E-6BA7-904A-B132-9114AC58EF81}">
      <formula1>"Excluded, Active GM, Standby GM, Connect Instance"</formula1>
    </dataValidation>
    <dataValidation type="list" allowBlank="1" showInputMessage="1" showErrorMessage="1" sqref="Q40" xr:uid="{9BBEDE2B-8768-3C44-A272-EAFD748ABF7A}">
      <formula1>"Excluded,Small,Medium, Large,XLarge"</formula1>
    </dataValidation>
    <dataValidation type="list" allowBlank="1" showInputMessage="1" showErrorMessage="1" sqref="B83:D83 E32:E33 E29" xr:uid="{47CF29FA-F268-A142-9187-981C8A61D907}">
      <formula1>"Include,Exclude"</formula1>
    </dataValidation>
    <dataValidation type="list" allowBlank="1" showInputMessage="1" showErrorMessage="1" sqref="E21" xr:uid="{CF436D50-012E-214D-A86B-0BB51C5694A0}">
      <formula1>"Simple,High Availability"</formula1>
    </dataValidation>
    <dataValidation type="list" allowBlank="1" showInputMessage="1" showErrorMessage="1" sqref="B82:D82" xr:uid="{7572D7C9-76E2-3A40-B4E6-7D17DB23D20E}">
      <formula1>"Exclude,Management Only, Workload Only, Management &amp; Workload"</formula1>
    </dataValidation>
    <dataValidation type="list" allowBlank="1" showInputMessage="1" showErrorMessage="1" sqref="E25" xr:uid="{ADEBE70F-10E5-764A-95E0-D3C05A7B4BFD}">
      <formula1>"Exclude,Small,Medium,Large"</formula1>
    </dataValidation>
    <dataValidation type="list" allowBlank="1" showInputMessage="1" showErrorMessage="1" sqref="U44:U78 S40" xr:uid="{250C7E69-7098-E346-A736-9BB578F21885}">
      <formula1>"Excluded,Small,Large,X-Large"</formula1>
    </dataValidation>
    <dataValidation type="list" allowBlank="1" showInputMessage="1" showErrorMessage="1" sqref="X67:X78" xr:uid="{34789007-E672-AB45-A92C-37B9AE562D78}">
      <formula1>IF(sizing_w24_nsxt_model="Shared",vcf_pnp_result_excluded,table_ssp_sizes)</formula1>
    </dataValidation>
    <dataValidation type="list" allowBlank="1" showInputMessage="1" showErrorMessage="1" sqref="W40" xr:uid="{A69987EB-AB95-7444-9F57-D895F8801CF9}">
      <formula1>"Excluded,Include"</formula1>
    </dataValidation>
    <dataValidation type="list" allowBlank="1" showInputMessage="1" showErrorMessage="1" sqref="X45" xr:uid="{F162FB1B-3B74-EB43-9CFE-DF0E981449A4}">
      <formula1>IF(sizing_w02_nsxt_model="Shared",vcf_pnp_result_excluded,table_ssp_sizes)</formula1>
    </dataValidation>
    <dataValidation type="list" allowBlank="1" showInputMessage="1" showErrorMessage="1" sqref="X46" xr:uid="{140A259D-D110-F34C-85DD-80895995DBDC}">
      <formula1>IF(sizing_w03_nsxt_model="Shared",vcf_pnp_result_excluded,table_ssp_sizes)</formula1>
    </dataValidation>
    <dataValidation type="list" allowBlank="1" showInputMessage="1" showErrorMessage="1" sqref="X47" xr:uid="{7AEB54F1-B131-344A-9817-4066201603F3}">
      <formula1>IF(sizing_w04_nsxt_model="Shared",vcf_pnp_result_excluded,table_ssp_sizes)</formula1>
    </dataValidation>
    <dataValidation type="list" allowBlank="1" showInputMessage="1" showErrorMessage="1" sqref="X48" xr:uid="{52BF8EA8-D84B-3B4F-ACEE-57AD506B4D41}">
      <formula1>IF(sizing_w05_nsxt_model="Shared",vcf_pnp_result_excluded,table_ssp_sizes)</formula1>
    </dataValidation>
    <dataValidation type="list" allowBlank="1" showInputMessage="1" showErrorMessage="1" sqref="X49" xr:uid="{2271A7B8-8EDA-6244-807A-9F4C40660503}">
      <formula1>IF(sizing_w06_nsxt_model="Shared",vcf_pnp_result_excluded,table_ssp_sizes)</formula1>
    </dataValidation>
    <dataValidation type="list" allowBlank="1" showInputMessage="1" showErrorMessage="1" sqref="X50" xr:uid="{C56FA170-11E4-CC4B-AB03-762A206BC179}">
      <formula1>IF(sizing_w07_nsxt_model="Shared",vcf_pnp_result_excluded,table_ssp_sizes)</formula1>
    </dataValidation>
    <dataValidation type="list" allowBlank="1" showInputMessage="1" showErrorMessage="1" sqref="X51" xr:uid="{253EC62D-D70C-4940-9388-898813A2ECFB}">
      <formula1>IF(sizing_w08_nsxt_model="Shared",vcf_pnp_result_excluded,table_ssp_sizes)</formula1>
    </dataValidation>
    <dataValidation type="list" allowBlank="1" showInputMessage="1" showErrorMessage="1" sqref="X52" xr:uid="{992D7515-2B68-3B46-9439-6CEF3A41C9B3}">
      <formula1>IF(sizing_w09_nsxt_model="Shared",vcf_pnp_result_excluded,table_ssp_sizes)</formula1>
    </dataValidation>
    <dataValidation type="list" allowBlank="1" showInputMessage="1" showErrorMessage="1" sqref="X53" xr:uid="{CE7B262D-2494-B942-9AD6-DD1BFE14F94D}">
      <formula1>IF(sizing_w10_nsxt_model="Shared",vcf_pnp_result_excluded,table_ssp_sizes)</formula1>
    </dataValidation>
    <dataValidation type="list" allowBlank="1" showInputMessage="1" showErrorMessage="1" sqref="X54" xr:uid="{EF715655-CCFD-2742-B5EB-DD30A728C492}">
      <formula1>IF(sizing_w11_nsxt_model="Shared",vcf_pnp_result_excluded,table_ssp_sizes)</formula1>
    </dataValidation>
    <dataValidation type="list" allowBlank="1" showInputMessage="1" showErrorMessage="1" sqref="X55" xr:uid="{9DD504C9-CA3A-1A45-B959-F70F12442F6A}">
      <formula1>IF(sizing_w12_nsxt_model="Shared",vcf_pnp_result_excluded,table_ssp_sizes)</formula1>
    </dataValidation>
    <dataValidation type="list" allowBlank="1" showInputMessage="1" showErrorMessage="1" sqref="X56" xr:uid="{A86F70B1-AFA1-5147-9618-CB112D30FD80}">
      <formula1>IF(sizing_w13_nsxt_model="Shared",vcf_pnp_result_excluded,table_ssp_sizes)</formula1>
    </dataValidation>
    <dataValidation type="list" allowBlank="1" showInputMessage="1" showErrorMessage="1" sqref="X57" xr:uid="{D6927AA3-0DE8-0342-9D58-05B466970361}">
      <formula1>IF(sizing_w14_nsxt_model="Shared",vcf_pnp_result_excluded,table_ssp_sizes)</formula1>
    </dataValidation>
    <dataValidation type="list" allowBlank="1" showInputMessage="1" showErrorMessage="1" sqref="X58" xr:uid="{9FDB5DED-51EF-8B44-AD41-06A407015F55}">
      <formula1>IF(sizing_w15_nsxt_model="Shared",vcf_pnp_result_excluded,table_ssp_sizes)</formula1>
    </dataValidation>
    <dataValidation type="list" allowBlank="1" showInputMessage="1" showErrorMessage="1" sqref="X59" xr:uid="{8B095D39-3211-8744-A964-94DF3418D65C}">
      <formula1>IF(sizing_w16_nsxt_model="Shared",vcf_pnp_result_excluded,table_ssp_sizes)</formula1>
    </dataValidation>
    <dataValidation type="list" allowBlank="1" showInputMessage="1" showErrorMessage="1" sqref="X60" xr:uid="{86F57C74-3F18-604F-89DC-EA8DD72347A8}">
      <formula1>IF(sizing_w17_nsxt_model="Shared",vcf_pnp_result_excluded,table_ssp_sizes)</formula1>
    </dataValidation>
    <dataValidation type="list" allowBlank="1" showInputMessage="1" showErrorMessage="1" sqref="X61" xr:uid="{6D47918D-93F4-5643-8644-89BE547CC405}">
      <formula1>IF(sizing_w18_nsxt_model="Shared",vcf_pnp_result_excluded,table_ssp_sizes)</formula1>
    </dataValidation>
    <dataValidation type="list" allowBlank="1" showInputMessage="1" showErrorMessage="1" sqref="X62" xr:uid="{DE1B6F85-3642-CD44-9725-2EABC5887CC6}">
      <formula1>IF(sizing_w19_nsxt_model="Shared",vcf_pnp_result_excluded,table_ssp_sizes)</formula1>
    </dataValidation>
    <dataValidation type="list" allowBlank="1" showInputMessage="1" showErrorMessage="1" sqref="X63" xr:uid="{BFA87470-0692-6144-B87D-D1D0E1407C9A}">
      <formula1>IF(sizing_w20_nsxt_model="Shared",vcf_pnp_result_excluded,table_ssp_sizes)</formula1>
    </dataValidation>
    <dataValidation type="list" allowBlank="1" showInputMessage="1" showErrorMessage="1" sqref="X64" xr:uid="{71D6C944-2F2B-1A49-AB33-EF6679F94E0F}">
      <formula1>IF(sizing_w21_nsxt_model="Shared",vcf_pnp_result_excluded,table_ssp_sizes)</formula1>
    </dataValidation>
    <dataValidation type="list" allowBlank="1" showInputMessage="1" showErrorMessage="1" sqref="X65" xr:uid="{C8DF3384-B6C7-4D47-8B8A-08A91399F0ED}">
      <formula1>IF(sizing_w22_nsxt_model="Shared",vcf_pnp_result_excluded,table_ssp_sizes)</formula1>
    </dataValidation>
    <dataValidation type="list" allowBlank="1" showInputMessage="1" showErrorMessage="1" sqref="X66" xr:uid="{9F3B38D4-9B39-FE4C-B905-845F0C1E7098}">
      <formula1>IF(sizing_w23_nsxt_model="Shared",vcf_pnp_result_excluded,table_ssp_sizes)</formula1>
    </dataValidation>
    <dataValidation type="list" allowBlank="1" showInputMessage="1" showErrorMessage="1" sqref="R13" xr:uid="{0946D42E-9096-CE4F-B282-8EEC98399D0B}">
      <formula1>"vSAN-ESA,vSAN-OSA,NFS,FC"</formula1>
    </dataValidation>
    <dataValidation type="list" allowBlank="1" showInputMessage="1" showErrorMessage="1" sqref="E22" xr:uid="{054DE2F5-B8A7-1B42-9719-E0174893779F}">
      <formula1>IF(sizing_vcf_deployment_model_chosen="Simple",sizing_vcf_deployment_model_small,sizing_vcf_deployment_model)</formula1>
    </dataValidation>
    <dataValidation type="list" allowBlank="1" showInputMessage="1" showErrorMessage="1" sqref="E26" xr:uid="{1AE2973F-D078-F64F-AA5B-4A43BB746B51}">
      <formula1>IF(sizing_vcfops_logs_chosen="Small",sizing_log_replicas_small, IF(sizing_vcfops_logs_chosen="Medium",sizing_log_replicas_medium, IF(sizing_vcfops_logs_chosen="Large",sizing_log_replicas_medium,vcf_pnp_result_exclude )))</formula1>
    </dataValidation>
    <dataValidation type="list" allowBlank="1" showInputMessage="1" showErrorMessage="1" sqref="E20" xr:uid="{F959AA3C-1137-734F-AF84-6423FA1C6358}">
      <formula1>"First Instance,Additional Instance"</formula1>
    </dataValidation>
    <dataValidation type="list" allowBlank="1" showInputMessage="1" showErrorMessage="1" sqref="X44" xr:uid="{08E9824D-D6DA-FD48-AFF6-E315D183B76E}">
      <formula1>IF(sizing_w01_nsxt_model="Shared",vcf_pnp_result_excluded,table_ssp_sizes)</formula1>
    </dataValidation>
    <dataValidation type="list" allowBlank="1" showInputMessage="1" showErrorMessage="1" sqref="R29" xr:uid="{B8B5B6B6-0821-634B-B6E9-FC02F27CC25E}">
      <formula1>"Exclude,HA Cluster,Single Node"</formula1>
    </dataValidation>
    <dataValidation type="list" allowBlank="1" showInputMessage="1" showErrorMessage="1" sqref="R30" xr:uid="{A6DF3FF9-5D10-0844-ACEE-5209EB51EF38}">
      <formula1>"Exclude,Extra Small, Small, Medium, Large, Extra Large"</formula1>
    </dataValidation>
    <dataValidation type="list" allowBlank="1" showInputMessage="1" showErrorMessage="1" sqref="R24" xr:uid="{66C9AA2C-1961-AF41-BD28-D8DF9274C0C4}">
      <formula1>"Selected,Unselected"</formula1>
    </dataValidation>
    <dataValidation type="list" allowBlank="1" showInputMessage="1" showErrorMessage="1" sqref="R27" xr:uid="{46C9D1C6-D4C0-E34E-9940-8529866C9C29}">
      <formula1>"Mandatory - Single Node,Mandatory - HA Cluster"</formula1>
    </dataValidation>
    <dataValidation type="list" allowBlank="1" showInputMessage="1" showErrorMessage="1" sqref="R31" xr:uid="{BCA2E0AB-0B3D-E647-B5C5-266AFB281634}">
      <formula1>"Exclude,Small,Standard"</formula1>
    </dataValidation>
    <dataValidation type="list" allowBlank="1" showInputMessage="1" showErrorMessage="1" sqref="R28" xr:uid="{8F52F039-0A0B-4F4F-A247-1AF549E4157C}">
      <formula1>"Medium,Large,XLarge"</formula1>
    </dataValidation>
    <dataValidation type="list" allowBlank="1" showInputMessage="1" showErrorMessage="1" sqref="E15" xr:uid="{78E25CB1-4D88-F244-922E-CBC5E9ED87B4}">
      <formula1>"1,2,3,4"</formula1>
    </dataValidation>
    <dataValidation type="list" allowBlank="1" showInputMessage="1" showErrorMessage="1" sqref="E31 E33:E34" xr:uid="{07DB0E0F-5CB1-2142-BA18-E90028772CF0}">
      <formula1>"Exclude,Include,Existing"</formula1>
    </dataValidation>
    <dataValidation type="list" allowBlank="1" showInputMessage="1" showErrorMessage="1" sqref="P40" xr:uid="{F6B346F2-38E2-0A47-87F1-E9AC84F76913}">
      <formula1>"Tiny,Small,Medium,Large,Xlarge"</formula1>
    </dataValidation>
    <dataValidation type="list" allowBlank="1" showInputMessage="1" showErrorMessage="1" sqref="O40" xr:uid="{6983E0ED-F8FA-6349-952E-17CF82B48C5B}">
      <formula1>"Excluded,High Availability,Single Node"</formula1>
    </dataValidation>
    <dataValidation type="list" allowBlank="1" showInputMessage="1" showErrorMessage="1" sqref="E35" xr:uid="{AC6C7726-17F5-F14F-A195-372DD24D1554}">
      <formula1>"Exclude,Small,Medium,Large,XL,XXL"</formula1>
    </dataValidation>
    <dataValidation type="list" allowBlank="1" showInputMessage="1" showErrorMessage="1" sqref="R32:S32" xr:uid="{D058F0AA-6B05-9F48-8223-C1CCC20840BB}">
      <formula1>"Exclude,Small,Medium,Large,"</formula1>
    </dataValidation>
  </dataValidations>
  <hyperlinks>
    <hyperlink ref="E82" r:id="rId1" xr:uid="{00000000-0004-0000-0200-000000000000}"/>
    <hyperlink ref="E83" r:id="rId2" xr:uid="{00000000-0004-0000-0200-000001000000}"/>
  </hyperlinks>
  <pageMargins left="0.7" right="0.7" top="0.75" bottom="0.75" header="0.3" footer="0.3"/>
  <pageSetup paperSize="9" orientation="portrait" horizontalDpi="0" verticalDpi="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9A17-4D38-9546-888C-004E4A58E20B}">
  <sheetPr codeName="Sheet11">
    <tabColor theme="3"/>
  </sheetPr>
  <dimension ref="A1:U696"/>
  <sheetViews>
    <sheetView showGridLines="0" topLeftCell="B1" zoomScaleNormal="100" workbookViewId="0">
      <pane ySplit="4" topLeftCell="A371" activePane="bottomLeft" state="frozen"/>
      <selection pane="bottomLeft" activeCell="D390" sqref="D390"/>
    </sheetView>
  </sheetViews>
  <sheetFormatPr baseColWidth="10" defaultColWidth="10.83203125" defaultRowHeight="16" x14ac:dyDescent="0.2"/>
  <cols>
    <col min="1" max="1" width="2.83203125" style="2" customWidth="1"/>
    <col min="2" max="2" width="51" style="2" customWidth="1"/>
    <col min="3" max="3" width="34.33203125" style="2" bestFit="1" customWidth="1"/>
    <col min="4" max="4" width="24.1640625" style="11" bestFit="1" customWidth="1"/>
    <col min="5" max="5" width="28.83203125" style="3" customWidth="1"/>
    <col min="6" max="6" width="23.5" style="2" bestFit="1" customWidth="1"/>
    <col min="7" max="7" width="29.5" style="2" bestFit="1" customWidth="1"/>
    <col min="8" max="8" width="44.33203125" style="2" bestFit="1" customWidth="1"/>
    <col min="9" max="9" width="39.83203125" style="2" bestFit="1" customWidth="1"/>
    <col min="10" max="10" width="23" style="2" bestFit="1" customWidth="1"/>
    <col min="11" max="11" width="26.1640625" style="2" bestFit="1" customWidth="1"/>
    <col min="12" max="21" width="22.83203125" style="2" customWidth="1"/>
    <col min="22" max="24" width="10.83203125" style="2" customWidth="1"/>
    <col min="25" max="16384" width="10.83203125" style="2"/>
  </cols>
  <sheetData>
    <row r="1" spans="1:21" ht="16" customHeight="1" x14ac:dyDescent="0.2">
      <c r="A1" s="2" t="s">
        <v>815</v>
      </c>
      <c r="D1" s="2"/>
      <c r="E1" s="2"/>
    </row>
    <row r="2" spans="1:21" ht="54" customHeight="1" x14ac:dyDescent="0.2">
      <c r="B2" s="499" t="s">
        <v>1911</v>
      </c>
      <c r="C2" s="499"/>
      <c r="D2" s="499"/>
      <c r="E2" s="499"/>
      <c r="F2" s="499"/>
      <c r="G2" s="499"/>
      <c r="H2" s="499"/>
      <c r="I2" s="499"/>
      <c r="J2" s="499"/>
      <c r="K2" s="499"/>
      <c r="L2" s="499"/>
      <c r="M2" s="499"/>
      <c r="N2" s="499"/>
      <c r="O2" s="499"/>
      <c r="P2" s="499"/>
      <c r="Q2" s="499"/>
      <c r="R2" s="499"/>
      <c r="S2" s="499"/>
      <c r="T2" s="499"/>
      <c r="U2" s="499"/>
    </row>
    <row r="3" spans="1:21" ht="20" customHeight="1" x14ac:dyDescent="0.2">
      <c r="B3" s="429" t="s">
        <v>1912</v>
      </c>
      <c r="C3" s="429"/>
      <c r="D3" s="429"/>
      <c r="E3" s="429"/>
      <c r="F3" s="429"/>
      <c r="G3" s="429"/>
      <c r="H3" s="429"/>
      <c r="I3" s="429"/>
      <c r="J3" s="429"/>
      <c r="K3" s="429"/>
      <c r="L3" s="429"/>
      <c r="M3" s="429"/>
      <c r="N3" s="429"/>
      <c r="O3" s="429"/>
      <c r="P3" s="429"/>
      <c r="Q3" s="429"/>
      <c r="R3" s="429"/>
      <c r="S3" s="429"/>
      <c r="T3" s="429"/>
      <c r="U3" s="429"/>
    </row>
    <row r="6" spans="1:21" s="125" customFormat="1" ht="34" customHeight="1" x14ac:dyDescent="0.2">
      <c r="B6" s="498" t="s">
        <v>1913</v>
      </c>
      <c r="C6" s="498"/>
      <c r="D6" s="11"/>
      <c r="E6" s="226" t="s">
        <v>1914</v>
      </c>
      <c r="F6" s="2"/>
      <c r="L6" s="502"/>
      <c r="M6" s="503"/>
      <c r="N6" s="503"/>
      <c r="O6" s="503"/>
      <c r="P6" s="504"/>
    </row>
    <row r="7" spans="1:21" ht="20" customHeight="1" x14ac:dyDescent="0.2">
      <c r="B7" s="199" t="s">
        <v>1915</v>
      </c>
      <c r="C7" s="199" t="s">
        <v>1020</v>
      </c>
      <c r="E7" s="8" t="s">
        <v>176</v>
      </c>
      <c r="F7" s="2" t="s">
        <v>176</v>
      </c>
      <c r="L7" s="505"/>
      <c r="M7" s="508"/>
      <c r="N7" s="509"/>
      <c r="O7" s="509"/>
      <c r="P7" s="510"/>
    </row>
    <row r="8" spans="1:21" ht="20" customHeight="1" x14ac:dyDescent="0.2">
      <c r="B8" s="227" t="s">
        <v>1916</v>
      </c>
      <c r="C8" s="227" t="s">
        <v>1917</v>
      </c>
      <c r="E8" s="8" t="s">
        <v>13</v>
      </c>
      <c r="F8" s="2" t="s">
        <v>1918</v>
      </c>
      <c r="L8" s="506"/>
      <c r="M8" s="511"/>
      <c r="N8" s="512"/>
      <c r="O8" s="512"/>
      <c r="P8" s="513"/>
    </row>
    <row r="9" spans="1:21" ht="17" x14ac:dyDescent="0.2">
      <c r="B9" s="227" t="s">
        <v>1916</v>
      </c>
      <c r="C9" s="227" t="s">
        <v>529</v>
      </c>
      <c r="L9" s="506"/>
      <c r="M9" s="511"/>
      <c r="N9" s="512"/>
      <c r="O9" s="512"/>
      <c r="P9" s="513"/>
    </row>
    <row r="10" spans="1:21" ht="17" x14ac:dyDescent="0.2">
      <c r="B10" s="227" t="s">
        <v>1916</v>
      </c>
      <c r="C10" s="227" t="s">
        <v>92</v>
      </c>
      <c r="E10" s="226" t="s">
        <v>1919</v>
      </c>
      <c r="F10" s="226" t="s">
        <v>1920</v>
      </c>
      <c r="G10" s="226" t="s">
        <v>1921</v>
      </c>
      <c r="H10" s="226" t="s">
        <v>1922</v>
      </c>
      <c r="I10" s="226" t="s">
        <v>3135</v>
      </c>
      <c r="L10" s="506"/>
      <c r="M10" s="511"/>
      <c r="N10" s="512"/>
      <c r="O10" s="512"/>
      <c r="P10" s="513"/>
    </row>
    <row r="11" spans="1:21" ht="17" x14ac:dyDescent="0.2">
      <c r="B11" s="227" t="s">
        <v>1916</v>
      </c>
      <c r="C11" s="227" t="s">
        <v>639</v>
      </c>
      <c r="E11" s="26" t="s">
        <v>1923</v>
      </c>
      <c r="F11" s="26" t="s">
        <v>1921</v>
      </c>
      <c r="G11" s="26" t="s">
        <v>1924</v>
      </c>
      <c r="H11" s="42" t="s">
        <v>1925</v>
      </c>
      <c r="I11" s="42" t="s">
        <v>3082</v>
      </c>
      <c r="L11" s="506"/>
      <c r="M11" s="511"/>
      <c r="N11" s="512"/>
      <c r="O11" s="512"/>
      <c r="P11" s="513"/>
    </row>
    <row r="12" spans="1:21" ht="17" x14ac:dyDescent="0.2">
      <c r="B12" s="227" t="s">
        <v>1916</v>
      </c>
      <c r="C12" s="227" t="s">
        <v>3070</v>
      </c>
      <c r="E12" s="26" t="s">
        <v>100</v>
      </c>
      <c r="F12" s="26" t="s">
        <v>1922</v>
      </c>
      <c r="G12" s="26" t="s">
        <v>3381</v>
      </c>
      <c r="H12" s="42" t="s">
        <v>3381</v>
      </c>
      <c r="L12" s="506"/>
      <c r="M12" s="511"/>
      <c r="N12" s="512"/>
      <c r="O12" s="512"/>
      <c r="P12" s="513"/>
    </row>
    <row r="13" spans="1:21" ht="17" x14ac:dyDescent="0.2">
      <c r="B13" s="227" t="s">
        <v>1927</v>
      </c>
      <c r="C13" s="227" t="s">
        <v>724</v>
      </c>
      <c r="G13" s="26" t="s">
        <v>1928</v>
      </c>
      <c r="H13" s="42" t="s">
        <v>1928</v>
      </c>
      <c r="L13" s="506"/>
      <c r="M13" s="511"/>
      <c r="N13" s="512"/>
      <c r="O13" s="512"/>
      <c r="P13" s="513"/>
    </row>
    <row r="14" spans="1:21" ht="17" x14ac:dyDescent="0.2">
      <c r="B14" s="227" t="s">
        <v>1927</v>
      </c>
      <c r="C14" s="227" t="s">
        <v>639</v>
      </c>
      <c r="E14" s="229" t="s">
        <v>1058</v>
      </c>
      <c r="G14" s="26" t="s">
        <v>3143</v>
      </c>
      <c r="H14" s="42" t="s">
        <v>3143</v>
      </c>
      <c r="L14" s="506"/>
      <c r="M14" s="511"/>
      <c r="N14" s="512"/>
      <c r="O14" s="512"/>
      <c r="P14" s="513"/>
    </row>
    <row r="15" spans="1:21" ht="17" x14ac:dyDescent="0.2">
      <c r="B15" s="227" t="s">
        <v>1927</v>
      </c>
      <c r="C15" s="227" t="s">
        <v>3070</v>
      </c>
      <c r="E15" s="26" t="s">
        <v>1930</v>
      </c>
      <c r="L15" s="506"/>
      <c r="M15" s="511"/>
      <c r="N15" s="512"/>
      <c r="O15" s="512"/>
      <c r="P15" s="513"/>
    </row>
    <row r="16" spans="1:21" ht="17" x14ac:dyDescent="0.2">
      <c r="B16" s="227" t="s">
        <v>1932</v>
      </c>
      <c r="C16" s="227" t="s">
        <v>1933</v>
      </c>
      <c r="E16" s="26" t="s">
        <v>1934</v>
      </c>
      <c r="L16" s="506"/>
      <c r="M16" s="511"/>
      <c r="N16" s="512"/>
      <c r="O16" s="512"/>
      <c r="P16" s="513"/>
    </row>
    <row r="17" spans="2:16" ht="17" x14ac:dyDescent="0.2">
      <c r="B17" s="227" t="s">
        <v>1932</v>
      </c>
      <c r="C17" s="227" t="s">
        <v>529</v>
      </c>
      <c r="E17" s="26" t="s">
        <v>1935</v>
      </c>
      <c r="L17" s="506"/>
      <c r="M17" s="511"/>
      <c r="N17" s="512"/>
      <c r="O17" s="512"/>
      <c r="P17" s="513"/>
    </row>
    <row r="18" spans="2:16" ht="17" x14ac:dyDescent="0.2">
      <c r="B18" s="227" t="s">
        <v>1932</v>
      </c>
      <c r="C18" s="227" t="s">
        <v>92</v>
      </c>
      <c r="E18" s="26" t="s">
        <v>634</v>
      </c>
      <c r="L18" s="506"/>
      <c r="M18" s="511"/>
      <c r="N18" s="512"/>
      <c r="O18" s="512"/>
      <c r="P18" s="513"/>
    </row>
    <row r="19" spans="2:16" ht="17" x14ac:dyDescent="0.2">
      <c r="B19" s="227" t="s">
        <v>1932</v>
      </c>
      <c r="C19" s="227" t="s">
        <v>639</v>
      </c>
      <c r="E19" s="26" t="s">
        <v>1931</v>
      </c>
      <c r="L19" s="506"/>
      <c r="M19" s="511"/>
      <c r="N19" s="512"/>
      <c r="O19" s="512"/>
      <c r="P19" s="513"/>
    </row>
    <row r="20" spans="2:16" ht="17" x14ac:dyDescent="0.2">
      <c r="B20" s="227" t="s">
        <v>1932</v>
      </c>
      <c r="C20" s="227" t="s">
        <v>3070</v>
      </c>
      <c r="L20" s="506"/>
      <c r="M20" s="511"/>
      <c r="N20" s="512"/>
      <c r="O20" s="512"/>
      <c r="P20" s="513"/>
    </row>
    <row r="21" spans="2:16" ht="17" x14ac:dyDescent="0.2">
      <c r="B21" s="227" t="s">
        <v>1936</v>
      </c>
      <c r="C21" s="227" t="s">
        <v>1918</v>
      </c>
      <c r="E21" s="226" t="s">
        <v>1058</v>
      </c>
      <c r="L21" s="506"/>
      <c r="M21" s="511"/>
      <c r="N21" s="512"/>
      <c r="O21" s="512"/>
      <c r="P21" s="513"/>
    </row>
    <row r="22" spans="2:16" ht="17" x14ac:dyDescent="0.2">
      <c r="B22" s="227" t="s">
        <v>1936</v>
      </c>
      <c r="C22" s="227" t="s">
        <v>3411</v>
      </c>
      <c r="E22" s="26" t="s">
        <v>1934</v>
      </c>
      <c r="L22" s="506"/>
      <c r="M22" s="511"/>
      <c r="N22" s="512"/>
      <c r="O22" s="512"/>
      <c r="P22" s="513"/>
    </row>
    <row r="23" spans="2:16" ht="17" x14ac:dyDescent="0.2">
      <c r="B23" s="227" t="s">
        <v>1936</v>
      </c>
      <c r="C23" s="227" t="s">
        <v>3412</v>
      </c>
      <c r="E23" s="26" t="s">
        <v>1930</v>
      </c>
      <c r="L23" s="506"/>
      <c r="M23" s="511"/>
      <c r="N23" s="512"/>
      <c r="O23" s="512"/>
      <c r="P23" s="513"/>
    </row>
    <row r="24" spans="2:16" ht="17" x14ac:dyDescent="0.2">
      <c r="B24" s="227" t="s">
        <v>1936</v>
      </c>
      <c r="C24" s="227" t="s">
        <v>3413</v>
      </c>
      <c r="E24" s="26" t="s">
        <v>634</v>
      </c>
      <c r="L24" s="506"/>
      <c r="M24" s="511"/>
      <c r="N24" s="512"/>
      <c r="O24" s="512"/>
      <c r="P24" s="513"/>
    </row>
    <row r="25" spans="2:16" ht="20" customHeight="1" x14ac:dyDescent="0.2">
      <c r="B25" s="227" t="s">
        <v>1936</v>
      </c>
      <c r="C25" s="227" t="s">
        <v>3414</v>
      </c>
      <c r="F25" s="519"/>
      <c r="G25" s="519"/>
      <c r="L25" s="506"/>
      <c r="M25" s="511"/>
      <c r="N25" s="512"/>
      <c r="O25" s="512"/>
      <c r="P25" s="513"/>
    </row>
    <row r="26" spans="2:16" ht="20" customHeight="1" x14ac:dyDescent="0.2">
      <c r="B26" s="227" t="s">
        <v>1936</v>
      </c>
      <c r="C26" s="227" t="s">
        <v>3415</v>
      </c>
      <c r="F26" s="363"/>
      <c r="G26" s="363"/>
      <c r="L26" s="506"/>
      <c r="M26" s="511"/>
      <c r="N26" s="512"/>
      <c r="O26" s="512"/>
      <c r="P26" s="513"/>
    </row>
    <row r="27" spans="2:16" ht="20" customHeight="1" x14ac:dyDescent="0.2">
      <c r="B27" s="227" t="s">
        <v>1936</v>
      </c>
      <c r="C27" s="227" t="s">
        <v>3416</v>
      </c>
      <c r="F27" s="363"/>
      <c r="G27" s="363"/>
      <c r="L27" s="506"/>
      <c r="M27" s="511"/>
      <c r="N27" s="512"/>
      <c r="O27" s="512"/>
      <c r="P27" s="513"/>
    </row>
    <row r="28" spans="2:16" ht="20" customHeight="1" x14ac:dyDescent="0.2">
      <c r="B28" s="227" t="s">
        <v>1936</v>
      </c>
      <c r="C28" s="227" t="s">
        <v>3417</v>
      </c>
      <c r="F28" s="363"/>
      <c r="G28" s="363"/>
      <c r="L28" s="506"/>
      <c r="M28" s="511"/>
      <c r="N28" s="512"/>
      <c r="O28" s="512"/>
      <c r="P28" s="513"/>
    </row>
    <row r="29" spans="2:16" ht="20" customHeight="1" x14ac:dyDescent="0.2">
      <c r="B29" s="227" t="s">
        <v>1936</v>
      </c>
      <c r="C29" s="227" t="s">
        <v>3418</v>
      </c>
      <c r="F29" s="363"/>
      <c r="G29" s="363"/>
      <c r="L29" s="506"/>
      <c r="M29" s="511"/>
      <c r="N29" s="512"/>
      <c r="O29" s="512"/>
      <c r="P29" s="513"/>
    </row>
    <row r="30" spans="2:16" x14ac:dyDescent="0.2">
      <c r="B30" s="228"/>
      <c r="C30" s="228"/>
      <c r="D30" s="3"/>
      <c r="L30" s="506"/>
      <c r="M30" s="511"/>
      <c r="N30" s="512"/>
      <c r="O30" s="512"/>
      <c r="P30" s="513"/>
    </row>
    <row r="31" spans="2:16" ht="18" x14ac:dyDescent="0.2">
      <c r="B31" s="500" t="s">
        <v>1940</v>
      </c>
      <c r="C31" s="501"/>
      <c r="D31" s="3"/>
      <c r="L31" s="506"/>
      <c r="M31" s="511"/>
      <c r="N31" s="512"/>
      <c r="O31" s="512"/>
      <c r="P31" s="513"/>
    </row>
    <row r="32" spans="2:16" ht="17" x14ac:dyDescent="0.2">
      <c r="B32" s="226" t="s">
        <v>1377</v>
      </c>
      <c r="C32" s="199" t="s">
        <v>1020</v>
      </c>
      <c r="D32" s="3"/>
      <c r="L32" s="506"/>
      <c r="M32" s="511"/>
      <c r="N32" s="512"/>
      <c r="O32" s="512"/>
      <c r="P32" s="513"/>
    </row>
    <row r="33" spans="2:16" ht="17" x14ac:dyDescent="0.2">
      <c r="B33" s="26" t="s">
        <v>1943</v>
      </c>
      <c r="C33" s="8">
        <v>4</v>
      </c>
      <c r="D33" s="3"/>
      <c r="L33" s="506"/>
      <c r="M33" s="511"/>
      <c r="N33" s="512"/>
      <c r="O33" s="512"/>
      <c r="P33" s="513"/>
    </row>
    <row r="34" spans="2:16" ht="17" x14ac:dyDescent="0.2">
      <c r="B34" s="26" t="s">
        <v>1945</v>
      </c>
      <c r="C34" s="8">
        <v>16</v>
      </c>
      <c r="D34" s="3"/>
      <c r="L34" s="506"/>
      <c r="M34" s="511"/>
      <c r="N34" s="512"/>
      <c r="O34" s="512"/>
      <c r="P34" s="513"/>
    </row>
    <row r="35" spans="2:16" ht="17" x14ac:dyDescent="0.2">
      <c r="B35" s="26" t="s">
        <v>1947</v>
      </c>
      <c r="C35" s="8">
        <v>914</v>
      </c>
      <c r="D35" s="3"/>
      <c r="L35" s="506"/>
      <c r="M35" s="511"/>
      <c r="N35" s="512"/>
      <c r="O35" s="512"/>
      <c r="P35" s="513"/>
    </row>
    <row r="36" spans="2:16" ht="17" x14ac:dyDescent="0.2">
      <c r="B36" s="199" t="s">
        <v>1948</v>
      </c>
      <c r="C36" s="199" t="s">
        <v>1020</v>
      </c>
      <c r="D36" s="3"/>
      <c r="L36" s="506"/>
      <c r="M36" s="511"/>
      <c r="N36" s="512"/>
      <c r="O36" s="512"/>
      <c r="P36" s="513"/>
    </row>
    <row r="37" spans="2:16" ht="17" x14ac:dyDescent="0.2">
      <c r="B37" s="26" t="s">
        <v>1917</v>
      </c>
      <c r="C37" s="26">
        <v>2</v>
      </c>
      <c r="D37" s="3"/>
      <c r="L37" s="506"/>
      <c r="M37" s="511"/>
      <c r="N37" s="512"/>
      <c r="O37" s="512"/>
      <c r="P37" s="513"/>
    </row>
    <row r="38" spans="2:16" ht="17" x14ac:dyDescent="0.2">
      <c r="B38" s="26" t="s">
        <v>529</v>
      </c>
      <c r="C38" s="26">
        <v>4</v>
      </c>
      <c r="D38" s="3"/>
      <c r="L38" s="506"/>
      <c r="M38" s="511"/>
      <c r="N38" s="512"/>
      <c r="O38" s="512"/>
      <c r="P38" s="513"/>
    </row>
    <row r="39" spans="2:16" ht="17" x14ac:dyDescent="0.2">
      <c r="B39" s="26" t="s">
        <v>92</v>
      </c>
      <c r="C39" s="26">
        <v>8</v>
      </c>
      <c r="D39" s="3"/>
      <c r="L39" s="506"/>
      <c r="M39" s="511"/>
      <c r="N39" s="512"/>
      <c r="O39" s="512"/>
      <c r="P39" s="513"/>
    </row>
    <row r="40" spans="2:16" ht="17" x14ac:dyDescent="0.2">
      <c r="B40" s="26" t="s">
        <v>639</v>
      </c>
      <c r="C40" s="26">
        <v>16</v>
      </c>
      <c r="D40" s="3"/>
      <c r="L40" s="506"/>
      <c r="M40" s="511"/>
      <c r="N40" s="512"/>
      <c r="O40" s="512"/>
      <c r="P40" s="513"/>
    </row>
    <row r="41" spans="2:16" ht="17" x14ac:dyDescent="0.2">
      <c r="B41" s="26" t="s">
        <v>3070</v>
      </c>
      <c r="C41" s="26">
        <v>24</v>
      </c>
      <c r="D41" s="3"/>
      <c r="L41" s="506"/>
      <c r="M41" s="511"/>
      <c r="N41" s="512"/>
      <c r="O41" s="512"/>
      <c r="P41" s="513"/>
    </row>
    <row r="42" spans="2:16" ht="17" x14ac:dyDescent="0.2">
      <c r="B42" s="199" t="s">
        <v>1955</v>
      </c>
      <c r="C42" s="199" t="s">
        <v>1020</v>
      </c>
      <c r="L42" s="506"/>
      <c r="M42" s="511"/>
      <c r="N42" s="512"/>
      <c r="O42" s="512"/>
      <c r="P42" s="513"/>
    </row>
    <row r="43" spans="2:16" ht="17" x14ac:dyDescent="0.2">
      <c r="B43" s="26" t="s">
        <v>1917</v>
      </c>
      <c r="C43" s="26">
        <v>14</v>
      </c>
      <c r="L43" s="506"/>
      <c r="M43" s="511"/>
      <c r="N43" s="512"/>
      <c r="O43" s="512"/>
      <c r="P43" s="513"/>
    </row>
    <row r="44" spans="2:16" ht="17" x14ac:dyDescent="0.2">
      <c r="B44" s="26" t="s">
        <v>529</v>
      </c>
      <c r="C44" s="26">
        <v>21</v>
      </c>
      <c r="L44" s="506"/>
      <c r="M44" s="511"/>
      <c r="N44" s="512"/>
      <c r="O44" s="512"/>
      <c r="P44" s="513"/>
    </row>
    <row r="45" spans="2:16" ht="17" x14ac:dyDescent="0.2">
      <c r="B45" s="26" t="s">
        <v>92</v>
      </c>
      <c r="C45" s="26">
        <v>30</v>
      </c>
      <c r="L45" s="506"/>
      <c r="M45" s="511"/>
      <c r="N45" s="512"/>
      <c r="O45" s="512"/>
      <c r="P45" s="513"/>
    </row>
    <row r="46" spans="2:16" ht="17" x14ac:dyDescent="0.2">
      <c r="B46" s="26" t="s">
        <v>639</v>
      </c>
      <c r="C46" s="26">
        <v>39</v>
      </c>
      <c r="L46" s="506"/>
      <c r="M46" s="511"/>
      <c r="N46" s="512"/>
      <c r="O46" s="512"/>
      <c r="P46" s="513"/>
    </row>
    <row r="47" spans="2:16" ht="17" x14ac:dyDescent="0.2">
      <c r="B47" s="26" t="s">
        <v>3070</v>
      </c>
      <c r="C47" s="26">
        <v>58</v>
      </c>
      <c r="L47" s="506"/>
      <c r="M47" s="511"/>
      <c r="N47" s="512"/>
      <c r="O47" s="512"/>
      <c r="P47" s="513"/>
    </row>
    <row r="48" spans="2:16" ht="17" x14ac:dyDescent="0.2">
      <c r="B48" s="199" t="s">
        <v>1960</v>
      </c>
      <c r="C48" s="199" t="s">
        <v>1020</v>
      </c>
      <c r="L48" s="506"/>
      <c r="M48" s="511"/>
      <c r="N48" s="512"/>
      <c r="O48" s="512"/>
      <c r="P48" s="513"/>
    </row>
    <row r="49" spans="2:16" ht="17" x14ac:dyDescent="0.2">
      <c r="B49" s="26" t="s">
        <v>1963</v>
      </c>
      <c r="C49" s="26">
        <v>619</v>
      </c>
      <c r="L49" s="506"/>
      <c r="M49" s="511"/>
      <c r="N49" s="512"/>
      <c r="O49" s="512"/>
      <c r="P49" s="513"/>
    </row>
    <row r="50" spans="2:16" ht="17" x14ac:dyDescent="0.2">
      <c r="B50" s="26" t="s">
        <v>1966</v>
      </c>
      <c r="C50" s="26">
        <v>2059</v>
      </c>
      <c r="L50" s="506"/>
      <c r="M50" s="511"/>
      <c r="N50" s="512"/>
      <c r="O50" s="512"/>
      <c r="P50" s="513"/>
    </row>
    <row r="51" spans="2:16" ht="17" x14ac:dyDescent="0.2">
      <c r="B51" s="26" t="s">
        <v>3071</v>
      </c>
      <c r="C51" s="26">
        <v>4319</v>
      </c>
      <c r="L51" s="506"/>
      <c r="M51" s="511"/>
      <c r="N51" s="512"/>
      <c r="O51" s="512"/>
      <c r="P51" s="513"/>
    </row>
    <row r="52" spans="2:16" ht="17" x14ac:dyDescent="0.2">
      <c r="B52" s="26" t="s">
        <v>3523</v>
      </c>
      <c r="C52" s="26">
        <v>2059</v>
      </c>
      <c r="L52" s="506"/>
      <c r="M52" s="511"/>
      <c r="N52" s="512"/>
      <c r="O52" s="512"/>
      <c r="P52" s="513"/>
    </row>
    <row r="53" spans="2:16" ht="17" x14ac:dyDescent="0.2">
      <c r="B53" s="26" t="s">
        <v>3522</v>
      </c>
      <c r="C53" s="399">
        <v>4319</v>
      </c>
      <c r="L53" s="506"/>
      <c r="M53" s="511"/>
      <c r="N53" s="512"/>
      <c r="O53" s="512"/>
      <c r="P53" s="513"/>
    </row>
    <row r="54" spans="2:16" ht="17" x14ac:dyDescent="0.2">
      <c r="B54" s="26" t="s">
        <v>1968</v>
      </c>
      <c r="C54" s="26">
        <v>734</v>
      </c>
      <c r="L54" s="506"/>
      <c r="M54" s="511"/>
      <c r="N54" s="512"/>
      <c r="O54" s="512"/>
      <c r="P54" s="513"/>
    </row>
    <row r="55" spans="2:16" ht="17" x14ac:dyDescent="0.2">
      <c r="B55" s="26" t="s">
        <v>1969</v>
      </c>
      <c r="C55" s="26">
        <v>2084</v>
      </c>
      <c r="L55" s="506"/>
      <c r="M55" s="511"/>
      <c r="N55" s="512"/>
      <c r="O55" s="512"/>
      <c r="P55" s="513"/>
    </row>
    <row r="56" spans="2:16" ht="17" x14ac:dyDescent="0.2">
      <c r="B56" s="26" t="s">
        <v>3072</v>
      </c>
      <c r="C56" s="26">
        <v>4344</v>
      </c>
      <c r="L56" s="506"/>
      <c r="M56" s="511"/>
      <c r="N56" s="512"/>
      <c r="O56" s="512"/>
      <c r="P56" s="513"/>
    </row>
    <row r="57" spans="2:16" ht="17" x14ac:dyDescent="0.2">
      <c r="B57" s="26" t="s">
        <v>3514</v>
      </c>
      <c r="C57" s="26">
        <v>2084</v>
      </c>
      <c r="L57" s="506"/>
      <c r="M57" s="511"/>
      <c r="N57" s="512"/>
      <c r="O57" s="512"/>
      <c r="P57" s="513"/>
    </row>
    <row r="58" spans="2:16" ht="17" x14ac:dyDescent="0.2">
      <c r="B58" s="26" t="s">
        <v>3515</v>
      </c>
      <c r="C58" s="399">
        <v>4344</v>
      </c>
      <c r="L58" s="506"/>
      <c r="M58" s="511"/>
      <c r="N58" s="512"/>
      <c r="O58" s="512"/>
      <c r="P58" s="513"/>
    </row>
    <row r="59" spans="2:16" ht="17" x14ac:dyDescent="0.2">
      <c r="B59" s="26" t="s">
        <v>1970</v>
      </c>
      <c r="C59" s="26">
        <v>933</v>
      </c>
      <c r="L59" s="506"/>
      <c r="M59" s="511"/>
      <c r="N59" s="512"/>
      <c r="O59" s="512"/>
      <c r="P59" s="513"/>
    </row>
    <row r="60" spans="2:16" ht="17" x14ac:dyDescent="0.2">
      <c r="B60" s="26" t="s">
        <v>1971</v>
      </c>
      <c r="C60" s="26">
        <v>2233</v>
      </c>
      <c r="L60" s="506"/>
      <c r="M60" s="511"/>
      <c r="N60" s="512"/>
      <c r="O60" s="512"/>
      <c r="P60" s="513"/>
    </row>
    <row r="61" spans="2:16" ht="17" x14ac:dyDescent="0.2">
      <c r="B61" s="26" t="s">
        <v>3073</v>
      </c>
      <c r="C61" s="26">
        <v>4493</v>
      </c>
      <c r="L61" s="506"/>
      <c r="M61" s="511"/>
      <c r="N61" s="512"/>
      <c r="O61" s="512"/>
      <c r="P61" s="513"/>
    </row>
    <row r="62" spans="2:16" ht="17" x14ac:dyDescent="0.2">
      <c r="B62" s="26" t="s">
        <v>3520</v>
      </c>
      <c r="C62" s="26">
        <v>2233</v>
      </c>
      <c r="L62" s="506"/>
      <c r="M62" s="511"/>
      <c r="N62" s="512"/>
      <c r="O62" s="512"/>
      <c r="P62" s="513"/>
    </row>
    <row r="63" spans="2:16" ht="17" x14ac:dyDescent="0.2">
      <c r="B63" s="26" t="s">
        <v>3521</v>
      </c>
      <c r="C63" s="26">
        <v>4493</v>
      </c>
      <c r="L63" s="506"/>
      <c r="M63" s="511"/>
      <c r="N63" s="512"/>
      <c r="O63" s="512"/>
      <c r="P63" s="513"/>
    </row>
    <row r="64" spans="2:16" ht="17" x14ac:dyDescent="0.2">
      <c r="B64" s="26" t="s">
        <v>1972</v>
      </c>
      <c r="C64" s="26">
        <v>1383</v>
      </c>
      <c r="L64" s="506"/>
      <c r="M64" s="511"/>
      <c r="N64" s="512"/>
      <c r="O64" s="512"/>
      <c r="P64" s="513"/>
    </row>
    <row r="65" spans="2:16" ht="17" x14ac:dyDescent="0.2">
      <c r="B65" s="26" t="s">
        <v>1973</v>
      </c>
      <c r="C65" s="26">
        <v>2283</v>
      </c>
      <c r="L65" s="506"/>
      <c r="M65" s="511"/>
      <c r="N65" s="512"/>
      <c r="O65" s="512"/>
      <c r="P65" s="513"/>
    </row>
    <row r="66" spans="2:16" ht="17" x14ac:dyDescent="0.2">
      <c r="B66" s="26" t="s">
        <v>3517</v>
      </c>
      <c r="C66" s="26">
        <v>2283</v>
      </c>
      <c r="L66" s="506"/>
      <c r="M66" s="511"/>
      <c r="N66" s="512"/>
      <c r="O66" s="512"/>
      <c r="P66" s="513"/>
    </row>
    <row r="67" spans="2:16" ht="17" x14ac:dyDescent="0.2">
      <c r="B67" s="399" t="s">
        <v>3518</v>
      </c>
      <c r="C67" s="26">
        <v>4553</v>
      </c>
      <c r="L67" s="506"/>
      <c r="M67" s="511"/>
      <c r="N67" s="512"/>
      <c r="O67" s="512"/>
      <c r="P67" s="513"/>
    </row>
    <row r="68" spans="2:16" ht="17" x14ac:dyDescent="0.2">
      <c r="B68" s="26" t="s">
        <v>3074</v>
      </c>
      <c r="C68" s="26">
        <v>4543</v>
      </c>
      <c r="L68" s="506"/>
      <c r="M68" s="511"/>
      <c r="N68" s="512"/>
      <c r="O68" s="512"/>
      <c r="P68" s="513"/>
    </row>
    <row r="69" spans="2:16" ht="17" x14ac:dyDescent="0.2">
      <c r="B69" s="26" t="s">
        <v>3075</v>
      </c>
      <c r="C69" s="26">
        <v>2308</v>
      </c>
      <c r="L69" s="506"/>
      <c r="M69" s="511"/>
      <c r="N69" s="512"/>
      <c r="O69" s="512"/>
      <c r="P69" s="513"/>
    </row>
    <row r="70" spans="2:16" ht="17" x14ac:dyDescent="0.2">
      <c r="B70" s="26" t="s">
        <v>3076</v>
      </c>
      <c r="C70" s="26">
        <v>2408</v>
      </c>
      <c r="L70" s="506"/>
      <c r="M70" s="511"/>
      <c r="N70" s="512"/>
      <c r="O70" s="512"/>
      <c r="P70" s="513"/>
    </row>
    <row r="71" spans="2:16" ht="17" x14ac:dyDescent="0.2">
      <c r="B71" s="26" t="s">
        <v>3077</v>
      </c>
      <c r="C71" s="26">
        <v>4668</v>
      </c>
      <c r="L71" s="506"/>
      <c r="M71" s="511"/>
      <c r="N71" s="512"/>
      <c r="O71" s="512"/>
      <c r="P71" s="513"/>
    </row>
    <row r="72" spans="2:16" ht="17" x14ac:dyDescent="0.2">
      <c r="B72" s="26" t="s">
        <v>3516</v>
      </c>
      <c r="C72" s="26">
        <v>2408</v>
      </c>
      <c r="L72" s="506"/>
      <c r="M72" s="511"/>
      <c r="N72" s="512"/>
      <c r="O72" s="512"/>
      <c r="P72" s="513"/>
    </row>
    <row r="73" spans="2:16" ht="17" x14ac:dyDescent="0.2">
      <c r="B73" s="399" t="s">
        <v>3519</v>
      </c>
      <c r="C73" s="26">
        <v>4668</v>
      </c>
      <c r="L73" s="506"/>
      <c r="M73" s="511"/>
      <c r="N73" s="512"/>
      <c r="O73" s="512"/>
      <c r="P73" s="513"/>
    </row>
    <row r="74" spans="2:16" ht="17" x14ac:dyDescent="0.2">
      <c r="B74" s="199" t="s">
        <v>1974</v>
      </c>
      <c r="C74" s="199" t="s">
        <v>1020</v>
      </c>
      <c r="L74" s="506"/>
      <c r="M74" s="511"/>
      <c r="N74" s="512"/>
      <c r="O74" s="512"/>
      <c r="P74" s="513"/>
    </row>
    <row r="75" spans="2:16" ht="17" x14ac:dyDescent="0.2">
      <c r="B75" s="26" t="s">
        <v>1933</v>
      </c>
      <c r="C75" s="26">
        <v>2</v>
      </c>
      <c r="L75" s="506"/>
      <c r="M75" s="511"/>
      <c r="N75" s="512"/>
      <c r="O75" s="512"/>
      <c r="P75" s="513"/>
    </row>
    <row r="76" spans="2:16" ht="17" x14ac:dyDescent="0.2">
      <c r="B76" s="26" t="s">
        <v>529</v>
      </c>
      <c r="C76" s="26">
        <v>4</v>
      </c>
      <c r="L76" s="506"/>
      <c r="M76" s="511"/>
      <c r="N76" s="512"/>
      <c r="O76" s="512"/>
      <c r="P76" s="513"/>
    </row>
    <row r="77" spans="2:16" ht="17" x14ac:dyDescent="0.2">
      <c r="B77" s="26" t="s">
        <v>92</v>
      </c>
      <c r="C77" s="26">
        <v>6</v>
      </c>
      <c r="L77" s="506"/>
      <c r="M77" s="511"/>
      <c r="N77" s="512"/>
      <c r="O77" s="512"/>
      <c r="P77" s="513"/>
    </row>
    <row r="78" spans="2:16" ht="17" x14ac:dyDescent="0.2">
      <c r="B78" s="26" t="s">
        <v>639</v>
      </c>
      <c r="C78" s="26">
        <v>12</v>
      </c>
      <c r="L78" s="506"/>
      <c r="M78" s="511"/>
      <c r="N78" s="512"/>
      <c r="O78" s="512"/>
      <c r="P78" s="513"/>
    </row>
    <row r="79" spans="2:16" ht="17" x14ac:dyDescent="0.2">
      <c r="B79" s="26" t="s">
        <v>3070</v>
      </c>
      <c r="C79" s="26">
        <v>24</v>
      </c>
      <c r="L79" s="506"/>
      <c r="M79" s="511"/>
      <c r="N79" s="512"/>
      <c r="O79" s="512"/>
      <c r="P79" s="513"/>
    </row>
    <row r="80" spans="2:16" ht="17" x14ac:dyDescent="0.2">
      <c r="B80" s="199" t="s">
        <v>1975</v>
      </c>
      <c r="C80" s="199" t="s">
        <v>1020</v>
      </c>
      <c r="L80" s="506"/>
      <c r="M80" s="511"/>
      <c r="N80" s="512"/>
      <c r="O80" s="512"/>
      <c r="P80" s="513"/>
    </row>
    <row r="81" spans="2:16" ht="17" x14ac:dyDescent="0.2">
      <c r="B81" s="26" t="s">
        <v>1933</v>
      </c>
      <c r="C81" s="26">
        <v>8</v>
      </c>
      <c r="L81" s="507"/>
      <c r="M81" s="514"/>
      <c r="N81" s="515"/>
      <c r="O81" s="515"/>
      <c r="P81" s="516"/>
    </row>
    <row r="82" spans="2:16" ht="17" x14ac:dyDescent="0.2">
      <c r="B82" s="26" t="s">
        <v>529</v>
      </c>
      <c r="C82" s="26">
        <v>16</v>
      </c>
    </row>
    <row r="83" spans="2:16" ht="17" x14ac:dyDescent="0.2">
      <c r="B83" s="26" t="s">
        <v>92</v>
      </c>
      <c r="C83" s="26">
        <v>24</v>
      </c>
    </row>
    <row r="84" spans="2:16" ht="17" x14ac:dyDescent="0.2">
      <c r="B84" s="26" t="s">
        <v>639</v>
      </c>
      <c r="C84" s="26">
        <v>48</v>
      </c>
      <c r="D84" s="3"/>
    </row>
    <row r="85" spans="2:16" ht="17" x14ac:dyDescent="0.2">
      <c r="B85" s="26" t="s">
        <v>3070</v>
      </c>
      <c r="C85" s="26">
        <v>96</v>
      </c>
      <c r="D85" s="2"/>
    </row>
    <row r="86" spans="2:16" ht="17" x14ac:dyDescent="0.2">
      <c r="B86" s="199" t="s">
        <v>1976</v>
      </c>
      <c r="C86" s="199" t="s">
        <v>1020</v>
      </c>
      <c r="D86" s="2"/>
    </row>
    <row r="87" spans="2:16" ht="17" x14ac:dyDescent="0.2">
      <c r="B87" s="26" t="s">
        <v>1933</v>
      </c>
      <c r="C87" s="26">
        <v>300</v>
      </c>
    </row>
    <row r="88" spans="2:16" ht="17" x14ac:dyDescent="0.2">
      <c r="B88" s="26" t="s">
        <v>529</v>
      </c>
      <c r="C88" s="26">
        <v>300</v>
      </c>
    </row>
    <row r="89" spans="2:16" ht="17" x14ac:dyDescent="0.2">
      <c r="B89" s="26" t="s">
        <v>92</v>
      </c>
      <c r="C89" s="26">
        <v>300</v>
      </c>
    </row>
    <row r="90" spans="2:16" ht="17" x14ac:dyDescent="0.2">
      <c r="B90" s="26" t="s">
        <v>639</v>
      </c>
      <c r="C90" s="26">
        <v>300</v>
      </c>
    </row>
    <row r="91" spans="2:16" ht="17" x14ac:dyDescent="0.2">
      <c r="B91" s="26" t="s">
        <v>3070</v>
      </c>
      <c r="C91" s="26">
        <v>400</v>
      </c>
    </row>
    <row r="92" spans="2:16" ht="17" x14ac:dyDescent="0.2">
      <c r="B92" s="199" t="s">
        <v>1977</v>
      </c>
      <c r="C92" s="199" t="s">
        <v>1020</v>
      </c>
    </row>
    <row r="93" spans="2:16" ht="17" x14ac:dyDescent="0.2">
      <c r="B93" s="227" t="s">
        <v>3411</v>
      </c>
      <c r="C93" s="26">
        <v>2</v>
      </c>
    </row>
    <row r="94" spans="2:16" ht="17" x14ac:dyDescent="0.2">
      <c r="B94" s="227" t="s">
        <v>3412</v>
      </c>
      <c r="C94" s="26">
        <v>4</v>
      </c>
    </row>
    <row r="95" spans="2:16" ht="17" x14ac:dyDescent="0.2">
      <c r="B95" s="227" t="s">
        <v>3413</v>
      </c>
      <c r="C95" s="26">
        <v>8</v>
      </c>
    </row>
    <row r="96" spans="2:16" ht="17" x14ac:dyDescent="0.2">
      <c r="B96" s="227" t="s">
        <v>3414</v>
      </c>
      <c r="C96" s="26">
        <v>16</v>
      </c>
    </row>
    <row r="97" spans="2:3" ht="17" x14ac:dyDescent="0.2">
      <c r="B97" s="227" t="s">
        <v>3415</v>
      </c>
      <c r="C97" s="26">
        <v>2</v>
      </c>
    </row>
    <row r="98" spans="2:3" ht="17" x14ac:dyDescent="0.2">
      <c r="B98" s="227" t="s">
        <v>3416</v>
      </c>
      <c r="C98" s="26">
        <v>4</v>
      </c>
    </row>
    <row r="99" spans="2:3" ht="17" x14ac:dyDescent="0.2">
      <c r="B99" s="227" t="s">
        <v>3417</v>
      </c>
      <c r="C99" s="26">
        <v>8</v>
      </c>
    </row>
    <row r="100" spans="2:3" ht="17" x14ac:dyDescent="0.2">
      <c r="B100" s="227" t="s">
        <v>3418</v>
      </c>
      <c r="C100" s="26">
        <v>16</v>
      </c>
    </row>
    <row r="101" spans="2:3" ht="17" x14ac:dyDescent="0.2">
      <c r="B101" s="199" t="s">
        <v>1978</v>
      </c>
      <c r="C101" s="199" t="s">
        <v>1020</v>
      </c>
    </row>
    <row r="102" spans="2:3" ht="17" x14ac:dyDescent="0.2">
      <c r="B102" s="227" t="s">
        <v>3411</v>
      </c>
      <c r="C102" s="26">
        <v>4</v>
      </c>
    </row>
    <row r="103" spans="2:3" ht="17" x14ac:dyDescent="0.2">
      <c r="B103" s="227" t="s">
        <v>3412</v>
      </c>
      <c r="C103" s="26">
        <v>8</v>
      </c>
    </row>
    <row r="104" spans="2:3" ht="17" x14ac:dyDescent="0.2">
      <c r="B104" s="227" t="s">
        <v>3413</v>
      </c>
      <c r="C104" s="26">
        <v>32</v>
      </c>
    </row>
    <row r="105" spans="2:3" ht="17" x14ac:dyDescent="0.2">
      <c r="B105" s="227" t="s">
        <v>3414</v>
      </c>
      <c r="C105" s="26">
        <v>64</v>
      </c>
    </row>
    <row r="106" spans="2:3" ht="17" x14ac:dyDescent="0.2">
      <c r="B106" s="227" t="s">
        <v>3415</v>
      </c>
      <c r="C106" s="26">
        <v>4</v>
      </c>
    </row>
    <row r="107" spans="2:3" ht="17" x14ac:dyDescent="0.2">
      <c r="B107" s="227" t="s">
        <v>3416</v>
      </c>
      <c r="C107" s="26">
        <v>8</v>
      </c>
    </row>
    <row r="108" spans="2:3" ht="17" x14ac:dyDescent="0.2">
      <c r="B108" s="227" t="s">
        <v>3417</v>
      </c>
      <c r="C108" s="26">
        <v>32</v>
      </c>
    </row>
    <row r="109" spans="2:3" ht="17" x14ac:dyDescent="0.2">
      <c r="B109" s="227" t="s">
        <v>3418</v>
      </c>
      <c r="C109" s="26">
        <v>64</v>
      </c>
    </row>
    <row r="110" spans="2:3" ht="17" x14ac:dyDescent="0.2">
      <c r="B110" s="199" t="s">
        <v>1979</v>
      </c>
      <c r="C110" s="199" t="s">
        <v>1020</v>
      </c>
    </row>
    <row r="111" spans="2:3" ht="17" x14ac:dyDescent="0.2">
      <c r="B111" s="227" t="s">
        <v>3411</v>
      </c>
      <c r="C111" s="26">
        <v>200</v>
      </c>
    </row>
    <row r="112" spans="2:3" ht="17" x14ac:dyDescent="0.2">
      <c r="B112" s="227" t="s">
        <v>3412</v>
      </c>
      <c r="C112" s="26">
        <v>200</v>
      </c>
    </row>
    <row r="113" spans="2:3" ht="17" x14ac:dyDescent="0.2">
      <c r="B113" s="227" t="s">
        <v>3413</v>
      </c>
      <c r="C113" s="26">
        <v>200</v>
      </c>
    </row>
    <row r="114" spans="2:3" ht="17" x14ac:dyDescent="0.2">
      <c r="B114" s="227" t="s">
        <v>3414</v>
      </c>
      <c r="C114" s="26">
        <v>200</v>
      </c>
    </row>
    <row r="115" spans="2:3" ht="17" x14ac:dyDescent="0.2">
      <c r="B115" s="227" t="s">
        <v>3415</v>
      </c>
      <c r="C115" s="26">
        <v>200</v>
      </c>
    </row>
    <row r="116" spans="2:3" ht="17" x14ac:dyDescent="0.2">
      <c r="B116" s="227" t="s">
        <v>3416</v>
      </c>
      <c r="C116" s="26">
        <v>200</v>
      </c>
    </row>
    <row r="117" spans="2:3" ht="17" x14ac:dyDescent="0.2">
      <c r="B117" s="227" t="s">
        <v>3417</v>
      </c>
      <c r="C117" s="26">
        <v>200</v>
      </c>
    </row>
    <row r="118" spans="2:3" ht="17" x14ac:dyDescent="0.2">
      <c r="B118" s="227" t="s">
        <v>3418</v>
      </c>
      <c r="C118" s="26">
        <v>200</v>
      </c>
    </row>
    <row r="119" spans="2:3" ht="17" x14ac:dyDescent="0.2">
      <c r="B119" s="226" t="s">
        <v>3271</v>
      </c>
      <c r="C119" s="199" t="s">
        <v>1020</v>
      </c>
    </row>
    <row r="120" spans="2:3" x14ac:dyDescent="0.2">
      <c r="B120" s="8" t="s">
        <v>529</v>
      </c>
      <c r="C120" s="8">
        <v>2</v>
      </c>
    </row>
    <row r="121" spans="2:3" x14ac:dyDescent="0.2">
      <c r="B121" s="8" t="s">
        <v>92</v>
      </c>
      <c r="C121" s="8">
        <v>2</v>
      </c>
    </row>
    <row r="122" spans="2:3" x14ac:dyDescent="0.2">
      <c r="B122" s="8" t="s">
        <v>639</v>
      </c>
      <c r="C122" s="8">
        <v>4</v>
      </c>
    </row>
    <row r="123" spans="2:3" x14ac:dyDescent="0.2">
      <c r="B123" s="8" t="s">
        <v>3070</v>
      </c>
      <c r="C123" s="8">
        <v>4</v>
      </c>
    </row>
    <row r="124" spans="2:3" ht="17" x14ac:dyDescent="0.2">
      <c r="B124" s="226" t="s">
        <v>3272</v>
      </c>
      <c r="C124" s="199" t="s">
        <v>1020</v>
      </c>
    </row>
    <row r="125" spans="2:3" x14ac:dyDescent="0.2">
      <c r="B125" s="8" t="s">
        <v>529</v>
      </c>
      <c r="C125" s="8">
        <v>4</v>
      </c>
    </row>
    <row r="126" spans="2:3" x14ac:dyDescent="0.2">
      <c r="B126" s="8" t="s">
        <v>92</v>
      </c>
      <c r="C126" s="8">
        <v>4</v>
      </c>
    </row>
    <row r="127" spans="2:3" x14ac:dyDescent="0.2">
      <c r="B127" s="8" t="s">
        <v>639</v>
      </c>
      <c r="C127" s="8">
        <v>8</v>
      </c>
    </row>
    <row r="128" spans="2:3" x14ac:dyDescent="0.2">
      <c r="B128" s="8" t="s">
        <v>3070</v>
      </c>
      <c r="C128" s="8">
        <v>8</v>
      </c>
    </row>
    <row r="129" spans="2:3" ht="17" x14ac:dyDescent="0.2">
      <c r="B129" s="226" t="s">
        <v>3273</v>
      </c>
      <c r="C129" s="199" t="s">
        <v>1020</v>
      </c>
    </row>
    <row r="130" spans="2:3" x14ac:dyDescent="0.2">
      <c r="B130" s="8" t="s">
        <v>529</v>
      </c>
      <c r="C130" s="8">
        <v>10</v>
      </c>
    </row>
    <row r="131" spans="2:3" x14ac:dyDescent="0.2">
      <c r="B131" s="8" t="s">
        <v>92</v>
      </c>
      <c r="C131" s="8">
        <v>10</v>
      </c>
    </row>
    <row r="132" spans="2:3" x14ac:dyDescent="0.2">
      <c r="B132" s="8" t="s">
        <v>639</v>
      </c>
      <c r="C132" s="8">
        <v>20</v>
      </c>
    </row>
    <row r="133" spans="2:3" x14ac:dyDescent="0.2">
      <c r="B133" s="8" t="s">
        <v>3070</v>
      </c>
      <c r="C133" s="8">
        <v>20</v>
      </c>
    </row>
    <row r="134" spans="2:3" ht="17" x14ac:dyDescent="0.2">
      <c r="B134" s="226" t="s">
        <v>1982</v>
      </c>
      <c r="C134" s="199" t="s">
        <v>1020</v>
      </c>
    </row>
    <row r="135" spans="2:3" x14ac:dyDescent="0.2">
      <c r="B135" s="8" t="s">
        <v>529</v>
      </c>
      <c r="C135" s="8">
        <v>24</v>
      </c>
    </row>
    <row r="136" spans="2:3" ht="17" customHeight="1" x14ac:dyDescent="0.2">
      <c r="B136" s="8" t="s">
        <v>92</v>
      </c>
      <c r="C136" s="8">
        <v>24</v>
      </c>
    </row>
    <row r="137" spans="2:3" ht="17" customHeight="1" x14ac:dyDescent="0.2">
      <c r="B137" s="8" t="s">
        <v>639</v>
      </c>
      <c r="C137" s="8">
        <v>32</v>
      </c>
    </row>
    <row r="138" spans="2:3" ht="17" x14ac:dyDescent="0.2">
      <c r="B138" s="226" t="s">
        <v>1983</v>
      </c>
      <c r="C138" s="199" t="s">
        <v>1020</v>
      </c>
    </row>
    <row r="139" spans="2:3" x14ac:dyDescent="0.2">
      <c r="B139" s="8" t="s">
        <v>529</v>
      </c>
      <c r="C139" s="8">
        <v>96</v>
      </c>
    </row>
    <row r="140" spans="2:3" x14ac:dyDescent="0.2">
      <c r="B140" s="8" t="s">
        <v>92</v>
      </c>
      <c r="C140" s="8">
        <v>96</v>
      </c>
    </row>
    <row r="141" spans="2:3" x14ac:dyDescent="0.2">
      <c r="B141" s="8" t="s">
        <v>639</v>
      </c>
      <c r="C141" s="8">
        <v>128</v>
      </c>
    </row>
    <row r="142" spans="2:3" ht="17" x14ac:dyDescent="0.2">
      <c r="B142" s="226" t="s">
        <v>1984</v>
      </c>
      <c r="C142" s="199" t="s">
        <v>1020</v>
      </c>
    </row>
    <row r="143" spans="2:3" x14ac:dyDescent="0.2">
      <c r="B143" s="8" t="s">
        <v>529</v>
      </c>
      <c r="C143" s="8">
        <v>600</v>
      </c>
    </row>
    <row r="144" spans="2:3" x14ac:dyDescent="0.2">
      <c r="B144" s="8" t="s">
        <v>92</v>
      </c>
      <c r="C144" s="8">
        <v>900</v>
      </c>
    </row>
    <row r="145" spans="2:3" x14ac:dyDescent="0.2">
      <c r="B145" s="8" t="s">
        <v>639</v>
      </c>
      <c r="C145" s="8">
        <v>1200</v>
      </c>
    </row>
    <row r="146" spans="2:3" ht="17" x14ac:dyDescent="0.2">
      <c r="B146" s="226" t="s">
        <v>1985</v>
      </c>
      <c r="C146" s="199" t="s">
        <v>1020</v>
      </c>
    </row>
    <row r="147" spans="2:3" x14ac:dyDescent="0.2">
      <c r="B147" s="8" t="s">
        <v>529</v>
      </c>
      <c r="C147" s="8">
        <v>8</v>
      </c>
    </row>
    <row r="148" spans="2:3" x14ac:dyDescent="0.2">
      <c r="B148" s="8" t="s">
        <v>92</v>
      </c>
      <c r="C148" s="8">
        <v>12</v>
      </c>
    </row>
    <row r="149" spans="2:3" x14ac:dyDescent="0.2">
      <c r="B149" s="8" t="s">
        <v>639</v>
      </c>
      <c r="C149" s="8">
        <v>16</v>
      </c>
    </row>
    <row r="150" spans="2:3" ht="17" x14ac:dyDescent="0.2">
      <c r="B150" s="226" t="s">
        <v>1986</v>
      </c>
      <c r="C150" s="199" t="s">
        <v>1020</v>
      </c>
    </row>
    <row r="151" spans="2:3" x14ac:dyDescent="0.2">
      <c r="B151" s="8" t="s">
        <v>529</v>
      </c>
      <c r="C151" s="8">
        <v>16</v>
      </c>
    </row>
    <row r="152" spans="2:3" x14ac:dyDescent="0.2">
      <c r="B152" s="8" t="s">
        <v>92</v>
      </c>
      <c r="C152" s="8">
        <v>24</v>
      </c>
    </row>
    <row r="153" spans="2:3" x14ac:dyDescent="0.2">
      <c r="B153" s="8" t="s">
        <v>639</v>
      </c>
      <c r="C153" s="8">
        <v>32</v>
      </c>
    </row>
    <row r="154" spans="2:3" ht="17" x14ac:dyDescent="0.2">
      <c r="B154" s="226" t="s">
        <v>1987</v>
      </c>
      <c r="C154" s="199" t="s">
        <v>1020</v>
      </c>
    </row>
    <row r="155" spans="2:3" x14ac:dyDescent="0.2">
      <c r="B155" s="8" t="s">
        <v>529</v>
      </c>
      <c r="C155" s="8">
        <v>575</v>
      </c>
    </row>
    <row r="156" spans="2:3" x14ac:dyDescent="0.2">
      <c r="B156" s="8" t="s">
        <v>92</v>
      </c>
      <c r="C156" s="8">
        <v>575</v>
      </c>
    </row>
    <row r="157" spans="2:3" x14ac:dyDescent="0.2">
      <c r="B157" s="8" t="s">
        <v>639</v>
      </c>
      <c r="C157" s="8">
        <v>575</v>
      </c>
    </row>
    <row r="158" spans="2:3" ht="17" x14ac:dyDescent="0.2">
      <c r="B158" s="226" t="s">
        <v>1988</v>
      </c>
      <c r="C158" s="199" t="s">
        <v>1020</v>
      </c>
    </row>
    <row r="159" spans="2:3" x14ac:dyDescent="0.2">
      <c r="B159" s="8" t="s">
        <v>1980</v>
      </c>
      <c r="C159" s="8">
        <v>2</v>
      </c>
    </row>
    <row r="160" spans="2:3" x14ac:dyDescent="0.2">
      <c r="B160" s="8" t="s">
        <v>529</v>
      </c>
      <c r="C160" s="8">
        <v>4</v>
      </c>
    </row>
    <row r="161" spans="2:3" x14ac:dyDescent="0.2">
      <c r="B161" s="8" t="s">
        <v>92</v>
      </c>
      <c r="C161" s="8">
        <v>8</v>
      </c>
    </row>
    <row r="162" spans="2:3" x14ac:dyDescent="0.2">
      <c r="B162" s="8" t="s">
        <v>639</v>
      </c>
      <c r="C162" s="8">
        <v>16</v>
      </c>
    </row>
    <row r="163" spans="2:3" x14ac:dyDescent="0.2">
      <c r="B163" s="8" t="s">
        <v>1981</v>
      </c>
      <c r="C163" s="8">
        <v>24</v>
      </c>
    </row>
    <row r="164" spans="2:3" ht="17" x14ac:dyDescent="0.2">
      <c r="B164" s="226" t="s">
        <v>1989</v>
      </c>
      <c r="C164" s="199" t="s">
        <v>1020</v>
      </c>
    </row>
    <row r="165" spans="2:3" x14ac:dyDescent="0.2">
      <c r="B165" s="8" t="s">
        <v>1980</v>
      </c>
      <c r="C165" s="8">
        <v>8</v>
      </c>
    </row>
    <row r="166" spans="2:3" x14ac:dyDescent="0.2">
      <c r="B166" s="8" t="s">
        <v>529</v>
      </c>
      <c r="C166" s="8">
        <v>16</v>
      </c>
    </row>
    <row r="167" spans="2:3" x14ac:dyDescent="0.2">
      <c r="B167" s="8" t="s">
        <v>92</v>
      </c>
      <c r="C167" s="8">
        <v>32</v>
      </c>
    </row>
    <row r="168" spans="2:3" x14ac:dyDescent="0.2">
      <c r="B168" s="8" t="s">
        <v>639</v>
      </c>
      <c r="C168" s="8">
        <v>48</v>
      </c>
    </row>
    <row r="169" spans="2:3" x14ac:dyDescent="0.2">
      <c r="B169" s="8" t="s">
        <v>1981</v>
      </c>
      <c r="C169" s="8">
        <v>128</v>
      </c>
    </row>
    <row r="170" spans="2:3" ht="17" x14ac:dyDescent="0.2">
      <c r="B170" s="226" t="s">
        <v>1990</v>
      </c>
      <c r="C170" s="199" t="s">
        <v>1020</v>
      </c>
    </row>
    <row r="171" spans="2:3" x14ac:dyDescent="0.2">
      <c r="B171" s="8" t="s">
        <v>1980</v>
      </c>
      <c r="C171" s="8">
        <v>274</v>
      </c>
    </row>
    <row r="172" spans="2:3" x14ac:dyDescent="0.2">
      <c r="B172" s="8" t="s">
        <v>529</v>
      </c>
      <c r="C172" s="8">
        <v>274</v>
      </c>
    </row>
    <row r="173" spans="2:3" x14ac:dyDescent="0.2">
      <c r="B173" s="8" t="s">
        <v>92</v>
      </c>
      <c r="C173" s="8">
        <v>274</v>
      </c>
    </row>
    <row r="174" spans="2:3" x14ac:dyDescent="0.2">
      <c r="B174" s="8" t="s">
        <v>639</v>
      </c>
      <c r="C174" s="8">
        <v>274</v>
      </c>
    </row>
    <row r="175" spans="2:3" x14ac:dyDescent="0.2">
      <c r="B175" s="8" t="s">
        <v>1981</v>
      </c>
      <c r="C175" s="8">
        <v>274</v>
      </c>
    </row>
    <row r="176" spans="2:3" ht="17" x14ac:dyDescent="0.2">
      <c r="B176" s="226" t="s">
        <v>1991</v>
      </c>
      <c r="C176" s="199" t="s">
        <v>1020</v>
      </c>
    </row>
    <row r="177" spans="2:3" x14ac:dyDescent="0.2">
      <c r="B177" s="8" t="s">
        <v>529</v>
      </c>
      <c r="C177" s="8">
        <v>4</v>
      </c>
    </row>
    <row r="178" spans="2:3" x14ac:dyDescent="0.2">
      <c r="B178" s="8" t="s">
        <v>521</v>
      </c>
      <c r="C178" s="8">
        <v>8</v>
      </c>
    </row>
    <row r="179" spans="2:3" x14ac:dyDescent="0.2">
      <c r="B179" s="8"/>
      <c r="C179" s="8"/>
    </row>
    <row r="180" spans="2:3" ht="17" x14ac:dyDescent="0.2">
      <c r="B180" s="226" t="s">
        <v>1992</v>
      </c>
      <c r="C180" s="199" t="s">
        <v>1020</v>
      </c>
    </row>
    <row r="181" spans="2:3" x14ac:dyDescent="0.2">
      <c r="B181" s="8" t="s">
        <v>529</v>
      </c>
      <c r="C181" s="8">
        <v>16</v>
      </c>
    </row>
    <row r="182" spans="2:3" x14ac:dyDescent="0.2">
      <c r="B182" s="8" t="s">
        <v>521</v>
      </c>
      <c r="C182" s="8">
        <v>48</v>
      </c>
    </row>
    <row r="183" spans="2:3" x14ac:dyDescent="0.2">
      <c r="B183" s="8"/>
      <c r="C183" s="8"/>
    </row>
    <row r="184" spans="2:3" ht="17" x14ac:dyDescent="0.2">
      <c r="B184" s="226" t="s">
        <v>1993</v>
      </c>
      <c r="C184" s="199" t="s">
        <v>1020</v>
      </c>
    </row>
    <row r="185" spans="2:3" x14ac:dyDescent="0.2">
      <c r="B185" s="8" t="s">
        <v>529</v>
      </c>
      <c r="C185" s="8">
        <v>264</v>
      </c>
    </row>
    <row r="186" spans="2:3" x14ac:dyDescent="0.2">
      <c r="B186" s="8" t="s">
        <v>521</v>
      </c>
      <c r="C186" s="8">
        <v>264</v>
      </c>
    </row>
    <row r="187" spans="2:3" x14ac:dyDescent="0.2">
      <c r="B187" s="8"/>
      <c r="C187" s="8"/>
    </row>
    <row r="188" spans="2:3" ht="17" x14ac:dyDescent="0.2">
      <c r="B188" s="226" t="s">
        <v>1994</v>
      </c>
      <c r="C188" s="199" t="s">
        <v>1020</v>
      </c>
    </row>
    <row r="189" spans="2:3" x14ac:dyDescent="0.2">
      <c r="B189" s="8" t="s">
        <v>1995</v>
      </c>
      <c r="C189" s="8">
        <v>2</v>
      </c>
    </row>
    <row r="190" spans="2:3" x14ac:dyDescent="0.2">
      <c r="B190" s="8" t="s">
        <v>521</v>
      </c>
      <c r="C190" s="8">
        <v>4</v>
      </c>
    </row>
    <row r="191" spans="2:3" ht="17" x14ac:dyDescent="0.2">
      <c r="B191" s="226" t="s">
        <v>1996</v>
      </c>
      <c r="C191" s="199" t="s">
        <v>1020</v>
      </c>
    </row>
    <row r="192" spans="2:3" x14ac:dyDescent="0.2">
      <c r="B192" s="8" t="s">
        <v>1995</v>
      </c>
      <c r="C192" s="8">
        <v>8</v>
      </c>
    </row>
    <row r="193" spans="2:3" x14ac:dyDescent="0.2">
      <c r="B193" s="8" t="s">
        <v>521</v>
      </c>
      <c r="C193" s="8">
        <v>8</v>
      </c>
    </row>
    <row r="194" spans="2:3" ht="17" x14ac:dyDescent="0.2">
      <c r="B194" s="226" t="s">
        <v>1997</v>
      </c>
      <c r="C194" s="199" t="s">
        <v>1020</v>
      </c>
    </row>
    <row r="195" spans="2:3" x14ac:dyDescent="0.2">
      <c r="B195" s="8" t="s">
        <v>1995</v>
      </c>
      <c r="C195" s="8">
        <v>33</v>
      </c>
    </row>
    <row r="196" spans="2:3" x14ac:dyDescent="0.2">
      <c r="B196" s="8" t="s">
        <v>521</v>
      </c>
      <c r="C196" s="8">
        <v>33</v>
      </c>
    </row>
    <row r="197" spans="2:3" ht="17" x14ac:dyDescent="0.2">
      <c r="B197" s="226" t="s">
        <v>1998</v>
      </c>
      <c r="C197" s="199" t="s">
        <v>1020</v>
      </c>
    </row>
    <row r="198" spans="2:3" x14ac:dyDescent="0.2">
      <c r="B198" s="8" t="s">
        <v>1995</v>
      </c>
      <c r="C198" s="8">
        <v>2</v>
      </c>
    </row>
    <row r="199" spans="2:3" x14ac:dyDescent="0.2">
      <c r="B199" s="8" t="s">
        <v>521</v>
      </c>
      <c r="C199" s="8">
        <v>8</v>
      </c>
    </row>
    <row r="200" spans="2:3" ht="17" x14ac:dyDescent="0.2">
      <c r="B200" s="226" t="s">
        <v>1999</v>
      </c>
      <c r="C200" s="199" t="s">
        <v>1020</v>
      </c>
    </row>
    <row r="201" spans="2:3" x14ac:dyDescent="0.2">
      <c r="B201" s="8" t="s">
        <v>1995</v>
      </c>
      <c r="C201" s="8">
        <v>8</v>
      </c>
    </row>
    <row r="202" spans="2:3" x14ac:dyDescent="0.2">
      <c r="B202" s="8" t="s">
        <v>521</v>
      </c>
      <c r="C202" s="8">
        <v>24</v>
      </c>
    </row>
    <row r="203" spans="2:3" ht="17" x14ac:dyDescent="0.2">
      <c r="B203" s="226" t="s">
        <v>2000</v>
      </c>
      <c r="C203" s="199" t="s">
        <v>1020</v>
      </c>
    </row>
    <row r="204" spans="2:3" x14ac:dyDescent="0.2">
      <c r="B204" s="8" t="s">
        <v>1995</v>
      </c>
      <c r="C204" s="8">
        <v>20</v>
      </c>
    </row>
    <row r="205" spans="2:3" x14ac:dyDescent="0.2">
      <c r="B205" s="8" t="s">
        <v>521</v>
      </c>
      <c r="C205" s="8">
        <v>800</v>
      </c>
    </row>
    <row r="206" spans="2:3" ht="17" x14ac:dyDescent="0.2">
      <c r="B206" s="226" t="s">
        <v>2001</v>
      </c>
      <c r="C206" s="199" t="s">
        <v>1020</v>
      </c>
    </row>
    <row r="207" spans="2:3" ht="17" x14ac:dyDescent="0.2">
      <c r="B207" s="26" t="s">
        <v>1943</v>
      </c>
      <c r="C207" s="8">
        <v>2</v>
      </c>
    </row>
    <row r="208" spans="2:3" ht="17" x14ac:dyDescent="0.2">
      <c r="B208" s="26" t="s">
        <v>1945</v>
      </c>
      <c r="C208" s="8">
        <v>8</v>
      </c>
    </row>
    <row r="209" spans="2:3" ht="17" x14ac:dyDescent="0.2">
      <c r="B209" s="26" t="s">
        <v>1947</v>
      </c>
      <c r="C209" s="8">
        <v>20</v>
      </c>
    </row>
    <row r="210" spans="2:3" ht="17" x14ac:dyDescent="0.2">
      <c r="B210" s="226" t="s">
        <v>2002</v>
      </c>
      <c r="C210" s="199" t="s">
        <v>1020</v>
      </c>
    </row>
    <row r="211" spans="2:3" ht="17" x14ac:dyDescent="0.2">
      <c r="B211" s="26" t="s">
        <v>529</v>
      </c>
      <c r="C211" s="8">
        <v>4</v>
      </c>
    </row>
    <row r="212" spans="2:3" ht="17" x14ac:dyDescent="0.2">
      <c r="B212" s="26" t="s">
        <v>92</v>
      </c>
      <c r="C212" s="8">
        <v>8</v>
      </c>
    </row>
    <row r="213" spans="2:3" ht="17" x14ac:dyDescent="0.2">
      <c r="B213" s="26" t="s">
        <v>639</v>
      </c>
      <c r="C213" s="8">
        <v>12</v>
      </c>
    </row>
    <row r="214" spans="2:3" ht="17" x14ac:dyDescent="0.2">
      <c r="B214" s="26" t="s">
        <v>3642</v>
      </c>
      <c r="C214" s="8">
        <v>16</v>
      </c>
    </row>
    <row r="215" spans="2:3" ht="17" x14ac:dyDescent="0.2">
      <c r="B215" s="26" t="s">
        <v>3641</v>
      </c>
      <c r="C215" s="8">
        <v>24</v>
      </c>
    </row>
    <row r="216" spans="2:3" ht="17" x14ac:dyDescent="0.2">
      <c r="B216" s="226" t="s">
        <v>2003</v>
      </c>
      <c r="C216" s="199" t="s">
        <v>1020</v>
      </c>
    </row>
    <row r="217" spans="2:3" ht="17" x14ac:dyDescent="0.2">
      <c r="B217" s="26" t="s">
        <v>529</v>
      </c>
      <c r="C217" s="8">
        <v>16</v>
      </c>
    </row>
    <row r="218" spans="2:3" ht="17" x14ac:dyDescent="0.2">
      <c r="B218" s="26" t="s">
        <v>92</v>
      </c>
      <c r="C218" s="8">
        <v>32</v>
      </c>
    </row>
    <row r="219" spans="2:3" ht="17" x14ac:dyDescent="0.2">
      <c r="B219" s="26" t="s">
        <v>639</v>
      </c>
      <c r="C219" s="8">
        <v>48</v>
      </c>
    </row>
    <row r="220" spans="2:3" ht="17" x14ac:dyDescent="0.2">
      <c r="B220" s="26" t="s">
        <v>3642</v>
      </c>
      <c r="C220" s="8">
        <v>64</v>
      </c>
    </row>
    <row r="221" spans="2:3" ht="17" x14ac:dyDescent="0.2">
      <c r="B221" s="26" t="s">
        <v>3641</v>
      </c>
      <c r="C221" s="8">
        <v>128</v>
      </c>
    </row>
    <row r="222" spans="2:3" ht="17" x14ac:dyDescent="0.2">
      <c r="B222" s="226" t="s">
        <v>2004</v>
      </c>
      <c r="C222" s="199" t="s">
        <v>1020</v>
      </c>
    </row>
    <row r="223" spans="2:3" ht="17" x14ac:dyDescent="0.2">
      <c r="B223" s="26" t="s">
        <v>529</v>
      </c>
      <c r="C223" s="8">
        <v>1024</v>
      </c>
    </row>
    <row r="224" spans="2:3" ht="17" x14ac:dyDescent="0.2">
      <c r="B224" s="26" t="s">
        <v>92</v>
      </c>
      <c r="C224" s="8">
        <v>1024</v>
      </c>
    </row>
    <row r="225" spans="2:3" ht="17" x14ac:dyDescent="0.2">
      <c r="B225" s="26" t="s">
        <v>639</v>
      </c>
      <c r="C225" s="8">
        <v>2048</v>
      </c>
    </row>
    <row r="226" spans="2:3" ht="17" x14ac:dyDescent="0.2">
      <c r="B226" s="26" t="s">
        <v>3642</v>
      </c>
      <c r="C226" s="8">
        <v>2048</v>
      </c>
    </row>
    <row r="227" spans="2:3" ht="17" x14ac:dyDescent="0.2">
      <c r="B227" s="26" t="s">
        <v>3641</v>
      </c>
      <c r="C227" s="8">
        <v>2048</v>
      </c>
    </row>
    <row r="228" spans="2:3" ht="17" x14ac:dyDescent="0.2">
      <c r="B228" s="226" t="s">
        <v>2005</v>
      </c>
      <c r="C228" s="199" t="s">
        <v>1020</v>
      </c>
    </row>
    <row r="229" spans="2:3" ht="17" x14ac:dyDescent="0.2">
      <c r="B229" s="26" t="s">
        <v>529</v>
      </c>
      <c r="C229" s="26">
        <v>2</v>
      </c>
    </row>
    <row r="230" spans="2:3" ht="17" x14ac:dyDescent="0.2">
      <c r="B230" s="26" t="s">
        <v>92</v>
      </c>
      <c r="C230" s="8">
        <v>4</v>
      </c>
    </row>
    <row r="231" spans="2:3" ht="17" x14ac:dyDescent="0.2">
      <c r="B231" s="26" t="s">
        <v>639</v>
      </c>
      <c r="C231" s="8">
        <v>8</v>
      </c>
    </row>
    <row r="232" spans="2:3" ht="17" x14ac:dyDescent="0.2">
      <c r="B232" s="26" t="s">
        <v>3642</v>
      </c>
      <c r="C232" s="8">
        <v>8</v>
      </c>
    </row>
    <row r="233" spans="2:3" ht="17" x14ac:dyDescent="0.2">
      <c r="B233" s="26" t="s">
        <v>3641</v>
      </c>
      <c r="C233" s="8">
        <v>16</v>
      </c>
    </row>
    <row r="234" spans="2:3" ht="17" x14ac:dyDescent="0.2">
      <c r="B234" s="226" t="s">
        <v>2006</v>
      </c>
      <c r="C234" s="199" t="s">
        <v>1020</v>
      </c>
    </row>
    <row r="235" spans="2:3" ht="17" x14ac:dyDescent="0.2">
      <c r="B235" s="26" t="s">
        <v>529</v>
      </c>
      <c r="C235" s="26">
        <v>4</v>
      </c>
    </row>
    <row r="236" spans="2:3" ht="17" x14ac:dyDescent="0.2">
      <c r="B236" s="26" t="s">
        <v>92</v>
      </c>
      <c r="C236" s="8">
        <v>12</v>
      </c>
    </row>
    <row r="237" spans="2:3" ht="17" x14ac:dyDescent="0.2">
      <c r="B237" s="26" t="s">
        <v>639</v>
      </c>
      <c r="C237" s="8">
        <v>16</v>
      </c>
    </row>
    <row r="238" spans="2:3" ht="17" x14ac:dyDescent="0.2">
      <c r="B238" s="26" t="s">
        <v>3642</v>
      </c>
      <c r="C238" s="8">
        <v>24</v>
      </c>
    </row>
    <row r="239" spans="2:3" ht="17" x14ac:dyDescent="0.2">
      <c r="B239" s="26" t="s">
        <v>3641</v>
      </c>
      <c r="C239" s="8">
        <v>48</v>
      </c>
    </row>
    <row r="240" spans="2:3" ht="17" x14ac:dyDescent="0.2">
      <c r="B240" s="226" t="s">
        <v>2007</v>
      </c>
      <c r="C240" s="199" t="s">
        <v>1020</v>
      </c>
    </row>
    <row r="241" spans="2:3" ht="17" x14ac:dyDescent="0.2">
      <c r="B241" s="26" t="s">
        <v>529</v>
      </c>
      <c r="C241" s="8">
        <v>250</v>
      </c>
    </row>
    <row r="242" spans="2:3" ht="17" x14ac:dyDescent="0.2">
      <c r="B242" s="26" t="s">
        <v>92</v>
      </c>
      <c r="C242" s="8">
        <v>250</v>
      </c>
    </row>
    <row r="243" spans="2:3" ht="17" x14ac:dyDescent="0.2">
      <c r="B243" s="26" t="s">
        <v>639</v>
      </c>
      <c r="C243" s="8">
        <v>250</v>
      </c>
    </row>
    <row r="244" spans="2:3" ht="17" x14ac:dyDescent="0.2">
      <c r="B244" s="26" t="s">
        <v>3642</v>
      </c>
      <c r="C244" s="8">
        <v>250</v>
      </c>
    </row>
    <row r="245" spans="2:3" ht="17" x14ac:dyDescent="0.2">
      <c r="B245" s="26" t="s">
        <v>3641</v>
      </c>
      <c r="C245" s="8">
        <v>300</v>
      </c>
    </row>
    <row r="246" spans="2:3" ht="17" x14ac:dyDescent="0.2">
      <c r="B246" s="226" t="s">
        <v>2008</v>
      </c>
      <c r="C246" s="199" t="s">
        <v>1020</v>
      </c>
    </row>
    <row r="247" spans="2:3" ht="17" x14ac:dyDescent="0.2">
      <c r="B247" s="26" t="s">
        <v>1943</v>
      </c>
      <c r="C247" s="183">
        <v>8</v>
      </c>
    </row>
    <row r="248" spans="2:3" ht="17" x14ac:dyDescent="0.2">
      <c r="B248" s="26" t="s">
        <v>1945</v>
      </c>
      <c r="C248" s="230">
        <v>12</v>
      </c>
    </row>
    <row r="249" spans="2:3" ht="17" x14ac:dyDescent="0.2">
      <c r="B249" s="26" t="s">
        <v>1947</v>
      </c>
      <c r="C249" s="230">
        <v>100</v>
      </c>
    </row>
    <row r="250" spans="2:3" ht="17" x14ac:dyDescent="0.2">
      <c r="B250" s="226" t="s">
        <v>2009</v>
      </c>
      <c r="C250" s="199" t="s">
        <v>1020</v>
      </c>
    </row>
    <row r="251" spans="2:3" ht="17" x14ac:dyDescent="0.2">
      <c r="B251" s="231" t="s">
        <v>1943</v>
      </c>
      <c r="C251" s="8">
        <v>4</v>
      </c>
    </row>
    <row r="252" spans="2:3" ht="17" x14ac:dyDescent="0.2">
      <c r="B252" s="232" t="s">
        <v>1945</v>
      </c>
      <c r="C252" s="8">
        <v>12</v>
      </c>
    </row>
    <row r="253" spans="2:3" ht="17" x14ac:dyDescent="0.2">
      <c r="B253" s="232" t="s">
        <v>1947</v>
      </c>
      <c r="C253" s="8">
        <v>65</v>
      </c>
    </row>
    <row r="254" spans="2:3" ht="17" x14ac:dyDescent="0.2">
      <c r="B254" s="226" t="s">
        <v>2010</v>
      </c>
      <c r="C254" s="199" t="s">
        <v>1020</v>
      </c>
    </row>
    <row r="255" spans="2:3" ht="17" x14ac:dyDescent="0.2">
      <c r="B255" s="232" t="s">
        <v>529</v>
      </c>
      <c r="C255" s="8">
        <v>6</v>
      </c>
    </row>
    <row r="256" spans="2:3" ht="17" x14ac:dyDescent="0.2">
      <c r="B256" s="232" t="s">
        <v>639</v>
      </c>
      <c r="C256" s="8">
        <v>16</v>
      </c>
    </row>
    <row r="257" spans="2:3" ht="17" x14ac:dyDescent="0.2">
      <c r="B257" s="232" t="s">
        <v>1926</v>
      </c>
      <c r="C257" s="8">
        <v>16</v>
      </c>
    </row>
    <row r="258" spans="2:3" ht="17" x14ac:dyDescent="0.2">
      <c r="B258" s="226" t="s">
        <v>2011</v>
      </c>
      <c r="C258" s="199" t="s">
        <v>1020</v>
      </c>
    </row>
    <row r="259" spans="2:3" ht="17" x14ac:dyDescent="0.2">
      <c r="B259" s="232" t="s">
        <v>529</v>
      </c>
      <c r="C259" s="8">
        <v>32</v>
      </c>
    </row>
    <row r="260" spans="2:3" ht="17" x14ac:dyDescent="0.2">
      <c r="B260" s="232" t="s">
        <v>639</v>
      </c>
      <c r="C260" s="8">
        <v>48</v>
      </c>
    </row>
    <row r="261" spans="2:3" ht="17" x14ac:dyDescent="0.2">
      <c r="B261" s="232" t="s">
        <v>1926</v>
      </c>
      <c r="C261" s="8">
        <v>64</v>
      </c>
    </row>
    <row r="262" spans="2:3" ht="17" x14ac:dyDescent="0.2">
      <c r="B262" s="226" t="s">
        <v>2012</v>
      </c>
      <c r="C262" s="199" t="s">
        <v>1020</v>
      </c>
    </row>
    <row r="263" spans="2:3" ht="17" x14ac:dyDescent="0.2">
      <c r="B263" s="232" t="s">
        <v>529</v>
      </c>
      <c r="C263" s="8">
        <v>512</v>
      </c>
    </row>
    <row r="264" spans="2:3" ht="17" x14ac:dyDescent="0.2">
      <c r="B264" s="232" t="s">
        <v>639</v>
      </c>
      <c r="C264" s="8">
        <v>1400</v>
      </c>
    </row>
    <row r="265" spans="2:3" ht="17" x14ac:dyDescent="0.2">
      <c r="B265" s="232" t="s">
        <v>1926</v>
      </c>
      <c r="C265" s="8">
        <v>1750</v>
      </c>
    </row>
    <row r="266" spans="2:3" ht="17" x14ac:dyDescent="0.2">
      <c r="B266" s="226" t="s">
        <v>2013</v>
      </c>
      <c r="C266" s="199" t="s">
        <v>1020</v>
      </c>
    </row>
    <row r="267" spans="2:3" ht="17" x14ac:dyDescent="0.2">
      <c r="B267" s="327" t="s">
        <v>1918</v>
      </c>
      <c r="C267" s="199">
        <v>96</v>
      </c>
    </row>
    <row r="268" spans="2:3" ht="17" x14ac:dyDescent="0.2">
      <c r="B268" s="327" t="s">
        <v>176</v>
      </c>
      <c r="C268" s="199"/>
    </row>
    <row r="269" spans="2:3" ht="17" x14ac:dyDescent="0.2">
      <c r="B269" s="327" t="s">
        <v>3557</v>
      </c>
      <c r="C269" s="199"/>
    </row>
    <row r="270" spans="2:3" ht="17" x14ac:dyDescent="0.2">
      <c r="B270" s="232" t="s">
        <v>92</v>
      </c>
      <c r="C270" s="8">
        <v>64</v>
      </c>
    </row>
    <row r="271" spans="2:3" ht="17" x14ac:dyDescent="0.2">
      <c r="B271" s="232" t="s">
        <v>639</v>
      </c>
      <c r="C271" s="8">
        <v>96</v>
      </c>
    </row>
    <row r="272" spans="2:3" ht="17" x14ac:dyDescent="0.2">
      <c r="B272" s="232" t="s">
        <v>3070</v>
      </c>
      <c r="C272" s="8">
        <v>160</v>
      </c>
    </row>
    <row r="273" spans="2:3" ht="17" x14ac:dyDescent="0.2">
      <c r="B273" s="226" t="s">
        <v>2014</v>
      </c>
      <c r="C273" s="199" t="s">
        <v>1020</v>
      </c>
    </row>
    <row r="274" spans="2:3" ht="17" x14ac:dyDescent="0.2">
      <c r="B274" s="232" t="s">
        <v>92</v>
      </c>
      <c r="C274" s="8">
        <v>222</v>
      </c>
    </row>
    <row r="275" spans="2:3" ht="17" x14ac:dyDescent="0.2">
      <c r="B275" s="232" t="s">
        <v>639</v>
      </c>
      <c r="C275" s="8">
        <v>350</v>
      </c>
    </row>
    <row r="276" spans="2:3" ht="17" x14ac:dyDescent="0.2">
      <c r="B276" s="232" t="s">
        <v>3070</v>
      </c>
      <c r="C276" s="8">
        <v>606</v>
      </c>
    </row>
    <row r="277" spans="2:3" ht="17" x14ac:dyDescent="0.2">
      <c r="B277" s="226" t="s">
        <v>2015</v>
      </c>
      <c r="C277" s="199" t="s">
        <v>1020</v>
      </c>
    </row>
    <row r="278" spans="2:3" ht="17" x14ac:dyDescent="0.2">
      <c r="B278" s="232" t="s">
        <v>92</v>
      </c>
      <c r="C278" s="8">
        <v>3260</v>
      </c>
    </row>
    <row r="279" spans="2:3" ht="17" x14ac:dyDescent="0.2">
      <c r="B279" s="232" t="s">
        <v>639</v>
      </c>
      <c r="C279" s="8">
        <v>3600</v>
      </c>
    </row>
    <row r="280" spans="2:3" ht="17" x14ac:dyDescent="0.2">
      <c r="B280" s="232" t="s">
        <v>3070</v>
      </c>
      <c r="C280" s="8">
        <v>6120</v>
      </c>
    </row>
    <row r="281" spans="2:3" ht="17" x14ac:dyDescent="0.2">
      <c r="B281" s="226" t="s">
        <v>3681</v>
      </c>
      <c r="C281" s="199" t="s">
        <v>1020</v>
      </c>
    </row>
    <row r="282" spans="2:3" ht="17" x14ac:dyDescent="0.2">
      <c r="B282" s="232" t="s">
        <v>92</v>
      </c>
      <c r="C282" s="8">
        <v>2</v>
      </c>
    </row>
    <row r="283" spans="2:3" ht="17" x14ac:dyDescent="0.2">
      <c r="B283" s="232" t="s">
        <v>639</v>
      </c>
      <c r="C283" s="8">
        <v>4</v>
      </c>
    </row>
    <row r="284" spans="2:3" ht="17" x14ac:dyDescent="0.2">
      <c r="B284" s="232" t="s">
        <v>3070</v>
      </c>
      <c r="C284" s="8">
        <v>8</v>
      </c>
    </row>
    <row r="285" spans="2:3" ht="17" x14ac:dyDescent="0.2">
      <c r="B285" s="226" t="s">
        <v>3682</v>
      </c>
      <c r="C285" s="199" t="s">
        <v>1020</v>
      </c>
    </row>
    <row r="286" spans="2:3" ht="17" x14ac:dyDescent="0.2">
      <c r="B286" s="232" t="s">
        <v>92</v>
      </c>
      <c r="C286" s="8">
        <v>3</v>
      </c>
    </row>
    <row r="287" spans="2:3" ht="17" x14ac:dyDescent="0.2">
      <c r="B287" s="232" t="s">
        <v>639</v>
      </c>
      <c r="C287" s="8">
        <v>3</v>
      </c>
    </row>
    <row r="288" spans="2:3" ht="17" x14ac:dyDescent="0.2">
      <c r="B288" s="232" t="s">
        <v>3070</v>
      </c>
      <c r="C288" s="8">
        <v>3</v>
      </c>
    </row>
    <row r="289" spans="2:3" ht="17" x14ac:dyDescent="0.2">
      <c r="B289" s="226" t="s">
        <v>3683</v>
      </c>
      <c r="C289" s="199" t="s">
        <v>1020</v>
      </c>
    </row>
    <row r="290" spans="2:3" ht="17" x14ac:dyDescent="0.2">
      <c r="B290" s="232" t="s">
        <v>92</v>
      </c>
      <c r="C290" s="8">
        <v>1</v>
      </c>
    </row>
    <row r="291" spans="2:3" ht="17" x14ac:dyDescent="0.2">
      <c r="B291" s="232" t="s">
        <v>639</v>
      </c>
      <c r="C291" s="8">
        <v>1</v>
      </c>
    </row>
    <row r="292" spans="2:3" ht="17" x14ac:dyDescent="0.2">
      <c r="B292" s="232" t="s">
        <v>3070</v>
      </c>
      <c r="C292" s="8">
        <v>1</v>
      </c>
    </row>
    <row r="293" spans="2:3" ht="17" x14ac:dyDescent="0.2">
      <c r="B293" s="226" t="s">
        <v>3684</v>
      </c>
      <c r="C293" s="199" t="s">
        <v>1020</v>
      </c>
    </row>
    <row r="294" spans="2:3" ht="17" x14ac:dyDescent="0.2">
      <c r="B294" s="232" t="s">
        <v>92</v>
      </c>
      <c r="C294" s="8">
        <v>4</v>
      </c>
    </row>
    <row r="295" spans="2:3" ht="17" x14ac:dyDescent="0.2">
      <c r="B295" s="232" t="s">
        <v>639</v>
      </c>
      <c r="C295" s="8">
        <v>4</v>
      </c>
    </row>
    <row r="296" spans="2:3" ht="17" x14ac:dyDescent="0.2">
      <c r="B296" s="232" t="s">
        <v>3070</v>
      </c>
      <c r="C296" s="8">
        <v>4</v>
      </c>
    </row>
    <row r="297" spans="2:3" ht="17" x14ac:dyDescent="0.2">
      <c r="B297" s="226" t="s">
        <v>3685</v>
      </c>
      <c r="C297" s="199" t="s">
        <v>1020</v>
      </c>
    </row>
    <row r="298" spans="2:3" ht="17" x14ac:dyDescent="0.2">
      <c r="B298" s="232" t="s">
        <v>92</v>
      </c>
      <c r="C298" s="8">
        <v>6</v>
      </c>
    </row>
    <row r="299" spans="2:3" ht="17" x14ac:dyDescent="0.2">
      <c r="B299" s="232" t="s">
        <v>639</v>
      </c>
      <c r="C299" s="8">
        <v>6</v>
      </c>
    </row>
    <row r="300" spans="2:3" ht="17" x14ac:dyDescent="0.2">
      <c r="B300" s="232" t="s">
        <v>3070</v>
      </c>
      <c r="C300" s="8">
        <v>6</v>
      </c>
    </row>
    <row r="301" spans="2:3" ht="17" x14ac:dyDescent="0.2">
      <c r="B301" s="226" t="s">
        <v>3686</v>
      </c>
      <c r="C301" s="199" t="s">
        <v>1020</v>
      </c>
    </row>
    <row r="302" spans="2:3" ht="17" x14ac:dyDescent="0.2">
      <c r="B302" s="232" t="s">
        <v>92</v>
      </c>
      <c r="C302" s="8">
        <v>400</v>
      </c>
    </row>
    <row r="303" spans="2:3" ht="17" x14ac:dyDescent="0.2">
      <c r="B303" s="232" t="s">
        <v>639</v>
      </c>
      <c r="C303" s="8">
        <v>400</v>
      </c>
    </row>
    <row r="304" spans="2:3" ht="17" x14ac:dyDescent="0.2">
      <c r="B304" s="232" t="s">
        <v>3070</v>
      </c>
      <c r="C304" s="8">
        <v>400</v>
      </c>
    </row>
    <row r="305" spans="2:3" ht="17" x14ac:dyDescent="0.2">
      <c r="B305" s="226" t="s">
        <v>2824</v>
      </c>
      <c r="C305" s="199" t="s">
        <v>1020</v>
      </c>
    </row>
    <row r="306" spans="2:3" ht="17" x14ac:dyDescent="0.2">
      <c r="B306" s="232"/>
      <c r="C306" s="232" t="s">
        <v>529</v>
      </c>
    </row>
    <row r="307" spans="2:3" ht="17" x14ac:dyDescent="0.2">
      <c r="B307" s="232"/>
      <c r="C307" s="232" t="s">
        <v>92</v>
      </c>
    </row>
    <row r="308" spans="2:3" ht="17" x14ac:dyDescent="0.2">
      <c r="B308" s="232"/>
      <c r="C308" s="232" t="s">
        <v>639</v>
      </c>
    </row>
    <row r="309" spans="2:3" ht="17" x14ac:dyDescent="0.2">
      <c r="B309" s="226" t="s">
        <v>3348</v>
      </c>
      <c r="C309" s="199" t="s">
        <v>1020</v>
      </c>
    </row>
    <row r="310" spans="2:3" ht="17" x14ac:dyDescent="0.2">
      <c r="B310" s="232" t="s">
        <v>1943</v>
      </c>
      <c r="C310" s="232">
        <v>6</v>
      </c>
    </row>
    <row r="311" spans="2:3" ht="17" x14ac:dyDescent="0.2">
      <c r="B311" s="232" t="s">
        <v>1945</v>
      </c>
      <c r="C311" s="232">
        <v>12</v>
      </c>
    </row>
    <row r="312" spans="2:3" ht="17" x14ac:dyDescent="0.2">
      <c r="B312" s="232" t="s">
        <v>708</v>
      </c>
      <c r="C312" s="232">
        <v>256</v>
      </c>
    </row>
    <row r="313" spans="2:3" ht="17" x14ac:dyDescent="0.2">
      <c r="B313" s="226" t="s">
        <v>3263</v>
      </c>
      <c r="C313" s="199" t="s">
        <v>1020</v>
      </c>
    </row>
    <row r="314" spans="2:3" ht="17" x14ac:dyDescent="0.2">
      <c r="B314" s="232" t="s">
        <v>3215</v>
      </c>
      <c r="C314" s="8">
        <v>1</v>
      </c>
    </row>
    <row r="315" spans="2:3" ht="17" x14ac:dyDescent="0.2">
      <c r="B315" s="232" t="s">
        <v>3262</v>
      </c>
      <c r="C315" s="8">
        <v>3</v>
      </c>
    </row>
    <row r="316" spans="2:3" ht="17" x14ac:dyDescent="0.2">
      <c r="B316" s="226" t="s">
        <v>3113</v>
      </c>
      <c r="C316" s="199" t="s">
        <v>1020</v>
      </c>
    </row>
    <row r="317" spans="2:3" ht="17" x14ac:dyDescent="0.2">
      <c r="B317" s="232" t="s">
        <v>529</v>
      </c>
      <c r="C317" s="8">
        <v>4</v>
      </c>
    </row>
    <row r="318" spans="2:3" ht="17" x14ac:dyDescent="0.2">
      <c r="B318" s="232" t="s">
        <v>3106</v>
      </c>
      <c r="C318" s="8">
        <v>4</v>
      </c>
    </row>
    <row r="319" spans="2:3" ht="17" x14ac:dyDescent="0.2">
      <c r="B319" s="232" t="s">
        <v>92</v>
      </c>
      <c r="C319" s="8">
        <v>4</v>
      </c>
    </row>
    <row r="320" spans="2:3" ht="17" x14ac:dyDescent="0.2">
      <c r="B320" s="232" t="s">
        <v>639</v>
      </c>
      <c r="C320" s="8">
        <v>8</v>
      </c>
    </row>
    <row r="321" spans="2:3" ht="17" x14ac:dyDescent="0.2">
      <c r="B321" s="226" t="s">
        <v>3111</v>
      </c>
      <c r="C321" s="199" t="s">
        <v>1020</v>
      </c>
    </row>
    <row r="322" spans="2:3" ht="17" x14ac:dyDescent="0.2">
      <c r="B322" s="232" t="s">
        <v>529</v>
      </c>
      <c r="C322" s="8">
        <v>10</v>
      </c>
    </row>
    <row r="323" spans="2:3" ht="17" x14ac:dyDescent="0.2">
      <c r="B323" s="232" t="s">
        <v>3106</v>
      </c>
      <c r="C323" s="8">
        <v>10</v>
      </c>
    </row>
    <row r="324" spans="2:3" ht="17" x14ac:dyDescent="0.2">
      <c r="B324" s="232" t="s">
        <v>92</v>
      </c>
      <c r="C324" s="8">
        <v>10</v>
      </c>
    </row>
    <row r="325" spans="2:3" ht="17" x14ac:dyDescent="0.2">
      <c r="B325" s="232" t="s">
        <v>639</v>
      </c>
      <c r="C325" s="8">
        <v>14</v>
      </c>
    </row>
    <row r="326" spans="2:3" ht="17" x14ac:dyDescent="0.2">
      <c r="B326" s="226" t="s">
        <v>3112</v>
      </c>
      <c r="C326" s="199" t="s">
        <v>1020</v>
      </c>
    </row>
    <row r="327" spans="2:3" ht="17" x14ac:dyDescent="0.2">
      <c r="B327" s="232" t="s">
        <v>529</v>
      </c>
      <c r="C327" s="8">
        <v>100</v>
      </c>
    </row>
    <row r="328" spans="2:3" ht="17" x14ac:dyDescent="0.2">
      <c r="B328" s="232" t="s">
        <v>3106</v>
      </c>
      <c r="C328" s="8">
        <v>100</v>
      </c>
    </row>
    <row r="329" spans="2:3" ht="17" x14ac:dyDescent="0.2">
      <c r="B329" s="232" t="s">
        <v>92</v>
      </c>
      <c r="C329" s="8">
        <v>100</v>
      </c>
    </row>
    <row r="330" spans="2:3" ht="17" x14ac:dyDescent="0.2">
      <c r="B330" s="232" t="s">
        <v>639</v>
      </c>
      <c r="C330" s="8">
        <v>100</v>
      </c>
    </row>
    <row r="331" spans="2:3" ht="17" x14ac:dyDescent="0.2">
      <c r="B331" s="226" t="s">
        <v>3107</v>
      </c>
      <c r="C331" s="199" t="s">
        <v>1020</v>
      </c>
    </row>
    <row r="332" spans="2:3" ht="17" x14ac:dyDescent="0.2">
      <c r="B332" s="232" t="s">
        <v>3598</v>
      </c>
      <c r="C332" s="8">
        <v>2</v>
      </c>
    </row>
    <row r="333" spans="2:3" ht="17" x14ac:dyDescent="0.2">
      <c r="B333" s="232" t="s">
        <v>3579</v>
      </c>
      <c r="C333" s="8">
        <v>3</v>
      </c>
    </row>
    <row r="334" spans="2:3" ht="17" x14ac:dyDescent="0.2">
      <c r="B334" s="232" t="s">
        <v>3580</v>
      </c>
      <c r="C334" s="8">
        <v>3</v>
      </c>
    </row>
    <row r="335" spans="2:3" ht="17" x14ac:dyDescent="0.2">
      <c r="B335" s="232" t="s">
        <v>3581</v>
      </c>
      <c r="C335" s="8">
        <v>3</v>
      </c>
    </row>
    <row r="336" spans="2:3" ht="17" x14ac:dyDescent="0.2">
      <c r="B336" s="232" t="s">
        <v>3599</v>
      </c>
      <c r="C336" s="8">
        <v>1</v>
      </c>
    </row>
    <row r="337" spans="2:3" ht="17" x14ac:dyDescent="0.2">
      <c r="B337" s="232" t="s">
        <v>3582</v>
      </c>
      <c r="C337" s="8">
        <v>3</v>
      </c>
    </row>
    <row r="338" spans="2:3" ht="17" x14ac:dyDescent="0.2">
      <c r="B338" s="232" t="s">
        <v>3583</v>
      </c>
      <c r="C338" s="8">
        <v>3</v>
      </c>
    </row>
    <row r="339" spans="2:3" ht="17" x14ac:dyDescent="0.2">
      <c r="B339" s="232" t="s">
        <v>3584</v>
      </c>
      <c r="C339" s="8">
        <v>3</v>
      </c>
    </row>
    <row r="340" spans="2:3" ht="17" x14ac:dyDescent="0.2">
      <c r="B340" s="226" t="s">
        <v>3108</v>
      </c>
      <c r="C340" s="199" t="s">
        <v>1020</v>
      </c>
    </row>
    <row r="341" spans="2:3" ht="17" x14ac:dyDescent="0.2">
      <c r="B341" s="232" t="s">
        <v>3598</v>
      </c>
      <c r="C341" s="8">
        <f>IF(AND(sizing_vcfops_logs_chosen="Exclude",sizing_vcfrtm_chosen="Exclude"),12,16)</f>
        <v>12</v>
      </c>
    </row>
    <row r="342" spans="2:3" ht="17" x14ac:dyDescent="0.2">
      <c r="B342" s="232" t="s">
        <v>3579</v>
      </c>
      <c r="C342" s="8">
        <f>IF(AND(sizing_vcfops_logs_chosen="Exclude",sizing_vcfrtm_chosen="Exclude"),10,16)</f>
        <v>10</v>
      </c>
    </row>
    <row r="343" spans="2:3" ht="17" x14ac:dyDescent="0.2">
      <c r="B343" s="232" t="s">
        <v>3580</v>
      </c>
      <c r="C343" s="8">
        <f>IF(AND(sizing_vcfops_logs_chosen="Exclude",sizing_vcfrtm_chosen="Exclude"),12,24)</f>
        <v>12</v>
      </c>
    </row>
    <row r="344" spans="2:3" ht="17" x14ac:dyDescent="0.2">
      <c r="B344" s="232" t="s">
        <v>3581</v>
      </c>
      <c r="C344" s="8">
        <f>IF(AND(sizing_vcfops_logs_chosen="Exclude",sizing_vcfrtm_chosen="Exclude"),16,24)</f>
        <v>16</v>
      </c>
    </row>
    <row r="345" spans="2:3" ht="17" x14ac:dyDescent="0.2">
      <c r="B345" s="232" t="s">
        <v>3599</v>
      </c>
      <c r="C345" s="8">
        <v>12</v>
      </c>
    </row>
    <row r="346" spans="2:3" ht="17" x14ac:dyDescent="0.2">
      <c r="B346" s="232" t="s">
        <v>3582</v>
      </c>
      <c r="C346" s="8">
        <v>10</v>
      </c>
    </row>
    <row r="347" spans="2:3" ht="17" x14ac:dyDescent="0.2">
      <c r="B347" s="232" t="s">
        <v>3583</v>
      </c>
      <c r="C347" s="8">
        <v>12</v>
      </c>
    </row>
    <row r="348" spans="2:3" ht="17" x14ac:dyDescent="0.2">
      <c r="B348" s="232" t="s">
        <v>3584</v>
      </c>
      <c r="C348" s="8">
        <v>16</v>
      </c>
    </row>
    <row r="349" spans="2:3" ht="17" x14ac:dyDescent="0.2">
      <c r="B349" s="226" t="s">
        <v>3109</v>
      </c>
      <c r="C349" s="199" t="s">
        <v>1020</v>
      </c>
    </row>
    <row r="350" spans="2:3" ht="17" x14ac:dyDescent="0.2">
      <c r="B350" s="232" t="s">
        <v>3598</v>
      </c>
      <c r="C350" s="8">
        <f>IF(AND(sizing_vcfops_logs_chosen="Exclude",sizing_vcfrtm_chosen="Exclude"),24,32)</f>
        <v>24</v>
      </c>
    </row>
    <row r="351" spans="2:3" ht="17" x14ac:dyDescent="0.2">
      <c r="B351" s="232" t="s">
        <v>3579</v>
      </c>
      <c r="C351" s="8">
        <f>IF(AND(sizing_vcfops_logs_chosen="Exclude",sizing_vcfrtm_chosen="Exclude"),16,32)</f>
        <v>16</v>
      </c>
    </row>
    <row r="352" spans="2:3" ht="17" x14ac:dyDescent="0.2">
      <c r="B352" s="232" t="s">
        <v>3580</v>
      </c>
      <c r="C352" s="8">
        <f>IF(AND(sizing_vcfops_logs_chosen="Exclude",sizing_vcfrtm_chosen="Exclude"),24,48)</f>
        <v>24</v>
      </c>
    </row>
    <row r="353" spans="2:3" ht="17" x14ac:dyDescent="0.2">
      <c r="B353" s="232" t="s">
        <v>3581</v>
      </c>
      <c r="C353" s="8">
        <f>IF(AND(sizing_vcfops_logs_chosen="Exclude",sizing_vcfrtm_chosen="Exclude"),32,48)</f>
        <v>32</v>
      </c>
    </row>
    <row r="354" spans="2:3" ht="17" x14ac:dyDescent="0.2">
      <c r="B354" s="232" t="s">
        <v>3599</v>
      </c>
      <c r="C354" s="8">
        <v>24</v>
      </c>
    </row>
    <row r="355" spans="2:3" ht="17" x14ac:dyDescent="0.2">
      <c r="B355" s="232" t="s">
        <v>3582</v>
      </c>
      <c r="C355" s="8">
        <v>16</v>
      </c>
    </row>
    <row r="356" spans="2:3" ht="17" x14ac:dyDescent="0.2">
      <c r="B356" s="232" t="s">
        <v>3583</v>
      </c>
      <c r="C356" s="8">
        <v>24</v>
      </c>
    </row>
    <row r="357" spans="2:3" ht="17" x14ac:dyDescent="0.2">
      <c r="B357" s="232" t="s">
        <v>3584</v>
      </c>
      <c r="C357" s="8">
        <v>32</v>
      </c>
    </row>
    <row r="358" spans="2:3" ht="17" x14ac:dyDescent="0.2">
      <c r="B358" s="226" t="s">
        <v>3110</v>
      </c>
      <c r="C358" s="199" t="s">
        <v>1020</v>
      </c>
    </row>
    <row r="359" spans="2:3" ht="17" x14ac:dyDescent="0.2">
      <c r="B359" s="232" t="s">
        <v>3598</v>
      </c>
      <c r="C359" s="8">
        <v>2900</v>
      </c>
    </row>
    <row r="360" spans="2:3" ht="17" x14ac:dyDescent="0.2">
      <c r="B360" s="232" t="s">
        <v>3579</v>
      </c>
      <c r="C360" s="8">
        <v>2800</v>
      </c>
    </row>
    <row r="361" spans="2:3" ht="17" x14ac:dyDescent="0.2">
      <c r="B361" s="232" t="s">
        <v>3580</v>
      </c>
      <c r="C361" s="8">
        <v>3300</v>
      </c>
    </row>
    <row r="362" spans="2:3" ht="17" x14ac:dyDescent="0.2">
      <c r="B362" s="232" t="s">
        <v>3581</v>
      </c>
      <c r="C362" s="8">
        <v>4002</v>
      </c>
    </row>
    <row r="363" spans="2:3" ht="17" x14ac:dyDescent="0.2">
      <c r="B363" s="232" t="s">
        <v>3599</v>
      </c>
      <c r="C363" s="8">
        <v>1000</v>
      </c>
    </row>
    <row r="364" spans="2:3" ht="17" x14ac:dyDescent="0.2">
      <c r="B364" s="232" t="s">
        <v>3582</v>
      </c>
      <c r="C364" s="8">
        <v>1000</v>
      </c>
    </row>
    <row r="365" spans="2:3" ht="17" x14ac:dyDescent="0.2">
      <c r="B365" s="232" t="s">
        <v>3583</v>
      </c>
      <c r="C365" s="8">
        <v>1202</v>
      </c>
    </row>
    <row r="366" spans="2:3" ht="17" x14ac:dyDescent="0.2">
      <c r="B366" s="232" t="s">
        <v>3584</v>
      </c>
      <c r="C366" s="8">
        <v>1500</v>
      </c>
    </row>
    <row r="367" spans="2:3" ht="17" x14ac:dyDescent="0.2">
      <c r="B367" s="226" t="s">
        <v>3597</v>
      </c>
      <c r="C367" s="199" t="s">
        <v>1020</v>
      </c>
    </row>
    <row r="368" spans="2:3" ht="17" x14ac:dyDescent="0.2">
      <c r="B368" s="232" t="s">
        <v>3608</v>
      </c>
      <c r="C368" s="8">
        <v>16</v>
      </c>
    </row>
    <row r="369" spans="2:3" ht="17" x14ac:dyDescent="0.2">
      <c r="B369" s="232" t="s">
        <v>3607</v>
      </c>
      <c r="C369" s="8">
        <v>16</v>
      </c>
    </row>
    <row r="370" spans="2:3" ht="17" x14ac:dyDescent="0.2">
      <c r="B370" s="232" t="s">
        <v>3606</v>
      </c>
      <c r="C370" s="8">
        <v>31</v>
      </c>
    </row>
    <row r="371" spans="2:3" ht="17" x14ac:dyDescent="0.2">
      <c r="B371" s="232" t="s">
        <v>3605</v>
      </c>
      <c r="C371" s="8">
        <v>47</v>
      </c>
    </row>
    <row r="372" spans="2:3" ht="17" x14ac:dyDescent="0.2">
      <c r="B372" s="226" t="s">
        <v>3596</v>
      </c>
      <c r="C372" s="199" t="s">
        <v>1020</v>
      </c>
    </row>
    <row r="373" spans="2:3" ht="17" x14ac:dyDescent="0.2">
      <c r="B373" s="232" t="s">
        <v>3608</v>
      </c>
      <c r="C373" s="8">
        <v>20</v>
      </c>
    </row>
    <row r="374" spans="2:3" ht="17" x14ac:dyDescent="0.2">
      <c r="B374" s="232" t="s">
        <v>3607</v>
      </c>
      <c r="C374" s="8">
        <v>20</v>
      </c>
    </row>
    <row r="375" spans="2:3" ht="17" x14ac:dyDescent="0.2">
      <c r="B375" s="232" t="s">
        <v>3606</v>
      </c>
      <c r="C375" s="8">
        <v>41</v>
      </c>
    </row>
    <row r="376" spans="2:3" ht="17" x14ac:dyDescent="0.2">
      <c r="B376" s="232" t="s">
        <v>3605</v>
      </c>
      <c r="C376" s="8">
        <v>62</v>
      </c>
    </row>
    <row r="377" spans="2:3" ht="17" x14ac:dyDescent="0.2">
      <c r="B377" s="226" t="s">
        <v>3595</v>
      </c>
      <c r="C377" s="199" t="s">
        <v>1020</v>
      </c>
    </row>
    <row r="378" spans="2:3" ht="17" x14ac:dyDescent="0.2">
      <c r="B378" s="232" t="s">
        <v>529</v>
      </c>
      <c r="C378" s="8">
        <v>8</v>
      </c>
    </row>
    <row r="379" spans="2:3" ht="17" x14ac:dyDescent="0.2">
      <c r="B379" s="232" t="s">
        <v>92</v>
      </c>
      <c r="C379" s="8">
        <v>16</v>
      </c>
    </row>
    <row r="380" spans="2:3" ht="17" x14ac:dyDescent="0.2">
      <c r="B380" s="232" t="s">
        <v>639</v>
      </c>
      <c r="C380" s="8">
        <v>32</v>
      </c>
    </row>
    <row r="381" spans="2:3" x14ac:dyDescent="0.2">
      <c r="B381" s="232"/>
      <c r="C381" s="8"/>
    </row>
    <row r="382" spans="2:3" ht="17" x14ac:dyDescent="0.2">
      <c r="B382" s="226" t="s">
        <v>3646</v>
      </c>
      <c r="C382" s="199"/>
    </row>
    <row r="383" spans="2:3" ht="17" x14ac:dyDescent="0.2">
      <c r="B383" s="232" t="s">
        <v>529</v>
      </c>
      <c r="C383" s="8">
        <v>16</v>
      </c>
    </row>
    <row r="384" spans="2:3" ht="17" x14ac:dyDescent="0.2">
      <c r="B384" s="232" t="s">
        <v>92</v>
      </c>
      <c r="C384" s="8">
        <v>32</v>
      </c>
    </row>
    <row r="385" spans="2:5" ht="17" x14ac:dyDescent="0.2">
      <c r="B385" s="232" t="s">
        <v>639</v>
      </c>
      <c r="C385" s="8">
        <v>64</v>
      </c>
    </row>
    <row r="386" spans="2:5" x14ac:dyDescent="0.2">
      <c r="B386" s="232"/>
      <c r="C386" s="8"/>
    </row>
    <row r="387" spans="2:5" ht="17" x14ac:dyDescent="0.2">
      <c r="B387" s="226" t="s">
        <v>3600</v>
      </c>
      <c r="C387" s="199" t="s">
        <v>1020</v>
      </c>
    </row>
    <row r="388" spans="2:5" ht="17" x14ac:dyDescent="0.2">
      <c r="B388" s="232" t="s">
        <v>3602</v>
      </c>
      <c r="C388" s="8">
        <f>IF(sizing_vcf_deployment_model_chosen="Exclude","0",
ROUNDUP(SUM(VLOOKUP(CONCATENATE(sizing_vcf_instance_model,sizing_vcf_deployment_model_chosen,sizing_vcf_deployment_size_chosen),table_vcfms_worker_nodes,2,FALSE),SUM('Static Reference Tables'!D393:D396)/VLOOKUP(CONCATENATE(sizing_vcf_instance_model,sizing_vcf_deployment_model_chosen,sizing_vcf_deployment_size_chosen),table_vcfms_worker_ram,2,FALSE)),0))</f>
        <v>3</v>
      </c>
      <c r="D388" s="8">
        <f>IF(sizing_vcf_deployment_model_chosen="Exclude",0,
ROUNDUP((D390/VLOOKUP(CONCATENATE(sizing_vcf_instance_model,sizing_vcf_deployment_model_chosen,sizing_vcf_deployment_size_chosen),table_vcfms_worker_ram,2,FALSE)),0)
+IF(CONCATENATE(sizing_vcf_instance_model,sizing_vcf_deployment_model_chosen,sizing_vcf_deployment_size_chosen)="Additional InstanceSimpleSmall",0,
+IF(CONCATENATE(sizing_vcf_instance_model,sizing_vcf_deployment_model_chosen,sizing_vcf_deployment_size_chosen)="First InstanceHigh AvailabilityMedium",0,1)))</f>
        <v>3</v>
      </c>
      <c r="E388" s="3">
        <f>D388*VLOOKUP(CONCATENATE(sizing_vcf_instance_model,sizing_vcf_deployment_model_chosen,sizing_vcf_deployment_size_chosen),table_vcfms_worker_ram,2,FALSE)</f>
        <v>48</v>
      </c>
    </row>
    <row r="389" spans="2:5" ht="17" x14ac:dyDescent="0.2">
      <c r="B389" s="232" t="s">
        <v>3601</v>
      </c>
      <c r="C389" s="8">
        <f>IF(sizing_vcf_deployment_model_chosen="Exclude","0",
ROUNDUP(SUM(VLOOKUP(CONCATENATE(sizing_vcf_instance_model,sizing_vcf_deployment_model_chosen,sizing_vcf_deployment_size_chosen),table_vcfms_worker_nodes,2,FALSE),SUM('Static Reference Tables'!C393:C396)/VLOOKUP(CONCATENATE(sizing_vcf_instance_model,sizing_vcf_deployment_model_chosen,sizing_vcf_deployment_size_chosen),table_vcfms_worker_cpu,2,FALSE)),0))</f>
        <v>3</v>
      </c>
      <c r="D389" s="8">
        <f>IF(sizing_vcf_deployment_model_chosen="Exclude",0,
ROUNDUP((D391/VLOOKUP(CONCATENATE(sizing_vcf_instance_model,sizing_vcf_deployment_model_chosen,sizing_vcf_deployment_size_chosen),table_vcfms_worker_cpu,2,FALSE)),0)
+IF(CONCATENATE(sizing_vcf_instance_model,sizing_vcf_deployment_model_chosen,sizing_vcf_deployment_size_chosen)="Additional InstanceSimpleSmall",0,
+IF(AND(sizing_vcfops_logs_chosen="Exclude",sizing_vcfrtm_chosen="Exclude",CONCATENATE(sizing_vcf_instance_model,sizing_vcf_deployment_model_chosen,sizing_vcf_deployment_size_chosen)="Additional InstanceHigh AvailabilityMedium"),0,
+IF(AND(OR(sizing_vcfops_logs_chosen&lt;&gt;"Exclude",sizing_vcfrtm_chosen&lt;&gt;"Exclude"),CONCATENATE(sizing_vcf_instance_model,sizing_vcf_deployment_model_chosen,sizing_vcf_deployment_size_chosen)="First InstanceHigh AvailabilityMedium"),0,1))))</f>
        <v>3</v>
      </c>
      <c r="E389" s="3">
        <f>D388*VLOOKUP(CONCATENATE(sizing_vcf_instance_model,sizing_vcf_deployment_model_chosen,sizing_vcf_deployment_size_chosen),table_vcfms_worker_cpu,2,FALSE)</f>
        <v>30</v>
      </c>
    </row>
    <row r="390" spans="2:5" ht="17" x14ac:dyDescent="0.2">
      <c r="B390" s="232" t="s">
        <v>3603</v>
      </c>
      <c r="C390" s="8">
        <f>IF(sizing_vcf_deployment_model_chosen="Exclude","0",
SUM(PRODUCT(VLOOKUP(CONCATENATE(sizing_vcf_instance_model,sizing_vcf_deployment_model_chosen,sizing_vcf_deployment_size_chosen),table_vcfms_worker_nodes,2,FALSE),VLOOKUP(CONCATENATE(sizing_vcf_instance_model,sizing_vcf_deployment_model_chosen,sizing_vcf_deployment_size_chosen),table_vcfms_worker_ram,2,FALSE)),D393:D396))</f>
        <v>48</v>
      </c>
      <c r="D390" s="8">
        <f>IF(sizing_vcf_deployment_model_chosen="Exclude","0",
ROUNDUP(PRODUCT(SUM(D393:D396,D398)*1.2),0))</f>
        <v>25</v>
      </c>
    </row>
    <row r="391" spans="2:5" ht="17" x14ac:dyDescent="0.2">
      <c r="B391" s="232" t="s">
        <v>3604</v>
      </c>
      <c r="C391" s="8">
        <f>IF(sizing_vcf_deployment_model_chosen="Exclude","0",
SUM(PRODUCT(VLOOKUP(CONCATENATE(sizing_vcf_instance_model,sizing_vcf_deployment_model_chosen,sizing_vcf_deployment_size_chosen),table_vcfms_worker_nodes,2,FALSE),VLOOKUP(CONCATENATE(sizing_vcf_instance_model,sizing_vcf_deployment_model_chosen,sizing_vcf_deployment_size_chosen),table_vcfms_worker_cpu,2,FALSE)),C393:C396))</f>
        <v>30</v>
      </c>
      <c r="D391" s="8">
        <f>IF(sizing_vcf_deployment_model_chosen="Exclude","0",
ROUNDUP(PRODUCT(SUM(C393:C396,C398)*1.09),0))</f>
        <v>14</v>
      </c>
    </row>
    <row r="392" spans="2:5" ht="17" x14ac:dyDescent="0.2">
      <c r="B392" s="226" t="s">
        <v>3627</v>
      </c>
      <c r="C392" s="199" t="s">
        <v>1943</v>
      </c>
      <c r="D392" s="199" t="s">
        <v>1945</v>
      </c>
      <c r="E392" s="199" t="s">
        <v>1947</v>
      </c>
    </row>
    <row r="393" spans="2:5" x14ac:dyDescent="0.2">
      <c r="B393" s="8" t="s">
        <v>3371</v>
      </c>
      <c r="C393" s="8" t="str">
        <f>IF(OR(sizing_vcfops_logs_replica_count_chosen="Exclude",sizing_vcfops_logs_chosen="Exclude"),"0",
PRODUCT(sizing_vcfops_logs_replica_count_chosen,VLOOKUP(sizing_vcfops_logs_chosen,table_logman_worker_cpu,2,FALSE)))</f>
        <v>0</v>
      </c>
      <c r="D393" s="8" t="str">
        <f>IF(OR(sizing_vcfops_logs_replica_count_chosen="Exclude",sizing_vcfops_logs_chosen="Exclude"),"0",
PRODUCT(sizing_vcfops_logs_replica_count_chosen,VLOOKUP(sizing_vcfops_logs_chosen,table_logman_worker_ram,2,FALSE)))</f>
        <v>0</v>
      </c>
      <c r="E393" s="8">
        <f>IF(OR(sizing_vcfops_logs_replica_count_chosen="Exclude",sizing_vcfops_logs_chosen="Exclude"),0,PRODUCT(sizing_vcfops_logs_replica_count_chosen,VLOOKUP(sizing_vcfops_logs_chosen,table_vrli_appliance_disk,2,)))</f>
        <v>0</v>
      </c>
    </row>
    <row r="394" spans="2:5" x14ac:dyDescent="0.2">
      <c r="B394" s="8" t="s">
        <v>3372</v>
      </c>
      <c r="C394" s="8" t="str">
        <f>IF(OR(sizing_vcfrtm_chosen="Exclude",sizing_vcf_deployment_model_chosen="Exclude"),"0",
VLOOKUP(CONCATENATE(sizing_vcf_deployment_model_chosen,sizing_vcf_deployment_size_chosen),table_vodap_worker_cpu,2,FALSE))</f>
        <v>0</v>
      </c>
      <c r="D394" s="8">
        <f>IF(OR(sizing_vcfrtm_chosen="Exclude",sizing_vcf_deployment_model_chosen="Exclude"),0,
VLOOKUP(CONCATENATE(sizing_vcf_deployment_model_chosen,sizing_vcf_deployment_size_chosen),table_vodap_worker_ram,2,FALSE))</f>
        <v>0</v>
      </c>
      <c r="E394" s="8" t="str">
        <f>IF(OR(sizing_vcfrtm_chosen="Exclude",sizing_vcf_deployment_model_chosen="Exclude"),"0",205)</f>
        <v>0</v>
      </c>
    </row>
    <row r="395" spans="2:5" x14ac:dyDescent="0.2">
      <c r="B395" s="8" t="s">
        <v>3644</v>
      </c>
      <c r="C395" s="8">
        <f>IF(AND(sizing_vcfsd_chosen="Include",sizing_vcf_instance_model="Additional Instance"),VLOOKUP(CONCATENATE(sizing_vcf_deployment_model_chosen,sizing_vcf_deployment_size_chosen),table_software_depot_cpu,2,FALSE),0)</f>
        <v>0</v>
      </c>
      <c r="D395" s="8">
        <f>IF(AND(sizing_vcfsd_chosen="Include",sizing_vcf_instance_model="Additional Instance"),VLOOKUP(CONCATENATE(sizing_vcf_deployment_model_chosen,sizing_vcf_deployment_size_chosen),table_software_depot_ram,2,FALSE),0)</f>
        <v>0</v>
      </c>
      <c r="E395" s="8">
        <f>IF(AND(sizing_vcfsd_chosen="Include",sizing_vcf_instance_model="Additional Instance"),VLOOKUP(CONCATENATE(sizing_vcf_deployment_model_chosen,sizing_vcf_deployment_size_chosen),table_software_depot_disk,2,FALSE),0)</f>
        <v>0</v>
      </c>
    </row>
    <row r="396" spans="2:5" x14ac:dyDescent="0.2">
      <c r="B396" s="8" t="s">
        <v>3645</v>
      </c>
      <c r="C396" s="8">
        <f>IF(AND(sizing_vcfvidb_chosen&lt;&gt;"Exclude",sizing_vcf_instance_model="Additional Instance"),VLOOKUP(CONCATENATE(sizing_vcf_deployment_model_chosen,sizing_vcf_deployment_size_chosen),table_idbroker_cpu,2,FALSE),0)</f>
        <v>0</v>
      </c>
      <c r="D396" s="8">
        <f>IF(AND(sizing_vcfvidb_chosen&lt;&gt;"Exclude",sizing_vcf_instance_model="Additional Instance"),VLOOKUP(CONCATENATE(sizing_vcf_deployment_model_chosen,sizing_vcf_deployment_size_chosen),table_idbroker_ram,2,FALSE),0)</f>
        <v>0</v>
      </c>
      <c r="E396" s="8">
        <f>IF(AND(sizing_vcfvidb_chosen&lt;&gt;"Exclude",sizing_vcf_instance_model="Additional Instance"),VLOOKUP(CONCATENATE(sizing_vcf_deployment_model_chosen,sizing_vcf_deployment_size_chosen),table_idbroker_disk,2,FALSE),0)</f>
        <v>0</v>
      </c>
    </row>
    <row r="397" spans="2:5" ht="17" x14ac:dyDescent="0.2">
      <c r="B397" s="226" t="s">
        <v>3662</v>
      </c>
      <c r="C397" s="398" t="s">
        <v>1943</v>
      </c>
      <c r="D397" s="398" t="s">
        <v>1945</v>
      </c>
      <c r="E397" s="2"/>
    </row>
    <row r="398" spans="2:5" x14ac:dyDescent="0.2">
      <c r="B398" s="386"/>
      <c r="C398" s="8">
        <f>IF(sizing_vcf_instance_model="Additional Instance",
SUM(
(VLOOKUP(CONCATENATE(sizing_vcf_deployment_model_chosen,sizing_vcf_deployment_size_chosen),table_sddc_lcm_cpu,2,FALSE)),
(VLOOKUP(CONCATENATE(sizing_vcf_deployment_model_chosen,sizing_vcf_deployment_size_chosen),table_salt_cpu,2,FALSE)),
(VLOOKUP(CONCATENATE(sizing_vcf_deployment_model_chosen,sizing_vcf_deployment_size_chosen),table_telemetry_cpu,2,FALSE))),
SUM(
(VLOOKUP(CONCATENATE(sizing_vcf_deployment_model_chosen,sizing_vcf_deployment_size_chosen),table_idbroker_cpu,2,FALSE)),
(VLOOKUP(CONCATENATE(sizing_vcf_deployment_model_chosen,sizing_vcf_deployment_size_chosen),table_software_depot_cpu,2,FALSE)),
(VLOOKUP(CONCATENATE(sizing_vcf_deployment_model_chosen,sizing_vcf_deployment_size_chosen),table_sddc_lcm_cpu,2,FALSE)),
(VLOOKUP(CONCATENATE(sizing_vcf_deployment_model_chosen,sizing_vcf_deployment_size_chosen),table_salt_cpu,2,FALSE)),
(VLOOKUP(CONCATENATE(sizing_vcf_deployment_model_chosen,sizing_vcf_deployment_size_chosen),table_salt_raas_cpu,2,FALSE)),
(VLOOKUP(CONCATENATE(sizing_vcf_deployment_model_chosen,sizing_vcf_deployment_size_chosen),table_telemetry_cpu,2,FALSE)),
(VLOOKUP(CONCATENATE(sizing_vcf_deployment_model_chosen,sizing_vcf_deployment_size_chosen),table_fleet_cpu,2,FALSE))))</f>
        <v>12.35</v>
      </c>
      <c r="D398" s="8">
        <f>IF(sizing_vcf_instance_model="Additional Instance",
SUM(
(VLOOKUP(CONCATENATE(sizing_vcf_deployment_model_chosen,sizing_vcf_deployment_size_chosen),table_sddc_lcm_ram,2,FALSE)),
(VLOOKUP(CONCATENATE(sizing_vcf_deployment_model_chosen,sizing_vcf_deployment_size_chosen),table_salt_ram,2,FALSE)),
(VLOOKUP(CONCATENATE(sizing_vcf_deployment_model_chosen,sizing_vcf_deployment_size_chosen),table_telemetry_ram,2,FALSE))),
SUM(
(VLOOKUP(CONCATENATE(sizing_vcf_deployment_model_chosen,sizing_vcf_deployment_size_chosen),table_idbroker_ram,2,FALSE)),
(VLOOKUP(CONCATENATE(sizing_vcf_deployment_model_chosen,sizing_vcf_deployment_size_chosen),table_software_depot_ram,2,FALSE)),
(VLOOKUP(CONCATENATE(sizing_vcf_deployment_model_chosen,sizing_vcf_deployment_size_chosen),table_sddc_lcm_ram,2,FALSE)),
(VLOOKUP(CONCATENATE(sizing_vcf_deployment_model_chosen,sizing_vcf_deployment_size_chosen),table_salt_ram,2,FALSE)),
(VLOOKUP(CONCATENATE(sizing_vcf_deployment_model_chosen,sizing_vcf_deployment_size_chosen),table_salt_raas_ram,2,FALSE)),
(VLOOKUP(CONCATENATE(sizing_vcf_deployment_model_chosen,sizing_vcf_deployment_size_chosen),table_telemetry_ram,2,FALSE)),
(VLOOKUP(CONCATENATE(sizing_vcf_deployment_model_chosen,sizing_vcf_deployment_size_chosen),table_fleet_ram,2,FALSE))))</f>
        <v>20.100000000000001</v>
      </c>
      <c r="E398" s="2"/>
    </row>
    <row r="399" spans="2:5" ht="17" x14ac:dyDescent="0.2">
      <c r="B399" s="327" t="s">
        <v>3625</v>
      </c>
      <c r="C399" s="391" t="s">
        <v>1943</v>
      </c>
      <c r="E399" s="2"/>
    </row>
    <row r="400" spans="2:5" x14ac:dyDescent="0.2">
      <c r="B400" s="386" t="s">
        <v>1917</v>
      </c>
      <c r="C400" s="8">
        <v>2</v>
      </c>
      <c r="E400" s="2"/>
    </row>
    <row r="401" spans="2:5" x14ac:dyDescent="0.2">
      <c r="B401" s="386" t="s">
        <v>529</v>
      </c>
      <c r="C401" s="8">
        <v>4</v>
      </c>
      <c r="E401" s="2"/>
    </row>
    <row r="402" spans="2:5" x14ac:dyDescent="0.2">
      <c r="B402" s="386" t="s">
        <v>92</v>
      </c>
      <c r="C402" s="8">
        <v>8</v>
      </c>
      <c r="E402" s="2"/>
    </row>
    <row r="403" spans="2:5" x14ac:dyDescent="0.2">
      <c r="B403" s="386" t="s">
        <v>639</v>
      </c>
      <c r="C403" s="8">
        <v>16</v>
      </c>
      <c r="E403" s="2"/>
    </row>
    <row r="404" spans="2:5" x14ac:dyDescent="0.2">
      <c r="B404" s="386" t="s">
        <v>3626</v>
      </c>
      <c r="C404" s="8">
        <v>32</v>
      </c>
      <c r="E404" s="2"/>
    </row>
    <row r="405" spans="2:5" ht="17" x14ac:dyDescent="0.2">
      <c r="B405" s="226" t="s">
        <v>3625</v>
      </c>
      <c r="C405" s="199" t="s">
        <v>1945</v>
      </c>
      <c r="E405" s="2"/>
    </row>
    <row r="406" spans="2:5" x14ac:dyDescent="0.2">
      <c r="B406" s="386" t="s">
        <v>1917</v>
      </c>
      <c r="C406" s="8">
        <v>8</v>
      </c>
      <c r="E406" s="2"/>
    </row>
    <row r="407" spans="2:5" x14ac:dyDescent="0.2">
      <c r="B407" s="386" t="s">
        <v>529</v>
      </c>
      <c r="C407" s="8">
        <v>16</v>
      </c>
      <c r="E407" s="2"/>
    </row>
    <row r="408" spans="2:5" x14ac:dyDescent="0.2">
      <c r="B408" s="386" t="s">
        <v>92</v>
      </c>
      <c r="C408" s="8">
        <v>24</v>
      </c>
      <c r="E408" s="2"/>
    </row>
    <row r="409" spans="2:5" x14ac:dyDescent="0.2">
      <c r="B409" s="386" t="s">
        <v>639</v>
      </c>
      <c r="C409" s="8">
        <v>32</v>
      </c>
      <c r="E409" s="2"/>
    </row>
    <row r="410" spans="2:5" x14ac:dyDescent="0.2">
      <c r="B410" s="386" t="s">
        <v>3626</v>
      </c>
      <c r="C410" s="8">
        <v>64</v>
      </c>
      <c r="E410" s="2"/>
    </row>
    <row r="411" spans="2:5" ht="17" x14ac:dyDescent="0.2">
      <c r="B411" s="226" t="s">
        <v>3625</v>
      </c>
      <c r="C411" s="199" t="s">
        <v>1947</v>
      </c>
      <c r="E411" s="2"/>
    </row>
    <row r="412" spans="2:5" x14ac:dyDescent="0.2">
      <c r="B412" s="386" t="s">
        <v>1917</v>
      </c>
      <c r="C412" s="386">
        <v>48</v>
      </c>
      <c r="E412" s="2"/>
    </row>
    <row r="413" spans="2:5" x14ac:dyDescent="0.2">
      <c r="B413" s="386" t="s">
        <v>529</v>
      </c>
      <c r="C413" s="386">
        <v>48</v>
      </c>
      <c r="E413" s="2"/>
    </row>
    <row r="414" spans="2:5" x14ac:dyDescent="0.2">
      <c r="B414" s="386" t="s">
        <v>92</v>
      </c>
      <c r="C414" s="386">
        <v>48</v>
      </c>
      <c r="E414" s="2"/>
    </row>
    <row r="415" spans="2:5" x14ac:dyDescent="0.2">
      <c r="B415" s="386" t="s">
        <v>639</v>
      </c>
      <c r="C415" s="386">
        <v>48</v>
      </c>
      <c r="E415" s="2"/>
    </row>
    <row r="416" spans="2:5" x14ac:dyDescent="0.2">
      <c r="B416" s="386" t="s">
        <v>3626</v>
      </c>
      <c r="C416" s="386">
        <v>48</v>
      </c>
      <c r="E416" s="2"/>
    </row>
    <row r="417" spans="2:5" ht="17" x14ac:dyDescent="0.2">
      <c r="B417" s="226" t="s">
        <v>3645</v>
      </c>
      <c r="C417" s="199" t="s">
        <v>1943</v>
      </c>
      <c r="E417" s="2"/>
    </row>
    <row r="418" spans="2:5" ht="17" x14ac:dyDescent="0.2">
      <c r="B418" s="232" t="s">
        <v>3608</v>
      </c>
      <c r="C418" s="386">
        <v>1.5</v>
      </c>
      <c r="E418" s="2"/>
    </row>
    <row r="419" spans="2:5" ht="17" x14ac:dyDescent="0.2">
      <c r="B419" s="232" t="s">
        <v>3607</v>
      </c>
      <c r="C419" s="386">
        <v>3</v>
      </c>
      <c r="E419" s="2"/>
    </row>
    <row r="420" spans="2:5" ht="17" x14ac:dyDescent="0.2">
      <c r="B420" s="232" t="s">
        <v>3606</v>
      </c>
      <c r="C420" s="386">
        <v>5</v>
      </c>
      <c r="E420" s="2"/>
    </row>
    <row r="421" spans="2:5" ht="17" x14ac:dyDescent="0.2">
      <c r="B421" s="232" t="s">
        <v>3605</v>
      </c>
      <c r="C421" s="386">
        <v>10</v>
      </c>
      <c r="E421" s="2"/>
    </row>
    <row r="422" spans="2:5" ht="17" x14ac:dyDescent="0.2">
      <c r="B422" s="226" t="s">
        <v>3645</v>
      </c>
      <c r="C422" s="199" t="s">
        <v>1945</v>
      </c>
      <c r="E422" s="2"/>
    </row>
    <row r="423" spans="2:5" ht="17" x14ac:dyDescent="0.2">
      <c r="B423" s="232" t="s">
        <v>3608</v>
      </c>
      <c r="C423" s="386">
        <v>2</v>
      </c>
      <c r="E423" s="2"/>
    </row>
    <row r="424" spans="2:5" ht="17" x14ac:dyDescent="0.2">
      <c r="B424" s="232" t="s">
        <v>3607</v>
      </c>
      <c r="C424" s="386">
        <v>5</v>
      </c>
      <c r="E424" s="2"/>
    </row>
    <row r="425" spans="2:5" ht="17" x14ac:dyDescent="0.2">
      <c r="B425" s="232" t="s">
        <v>3606</v>
      </c>
      <c r="C425" s="386">
        <v>5</v>
      </c>
      <c r="E425" s="2"/>
    </row>
    <row r="426" spans="2:5" ht="17" x14ac:dyDescent="0.2">
      <c r="B426" s="232" t="s">
        <v>3605</v>
      </c>
      <c r="C426" s="386">
        <v>20</v>
      </c>
      <c r="E426" s="2"/>
    </row>
    <row r="427" spans="2:5" ht="17" x14ac:dyDescent="0.2">
      <c r="B427" s="226" t="s">
        <v>3645</v>
      </c>
      <c r="C427" s="199" t="s">
        <v>1947</v>
      </c>
      <c r="E427" s="2"/>
    </row>
    <row r="428" spans="2:5" ht="17" x14ac:dyDescent="0.2">
      <c r="B428" s="232" t="s">
        <v>3608</v>
      </c>
      <c r="C428" s="386">
        <v>20</v>
      </c>
      <c r="E428" s="2"/>
    </row>
    <row r="429" spans="2:5" ht="17" x14ac:dyDescent="0.2">
      <c r="B429" s="232" t="s">
        <v>3607</v>
      </c>
      <c r="C429" s="386">
        <v>60</v>
      </c>
      <c r="E429" s="2"/>
    </row>
    <row r="430" spans="2:5" ht="17" x14ac:dyDescent="0.2">
      <c r="B430" s="232" t="s">
        <v>3606</v>
      </c>
      <c r="C430" s="386">
        <v>60</v>
      </c>
      <c r="E430" s="2"/>
    </row>
    <row r="431" spans="2:5" ht="17" x14ac:dyDescent="0.2">
      <c r="B431" s="232" t="s">
        <v>3605</v>
      </c>
      <c r="C431" s="386">
        <v>120</v>
      </c>
      <c r="E431" s="2"/>
    </row>
    <row r="432" spans="2:5" ht="17" x14ac:dyDescent="0.2">
      <c r="B432" s="226" t="s">
        <v>3644</v>
      </c>
      <c r="C432" s="199" t="s">
        <v>1943</v>
      </c>
      <c r="E432" s="2"/>
    </row>
    <row r="433" spans="2:5" ht="17" x14ac:dyDescent="0.2">
      <c r="B433" s="232" t="s">
        <v>3608</v>
      </c>
      <c r="C433" s="386">
        <v>2</v>
      </c>
      <c r="E433" s="2"/>
    </row>
    <row r="434" spans="2:5" ht="17" x14ac:dyDescent="0.2">
      <c r="B434" s="232" t="s">
        <v>3607</v>
      </c>
      <c r="C434" s="386">
        <v>2</v>
      </c>
      <c r="E434" s="2"/>
    </row>
    <row r="435" spans="2:5" ht="17" x14ac:dyDescent="0.2">
      <c r="B435" s="232" t="s">
        <v>3606</v>
      </c>
      <c r="C435" s="386">
        <v>3</v>
      </c>
      <c r="E435" s="2"/>
    </row>
    <row r="436" spans="2:5" ht="17" x14ac:dyDescent="0.2">
      <c r="B436" s="232" t="s">
        <v>3605</v>
      </c>
      <c r="C436" s="386">
        <v>4</v>
      </c>
      <c r="E436" s="2"/>
    </row>
    <row r="437" spans="2:5" ht="17" x14ac:dyDescent="0.2">
      <c r="B437" s="226" t="s">
        <v>3644</v>
      </c>
      <c r="C437" s="199" t="s">
        <v>1945</v>
      </c>
      <c r="E437" s="2"/>
    </row>
    <row r="438" spans="2:5" ht="17" x14ac:dyDescent="0.2">
      <c r="B438" s="232" t="s">
        <v>3608</v>
      </c>
      <c r="C438" s="386">
        <v>2</v>
      </c>
      <c r="E438" s="2"/>
    </row>
    <row r="439" spans="2:5" ht="17" x14ac:dyDescent="0.2">
      <c r="B439" s="232" t="s">
        <v>3607</v>
      </c>
      <c r="C439" s="386">
        <v>2</v>
      </c>
      <c r="E439" s="2"/>
    </row>
    <row r="440" spans="2:5" ht="17" x14ac:dyDescent="0.2">
      <c r="B440" s="232" t="s">
        <v>3606</v>
      </c>
      <c r="C440" s="386">
        <v>3</v>
      </c>
      <c r="E440" s="2"/>
    </row>
    <row r="441" spans="2:5" ht="17" x14ac:dyDescent="0.2">
      <c r="B441" s="232" t="s">
        <v>3605</v>
      </c>
      <c r="C441" s="386">
        <v>6</v>
      </c>
      <c r="E441" s="2"/>
    </row>
    <row r="442" spans="2:5" ht="17" x14ac:dyDescent="0.2">
      <c r="B442" s="226" t="s">
        <v>3644</v>
      </c>
      <c r="C442" s="199" t="s">
        <v>1947</v>
      </c>
      <c r="E442" s="2"/>
    </row>
    <row r="443" spans="2:5" ht="17" x14ac:dyDescent="0.2">
      <c r="B443" s="232" t="s">
        <v>3608</v>
      </c>
      <c r="C443" s="386">
        <v>1500</v>
      </c>
      <c r="E443" s="2"/>
    </row>
    <row r="444" spans="2:5" ht="17" x14ac:dyDescent="0.2">
      <c r="B444" s="232" t="s">
        <v>3607</v>
      </c>
      <c r="C444" s="386">
        <v>1500</v>
      </c>
      <c r="E444" s="2"/>
    </row>
    <row r="445" spans="2:5" ht="17" x14ac:dyDescent="0.2">
      <c r="B445" s="232" t="s">
        <v>3606</v>
      </c>
      <c r="C445" s="386">
        <v>1500</v>
      </c>
      <c r="E445" s="2"/>
    </row>
    <row r="446" spans="2:5" ht="17" x14ac:dyDescent="0.2">
      <c r="B446" s="232" t="s">
        <v>3605</v>
      </c>
      <c r="C446" s="386">
        <v>1500</v>
      </c>
      <c r="E446" s="2"/>
    </row>
    <row r="447" spans="2:5" ht="17" x14ac:dyDescent="0.2">
      <c r="B447" s="226" t="s">
        <v>3657</v>
      </c>
      <c r="C447" s="199" t="s">
        <v>1943</v>
      </c>
      <c r="E447" s="2"/>
    </row>
    <row r="448" spans="2:5" ht="17" x14ac:dyDescent="0.2">
      <c r="B448" s="232" t="s">
        <v>3608</v>
      </c>
      <c r="C448" s="386">
        <v>0.7</v>
      </c>
      <c r="E448" s="2"/>
    </row>
    <row r="449" spans="2:5" ht="17" x14ac:dyDescent="0.2">
      <c r="B449" s="232" t="s">
        <v>3607</v>
      </c>
      <c r="C449" s="386">
        <v>0.7</v>
      </c>
      <c r="E449" s="2"/>
    </row>
    <row r="450" spans="2:5" ht="17" x14ac:dyDescent="0.2">
      <c r="B450" s="232" t="s">
        <v>3606</v>
      </c>
      <c r="C450" s="386">
        <v>1.5</v>
      </c>
      <c r="E450" s="2"/>
    </row>
    <row r="451" spans="2:5" ht="17" x14ac:dyDescent="0.2">
      <c r="B451" s="232" t="s">
        <v>3605</v>
      </c>
      <c r="C451" s="386">
        <v>2.5</v>
      </c>
      <c r="E451" s="2"/>
    </row>
    <row r="452" spans="2:5" ht="17" x14ac:dyDescent="0.2">
      <c r="B452" s="226" t="s">
        <v>3657</v>
      </c>
      <c r="C452" s="199" t="s">
        <v>1945</v>
      </c>
      <c r="E452" s="2"/>
    </row>
    <row r="453" spans="2:5" ht="17" x14ac:dyDescent="0.2">
      <c r="B453" s="232" t="s">
        <v>3608</v>
      </c>
      <c r="C453" s="386">
        <v>1.5</v>
      </c>
      <c r="E453" s="2"/>
    </row>
    <row r="454" spans="2:5" ht="17" x14ac:dyDescent="0.2">
      <c r="B454" s="232" t="s">
        <v>3607</v>
      </c>
      <c r="C454" s="386">
        <v>1.5</v>
      </c>
      <c r="E454" s="2"/>
    </row>
    <row r="455" spans="2:5" ht="17" x14ac:dyDescent="0.2">
      <c r="B455" s="232" t="s">
        <v>3606</v>
      </c>
      <c r="C455" s="386">
        <v>2.5</v>
      </c>
      <c r="E455" s="2"/>
    </row>
    <row r="456" spans="2:5" ht="17" x14ac:dyDescent="0.2">
      <c r="B456" s="232" t="s">
        <v>3605</v>
      </c>
      <c r="C456" s="386">
        <v>4.5</v>
      </c>
      <c r="E456" s="2"/>
    </row>
    <row r="457" spans="2:5" ht="17" x14ac:dyDescent="0.2">
      <c r="B457" s="226" t="s">
        <v>3658</v>
      </c>
      <c r="C457" s="199" t="s">
        <v>1943</v>
      </c>
      <c r="E457" s="2"/>
    </row>
    <row r="458" spans="2:5" ht="17" x14ac:dyDescent="0.2">
      <c r="B458" s="232" t="s">
        <v>3608</v>
      </c>
      <c r="C458" s="386">
        <v>1.1499999999999999</v>
      </c>
      <c r="E458" s="2"/>
    </row>
    <row r="459" spans="2:5" ht="17" x14ac:dyDescent="0.2">
      <c r="B459" s="232" t="s">
        <v>3607</v>
      </c>
      <c r="C459" s="386">
        <v>1.1499999999999999</v>
      </c>
      <c r="E459" s="2"/>
    </row>
    <row r="460" spans="2:5" ht="17" x14ac:dyDescent="0.2">
      <c r="B460" s="232" t="s">
        <v>3606</v>
      </c>
      <c r="C460" s="386">
        <v>4.5</v>
      </c>
      <c r="E460" s="2"/>
    </row>
    <row r="461" spans="2:5" ht="17" x14ac:dyDescent="0.2">
      <c r="B461" s="232" t="s">
        <v>3605</v>
      </c>
      <c r="C461" s="386">
        <v>7</v>
      </c>
      <c r="E461" s="2"/>
    </row>
    <row r="462" spans="2:5" ht="17" x14ac:dyDescent="0.2">
      <c r="B462" s="226" t="s">
        <v>3658</v>
      </c>
      <c r="C462" s="199" t="s">
        <v>1945</v>
      </c>
      <c r="E462" s="2"/>
    </row>
    <row r="463" spans="2:5" ht="17" x14ac:dyDescent="0.2">
      <c r="B463" s="232" t="s">
        <v>3608</v>
      </c>
      <c r="C463" s="386">
        <v>2.6</v>
      </c>
      <c r="E463" s="2"/>
    </row>
    <row r="464" spans="2:5" ht="17" x14ac:dyDescent="0.2">
      <c r="B464" s="232" t="s">
        <v>3607</v>
      </c>
      <c r="C464" s="386">
        <v>2.6</v>
      </c>
      <c r="E464" s="2"/>
    </row>
    <row r="465" spans="2:5" ht="17" x14ac:dyDescent="0.2">
      <c r="B465" s="232" t="s">
        <v>3606</v>
      </c>
      <c r="C465" s="386">
        <v>6</v>
      </c>
      <c r="E465" s="2"/>
    </row>
    <row r="466" spans="2:5" ht="17" x14ac:dyDescent="0.2">
      <c r="B466" s="232" t="s">
        <v>3605</v>
      </c>
      <c r="C466" s="386">
        <v>9</v>
      </c>
      <c r="E466" s="2"/>
    </row>
    <row r="467" spans="2:5" ht="17" x14ac:dyDescent="0.2">
      <c r="B467" s="226" t="s">
        <v>3659</v>
      </c>
      <c r="C467" s="199" t="s">
        <v>1943</v>
      </c>
      <c r="E467" s="2"/>
    </row>
    <row r="468" spans="2:5" ht="17" x14ac:dyDescent="0.2">
      <c r="B468" s="232" t="s">
        <v>3608</v>
      </c>
      <c r="C468" s="386">
        <v>0.5</v>
      </c>
      <c r="E468" s="2"/>
    </row>
    <row r="469" spans="2:5" ht="17" x14ac:dyDescent="0.2">
      <c r="B469" s="232" t="s">
        <v>3607</v>
      </c>
      <c r="C469" s="386">
        <v>0.5</v>
      </c>
      <c r="E469" s="2"/>
    </row>
    <row r="470" spans="2:5" ht="17" x14ac:dyDescent="0.2">
      <c r="B470" s="232" t="s">
        <v>3606</v>
      </c>
      <c r="C470" s="386">
        <v>1</v>
      </c>
      <c r="E470" s="2"/>
    </row>
    <row r="471" spans="2:5" ht="17" x14ac:dyDescent="0.2">
      <c r="B471" s="232" t="s">
        <v>3605</v>
      </c>
      <c r="C471" s="386">
        <v>1</v>
      </c>
      <c r="E471" s="2"/>
    </row>
    <row r="472" spans="2:5" ht="17" x14ac:dyDescent="0.2">
      <c r="B472" s="226" t="s">
        <v>3659</v>
      </c>
      <c r="C472" s="199" t="s">
        <v>1945</v>
      </c>
      <c r="E472" s="2"/>
    </row>
    <row r="473" spans="2:5" ht="17" x14ac:dyDescent="0.2">
      <c r="B473" s="232" t="s">
        <v>3608</v>
      </c>
      <c r="C473" s="386">
        <v>2</v>
      </c>
      <c r="E473" s="2"/>
    </row>
    <row r="474" spans="2:5" ht="17" x14ac:dyDescent="0.2">
      <c r="B474" s="232" t="s">
        <v>3607</v>
      </c>
      <c r="C474" s="386">
        <v>2</v>
      </c>
      <c r="E474" s="2"/>
    </row>
    <row r="475" spans="2:5" ht="17" x14ac:dyDescent="0.2">
      <c r="B475" s="232" t="s">
        <v>3606</v>
      </c>
      <c r="C475" s="386">
        <v>3</v>
      </c>
      <c r="E475" s="2"/>
    </row>
    <row r="476" spans="2:5" ht="17" x14ac:dyDescent="0.2">
      <c r="B476" s="232" t="s">
        <v>3605</v>
      </c>
      <c r="C476" s="386">
        <v>6</v>
      </c>
      <c r="E476" s="2"/>
    </row>
    <row r="477" spans="2:5" ht="17" x14ac:dyDescent="0.2">
      <c r="B477" s="226" t="s">
        <v>3660</v>
      </c>
      <c r="C477" s="199" t="s">
        <v>1943</v>
      </c>
      <c r="E477" s="2"/>
    </row>
    <row r="478" spans="2:5" ht="17" x14ac:dyDescent="0.2">
      <c r="B478" s="232" t="s">
        <v>3608</v>
      </c>
      <c r="C478" s="386">
        <v>2</v>
      </c>
      <c r="E478" s="2"/>
    </row>
    <row r="479" spans="2:5" ht="17" x14ac:dyDescent="0.2">
      <c r="B479" s="232" t="s">
        <v>3607</v>
      </c>
      <c r="C479" s="386">
        <v>2.5</v>
      </c>
      <c r="E479" s="2"/>
    </row>
    <row r="480" spans="2:5" ht="17" x14ac:dyDescent="0.2">
      <c r="B480" s="232" t="s">
        <v>3606</v>
      </c>
      <c r="C480" s="386">
        <v>2.5</v>
      </c>
      <c r="E480" s="2"/>
    </row>
    <row r="481" spans="2:5" ht="17" x14ac:dyDescent="0.2">
      <c r="B481" s="232" t="s">
        <v>3605</v>
      </c>
      <c r="C481" s="386">
        <v>2.5</v>
      </c>
      <c r="E481" s="2"/>
    </row>
    <row r="482" spans="2:5" ht="17" x14ac:dyDescent="0.2">
      <c r="B482" s="226" t="s">
        <v>3660</v>
      </c>
      <c r="C482" s="199" t="s">
        <v>1945</v>
      </c>
      <c r="E482" s="2"/>
    </row>
    <row r="483" spans="2:5" ht="17" x14ac:dyDescent="0.2">
      <c r="B483" s="232" t="s">
        <v>3608</v>
      </c>
      <c r="C483" s="386">
        <v>3</v>
      </c>
      <c r="E483" s="2"/>
    </row>
    <row r="484" spans="2:5" ht="17" x14ac:dyDescent="0.2">
      <c r="B484" s="232" t="s">
        <v>3607</v>
      </c>
      <c r="C484" s="386">
        <v>3.5</v>
      </c>
      <c r="E484" s="2"/>
    </row>
    <row r="485" spans="2:5" ht="17" x14ac:dyDescent="0.2">
      <c r="B485" s="232" t="s">
        <v>3606</v>
      </c>
      <c r="C485" s="386">
        <v>3.5</v>
      </c>
      <c r="E485" s="2"/>
    </row>
    <row r="486" spans="2:5" ht="17" x14ac:dyDescent="0.2">
      <c r="B486" s="232" t="s">
        <v>3605</v>
      </c>
      <c r="C486" s="386">
        <v>3.5</v>
      </c>
      <c r="E486" s="2"/>
    </row>
    <row r="487" spans="2:5" ht="17" x14ac:dyDescent="0.2">
      <c r="B487" s="226" t="s">
        <v>3661</v>
      </c>
      <c r="C487" s="199" t="s">
        <v>1943</v>
      </c>
      <c r="E487" s="2"/>
    </row>
    <row r="488" spans="2:5" ht="17" x14ac:dyDescent="0.2">
      <c r="B488" s="232" t="s">
        <v>3608</v>
      </c>
      <c r="C488" s="386">
        <v>2</v>
      </c>
      <c r="E488" s="2"/>
    </row>
    <row r="489" spans="2:5" ht="17" x14ac:dyDescent="0.2">
      <c r="B489" s="232" t="s">
        <v>3607</v>
      </c>
      <c r="C489" s="386">
        <v>2.5</v>
      </c>
      <c r="E489" s="2"/>
    </row>
    <row r="490" spans="2:5" ht="17" x14ac:dyDescent="0.2">
      <c r="B490" s="232" t="s">
        <v>3606</v>
      </c>
      <c r="C490" s="386">
        <v>2.5</v>
      </c>
      <c r="E490" s="2"/>
    </row>
    <row r="491" spans="2:5" ht="17" x14ac:dyDescent="0.2">
      <c r="B491" s="232" t="s">
        <v>3605</v>
      </c>
      <c r="C491" s="386">
        <v>2.5</v>
      </c>
      <c r="E491" s="2"/>
    </row>
    <row r="492" spans="2:5" ht="17" x14ac:dyDescent="0.2">
      <c r="B492" s="226" t="s">
        <v>3661</v>
      </c>
      <c r="C492" s="199" t="s">
        <v>1945</v>
      </c>
      <c r="E492" s="2"/>
    </row>
    <row r="493" spans="2:5" ht="17" x14ac:dyDescent="0.2">
      <c r="B493" s="232" t="s">
        <v>3608</v>
      </c>
      <c r="C493" s="386">
        <v>3</v>
      </c>
      <c r="E493" s="2"/>
    </row>
    <row r="494" spans="2:5" ht="17" x14ac:dyDescent="0.2">
      <c r="B494" s="232" t="s">
        <v>3607</v>
      </c>
      <c r="C494" s="386">
        <v>3.5</v>
      </c>
      <c r="E494" s="2"/>
    </row>
    <row r="495" spans="2:5" ht="17" x14ac:dyDescent="0.2">
      <c r="B495" s="232" t="s">
        <v>3606</v>
      </c>
      <c r="C495" s="386">
        <v>3.5</v>
      </c>
      <c r="E495" s="2"/>
    </row>
    <row r="496" spans="2:5" ht="17" x14ac:dyDescent="0.2">
      <c r="B496" s="232" t="s">
        <v>3605</v>
      </c>
      <c r="C496" s="386">
        <v>3.5</v>
      </c>
      <c r="E496" s="2"/>
    </row>
    <row r="497" spans="2:5" ht="17" x14ac:dyDescent="0.2">
      <c r="B497" s="327" t="s">
        <v>447</v>
      </c>
      <c r="C497" s="327" t="s">
        <v>2016</v>
      </c>
      <c r="D497" s="327" t="s">
        <v>447</v>
      </c>
    </row>
    <row r="498" spans="2:5" x14ac:dyDescent="0.2">
      <c r="B498" s="233">
        <v>32</v>
      </c>
      <c r="C498" s="233" t="s">
        <v>2017</v>
      </c>
      <c r="D498" s="233">
        <v>32</v>
      </c>
    </row>
    <row r="499" spans="2:5" x14ac:dyDescent="0.2">
      <c r="B499" s="233">
        <v>31</v>
      </c>
      <c r="C499" s="233" t="s">
        <v>2018</v>
      </c>
      <c r="D499" s="233">
        <v>31</v>
      </c>
    </row>
    <row r="500" spans="2:5" x14ac:dyDescent="0.2">
      <c r="B500" s="233">
        <v>30</v>
      </c>
      <c r="C500" s="233" t="s">
        <v>2019</v>
      </c>
      <c r="D500" s="233">
        <v>30</v>
      </c>
    </row>
    <row r="501" spans="2:5" x14ac:dyDescent="0.2">
      <c r="B501" s="233">
        <v>29</v>
      </c>
      <c r="C501" s="233" t="s">
        <v>2020</v>
      </c>
      <c r="D501" s="233">
        <v>29</v>
      </c>
    </row>
    <row r="502" spans="2:5" x14ac:dyDescent="0.2">
      <c r="B502" s="233">
        <v>28</v>
      </c>
      <c r="C502" s="233" t="s">
        <v>2021</v>
      </c>
      <c r="D502" s="233">
        <v>28</v>
      </c>
    </row>
    <row r="503" spans="2:5" x14ac:dyDescent="0.2">
      <c r="B503" s="233">
        <v>27</v>
      </c>
      <c r="C503" s="233" t="s">
        <v>2022</v>
      </c>
      <c r="D503" s="233">
        <v>27</v>
      </c>
    </row>
    <row r="504" spans="2:5" x14ac:dyDescent="0.2">
      <c r="B504" s="233">
        <v>26</v>
      </c>
      <c r="C504" s="233" t="s">
        <v>2023</v>
      </c>
      <c r="D504" s="233">
        <v>26</v>
      </c>
    </row>
    <row r="505" spans="2:5" x14ac:dyDescent="0.2">
      <c r="B505" s="233">
        <v>25</v>
      </c>
      <c r="C505" s="233" t="s">
        <v>2024</v>
      </c>
      <c r="D505" s="233">
        <v>25</v>
      </c>
    </row>
    <row r="506" spans="2:5" x14ac:dyDescent="0.2">
      <c r="B506" s="233">
        <v>24</v>
      </c>
      <c r="C506" s="233" t="s">
        <v>126</v>
      </c>
      <c r="D506" s="233">
        <v>24</v>
      </c>
    </row>
    <row r="507" spans="2:5" x14ac:dyDescent="0.2">
      <c r="B507" s="233">
        <v>23</v>
      </c>
      <c r="C507" s="233" t="s">
        <v>2025</v>
      </c>
      <c r="D507" s="233">
        <v>23</v>
      </c>
    </row>
    <row r="508" spans="2:5" x14ac:dyDescent="0.2">
      <c r="B508" s="233">
        <v>22</v>
      </c>
      <c r="C508" s="233" t="s">
        <v>2026</v>
      </c>
      <c r="D508" s="233">
        <v>22</v>
      </c>
    </row>
    <row r="509" spans="2:5" x14ac:dyDescent="0.2">
      <c r="B509" s="233">
        <v>21</v>
      </c>
      <c r="C509" s="233" t="s">
        <v>2027</v>
      </c>
      <c r="D509" s="233">
        <v>21</v>
      </c>
    </row>
    <row r="510" spans="2:5" x14ac:dyDescent="0.2">
      <c r="B510" s="233">
        <v>20</v>
      </c>
      <c r="C510" s="233" t="s">
        <v>2028</v>
      </c>
      <c r="D510" s="233">
        <v>20</v>
      </c>
    </row>
    <row r="511" spans="2:5" x14ac:dyDescent="0.2">
      <c r="B511" s="233">
        <v>19</v>
      </c>
      <c r="C511" s="233" t="s">
        <v>2029</v>
      </c>
      <c r="D511" s="233">
        <v>19</v>
      </c>
      <c r="E511" s="3">
        <v>1</v>
      </c>
    </row>
    <row r="512" spans="2:5" x14ac:dyDescent="0.2">
      <c r="B512" s="233">
        <v>18</v>
      </c>
      <c r="C512" s="233" t="s">
        <v>2030</v>
      </c>
      <c r="D512" s="233">
        <v>18</v>
      </c>
      <c r="E512" s="3">
        <v>2</v>
      </c>
    </row>
    <row r="513" spans="2:5" x14ac:dyDescent="0.2">
      <c r="B513" s="233">
        <v>17</v>
      </c>
      <c r="C513" s="233" t="s">
        <v>2031</v>
      </c>
      <c r="D513" s="233">
        <v>17</v>
      </c>
      <c r="E513" s="3">
        <v>3</v>
      </c>
    </row>
    <row r="514" spans="2:5" x14ac:dyDescent="0.2">
      <c r="B514" s="233">
        <v>16</v>
      </c>
      <c r="C514" s="233" t="s">
        <v>2032</v>
      </c>
      <c r="D514" s="233">
        <v>16</v>
      </c>
      <c r="E514" s="3">
        <v>4</v>
      </c>
    </row>
    <row r="515" spans="2:5" x14ac:dyDescent="0.2">
      <c r="B515" s="233">
        <v>15</v>
      </c>
      <c r="C515" s="233" t="s">
        <v>2033</v>
      </c>
      <c r="D515" s="233">
        <v>15</v>
      </c>
      <c r="E515" s="3">
        <v>5</v>
      </c>
    </row>
    <row r="516" spans="2:5" x14ac:dyDescent="0.2">
      <c r="B516" s="233">
        <v>14</v>
      </c>
      <c r="C516" s="233" t="s">
        <v>2034</v>
      </c>
      <c r="D516" s="233">
        <v>14</v>
      </c>
      <c r="E516" s="3">
        <v>6</v>
      </c>
    </row>
    <row r="517" spans="2:5" x14ac:dyDescent="0.2">
      <c r="B517" s="233">
        <v>13</v>
      </c>
      <c r="C517" s="233" t="s">
        <v>2035</v>
      </c>
      <c r="D517" s="233">
        <v>13</v>
      </c>
      <c r="E517" s="3">
        <v>7</v>
      </c>
    </row>
    <row r="518" spans="2:5" x14ac:dyDescent="0.2">
      <c r="B518" s="233">
        <v>12</v>
      </c>
      <c r="C518" s="233" t="s">
        <v>2036</v>
      </c>
      <c r="D518" s="233">
        <v>12</v>
      </c>
      <c r="E518" s="3">
        <v>8</v>
      </c>
    </row>
    <row r="519" spans="2:5" x14ac:dyDescent="0.2">
      <c r="B519" s="233">
        <v>11</v>
      </c>
      <c r="C519" s="233" t="s">
        <v>2037</v>
      </c>
      <c r="D519" s="233">
        <v>11</v>
      </c>
      <c r="E519" s="3">
        <v>9</v>
      </c>
    </row>
    <row r="520" spans="2:5" x14ac:dyDescent="0.2">
      <c r="B520" s="233">
        <v>10</v>
      </c>
      <c r="C520" s="233" t="s">
        <v>2038</v>
      </c>
      <c r="D520" s="233">
        <v>10</v>
      </c>
      <c r="E520" s="3">
        <v>10</v>
      </c>
    </row>
    <row r="521" spans="2:5" x14ac:dyDescent="0.2">
      <c r="B521" s="233">
        <v>9</v>
      </c>
      <c r="C521" s="233" t="s">
        <v>2039</v>
      </c>
      <c r="D521" s="233">
        <v>9</v>
      </c>
      <c r="E521" s="3">
        <v>11</v>
      </c>
    </row>
    <row r="522" spans="2:5" x14ac:dyDescent="0.2">
      <c r="B522" s="233">
        <v>8</v>
      </c>
      <c r="C522" s="233" t="s">
        <v>2040</v>
      </c>
      <c r="D522" s="233">
        <v>8</v>
      </c>
      <c r="E522" s="3">
        <v>12</v>
      </c>
    </row>
    <row r="523" spans="2:5" x14ac:dyDescent="0.2">
      <c r="B523" s="233">
        <v>7</v>
      </c>
      <c r="C523" s="233" t="s">
        <v>2041</v>
      </c>
      <c r="D523" s="233">
        <v>7</v>
      </c>
      <c r="E523" s="3">
        <v>13</v>
      </c>
    </row>
    <row r="524" spans="2:5" x14ac:dyDescent="0.2">
      <c r="B524" s="233">
        <v>6</v>
      </c>
      <c r="C524" s="233" t="s">
        <v>2042</v>
      </c>
      <c r="D524" s="233">
        <v>6</v>
      </c>
      <c r="E524" s="3">
        <v>14</v>
      </c>
    </row>
    <row r="525" spans="2:5" x14ac:dyDescent="0.2">
      <c r="B525" s="233">
        <v>5</v>
      </c>
      <c r="C525" s="233" t="s">
        <v>2043</v>
      </c>
      <c r="D525" s="233">
        <v>5</v>
      </c>
      <c r="E525" s="3">
        <v>15</v>
      </c>
    </row>
    <row r="526" spans="2:5" x14ac:dyDescent="0.2">
      <c r="B526" s="233">
        <v>4</v>
      </c>
      <c r="C526" s="233" t="s">
        <v>2044</v>
      </c>
      <c r="D526" s="233">
        <v>4</v>
      </c>
      <c r="E526" s="3">
        <v>16</v>
      </c>
    </row>
    <row r="527" spans="2:5" x14ac:dyDescent="0.2">
      <c r="B527" s="233">
        <v>3</v>
      </c>
      <c r="C527" s="233" t="s">
        <v>2045</v>
      </c>
      <c r="D527" s="233">
        <v>3</v>
      </c>
      <c r="E527" s="3">
        <v>17</v>
      </c>
    </row>
    <row r="528" spans="2:5" x14ac:dyDescent="0.2">
      <c r="B528" s="233">
        <v>2</v>
      </c>
      <c r="C528" s="233" t="s">
        <v>2046</v>
      </c>
      <c r="D528" s="233">
        <v>2</v>
      </c>
      <c r="E528" s="3">
        <v>18</v>
      </c>
    </row>
    <row r="529" spans="2:5" x14ac:dyDescent="0.2">
      <c r="B529" s="233">
        <v>1</v>
      </c>
      <c r="C529" s="233" t="s">
        <v>2047</v>
      </c>
      <c r="D529" s="233">
        <v>1</v>
      </c>
      <c r="E529" s="3">
        <v>19</v>
      </c>
    </row>
    <row r="530" spans="2:5" x14ac:dyDescent="0.2">
      <c r="B530" s="233">
        <v>0</v>
      </c>
      <c r="C530" s="233" t="s">
        <v>2048</v>
      </c>
      <c r="D530" s="233">
        <v>0</v>
      </c>
    </row>
    <row r="531" spans="2:5" ht="17" x14ac:dyDescent="0.2">
      <c r="B531" s="226" t="s">
        <v>2049</v>
      </c>
      <c r="C531" s="226" t="s">
        <v>2049</v>
      </c>
    </row>
    <row r="532" spans="2:5" x14ac:dyDescent="0.2">
      <c r="B532" s="8"/>
      <c r="C532" s="8" t="s">
        <v>2050</v>
      </c>
    </row>
    <row r="533" spans="2:5" x14ac:dyDescent="0.2">
      <c r="B533" s="8"/>
      <c r="C533" s="8" t="s">
        <v>2051</v>
      </c>
    </row>
    <row r="534" spans="2:5" x14ac:dyDescent="0.2">
      <c r="B534" s="8"/>
      <c r="C534" s="8" t="s">
        <v>2052</v>
      </c>
    </row>
    <row r="535" spans="2:5" ht="17" x14ac:dyDescent="0.2">
      <c r="B535" s="226"/>
      <c r="C535" s="226" t="s">
        <v>3382</v>
      </c>
    </row>
    <row r="536" spans="2:5" x14ac:dyDescent="0.2">
      <c r="B536" s="8" t="s">
        <v>578</v>
      </c>
    </row>
    <row r="537" spans="2:5" x14ac:dyDescent="0.2">
      <c r="B537" s="8" t="s">
        <v>2053</v>
      </c>
    </row>
    <row r="538" spans="2:5" x14ac:dyDescent="0.2">
      <c r="B538" s="8" t="s">
        <v>2054</v>
      </c>
    </row>
    <row r="539" spans="2:5" x14ac:dyDescent="0.2">
      <c r="B539" s="8" t="s">
        <v>2055</v>
      </c>
    </row>
    <row r="540" spans="2:5" x14ac:dyDescent="0.2">
      <c r="B540" s="8" t="s">
        <v>2056</v>
      </c>
    </row>
    <row r="541" spans="2:5" x14ac:dyDescent="0.2">
      <c r="B541" s="8" t="s">
        <v>2057</v>
      </c>
    </row>
    <row r="542" spans="2:5" x14ac:dyDescent="0.2">
      <c r="B542" s="8" t="s">
        <v>2058</v>
      </c>
    </row>
    <row r="543" spans="2:5" x14ac:dyDescent="0.2">
      <c r="B543" s="8" t="s">
        <v>2059</v>
      </c>
    </row>
    <row r="544" spans="2:5" x14ac:dyDescent="0.2">
      <c r="B544" s="8" t="s">
        <v>2060</v>
      </c>
    </row>
    <row r="545" spans="2:2" x14ac:dyDescent="0.2">
      <c r="B545" s="8" t="s">
        <v>2061</v>
      </c>
    </row>
    <row r="546" spans="2:2" x14ac:dyDescent="0.2">
      <c r="B546" s="8" t="s">
        <v>2062</v>
      </c>
    </row>
    <row r="547" spans="2:2" x14ac:dyDescent="0.2">
      <c r="B547" s="8" t="s">
        <v>2063</v>
      </c>
    </row>
    <row r="548" spans="2:2" x14ac:dyDescent="0.2">
      <c r="B548" s="8" t="s">
        <v>2064</v>
      </c>
    </row>
    <row r="549" spans="2:2" x14ac:dyDescent="0.2">
      <c r="B549" s="8" t="s">
        <v>2065</v>
      </c>
    </row>
    <row r="550" spans="2:2" x14ac:dyDescent="0.2">
      <c r="B550" s="8" t="s">
        <v>2066</v>
      </c>
    </row>
    <row r="551" spans="2:2" x14ac:dyDescent="0.2">
      <c r="B551" s="8" t="s">
        <v>2067</v>
      </c>
    </row>
    <row r="552" spans="2:2" x14ac:dyDescent="0.2">
      <c r="B552" s="8" t="s">
        <v>2068</v>
      </c>
    </row>
    <row r="553" spans="2:2" x14ac:dyDescent="0.2">
      <c r="B553" s="8" t="s">
        <v>2069</v>
      </c>
    </row>
    <row r="554" spans="2:2" x14ac:dyDescent="0.2">
      <c r="B554" s="8" t="s">
        <v>2070</v>
      </c>
    </row>
    <row r="555" spans="2:2" x14ac:dyDescent="0.2">
      <c r="B555" s="8" t="s">
        <v>2071</v>
      </c>
    </row>
    <row r="556" spans="2:2" x14ac:dyDescent="0.2">
      <c r="B556" s="8" t="s">
        <v>2072</v>
      </c>
    </row>
    <row r="557" spans="2:2" x14ac:dyDescent="0.2">
      <c r="B557" s="8" t="s">
        <v>2073</v>
      </c>
    </row>
    <row r="558" spans="2:2" x14ac:dyDescent="0.2">
      <c r="B558" s="8" t="s">
        <v>2074</v>
      </c>
    </row>
    <row r="559" spans="2:2" x14ac:dyDescent="0.2">
      <c r="B559" s="8" t="s">
        <v>2075</v>
      </c>
    </row>
    <row r="560" spans="2:2" ht="17" x14ac:dyDescent="0.2">
      <c r="B560" s="226" t="s">
        <v>2076</v>
      </c>
    </row>
    <row r="561" spans="2:3" x14ac:dyDescent="0.2">
      <c r="B561" s="8" t="s">
        <v>647</v>
      </c>
    </row>
    <row r="562" spans="2:3" x14ac:dyDescent="0.2">
      <c r="B562" s="8" t="s">
        <v>2077</v>
      </c>
    </row>
    <row r="563" spans="2:3" ht="17" x14ac:dyDescent="0.2">
      <c r="B563" s="226" t="s">
        <v>2078</v>
      </c>
    </row>
    <row r="564" spans="2:3" x14ac:dyDescent="0.2">
      <c r="B564" s="8" t="s">
        <v>647</v>
      </c>
      <c r="C564" s="8" t="s">
        <v>647</v>
      </c>
    </row>
    <row r="565" spans="2:3" x14ac:dyDescent="0.2">
      <c r="B565" s="8" t="s">
        <v>2077</v>
      </c>
      <c r="C565" s="8" t="s">
        <v>2077</v>
      </c>
    </row>
    <row r="566" spans="2:3" x14ac:dyDescent="0.2">
      <c r="B566" s="8" t="s">
        <v>2079</v>
      </c>
      <c r="C566" s="8" t="s">
        <v>2080</v>
      </c>
    </row>
    <row r="567" spans="2:3" x14ac:dyDescent="0.2">
      <c r="B567" s="8" t="s">
        <v>2081</v>
      </c>
      <c r="C567" s="8" t="s">
        <v>2079</v>
      </c>
    </row>
    <row r="568" spans="2:3" x14ac:dyDescent="0.2">
      <c r="B568" s="8" t="s">
        <v>2082</v>
      </c>
      <c r="C568" s="8" t="s">
        <v>2081</v>
      </c>
    </row>
    <row r="569" spans="2:3" x14ac:dyDescent="0.2">
      <c r="B569" s="8"/>
      <c r="C569" s="8" t="s">
        <v>2082</v>
      </c>
    </row>
    <row r="570" spans="2:3" ht="17" x14ac:dyDescent="0.2">
      <c r="B570" s="226" t="s">
        <v>2083</v>
      </c>
    </row>
    <row r="571" spans="2:3" x14ac:dyDescent="0.2">
      <c r="B571" s="8" t="s">
        <v>2084</v>
      </c>
    </row>
    <row r="572" spans="2:3" x14ac:dyDescent="0.2">
      <c r="B572" s="8" t="s">
        <v>2085</v>
      </c>
    </row>
    <row r="573" spans="2:3" ht="17" x14ac:dyDescent="0.2">
      <c r="B573" s="226" t="s">
        <v>2086</v>
      </c>
    </row>
    <row r="574" spans="2:3" x14ac:dyDescent="0.2">
      <c r="B574" s="8" t="s">
        <v>2084</v>
      </c>
    </row>
    <row r="575" spans="2:3" ht="17" x14ac:dyDescent="0.2">
      <c r="B575" s="226" t="s">
        <v>2087</v>
      </c>
    </row>
    <row r="576" spans="2:3" x14ac:dyDescent="0.2">
      <c r="B576" s="8" t="s">
        <v>2088</v>
      </c>
    </row>
    <row r="577" spans="2:5" x14ac:dyDescent="0.2">
      <c r="B577" s="8" t="s">
        <v>2089</v>
      </c>
    </row>
    <row r="578" spans="2:5" x14ac:dyDescent="0.2">
      <c r="B578" s="8" t="s">
        <v>2090</v>
      </c>
    </row>
    <row r="579" spans="2:5" x14ac:dyDescent="0.2">
      <c r="B579" s="8" t="s">
        <v>2091</v>
      </c>
    </row>
    <row r="580" spans="2:5" x14ac:dyDescent="0.2">
      <c r="B580" s="8" t="s">
        <v>2092</v>
      </c>
      <c r="E580" s="2"/>
    </row>
    <row r="581" spans="2:5" x14ac:dyDescent="0.2">
      <c r="B581" s="8" t="s">
        <v>2093</v>
      </c>
      <c r="E581" s="2"/>
    </row>
    <row r="582" spans="2:5" x14ac:dyDescent="0.2">
      <c r="B582" s="8" t="s">
        <v>2094</v>
      </c>
      <c r="D582" s="3"/>
      <c r="E582" s="2"/>
    </row>
    <row r="583" spans="2:5" x14ac:dyDescent="0.2">
      <c r="B583" s="8" t="s">
        <v>2095</v>
      </c>
      <c r="D583" s="3"/>
      <c r="E583" s="2"/>
    </row>
    <row r="584" spans="2:5" x14ac:dyDescent="0.2">
      <c r="B584" s="8" t="s">
        <v>2096</v>
      </c>
      <c r="D584" s="3"/>
      <c r="E584" s="2"/>
    </row>
    <row r="585" spans="2:5" x14ac:dyDescent="0.2">
      <c r="B585" s="8" t="s">
        <v>2097</v>
      </c>
      <c r="D585" s="3"/>
      <c r="E585" s="2"/>
    </row>
    <row r="586" spans="2:5" x14ac:dyDescent="0.2">
      <c r="B586" s="8" t="s">
        <v>2098</v>
      </c>
      <c r="D586" s="3"/>
      <c r="E586" s="2"/>
    </row>
    <row r="587" spans="2:5" x14ac:dyDescent="0.2">
      <c r="B587" s="8" t="s">
        <v>2099</v>
      </c>
      <c r="D587" s="3"/>
      <c r="E587" s="2"/>
    </row>
    <row r="588" spans="2:5" x14ac:dyDescent="0.2">
      <c r="B588" s="8" t="s">
        <v>2100</v>
      </c>
      <c r="D588" s="3"/>
      <c r="E588" s="2"/>
    </row>
    <row r="589" spans="2:5" x14ac:dyDescent="0.2">
      <c r="B589" s="8" t="s">
        <v>2101</v>
      </c>
      <c r="D589" s="3"/>
      <c r="E589" s="2"/>
    </row>
    <row r="590" spans="2:5" x14ac:dyDescent="0.2">
      <c r="B590" s="8" t="s">
        <v>2102</v>
      </c>
      <c r="D590" s="3"/>
      <c r="E590" s="2"/>
    </row>
    <row r="591" spans="2:5" x14ac:dyDescent="0.2">
      <c r="B591" s="8" t="s">
        <v>2103</v>
      </c>
      <c r="D591" s="3"/>
      <c r="E591" s="2"/>
    </row>
    <row r="592" spans="2:5" x14ac:dyDescent="0.2">
      <c r="B592" s="8" t="s">
        <v>2104</v>
      </c>
      <c r="D592" s="3"/>
      <c r="E592" s="2"/>
    </row>
    <row r="593" spans="2:5" x14ac:dyDescent="0.2">
      <c r="B593" s="8" t="s">
        <v>2105</v>
      </c>
      <c r="D593" s="3"/>
      <c r="E593" s="2"/>
    </row>
    <row r="594" spans="2:5" x14ac:dyDescent="0.2">
      <c r="B594" s="8" t="s">
        <v>2106</v>
      </c>
      <c r="D594" s="3"/>
      <c r="E594" s="2"/>
    </row>
    <row r="595" spans="2:5" x14ac:dyDescent="0.2">
      <c r="B595" s="8" t="s">
        <v>2107</v>
      </c>
      <c r="D595" s="3"/>
      <c r="E595" s="2"/>
    </row>
    <row r="596" spans="2:5" x14ac:dyDescent="0.2">
      <c r="B596" s="8" t="s">
        <v>2108</v>
      </c>
      <c r="D596" s="3"/>
      <c r="E596" s="2"/>
    </row>
    <row r="597" spans="2:5" x14ac:dyDescent="0.2">
      <c r="B597" s="8" t="s">
        <v>2109</v>
      </c>
      <c r="D597" s="3"/>
      <c r="E597" s="2"/>
    </row>
    <row r="598" spans="2:5" x14ac:dyDescent="0.2">
      <c r="B598" s="8" t="s">
        <v>2110</v>
      </c>
      <c r="D598" s="3"/>
      <c r="E598" s="2"/>
    </row>
    <row r="599" spans="2:5" x14ac:dyDescent="0.2">
      <c r="B599" s="8" t="s">
        <v>2111</v>
      </c>
      <c r="D599" s="3"/>
      <c r="E599" s="2"/>
    </row>
    <row r="600" spans="2:5" x14ac:dyDescent="0.2">
      <c r="B600" s="8" t="s">
        <v>2112</v>
      </c>
      <c r="D600" s="3"/>
      <c r="E600" s="2"/>
    </row>
    <row r="601" spans="2:5" x14ac:dyDescent="0.2">
      <c r="B601" s="8" t="s">
        <v>2113</v>
      </c>
      <c r="D601" s="3"/>
      <c r="E601" s="2"/>
    </row>
    <row r="602" spans="2:5" x14ac:dyDescent="0.2">
      <c r="B602" s="8" t="s">
        <v>2114</v>
      </c>
      <c r="D602" s="3"/>
      <c r="E602" s="2"/>
    </row>
    <row r="603" spans="2:5" x14ac:dyDescent="0.2">
      <c r="B603" s="8" t="s">
        <v>2115</v>
      </c>
      <c r="D603" s="3"/>
      <c r="E603" s="2"/>
    </row>
    <row r="604" spans="2:5" ht="17" x14ac:dyDescent="0.2">
      <c r="B604" s="226" t="s">
        <v>2116</v>
      </c>
      <c r="C604" s="3"/>
      <c r="D604" s="3"/>
      <c r="E604" s="2"/>
    </row>
    <row r="605" spans="2:5" x14ac:dyDescent="0.2">
      <c r="B605" s="8">
        <v>1</v>
      </c>
      <c r="C605" s="3"/>
      <c r="D605" s="3"/>
      <c r="E605" s="2"/>
    </row>
    <row r="606" spans="2:5" x14ac:dyDescent="0.2">
      <c r="B606" s="8">
        <v>2</v>
      </c>
      <c r="C606" s="3"/>
      <c r="D606" s="3"/>
      <c r="E606" s="2"/>
    </row>
    <row r="607" spans="2:5" x14ac:dyDescent="0.2">
      <c r="B607" s="8">
        <v>3</v>
      </c>
      <c r="C607" s="3"/>
      <c r="D607" s="3"/>
      <c r="E607" s="2"/>
    </row>
    <row r="608" spans="2:5" x14ac:dyDescent="0.2">
      <c r="B608" s="234" t="s">
        <v>2117</v>
      </c>
      <c r="C608" s="3"/>
      <c r="D608" s="3"/>
      <c r="E608" s="2"/>
    </row>
    <row r="609" spans="2:5" ht="17" x14ac:dyDescent="0.2">
      <c r="B609" s="235" t="s">
        <v>2118</v>
      </c>
      <c r="C609" s="3"/>
      <c r="D609" s="3"/>
      <c r="E609" s="2"/>
    </row>
    <row r="610" spans="2:5" x14ac:dyDescent="0.2">
      <c r="B610" s="234" t="s">
        <v>2119</v>
      </c>
      <c r="C610" s="3"/>
      <c r="D610" s="3"/>
      <c r="E610" s="2"/>
    </row>
    <row r="611" spans="2:5" x14ac:dyDescent="0.2">
      <c r="B611" s="234" t="s">
        <v>2120</v>
      </c>
      <c r="D611" s="3"/>
      <c r="E611" s="2"/>
    </row>
    <row r="612" spans="2:5" x14ac:dyDescent="0.2">
      <c r="B612" s="234" t="s">
        <v>2121</v>
      </c>
      <c r="D612" s="3"/>
      <c r="E612" s="2"/>
    </row>
    <row r="613" spans="2:5" ht="17" x14ac:dyDescent="0.2">
      <c r="B613" s="226" t="s">
        <v>2122</v>
      </c>
      <c r="E613" s="2"/>
    </row>
    <row r="614" spans="2:5" x14ac:dyDescent="0.2">
      <c r="B614" s="8" t="s">
        <v>176</v>
      </c>
      <c r="E614" s="2"/>
    </row>
    <row r="615" spans="2:5" x14ac:dyDescent="0.2">
      <c r="B615" s="8" t="s">
        <v>13</v>
      </c>
      <c r="E615" s="2"/>
    </row>
    <row r="616" spans="2:5" ht="17" x14ac:dyDescent="0.2">
      <c r="B616" s="226" t="s">
        <v>2969</v>
      </c>
      <c r="E616" s="2"/>
    </row>
    <row r="617" spans="2:5" x14ac:dyDescent="0.2">
      <c r="B617" s="8" t="s">
        <v>2972</v>
      </c>
      <c r="E617" s="2"/>
    </row>
    <row r="618" spans="2:5" x14ac:dyDescent="0.2">
      <c r="B618" s="8" t="s">
        <v>2974</v>
      </c>
      <c r="E618" s="2"/>
    </row>
    <row r="619" spans="2:5" x14ac:dyDescent="0.2">
      <c r="B619" s="8" t="s">
        <v>2975</v>
      </c>
      <c r="E619" s="2"/>
    </row>
    <row r="620" spans="2:5" x14ac:dyDescent="0.2">
      <c r="B620" s="8" t="s">
        <v>2976</v>
      </c>
      <c r="E620" s="2"/>
    </row>
    <row r="621" spans="2:5" x14ac:dyDescent="0.2">
      <c r="B621" s="8" t="s">
        <v>2977</v>
      </c>
      <c r="E621" s="2"/>
    </row>
    <row r="622" spans="2:5" x14ac:dyDescent="0.2">
      <c r="B622" s="8" t="s">
        <v>2978</v>
      </c>
    </row>
    <row r="623" spans="2:5" x14ac:dyDescent="0.2">
      <c r="B623" s="8" t="s">
        <v>2979</v>
      </c>
    </row>
    <row r="624" spans="2:5" x14ac:dyDescent="0.2">
      <c r="B624" s="8" t="s">
        <v>2980</v>
      </c>
    </row>
    <row r="625" spans="2:4" x14ac:dyDescent="0.2">
      <c r="B625" s="8" t="s">
        <v>2981</v>
      </c>
    </row>
    <row r="626" spans="2:4" x14ac:dyDescent="0.2">
      <c r="B626" s="8" t="s">
        <v>2982</v>
      </c>
    </row>
    <row r="627" spans="2:4" x14ac:dyDescent="0.2">
      <c r="B627" s="8" t="s">
        <v>2983</v>
      </c>
    </row>
    <row r="628" spans="2:4" x14ac:dyDescent="0.2">
      <c r="B628" s="8" t="s">
        <v>2992</v>
      </c>
    </row>
    <row r="629" spans="2:4" x14ac:dyDescent="0.2">
      <c r="B629" s="8" t="s">
        <v>2984</v>
      </c>
    </row>
    <row r="630" spans="2:4" x14ac:dyDescent="0.2">
      <c r="B630" s="8" t="s">
        <v>2985</v>
      </c>
    </row>
    <row r="631" spans="2:4" x14ac:dyDescent="0.2">
      <c r="B631" s="8" t="s">
        <v>2986</v>
      </c>
    </row>
    <row r="632" spans="2:4" x14ac:dyDescent="0.2">
      <c r="B632" s="8" t="s">
        <v>2987</v>
      </c>
    </row>
    <row r="633" spans="2:4" x14ac:dyDescent="0.2">
      <c r="B633" s="8" t="s">
        <v>2988</v>
      </c>
    </row>
    <row r="634" spans="2:4" x14ac:dyDescent="0.2">
      <c r="B634" s="8" t="s">
        <v>2993</v>
      </c>
    </row>
    <row r="635" spans="2:4" x14ac:dyDescent="0.2">
      <c r="B635" s="8" t="s">
        <v>2973</v>
      </c>
    </row>
    <row r="636" spans="2:4" x14ac:dyDescent="0.2">
      <c r="B636" s="8" t="s">
        <v>2989</v>
      </c>
    </row>
    <row r="639" spans="2:4" ht="17" x14ac:dyDescent="0.2">
      <c r="B639" s="226" t="s">
        <v>1937</v>
      </c>
      <c r="C639" s="517" t="s">
        <v>1938</v>
      </c>
      <c r="D639" s="517"/>
    </row>
    <row r="640" spans="2:4" x14ac:dyDescent="0.2">
      <c r="B640" s="8" t="s">
        <v>1917</v>
      </c>
      <c r="C640" s="488" t="s">
        <v>1939</v>
      </c>
      <c r="D640" s="518"/>
    </row>
    <row r="641" spans="2:4" x14ac:dyDescent="0.2">
      <c r="B641" s="8" t="s">
        <v>529</v>
      </c>
      <c r="C641" s="488" t="s">
        <v>1941</v>
      </c>
      <c r="D641" s="518"/>
    </row>
    <row r="642" spans="2:4" x14ac:dyDescent="0.2">
      <c r="B642" s="8" t="s">
        <v>92</v>
      </c>
      <c r="C642" s="488" t="s">
        <v>1942</v>
      </c>
      <c r="D642" s="518"/>
    </row>
    <row r="643" spans="2:4" x14ac:dyDescent="0.2">
      <c r="B643" s="8" t="s">
        <v>639</v>
      </c>
      <c r="C643" s="488" t="s">
        <v>1944</v>
      </c>
      <c r="D643" s="518"/>
    </row>
    <row r="644" spans="2:4" x14ac:dyDescent="0.2">
      <c r="B644" s="8" t="s">
        <v>3070</v>
      </c>
      <c r="C644" s="488" t="s">
        <v>1946</v>
      </c>
      <c r="D644" s="518"/>
    </row>
    <row r="645" spans="2:4" x14ac:dyDescent="0.2">
      <c r="D645" s="2"/>
    </row>
    <row r="646" spans="2:4" ht="17" x14ac:dyDescent="0.2">
      <c r="B646" s="226" t="s">
        <v>1949</v>
      </c>
      <c r="C646" s="520" t="s">
        <v>1938</v>
      </c>
      <c r="D646" s="520"/>
    </row>
    <row r="647" spans="2:4" x14ac:dyDescent="0.2">
      <c r="B647" s="8" t="s">
        <v>1933</v>
      </c>
      <c r="C647" s="8" t="s">
        <v>1950</v>
      </c>
      <c r="D647" s="8"/>
    </row>
    <row r="648" spans="2:4" x14ac:dyDescent="0.2">
      <c r="B648" s="8" t="s">
        <v>529</v>
      </c>
      <c r="C648" s="415" t="s">
        <v>1951</v>
      </c>
      <c r="D648" s="417"/>
    </row>
    <row r="649" spans="2:4" x14ac:dyDescent="0.2">
      <c r="B649" s="8" t="s">
        <v>92</v>
      </c>
      <c r="C649" s="8" t="s">
        <v>1952</v>
      </c>
      <c r="D649" s="8"/>
    </row>
    <row r="650" spans="2:4" x14ac:dyDescent="0.2">
      <c r="B650" s="8" t="s">
        <v>639</v>
      </c>
      <c r="C650" s="8" t="s">
        <v>1953</v>
      </c>
      <c r="D650" s="8"/>
    </row>
    <row r="651" spans="2:4" x14ac:dyDescent="0.2">
      <c r="B651" s="8" t="s">
        <v>3070</v>
      </c>
      <c r="C651" s="8" t="s">
        <v>1954</v>
      </c>
      <c r="D651" s="8"/>
    </row>
    <row r="652" spans="2:4" x14ac:dyDescent="0.2">
      <c r="B652" s="3"/>
      <c r="D652" s="2"/>
    </row>
    <row r="653" spans="2:4" x14ac:dyDescent="0.2">
      <c r="B653" s="3"/>
      <c r="D653" s="2"/>
    </row>
    <row r="654" spans="2:4" x14ac:dyDescent="0.2">
      <c r="B654" s="3"/>
      <c r="D654" s="2"/>
    </row>
    <row r="655" spans="2:4" x14ac:dyDescent="0.2">
      <c r="B655" s="3"/>
      <c r="D655" s="2"/>
    </row>
    <row r="656" spans="2:4" ht="17" x14ac:dyDescent="0.2">
      <c r="B656" s="226" t="s">
        <v>1956</v>
      </c>
      <c r="C656" s="226" t="s">
        <v>1957</v>
      </c>
      <c r="D656" s="226" t="s">
        <v>1958</v>
      </c>
    </row>
    <row r="657" spans="2:4" x14ac:dyDescent="0.2">
      <c r="B657" s="8" t="s">
        <v>1959</v>
      </c>
      <c r="C657" s="8" t="s">
        <v>724</v>
      </c>
      <c r="D657" s="8" t="s">
        <v>724</v>
      </c>
    </row>
    <row r="658" spans="2:4" x14ac:dyDescent="0.2">
      <c r="B658" s="8" t="s">
        <v>1961</v>
      </c>
      <c r="C658" s="8" t="s">
        <v>1962</v>
      </c>
      <c r="D658" s="8" t="s">
        <v>1962</v>
      </c>
    </row>
    <row r="659" spans="2:4" x14ac:dyDescent="0.2">
      <c r="B659" s="8"/>
      <c r="C659" s="8" t="s">
        <v>1964</v>
      </c>
      <c r="D659" s="8" t="s">
        <v>1965</v>
      </c>
    </row>
    <row r="660" spans="2:4" x14ac:dyDescent="0.2">
      <c r="B660" s="8"/>
      <c r="C660" s="8" t="s">
        <v>1967</v>
      </c>
      <c r="D660" s="8"/>
    </row>
    <row r="661" spans="2:4" x14ac:dyDescent="0.2">
      <c r="B661" s="8"/>
      <c r="C661" s="8" t="s">
        <v>1965</v>
      </c>
      <c r="D661" s="8"/>
    </row>
    <row r="663" spans="2:4" ht="17" x14ac:dyDescent="0.2">
      <c r="B663" s="226" t="s">
        <v>3675</v>
      </c>
    </row>
    <row r="664" spans="2:4" x14ac:dyDescent="0.2">
      <c r="B664" s="183">
        <f>SUM(
PRODUCT((IF(AND(sizing_w01_chosen="Included",OR(sizing_w01_gm_chosen="Active GM",sizing_w01_gm_chosen="Standby GM")),VLOOKUP(sizing_w01_nsxt_gm_appliance_size,table_nsxt_manager_cpu,2,FALSE),0)),3),
PRODUCT((IF(AND(sizing_w02_chosen="Included",OR(sizing_w02_gm_chosen="Active GM",sizing_w02_gm_chosen="Standby GM")),VLOOKUP(sizing_w02_nsxt_gm_appliance_size,table_nsxt_manager_cpu,2,FALSE),0)),3),
PRODUCT((IF(AND(sizing_w03_chosen="Included",OR(sizing_w03_gm_chosen="Active GM",sizing_w03_gm_chosen="Standby GM")),VLOOKUP(sizing_w03_nsxt_gm_appliance_size,table_nsxt_manager_cpu,2,FALSE),0)),3),
PRODUCT((IF(AND(sizing_w04_chosen="Included",OR(sizing_w04_gm_chosen="Active GM",sizing_w04_gm_chosen="Standby GM")),VLOOKUP(sizing_w04_nsxt_gm_appliance_size,table_nsxt_manager_cpu,2,FALSE),0)),3),
PRODUCT((IF(AND(sizing_w05_chosen="Included",OR(sizing_w05_gm_chosen="Active GM",sizing_w05_gm_chosen="Standby GM")),VLOOKUP(sizing_w05_nsxt_gm_appliance_size,table_nsxt_manager_cpu,2,FALSE),0)),3),
PRODUCT((IF(AND(sizing_w06_chosen="Included",OR(sizing_w06_gm_chosen="Active GM",sizing_w06_gm_chosen="Standby GM")),VLOOKUP(sizing_w06_nsxt_gm_appliance_size,table_nsxt_manager_cpu,2,FALSE),0)),3),
PRODUCT((IF(AND(sizing_w07_chosen="Included",OR(sizing_w07_gm_chosen="Active GM",sizing_w07_gm_chosen="Standby GM")),VLOOKUP(sizing_w07_nsxt_gm_appliance_size,table_nsxt_manager_cpu,2,FALSE),0)),3),
PRODUCT((IF(AND(sizing_w08_chosen="Included",OR(sizing_w08_gm_chosen="Active GM",sizing_w08_gm_chosen="Standby GM")),VLOOKUP(sizing_w08_nsxt_gm_appliance_size,table_nsxt_manager_cpu,2,FALSE),0)),3),
PRODUCT((IF(AND(sizing_w09_chosen="Included",OR(sizing_w09_gm_chosen="Active GM",sizing_w09_gm_chosen="Standby GM")),VLOOKUP(sizing_w09_nsxt_gm_appliance_size,table_nsxt_manager_cpu,2,FALSE),0)),3),
PRODUCT((IF(AND(sizing_w10_chosen="Included",OR(sizing_w10_gm_chosen="Active GM",sizing_w10_gm_chosen="Standby GM")),VLOOKUP(sizing_w10_nsxt_gm_appliance_size,table_nsxt_manager_cpu,2,FALSE),0)),3),
PRODUCT((IF(AND(sizing_w11_chosen="Included",OR(sizing_w11_gm_chosen="Active GM",sizing_w11_gm_chosen="Standby GM")),VLOOKUP(sizing_w11_nsxt_gm_appliance_size,table_nsxt_manager_cpu,2,FALSE),0)),3),
PRODUCT((IF(AND(sizing_w12_chosen="Included",OR(sizing_w12_gm_chosen="Active GM",sizing_w12_gm_chosen="Standby GM")),VLOOKUP(sizing_w12_nsxt_gm_appliance_size,table_nsxt_manager_cpu,2,FALSE),0)),3),
PRODUCT((IF(AND(sizing_w13_chosen="Included",OR(sizing_w13_gm_chosen="Active GM",sizing_w13_gm_chosen="Standby GM")),VLOOKUP(sizing_w13_nsxt_gm_appliance_size,table_nsxt_manager_cpu,2,FALSE),0)),3),
PRODUCT((IF(AND(sizing_w14_chosen="Included",OR(sizing_w14_gm_chosen="Active GM",sizing_w14_gm_chosen="Standby GM")),VLOOKUP(sizing_w14_nsxt_gm_appliance_size,table_nsxt_manager_cpu,2,FALSE),0)),3),
PRODUCT((IF(AND(sizing_w15_chosen="Included",OR(sizing_w15_gm_chosen="Active GM",sizing_w15_gm_chosen="Standby GM")),VLOOKUP(sizing_w15_nsxt_gm_appliance_size,table_nsxt_manager_cpu,2,FALSE),0)),3),
PRODUCT((IF(AND(sizing_w16_chosen="Included",OR(sizing_w16_gm_chosen="Active GM",sizing_w16_gm_chosen="Standby GM")),VLOOKUP(sizing_w16_nsxt_gm_appliance_size,table_nsxt_manager_cpu,2,FALSE),0)),3),
PRODUCT((IF(AND(sizing_w17_chosen="Included",OR(sizing_w17_gm_chosen="Active GM",sizing_w17_gm_chosen="Standby GM")),VLOOKUP(sizing_w17_nsxt_gm_appliance_size,table_nsxt_manager_cpu,2,FALSE),0)),3),
PRODUCT((IF(AND(sizing_w18_chosen="Included",OR(sizing_w18_gm_chosen="Active GM",sizing_w18_gm_chosen="Standby GM")),VLOOKUP(sizing_w18_nsxt_gm_appliance_size,table_nsxt_manager_cpu,2,FALSE),0)),3),
PRODUCT((IF(AND(sizing_w19_chosen="Included",OR(sizing_w19_gm_chosen="Active GM",sizing_w19_gm_chosen="Standby GM")),VLOOKUP(sizing_w19_nsxt_gm_appliance_size,table_nsxt_manager_cpu,2,FALSE),0)),3),
PRODUCT((IF(AND(sizing_w20_chosen="Included",OR(sizing_w20_gm_chosen="Active GM",sizing_w20_gm_chosen="Standby GM")),VLOOKUP(sizing_w20_nsxt_gm_appliance_size,table_nsxt_manager_cpu,2,FALSE),0)),3),
PRODUCT((IF(AND(sizing_w21_chosen="Included",OR(sizing_w21_gm_chosen="Active GM",sizing_w21_gm_chosen="Standby GM")),VLOOKUP(sizing_w21_nsxt_gm_appliance_size,table_nsxt_manager_cpu,2,FALSE),0)),3),
PRODUCT((IF(AND(sizing_w22_chosen="Included",OR(sizing_w22_gm_chosen="Active GM",sizing_w22_gm_chosen="Standby GM")),VLOOKUP(sizing_w22_nsxt_gm_appliance_size,table_nsxt_manager_cpu,2,FALSE),0)),3),
PRODUCT((IF(AND(sizing_w23_chosen="Included",OR(sizing_w23_gm_chosen="Active GM",sizing_w23_gm_chosen="Standby GM")),VLOOKUP(sizing_w23_nsxt_gm_appliance_size,table_nsxt_manager_cpu,2,FALSE),0)),3),
PRODUCT((IF(AND(sizing_w24_chosen="Included",OR(sizing_w24_gm_chosen="Active GM",sizing_w24_gm_chosen="Standby GM")),VLOOKUP(sizing_w24_nsxt_gm_appliance_size,table_nsxt_manager_cpu,2,FALSE),0)),3),
PRODUCT((IF(AND(sizing_w25_chosen="Included",OR(sizing_w25_gm_chosen="Active GM",sizing_w25_gm_chosen="Standby GM")),VLOOKUP(sizing_w25_nsxt_gm_appliance_size,table_nsxt_manager_cpu,2,FALSE),0)),3),
PRODUCT((IF(AND(sizing_w26_chosen="Included",OR(sizing_w26_gm_chosen="Active GM",sizing_w26_gm_chosen="Standby GM")),VLOOKUP(sizing_w26_nsxt_gm_appliance_size,table_nsxt_manager_cpu,2,FALSE),0)),3),
PRODUCT((IF(AND(sizing_w27_chosen="Included",OR(sizing_w27_gm_chosen="Active GM",sizing_w27_gm_chosen="Standby GM")),VLOOKUP(sizing_w27_nsxt_gm_appliance_size,table_nsxt_manager_cpu,2,FALSE),0)),3),
PRODUCT((IF(AND(sizing_w28_chosen="Included",OR(sizing_w28_gm_chosen="Active GM",sizing_w28_gm_chosen="Standby GM")),VLOOKUP(sizing_w28_nsxt_gm_appliance_size,table_nsxt_manager_cpu,2,FALSE),0)),3),
PRODUCT((IF(AND(sizing_w29_chosen="Included",OR(sizing_w29_gm_chosen="Active GM",sizing_w29_gm_chosen="Standby GM")),VLOOKUP(sizing_w29_nsxt_gm_appliance_size,table_nsxt_manager_cpu,2,FALSE),0)),3),
PRODUCT((IF(AND(sizing_w30_chosen="Included",OR(sizing_w30_gm_chosen="Active GM",sizing_w30_gm_chosen="Standby GM")),VLOOKUP(sizing_w30_nsxt_gm_appliance_size,table_nsxt_manager_cpu,2,FALSE),0)),3),
PRODUCT((IF(AND(sizing_w31_chosen="Included",OR(sizing_w31_gm_chosen="Active GM",sizing_w31_gm_chosen="Standby GM")),VLOOKUP(sizing_w31_nsxt_gm_appliance_size,table_nsxt_manager_cpu,2,FALSE),0)),3),
PRODUCT((IF(AND(sizing_w32_chosen="Included",OR(sizing_w32_gm_chosen="Active GM",sizing_w32_gm_chosen="Standby GM")),VLOOKUP(sizing_w32_nsxt_gm_appliance_size,table_nsxt_manager_cpu,2,FALSE),0)),3),
PRODUCT((IF(AND(sizing_w33_chosen="Included",OR(sizing_w33_gm_chosen="Active GM",sizing_w33_gm_chosen="Standby GM")),VLOOKUP(sizing_w33_nsxt_gm_appliance_size,table_nsxt_manager_cpu,2,FALSE),0)),3),
PRODUCT((IF(AND(sizing_w34_chosen="Included",OR(sizing_w34_gm_chosen="Active GM",sizing_w34_gm_chosen="Standby GM")),VLOOKUP(sizing_w34_nsxt_gm_appliance_size,table_nsxt_manager_cpu,2,FALSE),0)),3),
PRODUCT((IF(AND(sizing_w35_chosen="Included",OR(sizing_w35_gm_chosen="Active GM",sizing_w35_gm_chosen="Standby GM")),VLOOKUP(sizing_w35_nsxt_gm_appliance_size,table_nsxt_manager_cpu,2,FALSE),0)),3),
)</f>
        <v>0</v>
      </c>
    </row>
    <row r="665" spans="2:4" x14ac:dyDescent="0.2">
      <c r="B665" s="183">
        <f>SUM(
PRODUCT((IF(AND(sizing_w01_chosen="Included",OR(sizing_w01_gm_chosen="Active GM",sizing_w01_gm_chosen="Standby GM")),VLOOKUP(sizing_w01_nsxt_gm_appliance_size,table_nsxt_manager_ram,2,FALSE),0)),3),
PRODUCT((IF(AND(sizing_w02_chosen="Included",OR(sizing_w02_gm_chosen="Active GM",sizing_w02_gm_chosen="Standby GM")),VLOOKUP(sizing_w02_nsxt_gm_appliance_size,table_nsxt_manager_ram,2,FALSE),0)),3),
PRODUCT((IF(AND(sizing_w03_chosen="Included",OR(sizing_w03_gm_chosen="Active GM",sizing_w03_gm_chosen="Standby GM")),VLOOKUP(sizing_w03_nsxt_gm_appliance_size,table_nsxt_manager_ram,2,FALSE),0)),3),
PRODUCT((IF(AND(sizing_w04_chosen="Included",OR(sizing_w04_gm_chosen="Active GM",sizing_w04_gm_chosen="Standby GM")),VLOOKUP(sizing_w04_nsxt_gm_appliance_size,table_nsxt_manager_ram,2,FALSE),0)),3),
PRODUCT((IF(AND(sizing_w05_chosen="Included",OR(sizing_w05_gm_chosen="Active GM",sizing_w05_gm_chosen="Standby GM")),VLOOKUP(sizing_w05_nsxt_gm_appliance_size,table_nsxt_manager_ram,2,FALSE),0)),3),
PRODUCT((IF(AND(sizing_w06_chosen="Included",OR(sizing_w06_gm_chosen="Active GM",sizing_w06_gm_chosen="Standby GM")),VLOOKUP(sizing_w06_nsxt_gm_appliance_size,table_nsxt_manager_ram,2,FALSE),0)),3),
PRODUCT((IF(AND(sizing_w07_chosen="Included",OR(sizing_w07_gm_chosen="Active GM",sizing_w07_gm_chosen="Standby GM")),VLOOKUP(sizing_w07_nsxt_gm_appliance_size,table_nsxt_manager_ram,2,FALSE),0)),3),
PRODUCT((IF(AND(sizing_w08_chosen="Included",OR(sizing_w08_gm_chosen="Active GM",sizing_w08_gm_chosen="Standby GM")),VLOOKUP(sizing_w08_nsxt_gm_appliance_size,table_nsxt_manager_ram,2,FALSE),0)),3),
PRODUCT((IF(AND(sizing_w09_chosen="Included",OR(sizing_w09_gm_chosen="Active GM",sizing_w09_gm_chosen="Standby GM")),VLOOKUP(sizing_w09_nsxt_gm_appliance_size,table_nsxt_manager_ram,2,FALSE),0)),3),
PRODUCT((IF(AND(sizing_w10_chosen="Included",OR(sizing_w10_gm_chosen="Active GM",sizing_w10_gm_chosen="Standby GM")),VLOOKUP(sizing_w10_nsxt_gm_appliance_size,table_nsxt_manager_ram,2,FALSE),0)),3),
PRODUCT((IF(AND(sizing_w11_chosen="Included",OR(sizing_w11_gm_chosen="Active GM",sizing_w11_gm_chosen="Standby GM")),VLOOKUP(sizing_w11_nsxt_gm_appliance_size,table_nsxt_manager_ram,2,FALSE),0)),3),
PRODUCT((IF(AND(sizing_w12_chosen="Included",OR(sizing_w12_gm_chosen="Active GM",sizing_w12_gm_chosen="Standby GM")),VLOOKUP(sizing_w12_nsxt_gm_appliance_size,table_nsxt_manager_ram,2,FALSE),0)),3),
PRODUCT((IF(AND(sizing_w13_chosen="Included",OR(sizing_w13_gm_chosen="Active GM",sizing_w13_gm_chosen="Standby GM")),VLOOKUP(sizing_w13_nsxt_gm_appliance_size,table_nsxt_manager_ram,2,FALSE),0)),3),
PRODUCT((IF(AND(sizing_w14_chosen="Included",OR(sizing_w14_gm_chosen="Active GM",sizing_w14_gm_chosen="Standby GM")),VLOOKUP(sizing_w14_nsxt_gm_appliance_size,table_nsxt_manager_ram,2,FALSE),0)),3),
PRODUCT((IF(AND(sizing_w15_chosen="Included",OR(sizing_w15_gm_chosen="Active GM",sizing_w15_gm_chosen="Standby GM")),VLOOKUP(sizing_w15_nsxt_gm_appliance_size,table_nsxt_manager_ram,2,FALSE),0)),3),
PRODUCT((IF(AND(sizing_w16_chosen="Included",OR(sizing_w16_gm_chosen="Active GM",sizing_w16_gm_chosen="Standby GM")),VLOOKUP(sizing_w16_nsxt_gm_appliance_size,table_nsxt_manager_ram,2,FALSE),0)),3),
PRODUCT((IF(AND(sizing_w17_chosen="Included",OR(sizing_w17_gm_chosen="Active GM",sizing_w17_gm_chosen="Standby GM")),VLOOKUP(sizing_w17_nsxt_gm_appliance_size,table_nsxt_manager_ram,2,FALSE),0)),3),
PRODUCT((IF(AND(sizing_w18_chosen="Included",OR(sizing_w18_gm_chosen="Active GM",sizing_w18_gm_chosen="Standby GM")),VLOOKUP(sizing_w18_nsxt_gm_appliance_size,table_nsxt_manager_ram,2,FALSE),0)),3),
PRODUCT((IF(AND(sizing_w19_chosen="Included",OR(sizing_w19_gm_chosen="Active GM",sizing_w19_gm_chosen="Standby GM")),VLOOKUP(sizing_w19_nsxt_gm_appliance_size,table_nsxt_manager_ram,2,FALSE),0)),3),
PRODUCT((IF(AND(sizing_w20_chosen="Included",OR(sizing_w20_gm_chosen="Active GM",sizing_w20_gm_chosen="Standby GM")),VLOOKUP(sizing_w20_nsxt_gm_appliance_size,table_nsxt_manager_ram,2,FALSE),0)),3),
PRODUCT((IF(AND(sizing_w21_chosen="Included",OR(sizing_w21_gm_chosen="Active GM",sizing_w21_gm_chosen="Standby GM")),VLOOKUP(sizing_w21_nsxt_gm_appliance_size,table_nsxt_manager_ram,2,FALSE),0)),3),
PRODUCT((IF(AND(sizing_w22_chosen="Included",OR(sizing_w22_gm_chosen="Active GM",sizing_w22_gm_chosen="Standby GM")),VLOOKUP(sizing_w22_nsxt_gm_appliance_size,table_nsxt_manager_ram,2,FALSE),0)),3),
PRODUCT((IF(AND(sizing_w23_chosen="Included",OR(sizing_w23_gm_chosen="Active GM",sizing_w23_gm_chosen="Standby GM")),VLOOKUP(sizing_w23_nsxt_gm_appliance_size,table_nsxt_manager_ram,2,FALSE),0)),3),
PRODUCT((IF(AND(sizing_w24_chosen="Included",OR(sizing_w24_gm_chosen="Active GM",sizing_w24_gm_chosen="Standby GM")),VLOOKUP(sizing_w24_nsxt_gm_appliance_size,table_nsxt_manager_ram,2,FALSE),0)),3),
PRODUCT((IF(AND(sizing_w25_chosen="Included",OR(sizing_w25_gm_chosen="Active GM",sizing_w25_gm_chosen="Standby GM")),VLOOKUP(sizing_w25_nsxt_gm_appliance_size,table_nsxt_manager_ram,2,FALSE),0)),3),
PRODUCT((IF(AND(sizing_w26_chosen="Included",OR(sizing_w26_gm_chosen="Active GM",sizing_w26_gm_chosen="Standby GM")),VLOOKUP(sizing_w26_nsxt_gm_appliance_size,table_nsxt_manager_ram,2,FALSE),0)),3),
PRODUCT((IF(AND(sizing_w27_chosen="Included",OR(sizing_w27_gm_chosen="Active GM",sizing_w27_gm_chosen="Standby GM")),VLOOKUP(sizing_w27_nsxt_gm_appliance_size,table_nsxt_manager_ram,2,FALSE),0)),3),
PRODUCT((IF(AND(sizing_w28_chosen="Included",OR(sizing_w28_gm_chosen="Active GM",sizing_w28_gm_chosen="Standby GM")),VLOOKUP(sizing_w28_nsxt_gm_appliance_size,table_nsxt_manager_ram,2,FALSE),0)),3),
PRODUCT((IF(AND(sizing_w29_chosen="Included",OR(sizing_w29_gm_chosen="Active GM",sizing_w29_gm_chosen="Standby GM")),VLOOKUP(sizing_w29_nsxt_gm_appliance_size,table_nsxt_manager_ram,2,FALSE),0)),3),
PRODUCT((IF(AND(sizing_w30_chosen="Included",OR(sizing_w30_gm_chosen="Active GM",sizing_w30_gm_chosen="Standby GM")),VLOOKUP(sizing_w30_nsxt_gm_appliance_size,table_nsxt_manager_ram,2,FALSE),0)),3),
PRODUCT((IF(AND(sizing_w31_chosen="Included",OR(sizing_w31_gm_chosen="Active GM",sizing_w31_gm_chosen="Standby GM")),VLOOKUP(sizing_w31_nsxt_gm_appliance_size,table_nsxt_manager_ram,2,FALSE),0)),3),
PRODUCT((IF(AND(sizing_w32_chosen="Included",OR(sizing_w32_gm_chosen="Active GM",sizing_w32_gm_chosen="Standby GM")),VLOOKUP(sizing_w32_nsxt_gm_appliance_size,table_nsxt_manager_ram,2,FALSE),0)),3),
PRODUCT((IF(AND(sizing_w33_chosen="Included",OR(sizing_w33_gm_chosen="Active GM",sizing_w33_gm_chosen="Standby GM")),VLOOKUP(sizing_w33_nsxt_gm_appliance_size,table_nsxt_manager_ram,2,FALSE),0)),3),
PRODUCT((IF(AND(sizing_w34_chosen="Included",OR(sizing_w34_gm_chosen="Active GM",sizing_w34_gm_chosen="Standby GM")),VLOOKUP(sizing_w34_nsxt_gm_appliance_size,table_nsxt_manager_ram,2,FALSE),0)),3),
PRODUCT((IF(AND(sizing_w35_chosen="Included",OR(sizing_w35_gm_chosen="Active GM",sizing_w35_gm_chosen="Standby GM")),VLOOKUP(sizing_w35_nsxt_gm_appliance_size,table_nsxt_manager_ram,2,FALSE),0)),3)
)</f>
        <v>0</v>
      </c>
    </row>
    <row r="666" spans="2:4" x14ac:dyDescent="0.2">
      <c r="B666" s="231">
        <f>SUM(
PRODUCT((IF(AND(sizing_w01_chosen="Included",OR(sizing_w01_gm_chosen="Active GM",sizing_w01_gm_chosen="Standby GM")),VLOOKUP(sizing_w01_nsxt_gm_appliance_size,table_nsxt_manager_disk_gb,2,FALSE),0)),3),
PRODUCT((IF(AND(sizing_w02_chosen="Included",OR(sizing_w02_gm_chosen="Active GM",sizing_w02_gm_chosen="Standby GM")),VLOOKUP(sizing_w02_nsxt_gm_appliance_size,table_nsxt_manager_disk_gb,2,FALSE),0)),3),
PRODUCT((IF(AND(sizing_w03_chosen="Included",OR(sizing_w03_gm_chosen="Active GM",sizing_w03_gm_chosen="Standby GM")),VLOOKUP(sizing_w03_nsxt_gm_appliance_size,table_nsxt_manager_disk_gb,2,FALSE),0)),3),
PRODUCT((IF(AND(sizing_w04_chosen="Included",OR(sizing_w04_gm_chosen="Active GM",sizing_w04_gm_chosen="Standby GM")),VLOOKUP(sizing_w04_nsxt_gm_appliance_size,table_nsxt_manager_disk_gb,2,FALSE),0)),3),
PRODUCT((IF(AND(sizing_w05_chosen="Included",OR(sizing_w05_gm_chosen="Active GM",sizing_w05_gm_chosen="Standby GM")),VLOOKUP(sizing_w05_nsxt_gm_appliance_size,table_nsxt_manager_disk_gb,2,FALSE),0)),3),
PRODUCT((IF(AND(sizing_w06_chosen="Included",OR(sizing_w06_gm_chosen="Active GM",sizing_w06_gm_chosen="Standby GM")),VLOOKUP(sizing_w06_nsxt_gm_appliance_size,table_nsxt_manager_disk_gb,2,FALSE),0)),3),
PRODUCT((IF(AND(sizing_w07_chosen="Included",OR(sizing_w07_gm_chosen="Active GM",sizing_w07_gm_chosen="Standby GM")),VLOOKUP(sizing_w07_nsxt_gm_appliance_size,table_nsxt_manager_disk_gb,2,FALSE),0)),3),
PRODUCT((IF(AND(sizing_w08_chosen="Included",OR(sizing_w08_gm_chosen="Active GM",sizing_w08_gm_chosen="Standby GM")),VLOOKUP(sizing_w08_nsxt_gm_appliance_size,table_nsxt_manager_disk_gb,2,FALSE),0)),3),
PRODUCT((IF(AND(sizing_w09_chosen="Included",OR(sizing_w09_gm_chosen="Active GM",sizing_w09_gm_chosen="Standby GM")),VLOOKUP(sizing_w09_nsxt_gm_appliance_size,table_nsxt_manager_disk_gb,2,FALSE),0)),3),
PRODUCT((IF(AND(sizing_w10_chosen="Included",OR(sizing_w10_gm_chosen="Active GM",sizing_w10_gm_chosen="Standby GM")),VLOOKUP(sizing_w10_nsxt_gm_appliance_size,table_nsxt_manager_disk_gb,2,FALSE),0)),3),
PRODUCT((IF(AND(sizing_w11_chosen="Included",OR(sizing_w11_gm_chosen="Active GM",sizing_w11_gm_chosen="Standby GM")),VLOOKUP(sizing_w11_nsxt_gm_appliance_size,table_nsxt_manager_disk_gb,2,FALSE),0)),3),
PRODUCT((IF(AND(sizing_w12_chosen="Included",OR(sizing_w12_gm_chosen="Active GM",sizing_w12_gm_chosen="Standby GM")),VLOOKUP(sizing_w12_nsxt_gm_appliance_size,table_nsxt_manager_disk_gb,2,FALSE),0)),3),
PRODUCT((IF(AND(sizing_w13_chosen="Included",OR(sizing_w13_gm_chosen="Active GM",sizing_w13_gm_chosen="Standby GM")),VLOOKUP(sizing_w13_nsxt_gm_appliance_size,table_nsxt_manager_disk_gb,2,FALSE),0)),3),
PRODUCT((IF(AND(sizing_w14_chosen="Included",OR(sizing_w14_gm_chosen="Active GM",sizing_w14_gm_chosen="Standby GM")),VLOOKUP(sizing_w14_nsxt_gm_appliance_size,table_nsxt_manager_disk_gb,2,FALSE),0)),3),
PRODUCT((IF(AND(sizing_w15_chosen="Included",OR(sizing_w15_gm_chosen="Active GM",sizing_w15_gm_chosen="Standby GM")),VLOOKUP(sizing_w15_nsxt_gm_appliance_size,table_nsxt_manager_disk_gb,2,FALSE),0)),3),
PRODUCT((IF(AND(sizing_w16_chosen="Included",OR(sizing_w16_gm_chosen="Active GM",sizing_w16_gm_chosen="Standby GM")),VLOOKUP(sizing_w16_nsxt_gm_appliance_size,table_nsxt_manager_disk_gb,2,FALSE),0)),3),
PRODUCT((IF(AND(sizing_w17_chosen="Included",OR(sizing_w17_gm_chosen="Active GM",sizing_w17_gm_chosen="Standby GM")),VLOOKUP(sizing_w17_nsxt_gm_appliance_size,table_nsxt_manager_disk_gb,2,FALSE),0)),3),
PRODUCT((IF(AND(sizing_w18_chosen="Included",OR(sizing_w18_gm_chosen="Active GM",sizing_w18_gm_chosen="Standby GM")),VLOOKUP(sizing_w18_nsxt_gm_appliance_size,table_nsxt_manager_disk_gb,2,FALSE),0)),3),
PRODUCT((IF(AND(sizing_w19_chosen="Included",OR(sizing_w19_gm_chosen="Active GM",sizing_w19_gm_chosen="Standby GM")),VLOOKUP(sizing_w19_nsxt_gm_appliance_size,table_nsxt_manager_disk_gb,2,FALSE),0)),3),
PRODUCT((IF(AND(sizing_w20_chosen="Included",OR(sizing_w20_gm_chosen="Active GM",sizing_w20_gm_chosen="Standby GM")),VLOOKUP(sizing_w20_nsxt_gm_appliance_size,table_nsxt_manager_disk_gb,2,FALSE),0)),3),
PRODUCT((IF(AND(sizing_w21_chosen="Included",OR(sizing_w21_gm_chosen="Active GM",sizing_w21_gm_chosen="Standby GM")),VLOOKUP(sizing_w21_nsxt_gm_appliance_size,table_nsxt_manager_disk_gb,2,FALSE),0)),3),
PRODUCT((IF(AND(sizing_w22_chosen="Included",OR(sizing_w22_gm_chosen="Active GM",sizing_w22_gm_chosen="Standby GM")),VLOOKUP(sizing_w22_nsxt_gm_appliance_size,table_nsxt_manager_disk_gb,2,FALSE),0)),3),
PRODUCT((IF(AND(sizing_w23_chosen="Included",OR(sizing_w23_gm_chosen="Active GM",sizing_w23_gm_chosen="Standby GM")),VLOOKUP(sizing_w23_nsxt_gm_appliance_size,table_nsxt_manager_disk_gb,2,FALSE),0)),3),
PRODUCT((IF(AND(sizing_w24_chosen="Included",OR(sizing_w24_gm_chosen="Active GM",sizing_w24_gm_chosen="Standby GM")),VLOOKUP(sizing_w24_nsxt_gm_appliance_size,table_nsxt_manager_disk_gb,2,FALSE),0)),3),
PRODUCT((IF(AND(sizing_w25_chosen="Included",OR(sizing_w25_gm_chosen="Active GM",sizing_w25_gm_chosen="Standby GM")),VLOOKUP(sizing_w25_nsxt_gm_appliance_size,table_nsxt_manager_disk_gb,2,FALSE),0)),3),
PRODUCT((IF(AND(sizing_w26_chosen="Included",OR(sizing_w26_gm_chosen="Active GM",sizing_w26_gm_chosen="Standby GM")),VLOOKUP(sizing_w26_nsxt_gm_appliance_size,table_nsxt_manager_disk_gb,2,FALSE),0)),3),
PRODUCT((IF(AND(sizing_w27_chosen="Included",OR(sizing_w27_gm_chosen="Active GM",sizing_w27_gm_chosen="Standby GM")),VLOOKUP(sizing_w27_nsxt_gm_appliance_size,table_nsxt_manager_disk_gb,2,FALSE),0)),3),
PRODUCT((IF(AND(sizing_w28_chosen="Included",OR(sizing_w28_gm_chosen="Active GM",sizing_w28_gm_chosen="Standby GM")),VLOOKUP(sizing_w28_nsxt_gm_appliance_size,table_nsxt_manager_disk_gb,2,FALSE),0)),3),
PRODUCT((IF(AND(sizing_w29_chosen="Included",OR(sizing_w29_gm_chosen="Active GM",sizing_w29_gm_chosen="Standby GM")),VLOOKUP(sizing_w29_nsxt_gm_appliance_size,table_nsxt_manager_disk_gb,2,FALSE),0)),3),
PRODUCT((IF(AND(sizing_w30_chosen="Included",OR(sizing_w30_gm_chosen="Active GM",sizing_w30_gm_chosen="Standby GM")),VLOOKUP(sizing_w30_nsxt_gm_appliance_size,table_nsxt_manager_disk_gb,2,FALSE),0)),3),
PRODUCT((IF(AND(sizing_w31_chosen="Included",OR(sizing_w31_gm_chosen="Active GM",sizing_w31_gm_chosen="Standby GM")),VLOOKUP(sizing_w31_nsxt_gm_appliance_size,table_nsxt_manager_disk_gb,2,FALSE),0)),3),
PRODUCT((IF(AND(sizing_w32_chosen="Included",OR(sizing_w32_gm_chosen="Active GM",sizing_w32_gm_chosen="Standby GM")),VLOOKUP(sizing_w32_nsxt_gm_appliance_size,table_nsxt_manager_disk_gb,2,FALSE),0)),3),
PRODUCT((IF(AND(sizing_w33_chosen="Included",OR(sizing_w33_gm_chosen="Active GM",sizing_w33_gm_chosen="Standby GM")),VLOOKUP(sizing_w33_nsxt_gm_appliance_size,table_nsxt_manager_disk_gb,2,FALSE),0)),3),
PRODUCT((IF(AND(sizing_w34_chosen="Included",OR(sizing_w34_gm_chosen="Active GM",sizing_w34_gm_chosen="Standby GM")),VLOOKUP(sizing_w34_nsxt_gm_appliance_size,table_nsxt_manager_disk_gb,2,FALSE),0)),3),
PRODUCT((IF(AND(sizing_w35_chosen="Included",OR(sizing_w35_gm_chosen="Active GM",sizing_w35_gm_chosen="Standby GM")),VLOOKUP(sizing_w35_nsxt_gm_appliance_size,table_nsxt_manager_disk_gb,2,FALSE),0)),3))</f>
        <v>0</v>
      </c>
    </row>
    <row r="667" spans="2:4" x14ac:dyDescent="0.2">
      <c r="B667" s="2">
        <f>SUM(IF(AND(sizing_w01_chosen="Included",OR(sizing_w01_gm_chosen="Active GM",sizing_w01_gm_chosen="Standby GM")),3,0),
(IF(AND(sizing_w02_chosen="Included",OR(sizing_w02_gm_chosen="Active GM",sizing_w02_gm_chosen="Standby GM")),3,0)),
(IF(AND(sizing_w03_chosen="Included",OR(sizing_w03_gm_chosen="Active GM",sizing_w03_gm_chosen="Standby GM")),3,0)),
(IF(AND(sizing_w04_chosen="Included",OR(sizing_w04_gm_chosen="Active GM",sizing_w04_gm_chosen="Standby GM")),3,0)),
(IF(AND(sizing_w05_chosen="Included",OR(sizing_w05_gm_chosen="Active GM",sizing_w05_gm_chosen="Standby GM")),3,0)),
(IF(AND(sizing_w06_chosen="Included",OR(sizing_w06_gm_chosen="Active GM",sizing_w06_gm_chosen="Standby GM")),3,0)),
(IF(AND(sizing_w07_chosen="Included",OR(sizing_w07_gm_chosen="Active GM",sizing_w07_gm_chosen="Standby GM")),3,0)),
(IF(AND(sizing_w08_chosen="Included",OR(sizing_w08_gm_chosen="Active GM",sizing_w08_gm_chosen="Standby GM")),3,0)),
(IF(AND(sizing_w09_chosen="Included",OR(sizing_w09_gm_chosen="Active GM",sizing_w09_gm_chosen="Standby GM")),3,0)),
(IF(AND(sizing_w10_chosen="Included",OR(sizing_w10_gm_chosen="Active GM",sizing_w10_gm_chosen="Standby GM")),3,0)),
(IF(AND(sizing_w11_chosen="Included",OR(sizing_w11_gm_chosen="Active GM",sizing_w11_gm_chosen="Standby GM")),3,0)),
(IF(AND(sizing_w12_chosen="Included",OR(sizing_w12_gm_chosen="Active GM",sizing_w12_gm_chosen="Standby GM")),3,0)),
(IF(AND(sizing_w13_chosen="Included",OR(sizing_w13_gm_chosen="Active GM",sizing_w13_gm_chosen="Standby GM")),3,0)),
(IF(AND(sizing_w14_chosen="Included",OR(sizing_w14_gm_chosen="Active GM",sizing_w14_gm_chosen="Standby GM")),3,0)),
(IF(AND(sizing_w15_chosen="Included",OR(sizing_w15_gm_chosen="Active GM",sizing_w15_gm_chosen="Standby GM")),3,0)),
(IF(AND(sizing_w16_chosen="Included",OR(sizing_w16_gm_chosen="Active GM",sizing_w16_gm_chosen="Standby GM")),3,0)),
(IF(AND(sizing_w17_chosen="Included",OR(sizing_w17_gm_chosen="Active GM",sizing_w17_gm_chosen="Standby GM")),3,0)),
(IF(AND(sizing_w18_chosen="Included",OR(sizing_w18_gm_chosen="Active GM",sizing_w18_gm_chosen="Standby GM")),3,0)),
(IF(AND(sizing_w19_chosen="Included",OR(sizing_w19_gm_chosen="Active GM",sizing_w19_gm_chosen="Standby GM")),3,0)),
(IF(AND(sizing_w20_chosen="Included",OR(sizing_w20_gm_chosen="Active GM",sizing_w20_gm_chosen="Standby GM")),3,0)),
(IF(AND(sizing_w21_chosen="Included",OR(sizing_w21_gm_chosen="Active GM",sizing_w21_gm_chosen="Standby GM")),3,0)),
(IF(AND(sizing_w22_chosen="Included",OR(sizing_w22_gm_chosen="Active GM",sizing_w22_gm_chosen="Standby GM")),3,0)),
(IF(AND(sizing_w23_chosen="Included",OR(sizing_w23_gm_chosen="Active GM",sizing_w23_gm_chosen="Standby GM")),3,0)),
(IF(AND(sizing_w24_chosen="Included",OR(sizing_w24_gm_chosen="Active GM",sizing_w24_gm_chosen="Standby GM")),3,0)),
(IF(AND(sizing_w25_chosen="Included",OR(sizing_w25_gm_chosen="Active GM",sizing_w25_gm_chosen="Standby GM")),3,0)),
(IF(AND(sizing_w26_chosen="Included",OR(sizing_w26_gm_chosen="Active GM",sizing_w26_gm_chosen="Standby GM")),3,0)),
(IF(AND(sizing_w27_chosen="Included",OR(sizing_w27_gm_chosen="Active GM",sizing_w27_gm_chosen="Standby GM")),3,0)),
(IF(AND(sizing_w28_chosen="Included",OR(sizing_w28_gm_chosen="Active GM",sizing_w28_gm_chosen="Standby GM")),3,0)),
(IF(AND(sizing_w29_chosen="Included",OR(sizing_w29_gm_chosen="Active GM",sizing_w29_gm_chosen="Standby GM")),3,0)),
(IF(AND(sizing_w30_chosen="Included",OR(sizing_w30_gm_chosen="Active GM",sizing_w30_gm_chosen="Standby GM")),3,0)),
(IF(AND(sizing_w31_chosen="Included",OR(sizing_w31_gm_chosen="Active GM",sizing_w31_gm_chosen="Standby GM")),3,0)),
(IF(AND(sizing_w32_chosen="Included",OR(sizing_w32_gm_chosen="Active GM",sizing_w32_gm_chosen="Standby GM")),3,0)),
(IF(AND(sizing_w33_chosen="Included",OR(sizing_w33_gm_chosen="Active GM",sizing_w33_gm_chosen="Standby GM")),3,0)),
(IF(AND(sizing_w34_chosen="Included",OR(sizing_w34_gm_chosen="Active GM",sizing_w34_gm_chosen="Standby GM")),3,0)),
(IF(AND(sizing_w35_chosen="Included",OR(sizing_w35_gm_chosen="Active GM",sizing_w35_gm_chosen="Standby GM")),3,0)))</f>
        <v>0</v>
      </c>
    </row>
    <row r="684" ht="20" customHeight="1" x14ac:dyDescent="0.2"/>
    <row r="685" ht="20" customHeight="1" x14ac:dyDescent="0.2"/>
    <row r="686" ht="20" customHeight="1" x14ac:dyDescent="0.2"/>
    <row r="687" ht="20" customHeight="1" x14ac:dyDescent="0.2"/>
    <row r="688" ht="20" customHeight="1" x14ac:dyDescent="0.2"/>
    <row r="689" ht="20" customHeight="1" x14ac:dyDescent="0.2"/>
    <row r="690" ht="20" customHeight="1" x14ac:dyDescent="0.2"/>
    <row r="691" ht="20" customHeight="1" x14ac:dyDescent="0.2"/>
    <row r="692" ht="20" customHeight="1" x14ac:dyDescent="0.2"/>
    <row r="693" ht="20" customHeight="1" x14ac:dyDescent="0.2"/>
    <row r="694" ht="20" customHeight="1" x14ac:dyDescent="0.2"/>
    <row r="695" ht="20" customHeight="1" x14ac:dyDescent="0.2"/>
    <row r="696" ht="20" customHeight="1" x14ac:dyDescent="0.2"/>
  </sheetData>
  <sheetProtection algorithmName="SHA-512" hashValue="vYQ30/3tDHjtAJpNBFuh5QGjCA7XF7bqP4jwSz4DKc78ClR+0A4qk3kE2U+MwqdCKHS58SD8RbqxYAoJyKtURg==" saltValue="Xa+QZBwvQII4qU7CDSC/Pg==" spinCount="100000" sheet="1" objects="1" scenarios="1"/>
  <mergeCells count="16">
    <mergeCell ref="C648:D648"/>
    <mergeCell ref="B6:C6"/>
    <mergeCell ref="B2:U2"/>
    <mergeCell ref="B3:U3"/>
    <mergeCell ref="B31:C31"/>
    <mergeCell ref="L6:P6"/>
    <mergeCell ref="L7:L81"/>
    <mergeCell ref="M7:P81"/>
    <mergeCell ref="C639:D639"/>
    <mergeCell ref="C640:D640"/>
    <mergeCell ref="C641:D641"/>
    <mergeCell ref="C642:D642"/>
    <mergeCell ref="C643:D643"/>
    <mergeCell ref="F25:G25"/>
    <mergeCell ref="C646:D646"/>
    <mergeCell ref="C644:D644"/>
  </mergeCells>
  <phoneticPr fontId="9" type="noConversion"/>
  <conditionalFormatting sqref="C483:C486">
    <cfRule type="expression" dxfId="1782" priority="1">
      <formula>AND((sizing_vcf_deployment_size_chosen="Medium"),(sizing_vcfops_logs_chosen="Large"))</formula>
    </cfRule>
    <cfRule type="expression" dxfId="1781" priority="2">
      <formula>AND((sizing_vcf_deployment_model_chosen="Simple"),(sizing_vcfops_logs_chosen="Large"))</formula>
    </cfRule>
    <cfRule type="expression" dxfId="1780" priority="3">
      <formula>AND((sizing_vcf_deployment_model_chosen="Simple"),(sizing_vcfops_logs_chosen="Medium"))</formula>
    </cfRule>
    <cfRule type="expression" dxfId="1779" priority="4">
      <formula>AND((sizing_vcf_deployment_size_chosen="Small"),(sizing_vcfops_logs_chosen="Medium"))</formula>
    </cfRule>
    <cfRule type="expression" dxfId="1778" priority="5">
      <formula>AND((sizing_vcfops_logs_chosen&lt;&gt;"Exclude"),(sizing_vcf_instance_model="Additional Instance"))</formula>
    </cfRule>
    <cfRule type="expression" dxfId="1777" priority="6">
      <formula>AND((sizing_vcfops_logs_chosen&lt;&gt;"Exclude"),(sizing_vcfops_logs_replica_count_chosen="Exclude"))</formula>
    </cfRule>
    <cfRule type="expression" dxfId="1776" priority="7">
      <formula>AND(OR(sizing_vcfops_logs_chosen="Medium",sizing_vcfops_logs_chosen="Large"),(sizing_vcfops_logs_replica_count_chosen&lt;3))</formula>
    </cfRule>
  </conditionalFormatting>
  <conditionalFormatting sqref="C393:E396 E397 C398:E398 E399:E496 C400:C404 C406:C410 C412:C416 C418:C421 C423:C426 C428:C431 C433:C436 C438:C441 C443:C446 C448:C451 C453:C456 C458:C461 C463:C466 C468:C471 C473:C476 C478:C481 C488:C491 C493:C496">
    <cfRule type="expression" dxfId="1775" priority="15">
      <formula>AND((sizing_vcf_deployment_size_chosen="Medium"),(sizing_vcfops_logs_chosen="Large"))</formula>
    </cfRule>
    <cfRule type="expression" dxfId="1774" priority="16">
      <formula>AND((sizing_vcf_deployment_model_chosen="Simple"),(sizing_vcfops_logs_chosen="Large"))</formula>
    </cfRule>
    <cfRule type="expression" dxfId="1773" priority="17">
      <formula>AND((sizing_vcf_deployment_model_chosen="Simple"),(sizing_vcfops_logs_chosen="Medium"))</formula>
    </cfRule>
    <cfRule type="expression" dxfId="1772" priority="18">
      <formula>AND((sizing_vcf_deployment_size_chosen="Small"),(sizing_vcfops_logs_chosen="Medium"))</formula>
    </cfRule>
    <cfRule type="expression" dxfId="1771" priority="19">
      <formula>AND((sizing_vcfops_logs_chosen&lt;&gt;"Exclude"),(sizing_vcf_instance_model="Additional Instance"))</formula>
    </cfRule>
    <cfRule type="expression" dxfId="1770" priority="20">
      <formula>AND((sizing_vcfops_logs_chosen&lt;&gt;"Exclude"),(sizing_vcfops_logs_replica_count_chosen="Exclude"))</formula>
    </cfRule>
    <cfRule type="expression" dxfId="1769" priority="21">
      <formula>AND(OR(sizing_vcfops_logs_chosen="Medium",sizing_vcfops_logs_chosen="Large"),(sizing_vcfops_logs_replica_count_chosen&lt;3))</formula>
    </cfRule>
  </conditionalFormatting>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5C4C-85BC-E74D-8F4E-FE2BE7A461EE}">
  <sheetPr codeName="Sheet9">
    <tabColor theme="9" tint="0.39997558519241921"/>
  </sheetPr>
  <dimension ref="A1:W1146"/>
  <sheetViews>
    <sheetView showGridLines="0" zoomScaleNormal="100" workbookViewId="0">
      <pane ySplit="4" topLeftCell="A5" activePane="bottomLeft" state="frozen"/>
      <selection pane="bottomLeft" activeCell="L218" sqref="L218"/>
    </sheetView>
  </sheetViews>
  <sheetFormatPr baseColWidth="10" defaultColWidth="11" defaultRowHeight="16" x14ac:dyDescent="0.2"/>
  <cols>
    <col min="1" max="1" width="2.83203125" style="7" customWidth="1"/>
    <col min="2" max="2" width="1.83203125" style="7" customWidth="1"/>
    <col min="3" max="3" width="2.33203125" style="7" customWidth="1"/>
    <col min="4" max="4" width="1.83203125" style="7" customWidth="1"/>
    <col min="5" max="5" width="25.83203125" style="2" customWidth="1"/>
    <col min="6" max="6" width="1.83203125" style="2" customWidth="1"/>
    <col min="7" max="7" width="2.83203125" style="2" customWidth="1"/>
    <col min="8" max="8" width="1.83203125" style="2" customWidth="1"/>
    <col min="9" max="9" width="2.83203125" style="2" customWidth="1"/>
    <col min="10" max="10" width="75.33203125" style="9" bestFit="1" customWidth="1"/>
    <col min="11" max="11" width="80.83203125" style="2" customWidth="1"/>
    <col min="12" max="12" width="80.83203125" style="9" customWidth="1"/>
    <col min="13" max="13" width="104.6640625" style="2" customWidth="1"/>
    <col min="14" max="14" width="10.83203125" style="9" customWidth="1"/>
    <col min="15" max="17" width="11" style="9" customWidth="1"/>
    <col min="18" max="16384" width="11" style="9"/>
  </cols>
  <sheetData>
    <row r="1" spans="1:23" s="2" customFormat="1" ht="16" customHeight="1" x14ac:dyDescent="0.2">
      <c r="A1" s="52"/>
      <c r="B1" s="7"/>
      <c r="C1" s="7"/>
      <c r="D1" s="7"/>
      <c r="E1" s="7"/>
      <c r="F1" s="7"/>
      <c r="G1" s="7"/>
      <c r="H1" s="7"/>
      <c r="I1" s="7"/>
      <c r="N1" s="9"/>
      <c r="O1" s="9"/>
      <c r="P1" s="9"/>
      <c r="Q1" s="9"/>
      <c r="R1" s="9"/>
    </row>
    <row r="2" spans="1:23" s="2" customFormat="1" ht="54" customHeight="1" x14ac:dyDescent="0.2">
      <c r="A2" s="7"/>
      <c r="B2" s="524" t="s">
        <v>2800</v>
      </c>
      <c r="C2" s="524"/>
      <c r="D2" s="524"/>
      <c r="E2" s="524"/>
      <c r="F2" s="524"/>
      <c r="G2" s="524"/>
      <c r="H2" s="524"/>
      <c r="I2" s="524"/>
      <c r="J2" s="524"/>
      <c r="K2" s="524"/>
      <c r="L2" s="524"/>
      <c r="M2" s="525"/>
      <c r="N2" s="9"/>
      <c r="O2" s="9"/>
      <c r="P2" s="9"/>
      <c r="Q2" s="9"/>
      <c r="R2" s="9"/>
    </row>
    <row r="3" spans="1:23" s="2" customFormat="1" ht="20" customHeight="1" x14ac:dyDescent="0.2">
      <c r="A3" s="7"/>
      <c r="B3" s="526" t="s">
        <v>2801</v>
      </c>
      <c r="C3" s="526"/>
      <c r="D3" s="526"/>
      <c r="E3" s="526"/>
      <c r="F3" s="526"/>
      <c r="G3" s="526"/>
      <c r="H3" s="526"/>
      <c r="I3" s="526"/>
      <c r="J3" s="526"/>
      <c r="K3" s="526"/>
      <c r="L3" s="526"/>
      <c r="M3" s="527"/>
      <c r="N3" s="9"/>
      <c r="O3" s="9"/>
      <c r="P3" s="9"/>
      <c r="Q3" s="9"/>
      <c r="R3" s="9"/>
    </row>
    <row r="4" spans="1:23" s="2" customFormat="1" x14ac:dyDescent="0.2">
      <c r="A4" s="7"/>
      <c r="B4" s="7"/>
      <c r="C4" s="7"/>
      <c r="D4" s="7"/>
      <c r="E4" s="7"/>
      <c r="F4" s="7"/>
      <c r="G4" s="7"/>
      <c r="H4" s="7"/>
      <c r="I4" s="53"/>
      <c r="L4" s="11"/>
      <c r="M4" s="3"/>
      <c r="N4" s="3"/>
    </row>
    <row r="5" spans="1:23" ht="16" customHeight="1" x14ac:dyDescent="0.2">
      <c r="E5" s="7"/>
      <c r="F5" s="7"/>
      <c r="G5" s="7"/>
      <c r="H5" s="7"/>
      <c r="I5" s="7"/>
    </row>
    <row r="6" spans="1:23" ht="34" customHeight="1" x14ac:dyDescent="0.2">
      <c r="B6" s="9"/>
      <c r="C6" s="9"/>
      <c r="D6" s="9"/>
      <c r="E6" s="9"/>
      <c r="F6" s="9"/>
      <c r="G6" s="9"/>
      <c r="H6" s="9"/>
      <c r="I6" s="9"/>
      <c r="J6" s="412" t="s">
        <v>2802</v>
      </c>
      <c r="K6" s="413"/>
      <c r="L6" s="413"/>
      <c r="M6" s="414"/>
      <c r="N6" s="57"/>
      <c r="O6" s="57"/>
      <c r="P6" s="57"/>
      <c r="Q6" s="57"/>
      <c r="R6" s="57"/>
    </row>
    <row r="7" spans="1:23" ht="20" customHeight="1" x14ac:dyDescent="0.2">
      <c r="B7" s="9"/>
      <c r="C7" s="9"/>
      <c r="D7" s="9"/>
      <c r="E7" s="9"/>
      <c r="F7" s="9"/>
      <c r="G7" s="9"/>
      <c r="H7" s="9"/>
      <c r="I7" s="9"/>
      <c r="J7" s="521" t="s">
        <v>2803</v>
      </c>
      <c r="K7" s="522"/>
      <c r="L7" s="522"/>
      <c r="M7" s="523"/>
      <c r="N7" s="61"/>
      <c r="O7" s="61"/>
      <c r="P7" s="61"/>
      <c r="Q7" s="61"/>
      <c r="R7" s="61"/>
      <c r="S7" s="61"/>
      <c r="T7" s="61"/>
      <c r="U7" s="61"/>
      <c r="V7" s="61"/>
      <c r="W7" s="61"/>
    </row>
    <row r="8" spans="1:23" ht="20" customHeight="1" x14ac:dyDescent="0.2">
      <c r="J8" s="62" t="s">
        <v>18</v>
      </c>
      <c r="K8" s="63" t="s">
        <v>19</v>
      </c>
      <c r="L8" s="63" t="s">
        <v>20</v>
      </c>
      <c r="M8" s="63" t="s">
        <v>21</v>
      </c>
      <c r="N8" s="61"/>
      <c r="O8" s="61"/>
      <c r="P8" s="61"/>
      <c r="Q8" s="61"/>
      <c r="R8" s="61"/>
      <c r="S8" s="61"/>
      <c r="T8" s="61"/>
      <c r="U8" s="61"/>
      <c r="V8" s="61"/>
      <c r="W8" s="61"/>
    </row>
    <row r="9" spans="1:23" ht="20" customHeight="1" x14ac:dyDescent="0.2">
      <c r="J9" s="64" t="s">
        <v>2804</v>
      </c>
      <c r="K9" s="65" t="s">
        <v>2805</v>
      </c>
      <c r="L9" s="66" t="s">
        <v>2805</v>
      </c>
      <c r="M9" s="8"/>
      <c r="N9" s="61"/>
      <c r="O9" s="61"/>
      <c r="P9" s="61"/>
      <c r="Q9" s="61"/>
      <c r="R9" s="61"/>
      <c r="S9" s="61"/>
      <c r="T9" s="61"/>
      <c r="U9" s="61"/>
      <c r="V9" s="61"/>
      <c r="W9" s="61"/>
    </row>
    <row r="10" spans="1:23" ht="20" customHeight="1" x14ac:dyDescent="0.2">
      <c r="J10" s="67" t="s">
        <v>2806</v>
      </c>
      <c r="K10" s="65" t="s">
        <v>2807</v>
      </c>
      <c r="L10" s="68"/>
      <c r="M10" s="8" t="str">
        <f>IF(mgmt_offline_depot_chosen="Online", "Input is masked out and only required if using offline depot","")</f>
        <v>Input is masked out and only required if using offline depot</v>
      </c>
    </row>
    <row r="11" spans="1:23" ht="20" customHeight="1" x14ac:dyDescent="0.2">
      <c r="J11" s="67" t="s">
        <v>2808</v>
      </c>
      <c r="K11" s="65">
        <v>443</v>
      </c>
      <c r="L11" s="68"/>
      <c r="M11" s="8"/>
    </row>
    <row r="12" spans="1:23" ht="20" customHeight="1" x14ac:dyDescent="0.2">
      <c r="J12" s="67" t="s">
        <v>3212</v>
      </c>
      <c r="K12" s="65" t="s">
        <v>2809</v>
      </c>
      <c r="L12" s="68"/>
      <c r="M12" s="8"/>
    </row>
    <row r="13" spans="1:23" ht="20" customHeight="1" x14ac:dyDescent="0.2">
      <c r="J13" s="67" t="s">
        <v>3213</v>
      </c>
      <c r="K13" s="65" t="s">
        <v>3505</v>
      </c>
      <c r="L13" s="68"/>
      <c r="M13" s="8"/>
    </row>
    <row r="14" spans="1:23" ht="20" customHeight="1" thickBot="1" x14ac:dyDescent="0.25">
      <c r="B14" s="69"/>
      <c r="C14" s="69"/>
      <c r="D14" s="69"/>
      <c r="E14" s="69"/>
      <c r="F14" s="69"/>
      <c r="G14" s="69"/>
      <c r="H14" s="69"/>
      <c r="J14" s="67" t="s">
        <v>2810</v>
      </c>
      <c r="K14" s="65" t="s">
        <v>140</v>
      </c>
      <c r="L14" s="68" t="s">
        <v>140</v>
      </c>
      <c r="M14" s="8"/>
    </row>
    <row r="15" spans="1:23" ht="20" customHeight="1" thickTop="1" x14ac:dyDescent="0.2">
      <c r="A15" s="70"/>
      <c r="B15" s="25"/>
      <c r="C15" s="71" t="s">
        <v>2811</v>
      </c>
      <c r="D15" s="25"/>
      <c r="E15" s="25"/>
      <c r="F15" s="25"/>
      <c r="G15" s="25"/>
      <c r="H15" s="72"/>
      <c r="I15" s="53"/>
      <c r="J15" s="67" t="s">
        <v>1031</v>
      </c>
      <c r="K15" s="65" t="s">
        <v>2812</v>
      </c>
      <c r="L15" s="68" t="s">
        <v>2812</v>
      </c>
      <c r="M15" s="8" t="str">
        <f>IF(mgmt_internet_proxy_chosen="Unselected", "Input is masked out and only required if using Proxy Server for depot connectivity","")</f>
        <v>Input is masked out and only required if using Proxy Server for depot connectivity</v>
      </c>
    </row>
    <row r="16" spans="1:23" ht="20" customHeight="1" thickBot="1" x14ac:dyDescent="0.25">
      <c r="A16" s="70"/>
      <c r="B16" s="71"/>
      <c r="C16" s="73"/>
      <c r="D16" s="74"/>
      <c r="E16" s="74"/>
      <c r="F16" s="74"/>
      <c r="G16" s="74"/>
      <c r="H16" s="75"/>
      <c r="I16" s="53"/>
      <c r="J16" s="67" t="s">
        <v>3214</v>
      </c>
      <c r="K16" s="65" t="s">
        <v>2813</v>
      </c>
      <c r="L16" s="68"/>
      <c r="M16" s="8"/>
    </row>
    <row r="17" spans="1:13" ht="20" customHeight="1" thickTop="1" thickBot="1" x14ac:dyDescent="0.25">
      <c r="A17" s="70"/>
      <c r="B17" s="76"/>
      <c r="C17" s="531" t="s">
        <v>1095</v>
      </c>
      <c r="D17" s="532"/>
      <c r="E17" s="532"/>
      <c r="F17" s="532"/>
      <c r="G17" s="533"/>
      <c r="H17" s="75"/>
      <c r="I17" s="53"/>
      <c r="J17" s="67" t="s">
        <v>1036</v>
      </c>
      <c r="K17" s="65">
        <v>443</v>
      </c>
      <c r="L17" s="68"/>
      <c r="M17" s="8"/>
    </row>
    <row r="18" spans="1:13" ht="20" customHeight="1" thickTop="1" thickBot="1" x14ac:dyDescent="0.25">
      <c r="A18" s="70"/>
      <c r="B18" s="76"/>
      <c r="C18" s="349" t="s">
        <v>2814</v>
      </c>
      <c r="D18" s="77"/>
      <c r="E18" s="77"/>
      <c r="F18" s="77"/>
      <c r="G18" s="78"/>
      <c r="H18" s="75"/>
      <c r="I18" s="53"/>
      <c r="J18" s="67" t="s">
        <v>2815</v>
      </c>
      <c r="K18" s="65" t="s">
        <v>140</v>
      </c>
      <c r="L18" s="66" t="s">
        <v>140</v>
      </c>
      <c r="M18" s="290"/>
    </row>
    <row r="19" spans="1:13" ht="20" customHeight="1" thickTop="1" thickBot="1" x14ac:dyDescent="0.25">
      <c r="A19" s="70"/>
      <c r="B19" s="25"/>
      <c r="C19" s="79"/>
      <c r="D19" s="79"/>
      <c r="E19" s="79"/>
      <c r="F19" s="79"/>
      <c r="G19" s="79"/>
      <c r="H19" s="75"/>
      <c r="I19" s="53"/>
      <c r="J19" s="67" t="s">
        <v>28</v>
      </c>
      <c r="K19" s="65" t="s">
        <v>2816</v>
      </c>
      <c r="L19" s="66"/>
      <c r="M19" s="290" t="str">
        <f>IF(mgmt_internet_proxy_auth_chosen="Unselected", "Input is masked out and only required if using Proxy Server that required authentication","")</f>
        <v>Input is masked out and only required if using Proxy Server that required authentication</v>
      </c>
    </row>
    <row r="20" spans="1:13" ht="20" customHeight="1" thickTop="1" x14ac:dyDescent="0.2">
      <c r="A20" s="70"/>
      <c r="B20" s="25"/>
      <c r="C20" s="258" t="str">
        <f>CONCATENATE(mgmt_domain_deployment_type_chosen, " Instance")</f>
        <v>VMware Cloud Foundation Instance</v>
      </c>
      <c r="D20" s="71"/>
      <c r="E20" s="71"/>
      <c r="F20" s="25"/>
      <c r="G20" s="81"/>
      <c r="H20" s="75"/>
      <c r="I20" s="53"/>
      <c r="J20" s="67" t="s">
        <v>30</v>
      </c>
      <c r="K20" s="65" t="s">
        <v>137</v>
      </c>
      <c r="L20" s="66"/>
      <c r="M20" s="290"/>
    </row>
    <row r="21" spans="1:13" ht="20" customHeight="1" thickBot="1" x14ac:dyDescent="0.25">
      <c r="A21" s="70"/>
      <c r="B21" s="25"/>
      <c r="C21" s="82"/>
      <c r="D21" s="83"/>
      <c r="E21" s="83"/>
      <c r="F21" s="83"/>
      <c r="G21" s="81"/>
      <c r="H21" s="75"/>
      <c r="I21" s="53"/>
    </row>
    <row r="22" spans="1:13" ht="34" customHeight="1" thickTop="1" thickBot="1" x14ac:dyDescent="0.25">
      <c r="A22" s="70"/>
      <c r="B22" s="25"/>
      <c r="C22" s="82"/>
      <c r="D22" s="84"/>
      <c r="E22" s="71"/>
      <c r="F22" s="85"/>
      <c r="G22" s="81"/>
      <c r="H22" s="75"/>
      <c r="I22" s="7"/>
      <c r="J22" s="412" t="s">
        <v>2817</v>
      </c>
      <c r="K22" s="413"/>
      <c r="L22" s="413"/>
      <c r="M22" s="414"/>
    </row>
    <row r="23" spans="1:13" ht="20" customHeight="1" thickTop="1" thickBot="1" x14ac:dyDescent="0.25">
      <c r="A23" s="70"/>
      <c r="B23" s="25"/>
      <c r="C23" s="82"/>
      <c r="D23" s="84"/>
      <c r="E23" s="350" t="s">
        <v>3270</v>
      </c>
      <c r="F23" s="85"/>
      <c r="G23" s="81"/>
      <c r="H23" s="75"/>
      <c r="I23" s="7"/>
      <c r="J23" s="534"/>
      <c r="K23" s="535"/>
      <c r="L23" s="535"/>
      <c r="M23" s="536"/>
    </row>
    <row r="24" spans="1:13" ht="20" customHeight="1" thickTop="1" thickBot="1" x14ac:dyDescent="0.25">
      <c r="A24" s="70"/>
      <c r="B24" s="25"/>
      <c r="C24" s="82"/>
      <c r="D24" s="86"/>
      <c r="E24" s="350" t="s">
        <v>693</v>
      </c>
      <c r="F24" s="85"/>
      <c r="G24" s="81"/>
      <c r="H24" s="75"/>
      <c r="I24" s="7"/>
      <c r="J24" s="63" t="s">
        <v>18</v>
      </c>
      <c r="K24" s="63" t="s">
        <v>19</v>
      </c>
      <c r="L24" s="63" t="s">
        <v>20</v>
      </c>
      <c r="M24" s="63" t="s">
        <v>21</v>
      </c>
    </row>
    <row r="25" spans="1:13" ht="20" customHeight="1" thickTop="1" thickBot="1" x14ac:dyDescent="0.25">
      <c r="A25" s="70"/>
      <c r="B25" s="25"/>
      <c r="C25" s="82"/>
      <c r="D25" s="86"/>
      <c r="E25" s="350" t="s">
        <v>661</v>
      </c>
      <c r="F25" s="85"/>
      <c r="G25" s="81"/>
      <c r="H25" s="75"/>
      <c r="I25" s="7"/>
      <c r="J25" s="4" t="s">
        <v>2818</v>
      </c>
      <c r="K25" s="65" t="s">
        <v>2705</v>
      </c>
      <c r="L25" s="8" t="str">
        <f>mgmt_domain_deployment_type_chosen</f>
        <v>VMware Cloud Foundation</v>
      </c>
      <c r="M25" s="8"/>
    </row>
    <row r="26" spans="1:13" ht="20" customHeight="1" thickTop="1" thickBot="1" x14ac:dyDescent="0.25">
      <c r="A26" s="70"/>
      <c r="B26" s="25"/>
      <c r="C26" s="82"/>
      <c r="D26" s="86"/>
      <c r="E26" s="351" t="s">
        <v>1377</v>
      </c>
      <c r="F26" s="85"/>
      <c r="G26" s="81"/>
      <c r="H26" s="75"/>
      <c r="I26" s="7"/>
      <c r="J26" s="4" t="s">
        <v>1058</v>
      </c>
      <c r="K26" s="65" t="s">
        <v>1924</v>
      </c>
      <c r="L26" s="8" t="str">
        <f>IF(vcf_granular_option_chosen="Deploy a new VCF fleet","Deploy a new VCF fleet",IF(vcf_granular_option_chosen="Deploy a VCF Instance in an existing VCF fleet","Deploy a VCF Instance in an existing VCF fleet",IF(vcf_granular_option_chosen="Deploy deferred components","Deploy deferred components","")))</f>
        <v>Deploy a new VCF fleet</v>
      </c>
      <c r="M26" s="353" t="s">
        <v>2819</v>
      </c>
    </row>
    <row r="27" spans="1:13" ht="20" customHeight="1" thickTop="1" thickBot="1" x14ac:dyDescent="0.25">
      <c r="A27" s="70"/>
      <c r="B27" s="25"/>
      <c r="C27" s="82"/>
      <c r="D27" s="86"/>
      <c r="E27" s="352" t="s">
        <v>95</v>
      </c>
      <c r="F27" s="85"/>
      <c r="G27" s="81"/>
      <c r="H27" s="75"/>
      <c r="I27" s="7"/>
      <c r="J27" s="90"/>
      <c r="M27" s="313"/>
    </row>
    <row r="28" spans="1:13" ht="34" customHeight="1" thickTop="1" thickBot="1" x14ac:dyDescent="0.25">
      <c r="A28" s="70"/>
      <c r="B28" s="25"/>
      <c r="C28" s="82"/>
      <c r="D28" s="88"/>
      <c r="E28" s="83"/>
      <c r="F28" s="89"/>
      <c r="G28" s="81"/>
      <c r="H28" s="75"/>
      <c r="I28" s="7"/>
      <c r="J28" s="412" t="s">
        <v>2820</v>
      </c>
      <c r="K28" s="413"/>
      <c r="L28" s="413"/>
      <c r="M28" s="414"/>
    </row>
    <row r="29" spans="1:13" ht="20" customHeight="1" thickTop="1" thickBot="1" x14ac:dyDescent="0.25">
      <c r="A29" s="70"/>
      <c r="B29" s="25"/>
      <c r="C29" s="91"/>
      <c r="D29" s="79"/>
      <c r="E29" s="79"/>
      <c r="F29" s="79"/>
      <c r="G29" s="92"/>
      <c r="H29" s="75"/>
      <c r="I29" s="7"/>
      <c r="J29" s="521" t="s">
        <v>2821</v>
      </c>
      <c r="K29" s="522"/>
      <c r="L29" s="522"/>
      <c r="M29" s="523"/>
    </row>
    <row r="30" spans="1:13" ht="20" customHeight="1" thickTop="1" thickBot="1" x14ac:dyDescent="0.25">
      <c r="A30" s="70"/>
      <c r="B30" s="74"/>
      <c r="C30" s="74"/>
      <c r="D30" s="74"/>
      <c r="E30" s="74"/>
      <c r="F30" s="74"/>
      <c r="G30" s="74"/>
      <c r="H30" s="93"/>
      <c r="I30" s="7"/>
      <c r="J30" s="63" t="s">
        <v>18</v>
      </c>
      <c r="K30" s="63" t="s">
        <v>19</v>
      </c>
      <c r="L30" s="63" t="s">
        <v>20</v>
      </c>
      <c r="M30" s="63" t="s">
        <v>21</v>
      </c>
    </row>
    <row r="31" spans="1:13" ht="20" customHeight="1" thickTop="1" x14ac:dyDescent="0.2">
      <c r="E31" s="94"/>
      <c r="F31" s="94"/>
      <c r="G31" s="94"/>
      <c r="H31" s="94"/>
      <c r="I31" s="7"/>
      <c r="J31" s="4" t="s">
        <v>3090</v>
      </c>
      <c r="K31" s="65" t="s">
        <v>140</v>
      </c>
      <c r="L31" s="66" t="s">
        <v>140</v>
      </c>
      <c r="M31" s="224" t="str">
        <f>IF(mgmt_domain_deployment_type_chosen="VMware vSphere Foundation","An existing VCF Operations instance cannot be used. If you want to use an existing VCF Operations instance, convert your vCenter to VMware vSphere Foundation deployment using the VCF Operations UI.","Use an existing VCF Operations instance as the management component in the VCF fleet.")</f>
        <v>Use an existing VCF Operations instance as the management component in the VCF fleet.</v>
      </c>
    </row>
    <row r="32" spans="1:13" ht="20" customHeight="1" x14ac:dyDescent="0.2">
      <c r="E32" s="94"/>
      <c r="F32" s="94"/>
      <c r="G32" s="94"/>
      <c r="H32" s="94"/>
      <c r="I32" s="7"/>
      <c r="J32" s="95" t="s">
        <v>3089</v>
      </c>
      <c r="K32" s="65" t="s">
        <v>140</v>
      </c>
      <c r="L32" s="66" t="s">
        <v>140</v>
      </c>
      <c r="M32" s="224" t="str">
        <f>IF(mgmt_domain_existing_vcf_operations_chosen="Selected","The existing vCenter must be used as management domain vCenter of the newly deployed VCF Instance","Use an existing vCenter as the management domain vCenter.")</f>
        <v>Use an existing vCenter as the management domain vCenter.</v>
      </c>
    </row>
    <row r="33" spans="1:13" ht="20" customHeight="1" x14ac:dyDescent="0.2">
      <c r="I33" s="7"/>
      <c r="J33" s="4" t="s">
        <v>3331</v>
      </c>
      <c r="K33" s="65" t="s">
        <v>140</v>
      </c>
      <c r="L33" s="96" t="s">
        <v>140</v>
      </c>
      <c r="M33" s="224" t="str">
        <f>IF(mgmt_domain_existing_vcenter_result="Selected","Use the NSX Manager connected to this vCenter as the management domain NSX Manager.","Input is masked out and only required if you are importing a vCenter with an NSX Manager registered to it")</f>
        <v>Input is masked out and only required if you are importing a vCenter with an NSX Manager registered to it</v>
      </c>
    </row>
    <row r="34" spans="1:13" ht="20" customHeight="1" x14ac:dyDescent="0.2">
      <c r="I34" s="7"/>
      <c r="J34" s="4" t="s">
        <v>3332</v>
      </c>
      <c r="K34" s="65" t="s">
        <v>140</v>
      </c>
      <c r="L34" s="66" t="s">
        <v>140</v>
      </c>
      <c r="M34" s="8" t="s">
        <v>3663</v>
      </c>
    </row>
    <row r="35" spans="1:13" ht="20" customHeight="1" x14ac:dyDescent="0.2">
      <c r="I35" s="7"/>
      <c r="J35" s="97"/>
      <c r="K35" s="102"/>
      <c r="L35" s="98"/>
      <c r="M35" s="102"/>
    </row>
    <row r="36" spans="1:13" ht="34" customHeight="1" x14ac:dyDescent="0.2">
      <c r="I36" s="7"/>
      <c r="J36" s="412" t="s">
        <v>3098</v>
      </c>
      <c r="K36" s="413"/>
      <c r="L36" s="413"/>
      <c r="M36" s="414"/>
    </row>
    <row r="37" spans="1:13" ht="20" customHeight="1" x14ac:dyDescent="0.2">
      <c r="I37" s="7"/>
      <c r="J37" s="521" t="s">
        <v>3084</v>
      </c>
      <c r="K37" s="522"/>
      <c r="L37" s="522"/>
      <c r="M37" s="523"/>
    </row>
    <row r="38" spans="1:13" ht="20" customHeight="1" x14ac:dyDescent="0.2">
      <c r="I38" s="7"/>
      <c r="J38" s="63" t="s">
        <v>18</v>
      </c>
      <c r="K38" s="63" t="s">
        <v>19</v>
      </c>
      <c r="L38" s="63" t="s">
        <v>20</v>
      </c>
      <c r="M38" s="63" t="s">
        <v>21</v>
      </c>
    </row>
    <row r="39" spans="1:13" ht="20" customHeight="1" x14ac:dyDescent="0.2">
      <c r="I39" s="7"/>
      <c r="J39" s="4" t="s">
        <v>2824</v>
      </c>
      <c r="K39" s="65" t="s">
        <v>2825</v>
      </c>
      <c r="L39" s="66" t="s">
        <v>3264</v>
      </c>
      <c r="M39" s="224" t="s">
        <v>2826</v>
      </c>
    </row>
    <row r="40" spans="1:13" ht="20" customHeight="1" x14ac:dyDescent="0.2">
      <c r="I40" s="7"/>
      <c r="J40" s="4" t="s">
        <v>3085</v>
      </c>
      <c r="K40" s="65" t="s">
        <v>92</v>
      </c>
      <c r="L40" s="66" t="s">
        <v>92</v>
      </c>
      <c r="M40" s="8" t="str">
        <f>IF(mgmt_domain_vcf_operations_ha_mode_chosen="Simple","Simple is chosen size is set to small and cannot be changed using VCF Installer UI",
IF(AND(mgmt_domain_vcf_operations_ha_mode_chosen="High Availability (Three-node)",mgmt_domain_vcf_operations_size_chosen="Small"),"VCF automation doesn't support High Availability mode with small size and will be deployed in Simple mode",""))</f>
        <v/>
      </c>
    </row>
    <row r="41" spans="1:13" ht="20" customHeight="1" x14ac:dyDescent="0.2">
      <c r="I41" s="7"/>
      <c r="J41" s="97"/>
      <c r="K41" s="102"/>
      <c r="L41" s="98"/>
      <c r="M41" s="102"/>
    </row>
    <row r="42" spans="1:13" ht="34" customHeight="1" x14ac:dyDescent="0.2">
      <c r="I42" s="7"/>
      <c r="J42" s="412" t="s">
        <v>3083</v>
      </c>
      <c r="K42" s="413"/>
      <c r="L42" s="413"/>
      <c r="M42" s="414"/>
    </row>
    <row r="43" spans="1:13" ht="20" customHeight="1" x14ac:dyDescent="0.2">
      <c r="I43" s="7"/>
      <c r="J43" s="528" t="s">
        <v>3094</v>
      </c>
      <c r="K43" s="529"/>
      <c r="L43" s="529"/>
      <c r="M43" s="530"/>
    </row>
    <row r="44" spans="1:13" ht="20" customHeight="1" x14ac:dyDescent="0.2">
      <c r="I44" s="7"/>
      <c r="J44" s="63" t="s">
        <v>18</v>
      </c>
      <c r="K44" s="63" t="s">
        <v>19</v>
      </c>
      <c r="L44" s="63" t="s">
        <v>20</v>
      </c>
      <c r="M44" s="63" t="s">
        <v>21</v>
      </c>
    </row>
    <row r="45" spans="1:13" s="112" customFormat="1" ht="20" customHeight="1" x14ac:dyDescent="0.2">
      <c r="A45" s="7"/>
      <c r="B45" s="7"/>
      <c r="C45" s="7"/>
      <c r="D45" s="7"/>
      <c r="E45" s="2"/>
      <c r="F45" s="7"/>
      <c r="G45" s="7"/>
      <c r="H45" s="7"/>
      <c r="I45" s="7"/>
      <c r="J45" s="4" t="s">
        <v>3095</v>
      </c>
      <c r="K45" s="65" t="s">
        <v>3096</v>
      </c>
      <c r="L45" s="66" t="s">
        <v>3096</v>
      </c>
      <c r="M45" s="43"/>
    </row>
    <row r="46" spans="1:13" s="112" customFormat="1" ht="20" customHeight="1" x14ac:dyDescent="0.2">
      <c r="A46" s="7"/>
      <c r="B46" s="7"/>
      <c r="C46" s="7"/>
      <c r="D46" s="7"/>
      <c r="E46" s="2"/>
      <c r="F46" s="7"/>
      <c r="G46" s="7"/>
      <c r="H46" s="7"/>
      <c r="I46" s="7"/>
      <c r="J46" s="4" t="s">
        <v>3115</v>
      </c>
      <c r="K46" s="65" t="s">
        <v>3136</v>
      </c>
      <c r="L46" s="66" t="s">
        <v>3096</v>
      </c>
      <c r="M46" s="43"/>
    </row>
    <row r="47" spans="1:13" ht="20" customHeight="1" x14ac:dyDescent="0.2">
      <c r="J47" s="4" t="s">
        <v>3265</v>
      </c>
      <c r="K47" s="65" t="s">
        <v>140</v>
      </c>
      <c r="L47" s="66" t="s">
        <v>140</v>
      </c>
      <c r="M47" s="224" t="str">
        <f>IF(mgmt_domain_ops_automation_later_chosen="Selected","Use Deploy Fleet Management Day-N sheet to capture inputs","Select to perform deployment of VCF Operations and VCF Automation post Management Domain Creation")</f>
        <v>Select to perform deployment of VCF Operations and VCF Automation post Management Domain Creation</v>
      </c>
    </row>
    <row r="48" spans="1:13" ht="20" customHeight="1" x14ac:dyDescent="0.2">
      <c r="I48" s="7"/>
      <c r="J48" s="528" t="s">
        <v>3117</v>
      </c>
      <c r="K48" s="529"/>
      <c r="L48" s="529"/>
      <c r="M48" s="530"/>
    </row>
    <row r="49" spans="5:13" ht="20" customHeight="1" x14ac:dyDescent="0.2">
      <c r="I49" s="7"/>
      <c r="J49" s="40" t="s">
        <v>3217</v>
      </c>
      <c r="K49" s="65" t="s">
        <v>140</v>
      </c>
      <c r="L49" s="66" t="s">
        <v>140</v>
      </c>
      <c r="M49" s="8" t="s">
        <v>3218</v>
      </c>
    </row>
    <row r="50" spans="5:13" ht="20" customHeight="1" x14ac:dyDescent="0.2">
      <c r="I50" s="7"/>
      <c r="J50" s="40" t="s">
        <v>3118</v>
      </c>
      <c r="K50" s="65" t="s">
        <v>3119</v>
      </c>
      <c r="L50" s="66" t="s">
        <v>3119</v>
      </c>
      <c r="M50" s="8"/>
    </row>
    <row r="51" spans="5:13" ht="20" customHeight="1" x14ac:dyDescent="0.2">
      <c r="I51" s="7"/>
      <c r="J51" s="40" t="s">
        <v>3120</v>
      </c>
      <c r="K51" s="65" t="s">
        <v>3119</v>
      </c>
      <c r="L51" s="66" t="s">
        <v>3119</v>
      </c>
      <c r="M51" s="8"/>
    </row>
    <row r="52" spans="5:13" ht="20" customHeight="1" x14ac:dyDescent="0.2">
      <c r="I52" s="7"/>
      <c r="J52" s="528" t="s">
        <v>3610</v>
      </c>
      <c r="K52" s="529"/>
      <c r="L52" s="529"/>
      <c r="M52" s="530"/>
    </row>
    <row r="53" spans="5:13" ht="20" customHeight="1" x14ac:dyDescent="0.2">
      <c r="I53" s="7"/>
      <c r="J53" s="40" t="s">
        <v>3610</v>
      </c>
      <c r="K53" s="65" t="s">
        <v>3611</v>
      </c>
      <c r="L53" s="66" t="s">
        <v>3611</v>
      </c>
      <c r="M53" s="8" t="str">
        <f>IF(mgmt_nsx_vpc_type_chosen="Full Stack VPC","Provide the complete VPC feature set, including all supported services and technologies, by configuring overlay TEPs","Provide essential VPC services without requiring overlay TEPs or TEP management")</f>
        <v>Provide the complete VPC feature set, including all supported services and technologies, by configuring overlay TEPs</v>
      </c>
    </row>
    <row r="54" spans="5:13" ht="20" customHeight="1" x14ac:dyDescent="0.2">
      <c r="I54" s="7"/>
      <c r="J54" s="40" t="s">
        <v>3116</v>
      </c>
      <c r="K54" s="65" t="s">
        <v>3086</v>
      </c>
      <c r="L54" s="66" t="s">
        <v>3623</v>
      </c>
      <c r="M54" s="8" t="str">
        <f>IF(mgmt_nsx_overlay_transit_gateway_chosen="Centralized connectivity","Centralized connectivity will be configured after VCF Bringup is complete by a secondary workflow","Distributed connectivity (via VCF installer) does not deploy VNAs required for supervisor services. Consider using Centralized connectivity to skip creating an external connection and instead deploy DTGW day 2 with VNAs for a more complete solution.")</f>
        <v>Centralized connectivity will be configured after VCF Bringup is complete by a secondary workflow</v>
      </c>
    </row>
    <row r="55" spans="5:13" ht="20" customHeight="1" x14ac:dyDescent="0.2">
      <c r="I55" s="7"/>
      <c r="K55" s="9"/>
      <c r="M55" s="9"/>
    </row>
    <row r="56" spans="5:13" ht="34" customHeight="1" x14ac:dyDescent="0.2">
      <c r="I56" s="7"/>
      <c r="J56" s="412" t="s">
        <v>3087</v>
      </c>
      <c r="K56" s="413"/>
      <c r="L56" s="413"/>
      <c r="M56" s="414"/>
    </row>
    <row r="57" spans="5:13" ht="20" customHeight="1" x14ac:dyDescent="0.2">
      <c r="I57" s="7"/>
      <c r="J57" s="521" t="s">
        <v>3333</v>
      </c>
      <c r="K57" s="522"/>
      <c r="L57" s="522"/>
      <c r="M57" s="523"/>
    </row>
    <row r="58" spans="5:13" ht="20" customHeight="1" x14ac:dyDescent="0.2">
      <c r="I58" s="7"/>
      <c r="J58" s="63" t="s">
        <v>18</v>
      </c>
      <c r="K58" s="63" t="s">
        <v>19</v>
      </c>
      <c r="L58" s="63" t="s">
        <v>20</v>
      </c>
      <c r="M58" s="63" t="s">
        <v>21</v>
      </c>
    </row>
    <row r="59" spans="5:13" ht="20" customHeight="1" x14ac:dyDescent="0.2">
      <c r="E59" s="7"/>
      <c r="F59" s="7"/>
      <c r="G59" s="7"/>
      <c r="H59" s="7"/>
      <c r="I59" s="7"/>
      <c r="J59" s="4" t="s">
        <v>3088</v>
      </c>
      <c r="K59" s="65" t="s">
        <v>647</v>
      </c>
      <c r="L59" s="66" t="s">
        <v>647</v>
      </c>
      <c r="M59" s="8" t="str">
        <f>IF(mgmt_domain_existing_vcenter_chosen="Selected","Inputs are masked out as you have opted to import an existing vCenter Server","")</f>
        <v/>
      </c>
    </row>
    <row r="60" spans="5:13" ht="20" customHeight="1" x14ac:dyDescent="0.2">
      <c r="E60" s="7"/>
      <c r="F60" s="7"/>
      <c r="G60" s="7"/>
      <c r="H60" s="7"/>
      <c r="I60" s="7"/>
      <c r="J60" s="95" t="s">
        <v>3122</v>
      </c>
      <c r="K60" s="65" t="s">
        <v>140</v>
      </c>
      <c r="L60" s="107" t="s">
        <v>140</v>
      </c>
      <c r="M60" s="8" t="s">
        <v>3578</v>
      </c>
    </row>
    <row r="61" spans="5:13" ht="20" customHeight="1" x14ac:dyDescent="0.2">
      <c r="E61" s="7"/>
      <c r="F61" s="7"/>
      <c r="G61" s="7"/>
      <c r="H61" s="7"/>
      <c r="I61" s="7"/>
      <c r="J61" s="95" t="s">
        <v>3612</v>
      </c>
      <c r="K61" s="65" t="s">
        <v>140</v>
      </c>
      <c r="L61" s="107" t="s">
        <v>140</v>
      </c>
      <c r="M61" s="8"/>
    </row>
    <row r="62" spans="5:13" ht="20" customHeight="1" x14ac:dyDescent="0.2">
      <c r="E62" s="7"/>
      <c r="F62" s="7"/>
      <c r="G62" s="7"/>
      <c r="H62" s="7"/>
      <c r="I62" s="7"/>
      <c r="J62" s="95" t="s">
        <v>2839</v>
      </c>
      <c r="K62" s="65">
        <v>1</v>
      </c>
      <c r="L62" s="107">
        <v>1</v>
      </c>
      <c r="M62" s="8" t="str">
        <f>IF(mgmt_principal_storage_chosen&lt;&gt;"vSAN-OSA","Input is masked out and only required if configuring vSAN-OSA","")</f>
        <v>Input is masked out and only required if configuring vSAN-OSA</v>
      </c>
    </row>
    <row r="63" spans="5:13" ht="20" customHeight="1" x14ac:dyDescent="0.2">
      <c r="E63" s="7"/>
      <c r="F63" s="7"/>
      <c r="G63" s="7"/>
      <c r="H63" s="7"/>
      <c r="I63" s="7"/>
      <c r="J63" s="95" t="s">
        <v>3121</v>
      </c>
      <c r="K63" s="65" t="s">
        <v>140</v>
      </c>
      <c r="L63" s="107" t="s">
        <v>140</v>
      </c>
      <c r="M63" s="8" t="str">
        <f>IF(mgmt_principal_storage_chosen&lt;&gt;"vSAN-OSA","Input is masked out and only required if configuring vSAN-OSA","")</f>
        <v>Input is masked out and only required if configuring vSAN-OSA</v>
      </c>
    </row>
    <row r="64" spans="5:13" ht="20" customHeight="1" x14ac:dyDescent="0.2">
      <c r="I64" s="7"/>
      <c r="J64" s="97"/>
      <c r="K64" s="102"/>
      <c r="L64" s="98"/>
      <c r="M64" s="102"/>
    </row>
    <row r="65" spans="5:13" ht="34" customHeight="1" x14ac:dyDescent="0.2">
      <c r="J65" s="412" t="s">
        <v>688</v>
      </c>
      <c r="K65" s="413"/>
      <c r="L65" s="413"/>
      <c r="M65" s="414"/>
    </row>
    <row r="66" spans="5:13" ht="20" customHeight="1" x14ac:dyDescent="0.2">
      <c r="J66" s="521" t="s">
        <v>651</v>
      </c>
      <c r="K66" s="522"/>
      <c r="L66" s="522"/>
      <c r="M66" s="523"/>
    </row>
    <row r="67" spans="5:13" ht="20" customHeight="1" x14ac:dyDescent="0.2">
      <c r="J67" s="63" t="s">
        <v>18</v>
      </c>
      <c r="K67" s="63" t="s">
        <v>19</v>
      </c>
      <c r="L67" s="63" t="s">
        <v>20</v>
      </c>
      <c r="M67" s="63" t="s">
        <v>21</v>
      </c>
    </row>
    <row r="68" spans="5:13" ht="20" customHeight="1" x14ac:dyDescent="0.2">
      <c r="J68" s="4" t="s">
        <v>186</v>
      </c>
      <c r="K68" s="65" t="str">
        <f>vcf_version_chosen</f>
        <v>9.1.1.0</v>
      </c>
      <c r="L68" s="99" t="str">
        <f>vcf_version_chosen</f>
        <v>9.1.1.0</v>
      </c>
      <c r="M68" s="353" t="s">
        <v>2819</v>
      </c>
    </row>
    <row r="69" spans="5:13" ht="20" customHeight="1" x14ac:dyDescent="0.2">
      <c r="J69" s="4" t="s">
        <v>1611</v>
      </c>
      <c r="K69" s="100" t="str">
        <f>IF(mgmt_domain_chosen="First Instance","San Francisco","Los Angeles")</f>
        <v>San Francisco</v>
      </c>
      <c r="L69" s="101"/>
      <c r="M69" s="8" t="s">
        <v>2822</v>
      </c>
    </row>
    <row r="70" spans="5:13" ht="20" customHeight="1" x14ac:dyDescent="0.2">
      <c r="J70" s="4" t="s">
        <v>2823</v>
      </c>
      <c r="K70" s="65" t="str">
        <f>CONCATENATE(this_instance,"-m01")</f>
        <v>sfo-m01</v>
      </c>
      <c r="L70" s="66"/>
      <c r="M70" s="8"/>
    </row>
    <row r="71" spans="5:13" ht="20" customHeight="1" x14ac:dyDescent="0.2">
      <c r="J71" s="4" t="s">
        <v>1079</v>
      </c>
      <c r="K71" s="65" t="s">
        <v>154</v>
      </c>
      <c r="L71" s="66" t="s">
        <v>154</v>
      </c>
      <c r="M71" s="8" t="s">
        <v>3503</v>
      </c>
    </row>
    <row r="72" spans="5:13" ht="20" customHeight="1" x14ac:dyDescent="0.2">
      <c r="J72" s="521" t="s">
        <v>1064</v>
      </c>
      <c r="K72" s="522"/>
      <c r="L72" s="522"/>
      <c r="M72" s="523"/>
    </row>
    <row r="73" spans="5:13" ht="20" customHeight="1" x14ac:dyDescent="0.2">
      <c r="J73" s="4" t="s">
        <v>1066</v>
      </c>
      <c r="K73" s="65" t="str">
        <f>IF(mgmt_dpg_reuse_result="Included",CONCATENATE(prefix_mgmt_az1_cidr,"10.4"),CONCATENATE(prefix_mgmt_az1_cidr,"11.4"))</f>
        <v>10.11.10.4</v>
      </c>
      <c r="L73" s="66"/>
      <c r="M73" s="8" t="s">
        <v>3147</v>
      </c>
    </row>
    <row r="74" spans="5:13" ht="20" customHeight="1" x14ac:dyDescent="0.2">
      <c r="J74" s="4" t="s">
        <v>1067</v>
      </c>
      <c r="K74" s="65" t="str">
        <f>IF(mgmt_dpg_reuse_result="Included",CONCATENATE(prefix_mgmt_az1_cidr,"10.5"),CONCATENATE(prefix_mgmt_az1_cidr,"11.5"))</f>
        <v>10.11.10.5</v>
      </c>
      <c r="L74" s="66"/>
      <c r="M74" s="8"/>
    </row>
    <row r="75" spans="5:13" ht="20" customHeight="1" x14ac:dyDescent="0.2">
      <c r="E75" s="94"/>
      <c r="F75" s="94"/>
      <c r="G75" s="94"/>
      <c r="H75" s="94"/>
      <c r="J75" s="521" t="s">
        <v>1077</v>
      </c>
      <c r="K75" s="522"/>
      <c r="L75" s="522"/>
      <c r="M75" s="523"/>
    </row>
    <row r="76" spans="5:13" ht="20" customHeight="1" x14ac:dyDescent="0.2">
      <c r="E76" s="94"/>
      <c r="F76" s="94"/>
      <c r="G76" s="94"/>
      <c r="H76" s="94"/>
      <c r="J76" s="4" t="s">
        <v>1066</v>
      </c>
      <c r="K76" s="65" t="str">
        <f>CONCATENATE("ntp0.",this_instance,".rainpole.io")</f>
        <v>ntp0.sfo.rainpole.io</v>
      </c>
      <c r="L76" s="66"/>
      <c r="M76" s="8" t="s">
        <v>3148</v>
      </c>
    </row>
    <row r="77" spans="5:13" ht="20" customHeight="1" x14ac:dyDescent="0.2">
      <c r="E77" s="94"/>
      <c r="F77" s="94"/>
      <c r="G77" s="94"/>
      <c r="H77" s="94"/>
      <c r="I77" s="7"/>
      <c r="J77" s="4" t="s">
        <v>1067</v>
      </c>
      <c r="K77" s="65" t="str">
        <f>CONCATENATE("ntp1.",this_instance,".rainpole.io")</f>
        <v>ntp1.sfo.rainpole.io</v>
      </c>
      <c r="L77" s="66"/>
      <c r="M77" s="8" t="str">
        <f>IF(mgmt_domain_existing_vcenter_chosen="Selected","Inputs are masked out as you are importing a vCenter. NTP inputs will be captured from vCenter during import","")</f>
        <v/>
      </c>
    </row>
    <row r="78" spans="5:13" ht="20" customHeight="1" x14ac:dyDescent="0.2">
      <c r="E78" s="94"/>
      <c r="F78" s="94"/>
      <c r="G78" s="94"/>
      <c r="H78" s="94"/>
      <c r="I78" s="7"/>
      <c r="J78" s="521" t="s">
        <v>3587</v>
      </c>
      <c r="K78" s="522"/>
      <c r="L78" s="522"/>
      <c r="M78" s="523"/>
    </row>
    <row r="79" spans="5:13" ht="20" customHeight="1" x14ac:dyDescent="0.2">
      <c r="J79" s="4" t="s">
        <v>3149</v>
      </c>
      <c r="K79" s="65" t="s">
        <v>1360</v>
      </c>
      <c r="L79" s="66"/>
      <c r="M79" s="8" t="str">
        <f>IF(mgmt_domain_existing_vcenter_chosen="Selected","Inputs are masked out as you are importing a vCenter. DNS inputs will be captured from vCenter during import","")</f>
        <v/>
      </c>
    </row>
    <row r="80" spans="5:13" ht="20" customHeight="1" x14ac:dyDescent="0.2">
      <c r="E80" s="94"/>
      <c r="F80" s="94"/>
      <c r="G80" s="94"/>
      <c r="H80" s="94"/>
      <c r="I80" s="7"/>
      <c r="J80" s="521" t="s">
        <v>3588</v>
      </c>
      <c r="K80" s="522"/>
      <c r="L80" s="522"/>
      <c r="M80" s="523"/>
    </row>
    <row r="81" spans="5:13" ht="19" customHeight="1" x14ac:dyDescent="0.2">
      <c r="E81" s="7"/>
      <c r="F81" s="7"/>
      <c r="G81" s="7"/>
      <c r="H81" s="7"/>
      <c r="I81" s="7"/>
      <c r="J81" s="4" t="s">
        <v>3589</v>
      </c>
      <c r="K81" s="65" t="s">
        <v>140</v>
      </c>
      <c r="L81" s="66" t="s">
        <v>140</v>
      </c>
      <c r="M81" s="8"/>
    </row>
    <row r="82" spans="5:13" ht="20" customHeight="1" x14ac:dyDescent="0.2">
      <c r="E82" s="7"/>
      <c r="F82" s="7"/>
      <c r="G82" s="7"/>
      <c r="H82" s="7"/>
      <c r="I82" s="7"/>
      <c r="J82" s="97"/>
      <c r="K82" s="102"/>
      <c r="L82" s="102"/>
      <c r="M82" s="102"/>
    </row>
    <row r="83" spans="5:13" ht="34" customHeight="1" x14ac:dyDescent="0.2">
      <c r="E83" s="7"/>
      <c r="F83" s="7"/>
      <c r="G83" s="7"/>
      <c r="H83" s="7"/>
      <c r="I83" s="7"/>
      <c r="J83" s="412" t="s">
        <v>2843</v>
      </c>
      <c r="K83" s="413"/>
      <c r="L83" s="413"/>
      <c r="M83" s="414"/>
    </row>
    <row r="84" spans="5:13" ht="20" customHeight="1" x14ac:dyDescent="0.2">
      <c r="E84" s="7"/>
      <c r="F84" s="7"/>
      <c r="G84" s="7"/>
      <c r="H84" s="7"/>
      <c r="I84" s="7"/>
      <c r="J84" s="521" t="s">
        <v>2844</v>
      </c>
      <c r="K84" s="522"/>
      <c r="L84" s="522"/>
      <c r="M84" s="523"/>
    </row>
    <row r="85" spans="5:13" ht="20" customHeight="1" x14ac:dyDescent="0.2">
      <c r="E85" s="7"/>
      <c r="F85" s="7"/>
      <c r="G85" s="7"/>
      <c r="H85" s="7"/>
      <c r="I85" s="7"/>
      <c r="J85" s="63" t="s">
        <v>18</v>
      </c>
      <c r="K85" s="63" t="s">
        <v>19</v>
      </c>
      <c r="L85" s="63" t="s">
        <v>20</v>
      </c>
      <c r="M85" s="63" t="s">
        <v>21</v>
      </c>
    </row>
    <row r="86" spans="5:13" ht="20" customHeight="1" x14ac:dyDescent="0.2">
      <c r="E86" s="7"/>
      <c r="F86" s="7"/>
      <c r="G86" s="7"/>
      <c r="H86" s="7"/>
      <c r="I86" s="7"/>
      <c r="J86" s="4" t="s">
        <v>1846</v>
      </c>
      <c r="K86" s="65" t="s">
        <v>31</v>
      </c>
      <c r="L86" s="66"/>
      <c r="M86" s="8" t="str">
        <f>IF(mgmt_domain_existing_vcenter_chosen="Selected","Inputs are masked out as you have opted to import an existing vCenter Server","")</f>
        <v/>
      </c>
    </row>
    <row r="87" spans="5:13" ht="20" customHeight="1" x14ac:dyDescent="0.2">
      <c r="E87" s="7"/>
      <c r="F87" s="7"/>
      <c r="G87" s="7"/>
      <c r="H87" s="7"/>
      <c r="I87" s="7"/>
      <c r="J87" s="4" t="s">
        <v>2845</v>
      </c>
      <c r="K87" s="65" t="str">
        <f>CONCATENATE(this_instance,"01-m01-r01-esx01",".",sample_child_dns_zone)</f>
        <v>sfo01-m01-r01-esx01.sfo.rainpole.io</v>
      </c>
      <c r="L87" s="66"/>
      <c r="M87" s="8"/>
    </row>
    <row r="88" spans="5:13" ht="20" customHeight="1" x14ac:dyDescent="0.2">
      <c r="E88" s="7"/>
      <c r="F88" s="7"/>
      <c r="G88" s="7"/>
      <c r="H88" s="7"/>
      <c r="I88" s="7"/>
      <c r="J88" s="4" t="s">
        <v>2846</v>
      </c>
      <c r="K88" s="65" t="str">
        <f>CONCATENATE(this_instance,"01-m01-r01-esx02",".",sample_child_dns_zone)</f>
        <v>sfo01-m01-r01-esx02.sfo.rainpole.io</v>
      </c>
      <c r="L88" s="66"/>
      <c r="M88" s="8"/>
    </row>
    <row r="89" spans="5:13" ht="20" customHeight="1" x14ac:dyDescent="0.2">
      <c r="E89" s="7"/>
      <c r="F89" s="7"/>
      <c r="G89" s="7"/>
      <c r="H89" s="7"/>
      <c r="I89" s="7"/>
      <c r="J89" s="4" t="s">
        <v>2847</v>
      </c>
      <c r="K89" s="65" t="str">
        <f>CONCATENATE(this_instance,"01-m01-r01-esx03",".",sample_child_dns_zone)</f>
        <v>sfo01-m01-r01-esx03.sfo.rainpole.io</v>
      </c>
      <c r="L89" s="66"/>
      <c r="M89" s="8"/>
    </row>
    <row r="90" spans="5:13" ht="20" customHeight="1" x14ac:dyDescent="0.2">
      <c r="E90" s="7"/>
      <c r="F90" s="7"/>
      <c r="G90" s="7"/>
      <c r="H90" s="7"/>
      <c r="I90" s="7"/>
      <c r="J90" s="4" t="s">
        <v>2848</v>
      </c>
      <c r="K90" s="65" t="str">
        <f>CONCATENATE(this_instance,"01-m01-r01-esx04",".",sample_child_dns_zone)</f>
        <v>sfo01-m01-r01-esx04.sfo.rainpole.io</v>
      </c>
      <c r="L90" s="66"/>
      <c r="M90" s="8"/>
    </row>
    <row r="91" spans="5:13" ht="20" customHeight="1" x14ac:dyDescent="0.2">
      <c r="E91" s="7"/>
      <c r="F91" s="7"/>
      <c r="G91" s="7"/>
      <c r="H91" s="7"/>
      <c r="I91" s="7"/>
      <c r="J91" s="4" t="s">
        <v>2849</v>
      </c>
      <c r="K91" s="109" t="str">
        <f>CONCATENATE(this_instance,"01-m01-r01-esx05",".",sample_child_dns_zone)</f>
        <v>sfo01-m01-r01-esx05.sfo.rainpole.io</v>
      </c>
      <c r="L91" s="66"/>
      <c r="M91" s="8"/>
    </row>
    <row r="92" spans="5:13" ht="20" customHeight="1" x14ac:dyDescent="0.2">
      <c r="E92" s="7"/>
      <c r="F92" s="7"/>
      <c r="G92" s="7"/>
      <c r="H92" s="7"/>
      <c r="I92" s="7"/>
      <c r="J92" s="4" t="s">
        <v>2850</v>
      </c>
      <c r="K92" s="109" t="str">
        <f>CONCATENATE(this_instance,"01-m01-r01-esx06",".",sample_child_dns_zone)</f>
        <v>sfo01-m01-r01-esx06.sfo.rainpole.io</v>
      </c>
      <c r="L92" s="66"/>
      <c r="M92" s="8"/>
    </row>
    <row r="93" spans="5:13" ht="20" customHeight="1" x14ac:dyDescent="0.2">
      <c r="E93" s="7"/>
      <c r="F93" s="7"/>
      <c r="G93" s="7"/>
      <c r="H93" s="7"/>
      <c r="I93" s="7"/>
      <c r="J93" s="4" t="s">
        <v>2851</v>
      </c>
      <c r="K93" s="109" t="str">
        <f>CONCATENATE(this_instance,"01-m01-r01-esx07",".",sample_child_dns_zone)</f>
        <v>sfo01-m01-r01-esx07.sfo.rainpole.io</v>
      </c>
      <c r="L93" s="66"/>
      <c r="M93" s="8"/>
    </row>
    <row r="94" spans="5:13" ht="20" customHeight="1" x14ac:dyDescent="0.2">
      <c r="E94" s="7"/>
      <c r="F94" s="7"/>
      <c r="G94" s="7"/>
      <c r="H94" s="7"/>
      <c r="I94" s="7"/>
      <c r="J94" s="4" t="s">
        <v>2852</v>
      </c>
      <c r="K94" s="109" t="str">
        <f>CONCATENATE(this_instance,"01-m01-r01-esx08",".",sample_child_dns_zone)</f>
        <v>sfo01-m01-r01-esx08.sfo.rainpole.io</v>
      </c>
      <c r="L94" s="66"/>
      <c r="M94" s="8"/>
    </row>
    <row r="95" spans="5:13" ht="20" customHeight="1" x14ac:dyDescent="0.2">
      <c r="E95" s="7"/>
      <c r="F95" s="7"/>
      <c r="G95" s="7"/>
      <c r="H95" s="7"/>
      <c r="I95" s="7"/>
      <c r="J95" s="4" t="s">
        <v>2853</v>
      </c>
      <c r="K95" s="109" t="str">
        <f>CONCATENATE(this_instance,"01-m01-r01-esx09",".",sample_child_dns_zone)</f>
        <v>sfo01-m01-r01-esx09.sfo.rainpole.io</v>
      </c>
      <c r="L95" s="66"/>
      <c r="M95" s="8"/>
    </row>
    <row r="96" spans="5:13" ht="20" customHeight="1" x14ac:dyDescent="0.2">
      <c r="E96" s="7"/>
      <c r="F96" s="7"/>
      <c r="G96" s="7"/>
      <c r="H96" s="7"/>
      <c r="I96" s="7"/>
      <c r="J96" s="4" t="s">
        <v>2854</v>
      </c>
      <c r="K96" s="109" t="str">
        <f>CONCATENATE(this_instance,"01-m01-r01-esx10",".",sample_child_dns_zone)</f>
        <v>sfo01-m01-r01-esx10.sfo.rainpole.io</v>
      </c>
      <c r="L96" s="66"/>
      <c r="M96" s="8"/>
    </row>
    <row r="97" spans="5:13" ht="20" customHeight="1" x14ac:dyDescent="0.2">
      <c r="E97" s="7"/>
      <c r="F97" s="7"/>
      <c r="G97" s="7"/>
      <c r="H97" s="7"/>
      <c r="I97" s="7"/>
      <c r="J97" s="4" t="s">
        <v>2855</v>
      </c>
      <c r="K97" s="109" t="str">
        <f>CONCATENATE(this_instance,"01-m01-r01-esx11",".",sample_child_dns_zone)</f>
        <v>sfo01-m01-r01-esx11.sfo.rainpole.io</v>
      </c>
      <c r="L97" s="66"/>
      <c r="M97" s="8"/>
    </row>
    <row r="98" spans="5:13" ht="20" customHeight="1" x14ac:dyDescent="0.2">
      <c r="E98" s="7"/>
      <c r="F98" s="7"/>
      <c r="G98" s="7"/>
      <c r="H98" s="7"/>
      <c r="I98" s="7"/>
      <c r="J98" s="4" t="s">
        <v>2856</v>
      </c>
      <c r="K98" s="109" t="str">
        <f>CONCATENATE(this_instance,"01-m01-r01-esx12",".",sample_child_dns_zone)</f>
        <v>sfo01-m01-r01-esx12.sfo.rainpole.io</v>
      </c>
      <c r="L98" s="66"/>
      <c r="M98" s="8"/>
    </row>
    <row r="99" spans="5:13" ht="20" customHeight="1" x14ac:dyDescent="0.2">
      <c r="E99" s="7"/>
      <c r="F99" s="7"/>
      <c r="G99" s="7"/>
      <c r="H99" s="7"/>
      <c r="I99" s="7"/>
      <c r="J99" s="4" t="s">
        <v>2857</v>
      </c>
      <c r="K99" s="109" t="str">
        <f>CONCATENATE(this_instance,"01-m01-r01-esx13",".",sample_child_dns_zone)</f>
        <v>sfo01-m01-r01-esx13.sfo.rainpole.io</v>
      </c>
      <c r="L99" s="66"/>
      <c r="M99" s="8"/>
    </row>
    <row r="100" spans="5:13" ht="20" customHeight="1" x14ac:dyDescent="0.2">
      <c r="E100" s="7"/>
      <c r="F100" s="7"/>
      <c r="G100" s="7"/>
      <c r="H100" s="7"/>
      <c r="I100" s="7"/>
      <c r="J100" s="4" t="s">
        <v>2858</v>
      </c>
      <c r="K100" s="109" t="str">
        <f>CONCATENATE(this_instance,"01-m01-r01-esx14",".",sample_child_dns_zone)</f>
        <v>sfo01-m01-r01-esx14.sfo.rainpole.io</v>
      </c>
      <c r="L100" s="66"/>
      <c r="M100" s="8"/>
    </row>
    <row r="101" spans="5:13" ht="20" customHeight="1" x14ac:dyDescent="0.2">
      <c r="E101" s="7"/>
      <c r="F101" s="7"/>
      <c r="G101" s="7"/>
      <c r="H101" s="7"/>
      <c r="I101" s="7"/>
      <c r="J101" s="4" t="s">
        <v>2859</v>
      </c>
      <c r="K101" s="109" t="str">
        <f>CONCATENATE(this_instance,"01-m01-r01-esx15",".",sample_child_dns_zone)</f>
        <v>sfo01-m01-r01-esx15.sfo.rainpole.io</v>
      </c>
      <c r="L101" s="66"/>
      <c r="M101" s="8"/>
    </row>
    <row r="102" spans="5:13" ht="20" customHeight="1" x14ac:dyDescent="0.2">
      <c r="E102" s="7"/>
      <c r="F102" s="7"/>
      <c r="G102" s="7"/>
      <c r="H102" s="7"/>
      <c r="I102" s="7"/>
      <c r="J102" s="4" t="s">
        <v>2860</v>
      </c>
      <c r="K102" s="109" t="str">
        <f>CONCATENATE(this_instance,"01-m01-r01-esx16",".",sample_child_dns_zone)</f>
        <v>sfo01-m01-r01-esx16.sfo.rainpole.io</v>
      </c>
      <c r="L102" s="66"/>
      <c r="M102" s="8"/>
    </row>
    <row r="103" spans="5:13" ht="20" customHeight="1" x14ac:dyDescent="0.2">
      <c r="E103" s="7"/>
      <c r="F103" s="7"/>
      <c r="G103" s="7"/>
      <c r="H103" s="7"/>
      <c r="I103" s="7"/>
      <c r="J103" s="97"/>
      <c r="K103" s="102"/>
      <c r="L103" s="346"/>
      <c r="M103" s="102"/>
    </row>
    <row r="104" spans="5:13" ht="34" customHeight="1" x14ac:dyDescent="0.2">
      <c r="E104" s="7"/>
      <c r="F104" s="7"/>
      <c r="G104" s="7"/>
      <c r="H104" s="7"/>
      <c r="I104" s="7"/>
      <c r="J104" s="412" t="s">
        <v>2861</v>
      </c>
      <c r="K104" s="413"/>
      <c r="L104" s="413"/>
      <c r="M104" s="414"/>
    </row>
    <row r="105" spans="5:13" ht="20" customHeight="1" x14ac:dyDescent="0.2">
      <c r="E105" s="7"/>
      <c r="F105" s="7"/>
      <c r="G105" s="7"/>
      <c r="H105" s="7"/>
      <c r="I105" s="7"/>
      <c r="J105" s="521" t="s">
        <v>202</v>
      </c>
      <c r="K105" s="522"/>
      <c r="L105" s="522"/>
      <c r="M105" s="523"/>
    </row>
    <row r="106" spans="5:13" ht="20" customHeight="1" x14ac:dyDescent="0.2">
      <c r="E106" s="7"/>
      <c r="F106" s="7"/>
      <c r="G106" s="7"/>
      <c r="H106" s="7"/>
      <c r="I106" s="7"/>
      <c r="J106" s="63" t="s">
        <v>18</v>
      </c>
      <c r="K106" s="63" t="s">
        <v>19</v>
      </c>
      <c r="L106" s="63" t="s">
        <v>20</v>
      </c>
      <c r="M106" s="63" t="s">
        <v>21</v>
      </c>
    </row>
    <row r="107" spans="5:13" ht="20" customHeight="1" x14ac:dyDescent="0.2">
      <c r="E107" s="7"/>
      <c r="F107" s="7"/>
      <c r="G107" s="7"/>
      <c r="H107" s="7"/>
      <c r="I107" s="7"/>
      <c r="J107" s="4" t="s">
        <v>85</v>
      </c>
      <c r="K107" s="105" t="str">
        <f>CONCATENATE(prefix_mgmt_az1_vlan,"11")</f>
        <v>1111</v>
      </c>
      <c r="L107" s="66"/>
      <c r="M107" s="8" t="str">
        <f>IF(mgmt_domain_existing_vcenter_chosen="Selected","Inputs are masked out as you have opted to import an existing vCenter Server","")</f>
        <v/>
      </c>
    </row>
    <row r="108" spans="5:13" ht="20" customHeight="1" x14ac:dyDescent="0.2">
      <c r="E108" s="7"/>
      <c r="F108" s="7"/>
      <c r="G108" s="7"/>
      <c r="H108" s="7"/>
      <c r="I108" s="7"/>
      <c r="J108" s="4" t="s">
        <v>155</v>
      </c>
      <c r="K108" s="103">
        <v>1500</v>
      </c>
      <c r="L108" s="66"/>
      <c r="M108" s="8"/>
    </row>
    <row r="109" spans="5:13" ht="20" customHeight="1" x14ac:dyDescent="0.2">
      <c r="E109" s="7"/>
      <c r="F109" s="7"/>
      <c r="G109" s="7"/>
      <c r="H109" s="7"/>
      <c r="I109" s="7"/>
      <c r="J109" s="4" t="s">
        <v>3123</v>
      </c>
      <c r="K109" s="103" t="str">
        <f>CONCATENATE(prefix_mgmt_az1_cidr,"11.1/24")</f>
        <v>10.11.11.1/24</v>
      </c>
      <c r="L109" s="66"/>
      <c r="M109" s="8" t="str">
        <f>IF(AND(mgmt_stretched_cluster_result="Included",mgmt_dpg_reuse_result="Excluded"),"Stretched L2","")</f>
        <v/>
      </c>
    </row>
    <row r="110" spans="5:13" ht="20" customHeight="1" x14ac:dyDescent="0.2">
      <c r="E110" s="7"/>
      <c r="F110" s="7"/>
      <c r="G110" s="7"/>
      <c r="H110" s="7"/>
      <c r="I110" s="7"/>
      <c r="J110" s="4" t="s">
        <v>3124</v>
      </c>
      <c r="K110" s="103" t="str">
        <f>CONCATENATE(prefix_mgmt_ipv6_cidr,sample_mgmt_az1_mgmt_vlan,"::","1","/64")</f>
        <v>2001:db8:0:1111::1/64</v>
      </c>
      <c r="L110" s="66"/>
      <c r="M110" s="8" t="str">
        <f>IF(mgmt_dual_stack_networking_chosen="Unselected","The input is masked out and only required if you are using dual stack networking","")</f>
        <v>The input is masked out and only required if you are using dual stack networking</v>
      </c>
    </row>
    <row r="111" spans="5:13" ht="20" customHeight="1" x14ac:dyDescent="0.2">
      <c r="E111" s="7"/>
      <c r="F111" s="7"/>
      <c r="G111" s="7"/>
      <c r="H111" s="7"/>
      <c r="I111" s="7"/>
      <c r="J111" s="521" t="s">
        <v>789</v>
      </c>
      <c r="K111" s="522"/>
      <c r="L111" s="522"/>
      <c r="M111" s="523"/>
    </row>
    <row r="112" spans="5:13" ht="20" customHeight="1" x14ac:dyDescent="0.2">
      <c r="E112" s="7"/>
      <c r="F112" s="7"/>
      <c r="G112" s="7"/>
      <c r="H112" s="7"/>
      <c r="I112" s="7"/>
      <c r="J112" s="4" t="s">
        <v>85</v>
      </c>
      <c r="K112" s="109" t="str">
        <f>IF(mgmt_dpg_reuse_result="Excluded",(CONCATENATE(prefix_mgmt_az1_vlan,"11")),(CONCATENATE(prefix_mgmt_az1_vlan,"10")))</f>
        <v>1110</v>
      </c>
      <c r="L112" s="68"/>
      <c r="M112" s="8"/>
    </row>
    <row r="113" spans="5:13" ht="20" customHeight="1" x14ac:dyDescent="0.2">
      <c r="E113" s="7"/>
      <c r="F113" s="7"/>
      <c r="G113" s="7"/>
      <c r="H113" s="7"/>
      <c r="I113" s="7"/>
      <c r="J113" s="4" t="s">
        <v>155</v>
      </c>
      <c r="K113" s="103">
        <v>1500</v>
      </c>
      <c r="L113" s="68"/>
      <c r="M113" s="8"/>
    </row>
    <row r="114" spans="5:13" ht="20" customHeight="1" x14ac:dyDescent="0.2">
      <c r="E114" s="7"/>
      <c r="F114" s="7"/>
      <c r="G114" s="7"/>
      <c r="H114" s="7"/>
      <c r="I114" s="7"/>
      <c r="J114" s="4" t="s">
        <v>3123</v>
      </c>
      <c r="K114" s="103" t="str">
        <f>IF(mgmt_dpg_reuse_result="Excluded",CONCATENATE(prefix_mgmt_az1_cidr,"11.1/24"),CONCATENATE(prefix_mgmt_az1_cidr,"10.1/24"))</f>
        <v>10.11.10.1/24</v>
      </c>
      <c r="L114" s="68"/>
      <c r="M114" s="8"/>
    </row>
    <row r="115" spans="5:13" ht="20" customHeight="1" x14ac:dyDescent="0.2">
      <c r="E115" s="7"/>
      <c r="F115" s="7"/>
      <c r="G115" s="7"/>
      <c r="H115" s="7"/>
      <c r="I115" s="7"/>
      <c r="J115" s="4" t="s">
        <v>3124</v>
      </c>
      <c r="K115" s="103" t="str">
        <f>CONCATENATE(prefix_mgmt_ipv6_cidr,sample_mgmt_az1_mgmt_vm_vlan,"::","1","/64")</f>
        <v>2001:db8:0:1110::1/64</v>
      </c>
      <c r="L115" s="66"/>
      <c r="M115" s="290" t="str">
        <f>IF(mgmt_dual_stack_networking_chosen="Unselected","The input is masked out and only required if you are using dual stack networking","")</f>
        <v>The input is masked out and only required if you are using dual stack networking</v>
      </c>
    </row>
    <row r="116" spans="5:13" ht="20" customHeight="1" x14ac:dyDescent="0.2">
      <c r="E116" s="7"/>
      <c r="F116" s="7"/>
      <c r="G116" s="7"/>
      <c r="H116" s="7"/>
      <c r="I116" s="7"/>
      <c r="J116" s="521" t="s">
        <v>3125</v>
      </c>
      <c r="K116" s="522"/>
      <c r="L116" s="522"/>
      <c r="M116" s="523"/>
    </row>
    <row r="117" spans="5:13" ht="20" customHeight="1" x14ac:dyDescent="0.2">
      <c r="E117" s="7"/>
      <c r="F117" s="7"/>
      <c r="G117" s="7"/>
      <c r="H117" s="7"/>
      <c r="I117" s="7"/>
      <c r="J117" s="4" t="s">
        <v>85</v>
      </c>
      <c r="K117" s="109" t="str">
        <f>CONCATENATE(prefix_mgmt_az1_vlan,"99")</f>
        <v>1199</v>
      </c>
      <c r="L117" s="66"/>
      <c r="M117" s="8" t="str">
        <f>IF(mgmt_vcf_management_network_chosen="Use VM management network","The input is masked out and is only required if you use a sperarate and dedicated network for VCF Management Components","")</f>
        <v/>
      </c>
    </row>
    <row r="118" spans="5:13" ht="20" customHeight="1" x14ac:dyDescent="0.2">
      <c r="E118" s="7"/>
      <c r="F118" s="7"/>
      <c r="G118" s="7"/>
      <c r="H118" s="7"/>
      <c r="I118" s="7"/>
      <c r="J118" s="4" t="s">
        <v>155</v>
      </c>
      <c r="K118" s="103">
        <v>1500</v>
      </c>
      <c r="L118" s="66"/>
      <c r="M118" s="8"/>
    </row>
    <row r="119" spans="5:13" ht="20" customHeight="1" x14ac:dyDescent="0.2">
      <c r="E119" s="7"/>
      <c r="F119" s="7"/>
      <c r="G119" s="7"/>
      <c r="H119" s="7"/>
      <c r="I119" s="7"/>
      <c r="J119" s="4" t="s">
        <v>3123</v>
      </c>
      <c r="K119" s="103" t="str">
        <f>CONCATENATE(prefix_flt_shared_cidr,".1/24")</f>
        <v>10.11.99.1/24</v>
      </c>
      <c r="L119" s="66"/>
      <c r="M119" s="8"/>
    </row>
    <row r="120" spans="5:13" ht="20" customHeight="1" x14ac:dyDescent="0.2">
      <c r="E120" s="7"/>
      <c r="F120" s="7"/>
      <c r="G120" s="7"/>
      <c r="H120" s="7"/>
      <c r="I120" s="7"/>
      <c r="J120" s="4" t="s">
        <v>3124</v>
      </c>
      <c r="K120" s="103" t="str">
        <f>CONCATENATE(prefix_mgmt_ipv6_cidr,sample_mgmt_az1_vcf_mgmt_vlan,"::","1","/64")</f>
        <v>2001:db8:0:1199::1/64</v>
      </c>
      <c r="L120" s="66"/>
      <c r="M120" s="8" t="str">
        <f>IF(mgmt_dual_stack_networking_chosen="Unselected","The input is masked out and only required if you are using dual stack networking","")</f>
        <v>The input is masked out and only required if you are using dual stack networking</v>
      </c>
    </row>
    <row r="121" spans="5:13" ht="20" customHeight="1" x14ac:dyDescent="0.2">
      <c r="E121" s="7"/>
      <c r="F121" s="7"/>
      <c r="G121" s="7"/>
      <c r="H121" s="7"/>
      <c r="I121" s="7"/>
      <c r="J121" s="521" t="s">
        <v>3266</v>
      </c>
      <c r="K121" s="522"/>
      <c r="L121" s="522"/>
      <c r="M121" s="523"/>
    </row>
    <row r="122" spans="5:13" ht="20" customHeight="1" x14ac:dyDescent="0.2">
      <c r="E122" s="7"/>
      <c r="F122" s="7"/>
      <c r="G122" s="7"/>
      <c r="H122" s="7"/>
      <c r="I122" s="7"/>
      <c r="J122" s="4" t="s">
        <v>3126</v>
      </c>
      <c r="K122" s="103" t="str">
        <f>IF(AND(mgmt_dpg_reuse_chosen="Use ESX management network",mgmt_vcf_management_network_chosen="Use VM management network"),CONCATENATE(prefix_mgmt_az1_cidr,"11.31"),
IF(mgmt_vcf_management_network_chosen="Use VM management network",CONCATENATE(prefix_mgmt_az1_cidr,"10.31"),
CONCATENATE(prefix_flt_shared_cidr,".31")))</f>
        <v>10.11.99.31</v>
      </c>
      <c r="L122" s="66"/>
      <c r="M122" s="8" t="str">
        <f>IF(mgmt_domain_deployment_type_chosen="Vmware vSphere Foundation","Minimum 10 IPs for current scope or 30 IPs to allow for more components and auto-scaling","Minimum 12 IPs for current scope or 30 IPs to allow for more components and auto-scaling")</f>
        <v>Minimum 12 IPs for current scope or 30 IPs to allow for more components and auto-scaling</v>
      </c>
    </row>
    <row r="123" spans="5:13" ht="20" customHeight="1" x14ac:dyDescent="0.2">
      <c r="E123" s="7"/>
      <c r="F123" s="7"/>
      <c r="G123" s="7"/>
      <c r="H123" s="7"/>
      <c r="I123" s="7"/>
      <c r="J123" s="4" t="s">
        <v>3127</v>
      </c>
      <c r="K123" s="103" t="str">
        <f>IF(AND(mgmt_dpg_reuse_chosen="Use ESX management network",mgmt_vcf_management_network_chosen="Use VM management network"),CONCATENATE(prefix_mgmt_az1_cidr,"11.45"),
IF(mgmt_vcf_management_network_chosen="Use VM management network",CONCATENATE(prefix_mgmt_az1_cidr,"10.45"),
CONCATENATE(prefix_flt_shared_cidr,".45")))</f>
        <v>10.11.99.45</v>
      </c>
      <c r="L123" s="66"/>
      <c r="M123" s="8"/>
    </row>
    <row r="124" spans="5:13" ht="20" customHeight="1" x14ac:dyDescent="0.2">
      <c r="E124" s="7"/>
      <c r="F124" s="7"/>
      <c r="G124" s="7"/>
      <c r="H124" s="7"/>
      <c r="I124" s="7"/>
      <c r="J124" s="4" t="s">
        <v>3128</v>
      </c>
      <c r="K124" s="103" t="str">
        <f>CONCATENATE(prefix_mgmt_ipv6_cidr,flt_custom_management_vlan,"::","31")</f>
        <v>2001:db8:0:1199::31</v>
      </c>
      <c r="L124" s="66"/>
      <c r="M124" s="8" t="str">
        <f>IF(mgmt_dual_stack_networking_chosen="Unselected","The input is masked out and only required if you are using dual stack networking","")</f>
        <v>The input is masked out and only required if you are using dual stack networking</v>
      </c>
    </row>
    <row r="125" spans="5:13" ht="20" customHeight="1" x14ac:dyDescent="0.2">
      <c r="E125" s="7"/>
      <c r="F125" s="7"/>
      <c r="G125" s="7"/>
      <c r="H125" s="7"/>
      <c r="I125" s="7"/>
      <c r="J125" s="4" t="s">
        <v>3129</v>
      </c>
      <c r="K125" s="103" t="str">
        <f>CONCATENATE(prefix_mgmt_ipv6_cidr,flt_custom_management_vlan,"::","45")</f>
        <v>2001:db8:0:1199::45</v>
      </c>
      <c r="L125" s="66"/>
      <c r="M125" s="8" t="str">
        <f>IF(mgmt_dual_stack_networking_chosen="Unselected","The input is masked out and only required if you are using dual stack networking","")</f>
        <v>The input is masked out and only required if you are using dual stack networking</v>
      </c>
    </row>
    <row r="126" spans="5:13" ht="20" customHeight="1" x14ac:dyDescent="0.2">
      <c r="E126" s="7"/>
      <c r="F126" s="7"/>
      <c r="G126" s="7"/>
      <c r="H126" s="7"/>
      <c r="I126" s="7"/>
      <c r="J126" s="521" t="s">
        <v>3267</v>
      </c>
      <c r="K126" s="522"/>
      <c r="L126" s="522"/>
      <c r="M126" s="523"/>
    </row>
    <row r="127" spans="5:13" ht="20" customHeight="1" x14ac:dyDescent="0.2">
      <c r="E127" s="7"/>
      <c r="F127" s="7"/>
      <c r="G127" s="7"/>
      <c r="H127" s="7"/>
      <c r="I127" s="7"/>
      <c r="J127" s="4" t="s">
        <v>3126</v>
      </c>
      <c r="K127" s="103" t="str">
        <f>IF(AND(mgmt_dpg_reuse_chosen="Use ESX management network",mgmt_vcf_management_network_chosen="Use VM management network"),CONCATENATE(prefix_mgmt_az1_cidr,"11.46"),
IF(mgmt_vcf_management_network_chosen="Use VM management network",CONCATENATE(prefix_mgmt_az1_cidr,"10.46"),
CONCATENATE(prefix_flt_shared_cidr,".46")))</f>
        <v>10.11.99.46</v>
      </c>
      <c r="L127" s="66"/>
      <c r="M127" s="8" t="s">
        <v>3349</v>
      </c>
    </row>
    <row r="128" spans="5:13" ht="20" customHeight="1" x14ac:dyDescent="0.2">
      <c r="E128" s="7"/>
      <c r="F128" s="7"/>
      <c r="G128" s="7"/>
      <c r="H128" s="7"/>
      <c r="I128" s="7"/>
      <c r="J128" s="4" t="s">
        <v>3127</v>
      </c>
      <c r="K128" s="103" t="str">
        <f>IF(AND(mgmt_dpg_reuse_chosen="Use ESX management network",mgmt_vcf_management_network_chosen="Use VM management network"),CONCATENATE(prefix_mgmt_az1_cidr,"11.50"),
IF(mgmt_vcf_management_network_chosen="Use VM management network",CONCATENATE(prefix_mgmt_az1_cidr,"10.50"),
CONCATENATE(prefix_flt_shared_cidr,".50")))</f>
        <v>10.11.99.50</v>
      </c>
      <c r="L128" s="66"/>
      <c r="M128" s="8" t="s">
        <v>3350</v>
      </c>
    </row>
    <row r="129" spans="5:13" ht="20" customHeight="1" x14ac:dyDescent="0.2">
      <c r="E129" s="7"/>
      <c r="F129" s="7"/>
      <c r="G129" s="7"/>
      <c r="H129" s="7"/>
      <c r="I129" s="7"/>
      <c r="J129" s="521" t="s">
        <v>240</v>
      </c>
      <c r="K129" s="522"/>
      <c r="L129" s="522"/>
      <c r="M129" s="523"/>
    </row>
    <row r="130" spans="5:13" ht="20" customHeight="1" x14ac:dyDescent="0.2">
      <c r="E130" s="7"/>
      <c r="F130" s="7"/>
      <c r="G130" s="7"/>
      <c r="H130" s="7"/>
      <c r="I130" s="7"/>
      <c r="J130" s="4" t="s">
        <v>85</v>
      </c>
      <c r="K130" s="103" t="str">
        <f>CONCATENATE(prefix_mgmt_az1_vlan,"12")</f>
        <v>1112</v>
      </c>
      <c r="L130" s="66"/>
      <c r="M130" s="8" t="str">
        <f>IF(mgmt_domain_existing_vcenter_chosen="Selected","Inputs are masked out as you have opted to import an existing vCenter Server","")</f>
        <v/>
      </c>
    </row>
    <row r="131" spans="5:13" ht="20" customHeight="1" x14ac:dyDescent="0.2">
      <c r="E131" s="7"/>
      <c r="F131" s="7"/>
      <c r="G131" s="7"/>
      <c r="H131" s="7"/>
      <c r="I131" s="7"/>
      <c r="J131" s="4" t="s">
        <v>155</v>
      </c>
      <c r="K131" s="103">
        <v>9000</v>
      </c>
      <c r="L131" s="66"/>
      <c r="M131" s="8"/>
    </row>
    <row r="132" spans="5:13" ht="20" customHeight="1" x14ac:dyDescent="0.2">
      <c r="E132" s="7"/>
      <c r="F132" s="7"/>
      <c r="G132" s="7"/>
      <c r="H132" s="7"/>
      <c r="I132" s="7"/>
      <c r="J132" s="4" t="s">
        <v>3150</v>
      </c>
      <c r="K132" s="103" t="str">
        <f>CONCATENATE(prefix_mgmt_az1_cidr,"12.1/24")</f>
        <v>10.11.12.1/24</v>
      </c>
      <c r="L132" s="66"/>
      <c r="M132" s="8"/>
    </row>
    <row r="133" spans="5:13" ht="20" customHeight="1" x14ac:dyDescent="0.2">
      <c r="E133" s="7"/>
      <c r="F133" s="7"/>
      <c r="G133" s="7"/>
      <c r="H133" s="7"/>
      <c r="I133" s="7"/>
      <c r="J133" s="4" t="s">
        <v>3126</v>
      </c>
      <c r="K133" s="103" t="str">
        <f>CONCATENATE(prefix_mgmt_az1_cidr,"12.101")</f>
        <v>10.11.12.101</v>
      </c>
      <c r="L133" s="66"/>
      <c r="M133" s="8"/>
    </row>
    <row r="134" spans="5:13" ht="20" customHeight="1" x14ac:dyDescent="0.2">
      <c r="E134" s="7"/>
      <c r="F134" s="7"/>
      <c r="G134" s="7"/>
      <c r="H134" s="7"/>
      <c r="I134" s="7"/>
      <c r="J134" s="4" t="s">
        <v>3127</v>
      </c>
      <c r="K134" s="103" t="str">
        <f>CONCATENATE(prefix_mgmt_az1_cidr,"12.116")</f>
        <v>10.11.12.116</v>
      </c>
      <c r="L134" s="66"/>
      <c r="M134" s="8"/>
    </row>
    <row r="135" spans="5:13" ht="20" customHeight="1" x14ac:dyDescent="0.2">
      <c r="E135" s="7"/>
      <c r="F135" s="7"/>
      <c r="G135" s="7"/>
      <c r="H135" s="7"/>
      <c r="I135" s="7"/>
      <c r="J135" s="4" t="s">
        <v>3128</v>
      </c>
      <c r="K135" s="103" t="str">
        <f>CONCATENATE(prefix_mgmt_ipv6_cidr,sample_mgmt_az1_vmotion_vlan,"::","101")</f>
        <v>2001:db8:0:1112::101</v>
      </c>
      <c r="L135" s="66"/>
      <c r="M135" s="8" t="str">
        <f>IF(mgmt_az1_vmotion_ip_scheme_chosen="IPv4","The input is masked out and only required if you are using IPV6 Networking for the vMotion Network","")</f>
        <v>The input is masked out and only required if you are using IPV6 Networking for the vMotion Network</v>
      </c>
    </row>
    <row r="136" spans="5:13" ht="20" customHeight="1" x14ac:dyDescent="0.2">
      <c r="E136" s="7"/>
      <c r="F136" s="7"/>
      <c r="G136" s="7"/>
      <c r="H136" s="7"/>
      <c r="I136" s="7"/>
      <c r="J136" s="4" t="s">
        <v>3129</v>
      </c>
      <c r="K136" s="103" t="str">
        <f>CONCATENATE(prefix_mgmt_ipv6_cidr,sample_mgmt_az1_vmotion_vlan,"::","116")</f>
        <v>2001:db8:0:1112::116</v>
      </c>
      <c r="L136" s="66"/>
      <c r="M136" s="8" t="str">
        <f>IF(mgmt_az1_vmotion_ip_scheme_chosen="IPv4","The input is masked out and only required if you are using IPV6 Networking for the vMotion Network","")</f>
        <v>The input is masked out and only required if you are using IPV6 Networking for the vMotion Network</v>
      </c>
    </row>
    <row r="137" spans="5:13" ht="20" customHeight="1" x14ac:dyDescent="0.2">
      <c r="E137" s="7"/>
      <c r="F137" s="7"/>
      <c r="G137" s="7"/>
      <c r="H137" s="7"/>
      <c r="I137" s="7"/>
      <c r="J137" s="521" t="s">
        <v>246</v>
      </c>
      <c r="K137" s="522"/>
      <c r="L137" s="522"/>
      <c r="M137" s="523"/>
    </row>
    <row r="138" spans="5:13" ht="20" customHeight="1" x14ac:dyDescent="0.2">
      <c r="E138" s="7"/>
      <c r="F138" s="7"/>
      <c r="G138" s="7"/>
      <c r="H138" s="7"/>
      <c r="I138" s="7"/>
      <c r="J138" s="4" t="s">
        <v>85</v>
      </c>
      <c r="K138" s="103" t="str">
        <f>CONCATENATE(prefix_mgmt_az1_vlan,"13")</f>
        <v>1113</v>
      </c>
      <c r="L138" s="66"/>
      <c r="M138" s="173" t="str">
        <f>IF(mgmt_domain_existing_vcenter_chosen="Selected","Inputs are masked out as you have opted to import an existing vCenter Server","")</f>
        <v/>
      </c>
    </row>
    <row r="139" spans="5:13" ht="20" customHeight="1" x14ac:dyDescent="0.2">
      <c r="E139" s="7"/>
      <c r="F139" s="7"/>
      <c r="G139" s="7"/>
      <c r="H139" s="7"/>
      <c r="I139" s="7"/>
      <c r="J139" s="4" t="s">
        <v>155</v>
      </c>
      <c r="K139" s="103">
        <v>9000</v>
      </c>
      <c r="L139" s="66"/>
      <c r="M139" s="8"/>
    </row>
    <row r="140" spans="5:13" ht="20" customHeight="1" x14ac:dyDescent="0.2">
      <c r="E140" s="7"/>
      <c r="F140" s="7"/>
      <c r="G140" s="7"/>
      <c r="H140" s="7"/>
      <c r="I140" s="7"/>
      <c r="J140" s="4" t="s">
        <v>3150</v>
      </c>
      <c r="K140" s="103" t="str">
        <f>CONCATENATE(prefix_mgmt_az1_cidr,"13.1/24")</f>
        <v>10.11.13.1/24</v>
      </c>
      <c r="L140" s="66"/>
      <c r="M140" s="8"/>
    </row>
    <row r="141" spans="5:13" ht="20" customHeight="1" x14ac:dyDescent="0.2">
      <c r="E141" s="7"/>
      <c r="F141" s="7"/>
      <c r="G141" s="7"/>
      <c r="H141" s="7"/>
      <c r="I141" s="7"/>
      <c r="J141" s="4" t="s">
        <v>3126</v>
      </c>
      <c r="K141" s="103" t="str">
        <f>CONCATENATE(prefix_mgmt_az1_cidr,"13.101")</f>
        <v>10.11.13.101</v>
      </c>
      <c r="L141" s="66"/>
      <c r="M141" s="8"/>
    </row>
    <row r="142" spans="5:13" ht="20" customHeight="1" x14ac:dyDescent="0.2">
      <c r="E142" s="7"/>
      <c r="F142" s="7"/>
      <c r="G142" s="7"/>
      <c r="H142" s="7"/>
      <c r="I142" s="7"/>
      <c r="J142" s="4" t="s">
        <v>3127</v>
      </c>
      <c r="K142" s="103" t="str">
        <f>CONCATENATE(prefix_mgmt_az1_cidr,"13.116")</f>
        <v>10.11.13.116</v>
      </c>
      <c r="L142" s="66"/>
      <c r="M142" s="8"/>
    </row>
    <row r="143" spans="5:13" ht="20" customHeight="1" x14ac:dyDescent="0.2">
      <c r="E143" s="7"/>
      <c r="F143" s="7"/>
      <c r="G143" s="7"/>
      <c r="H143" s="7"/>
      <c r="I143" s="7"/>
      <c r="J143" s="4" t="s">
        <v>3128</v>
      </c>
      <c r="K143" s="103" t="str">
        <f>CONCATENATE(prefix_mgmt_ipv6_cidr,sample_mgmt_az1_vsan_vlan,"::","101")</f>
        <v>2001:db8:0:1113::101</v>
      </c>
      <c r="L143" s="66"/>
      <c r="M143" s="183" t="str">
        <f>IF(mgmt_az1_vsan_ip_scheme_chosen="IPv4","The input is masked out and only required if you are using IPV6 Networking for the vMotion Network","")</f>
        <v>The input is masked out and only required if you are using IPV6 Networking for the vMotion Network</v>
      </c>
    </row>
    <row r="144" spans="5:13" ht="20" customHeight="1" x14ac:dyDescent="0.2">
      <c r="E144" s="7"/>
      <c r="F144" s="7"/>
      <c r="G144" s="7"/>
      <c r="H144" s="7"/>
      <c r="I144" s="7"/>
      <c r="J144" s="4" t="s">
        <v>3129</v>
      </c>
      <c r="K144" s="103" t="str">
        <f>CONCATENATE(prefix_mgmt_ipv6_cidr,sample_mgmt_az1_vsan_vlan,"::","116")</f>
        <v>2001:db8:0:1113::116</v>
      </c>
      <c r="L144" s="66"/>
      <c r="M144" s="230" t="str">
        <f>IF(mgmt_az1_vsan_ip_scheme_chosen="IPv4","The input is masked out and only required if you are using IPV6 Networking for the vMotion Network","")</f>
        <v>The input is masked out and only required if you are using IPV6 Networking for the vMotion Network</v>
      </c>
    </row>
    <row r="145" spans="5:13" ht="20" customHeight="1" x14ac:dyDescent="0.2">
      <c r="E145" s="7"/>
      <c r="F145" s="7"/>
      <c r="G145" s="7"/>
      <c r="H145" s="7"/>
      <c r="I145" s="7"/>
      <c r="J145" s="521" t="s">
        <v>247</v>
      </c>
      <c r="K145" s="522"/>
      <c r="L145" s="522"/>
      <c r="M145" s="523"/>
    </row>
    <row r="146" spans="5:13" ht="20" customHeight="1" x14ac:dyDescent="0.2">
      <c r="E146" s="7"/>
      <c r="F146" s="7"/>
      <c r="G146" s="7"/>
      <c r="H146" s="7"/>
      <c r="I146" s="7"/>
      <c r="J146" s="4" t="s">
        <v>85</v>
      </c>
      <c r="K146" s="103" t="str">
        <f>CONCATENATE(prefix_mgmt_az1_vlan,"15")</f>
        <v>1115</v>
      </c>
      <c r="L146" s="66"/>
      <c r="M146" s="173" t="str">
        <f>IF(mgmt_domain_existing_vcenter_chosen="Selected","Inputs are masked out as you have opted to import an existing vCenter Server",IF(mgmt_principal_storage_chosen&lt;&gt;"NFSv3","This input is masked out and only required if configuring NFS Storage",""))</f>
        <v>This input is masked out and only required if configuring NFS Storage</v>
      </c>
    </row>
    <row r="147" spans="5:13" ht="20" customHeight="1" x14ac:dyDescent="0.2">
      <c r="E147" s="7"/>
      <c r="F147" s="7"/>
      <c r="G147" s="7"/>
      <c r="H147" s="7"/>
      <c r="I147" s="7"/>
      <c r="J147" s="4" t="s">
        <v>155</v>
      </c>
      <c r="K147" s="103">
        <v>9000</v>
      </c>
      <c r="L147" s="66"/>
      <c r="M147" s="173"/>
    </row>
    <row r="148" spans="5:13" ht="20" customHeight="1" x14ac:dyDescent="0.2">
      <c r="E148" s="7"/>
      <c r="F148" s="7"/>
      <c r="G148" s="7"/>
      <c r="H148" s="7"/>
      <c r="I148" s="7"/>
      <c r="J148" s="4" t="s">
        <v>3092</v>
      </c>
      <c r="K148" s="103" t="str">
        <f>CONCATENATE(prefix_mgmt_az1_cidr,"15.1/24")</f>
        <v>10.11.15.1/24</v>
      </c>
      <c r="L148" s="66"/>
      <c r="M148" s="173"/>
    </row>
    <row r="149" spans="5:13" ht="20" customHeight="1" x14ac:dyDescent="0.2">
      <c r="E149" s="7"/>
      <c r="F149" s="7"/>
      <c r="G149" s="7"/>
      <c r="H149" s="7"/>
      <c r="I149" s="7"/>
      <c r="J149" s="4" t="s">
        <v>2862</v>
      </c>
      <c r="K149" s="103" t="str">
        <f>CONCATENATE(prefix_mgmt_az1_cidr,"15.101")</f>
        <v>10.11.15.101</v>
      </c>
      <c r="L149" s="66"/>
      <c r="M149" s="173"/>
    </row>
    <row r="150" spans="5:13" ht="20" customHeight="1" x14ac:dyDescent="0.2">
      <c r="E150" s="7"/>
      <c r="F150" s="7"/>
      <c r="G150" s="7"/>
      <c r="H150" s="7"/>
      <c r="I150" s="7"/>
      <c r="J150" s="4" t="s">
        <v>2863</v>
      </c>
      <c r="K150" s="103" t="str">
        <f>CONCATENATE(prefix_mgmt_az1_cidr,"15.116")</f>
        <v>10.11.15.116</v>
      </c>
      <c r="L150" s="66"/>
      <c r="M150" s="173"/>
    </row>
    <row r="151" spans="5:13" ht="20" customHeight="1" x14ac:dyDescent="0.2">
      <c r="E151" s="7"/>
      <c r="F151" s="7"/>
      <c r="G151" s="7"/>
      <c r="H151" s="7"/>
      <c r="I151" s="7"/>
      <c r="J151" s="521" t="s">
        <v>794</v>
      </c>
      <c r="K151" s="522"/>
      <c r="L151" s="522"/>
      <c r="M151" s="523"/>
    </row>
    <row r="152" spans="5:13" ht="20" customHeight="1" x14ac:dyDescent="0.2">
      <c r="E152" s="7"/>
      <c r="F152" s="7"/>
      <c r="G152" s="7"/>
      <c r="H152" s="7"/>
      <c r="I152" s="7"/>
      <c r="J152" s="4" t="s">
        <v>85</v>
      </c>
      <c r="K152" s="103" t="str">
        <f>CONCATENATE(prefix_mgmt_az1_vlan,"14")</f>
        <v>1114</v>
      </c>
      <c r="L152" s="66"/>
      <c r="M152" s="8" t="s">
        <v>3665</v>
      </c>
    </row>
    <row r="153" spans="5:13" ht="20" customHeight="1" x14ac:dyDescent="0.2">
      <c r="E153" s="7"/>
      <c r="F153" s="7"/>
      <c r="G153" s="7"/>
      <c r="H153" s="7"/>
      <c r="I153" s="7"/>
      <c r="J153" s="4" t="s">
        <v>3092</v>
      </c>
      <c r="K153" s="103" t="str">
        <f>CONCATENATE(prefix_mgmt_az1_cidr,"14.1/24")</f>
        <v>10.11.14.1/24</v>
      </c>
      <c r="L153" s="66"/>
      <c r="M153" s="4" t="str">
        <f>IF(mgmt_host_overlay_addressing_chosen&lt;&gt;"IP Pool","This input is masked out and only required if configuring IP Pools for Host Overlay","")</f>
        <v/>
      </c>
    </row>
    <row r="154" spans="5:13" ht="20" customHeight="1" x14ac:dyDescent="0.2">
      <c r="E154" s="7"/>
      <c r="F154" s="7"/>
      <c r="G154" s="7"/>
      <c r="H154" s="7"/>
      <c r="I154" s="7"/>
      <c r="J154" s="4" t="s">
        <v>751</v>
      </c>
      <c r="K154" s="65" t="s">
        <v>2871</v>
      </c>
      <c r="L154" s="66" t="s">
        <v>2871</v>
      </c>
      <c r="M154" s="8"/>
    </row>
    <row r="155" spans="5:13" ht="20" customHeight="1" x14ac:dyDescent="0.2">
      <c r="E155" s="7"/>
      <c r="F155" s="7"/>
      <c r="G155" s="7"/>
      <c r="H155" s="7"/>
      <c r="I155" s="7"/>
      <c r="J155" s="4" t="s">
        <v>3130</v>
      </c>
      <c r="K155" s="103" t="str">
        <f>CONCATENATE(prefix_mgmt_az1_cidr,"14.101")</f>
        <v>10.11.14.101</v>
      </c>
      <c r="L155" s="66"/>
      <c r="M155" s="4" t="str">
        <f>IF(mgmt_host_overlay_addressing_chosen&lt;&gt;"IP Pool","This input is masked out and only required if configuring IP Pools for Host Overlay","")</f>
        <v/>
      </c>
    </row>
    <row r="156" spans="5:13" ht="20" customHeight="1" x14ac:dyDescent="0.2">
      <c r="E156" s="7"/>
      <c r="F156" s="7"/>
      <c r="G156" s="7"/>
      <c r="H156" s="7"/>
      <c r="I156" s="7"/>
      <c r="J156" s="4" t="s">
        <v>3131</v>
      </c>
      <c r="K156" s="103" t="str">
        <f>CONCATENATE(prefix_mgmt_az1_cidr,"14.132")</f>
        <v>10.11.14.132</v>
      </c>
      <c r="L156" s="66"/>
      <c r="M156" s="4" t="str">
        <f>IF(mgmt_host_overlay_addressing_chosen&lt;&gt;"IP Pool","This input is masked out and only required if configuring IP Pools for Host Overlay","")</f>
        <v/>
      </c>
    </row>
    <row r="157" spans="5:13" ht="20" customHeight="1" x14ac:dyDescent="0.2">
      <c r="E157" s="7"/>
      <c r="F157" s="7"/>
      <c r="G157" s="7"/>
      <c r="H157" s="7"/>
      <c r="I157" s="7"/>
      <c r="J157" s="97"/>
      <c r="K157" s="102"/>
      <c r="L157" s="102"/>
      <c r="M157" s="102"/>
    </row>
    <row r="158" spans="5:13" ht="34" customHeight="1" x14ac:dyDescent="0.2">
      <c r="E158" s="7"/>
      <c r="F158" s="7"/>
      <c r="G158" s="7"/>
      <c r="H158" s="7"/>
      <c r="I158" s="7"/>
      <c r="J158" s="412" t="s">
        <v>3145</v>
      </c>
      <c r="K158" s="413"/>
      <c r="L158" s="413"/>
      <c r="M158" s="414"/>
    </row>
    <row r="159" spans="5:13" ht="20" customHeight="1" x14ac:dyDescent="0.2">
      <c r="E159" s="7"/>
      <c r="F159" s="7"/>
      <c r="G159" s="7"/>
      <c r="H159" s="7"/>
      <c r="I159" s="7"/>
      <c r="J159" s="521" t="s">
        <v>2827</v>
      </c>
      <c r="K159" s="522"/>
      <c r="L159" s="522"/>
      <c r="M159" s="523"/>
    </row>
    <row r="160" spans="5:13" ht="20" customHeight="1" x14ac:dyDescent="0.2">
      <c r="E160" s="7"/>
      <c r="F160" s="7"/>
      <c r="G160" s="7"/>
      <c r="H160" s="7"/>
      <c r="I160" s="7"/>
      <c r="J160" s="63" t="s">
        <v>18</v>
      </c>
      <c r="K160" s="63" t="s">
        <v>19</v>
      </c>
      <c r="L160" s="63" t="s">
        <v>20</v>
      </c>
      <c r="M160" s="63" t="s">
        <v>21</v>
      </c>
    </row>
    <row r="161" spans="5:13" ht="20" customHeight="1" x14ac:dyDescent="0.2">
      <c r="E161" s="7"/>
      <c r="F161" s="7"/>
      <c r="G161" s="7"/>
      <c r="H161" s="7"/>
      <c r="I161" s="7"/>
      <c r="J161" s="521" t="s">
        <v>1095</v>
      </c>
      <c r="K161" s="522"/>
      <c r="L161" s="522"/>
      <c r="M161" s="523"/>
    </row>
    <row r="162" spans="5:13" ht="20" customHeight="1" x14ac:dyDescent="0.2">
      <c r="E162" s="7"/>
      <c r="F162" s="7"/>
      <c r="G162" s="7"/>
      <c r="H162" s="7"/>
      <c r="I162" s="7"/>
      <c r="J162" s="4" t="s">
        <v>3164</v>
      </c>
      <c r="K162" s="103" t="str">
        <f>CONCATENATE(prefix_portable_component,"-ops01a.",sample_parent_dns_zone)</f>
        <v>flt-ops01a.rainpole.io</v>
      </c>
      <c r="L162" s="66"/>
      <c r="M162" s="8" t="str">
        <f>IF(mgmt_domain_ops_automation_later_chosen="Selected","Thse input is masked out as you have opted to Deploy VCF Operations and VCF Automation on a specific vSphere distributed switch or NSX segment, Use Deploy Fleet Management Day-N sheet to capture inputs","")</f>
        <v/>
      </c>
    </row>
    <row r="163" spans="5:13" ht="20" customHeight="1" x14ac:dyDescent="0.2">
      <c r="E163" s="7"/>
      <c r="F163" s="7"/>
      <c r="G163" s="7"/>
      <c r="H163" s="7"/>
      <c r="I163" s="7"/>
      <c r="J163" s="4" t="s">
        <v>3397</v>
      </c>
      <c r="K163" s="103" t="str">
        <f>CONCATENATE(prefix_portable_component,"-ops01b.",sample_parent_dns_zone)</f>
        <v>flt-ops01b.rainpole.io</v>
      </c>
      <c r="L163" s="66"/>
      <c r="M163" s="2" t="str">
        <f>IF(mgmt_domain_vcf_operations_ha_mode_chosen="Standard (Single-Node)","Inputs are masked out as have opted to deploy in Standard (Single-Node)","")</f>
        <v/>
      </c>
    </row>
    <row r="164" spans="5:13" ht="20" customHeight="1" x14ac:dyDescent="0.2">
      <c r="E164" s="7"/>
      <c r="F164" s="7"/>
      <c r="G164" s="7"/>
      <c r="H164" s="7"/>
      <c r="I164" s="7"/>
      <c r="J164" s="4" t="s">
        <v>3170</v>
      </c>
      <c r="K164" s="65" t="str">
        <f>CONCATENATE(prefix_portable_component,"-ops01c.",sample_parent_dns_zone)</f>
        <v>flt-ops01c.rainpole.io</v>
      </c>
      <c r="L164" s="66"/>
      <c r="M164" s="8" t="str">
        <f>IF(mgmt_domain_vcf_operations_ha_mode_chosen="Standard (Single-Node)","Inputs are masked out as have opted to deploy in Standard (Single-Node)","")</f>
        <v/>
      </c>
    </row>
    <row r="165" spans="5:13" ht="20" customHeight="1" x14ac:dyDescent="0.2">
      <c r="E165" s="7"/>
      <c r="F165" s="7"/>
      <c r="G165" s="7"/>
      <c r="H165" s="7"/>
      <c r="I165" s="7"/>
      <c r="J165" s="95" t="s">
        <v>2828</v>
      </c>
      <c r="K165" s="104" t="s">
        <v>137</v>
      </c>
      <c r="L165" s="360"/>
      <c r="M165" s="224" t="str">
        <f>IF(AND(mgmt_domain_password_creation_chosen="Selected",mgmt_domain_existing_vcf_operations_chosen="Unselected"),"Inputs are masked out as you have opted to deploy with system generated passwords","Minimum 15 Characters, 1 Uppercase, 1 Special")</f>
        <v>Minimum 15 Characters, 1 Uppercase, 1 Special</v>
      </c>
    </row>
    <row r="166" spans="5:13" ht="20" customHeight="1" x14ac:dyDescent="0.2">
      <c r="E166" s="7"/>
      <c r="F166" s="7"/>
      <c r="G166" s="7"/>
      <c r="H166" s="7"/>
      <c r="I166" s="7"/>
      <c r="J166" s="4" t="s">
        <v>3590</v>
      </c>
      <c r="K166" s="65" t="s">
        <v>137</v>
      </c>
      <c r="L166" s="361"/>
      <c r="M166" s="8" t="str">
        <f>IF(AND(mgmt_domain_password_creation_chosen="Selected",mgmt_domain_existing_vcf_operations_chosen="Unselected"),"Inputs are masked out as you have opted to deploy with system generated passwords","Minimum 15 Characters, 1 Uppercase, 1 Special")</f>
        <v>Minimum 15 Characters, 1 Uppercase, 1 Special</v>
      </c>
    </row>
    <row r="167" spans="5:13" ht="20" customHeight="1" x14ac:dyDescent="0.2">
      <c r="E167" s="7"/>
      <c r="F167" s="7"/>
      <c r="G167" s="7"/>
      <c r="H167" s="7"/>
      <c r="I167" s="7"/>
      <c r="J167" s="4" t="s">
        <v>3591</v>
      </c>
      <c r="K167" s="65" t="s">
        <v>137</v>
      </c>
      <c r="L167" s="66"/>
      <c r="M167" s="8"/>
    </row>
    <row r="168" spans="5:13" ht="20" customHeight="1" x14ac:dyDescent="0.2">
      <c r="E168" s="7"/>
      <c r="F168" s="7"/>
      <c r="G168" s="7"/>
      <c r="H168" s="7"/>
      <c r="I168" s="7"/>
      <c r="J168" s="67" t="s">
        <v>3592</v>
      </c>
      <c r="K168" s="65" t="s">
        <v>137</v>
      </c>
      <c r="L168" s="66"/>
      <c r="M168" s="8"/>
    </row>
    <row r="169" spans="5:13" ht="20" customHeight="1" x14ac:dyDescent="0.2">
      <c r="E169" s="7"/>
      <c r="F169" s="7"/>
      <c r="G169" s="7"/>
      <c r="H169" s="7"/>
      <c r="I169" s="7"/>
      <c r="J169" s="521" t="s">
        <v>2154</v>
      </c>
      <c r="K169" s="522"/>
      <c r="L169" s="522"/>
      <c r="M169" s="523"/>
    </row>
    <row r="170" spans="5:13" ht="20" customHeight="1" x14ac:dyDescent="0.2">
      <c r="E170" s="7"/>
      <c r="F170" s="7"/>
      <c r="G170" s="7"/>
      <c r="H170" s="7"/>
      <c r="I170" s="7"/>
      <c r="J170" s="4" t="s">
        <v>2829</v>
      </c>
      <c r="K170" s="103" t="str">
        <f>CONCATENATE(prefix_portable_component,"-ops01.",sample_parent_dns_zone)</f>
        <v>flt-ops01.rainpole.io</v>
      </c>
      <c r="L170" s="66"/>
      <c r="M170" s="8" t="str">
        <f>IF(mgmt_domain_vcf_operations_ha_mode_chosen="Standard (Single-Node)","Inputs are masked out as have opted to deploy in Standard (Single-Node)","Optional: For a high availability deployment, you can connect an external load balancer")</f>
        <v>Optional: For a high availability deployment, you can connect an external load balancer</v>
      </c>
    </row>
    <row r="171" spans="5:13" ht="20" customHeight="1" x14ac:dyDescent="0.2">
      <c r="E171" s="7"/>
      <c r="F171" s="7"/>
      <c r="G171" s="7"/>
      <c r="H171" s="7"/>
      <c r="I171" s="7"/>
      <c r="J171" s="521" t="s">
        <v>3163</v>
      </c>
      <c r="K171" s="522"/>
      <c r="L171" s="522"/>
      <c r="M171" s="523"/>
    </row>
    <row r="172" spans="5:13" ht="20" customHeight="1" x14ac:dyDescent="0.2">
      <c r="E172" s="7"/>
      <c r="F172" s="7"/>
      <c r="G172" s="7"/>
      <c r="H172" s="7"/>
      <c r="I172" s="7"/>
      <c r="J172" s="4" t="s">
        <v>39</v>
      </c>
      <c r="K172" s="106" t="str">
        <f>CONCATENATE(this_instance,"-cp01.",sample_child_dns_zone)</f>
        <v>sfo-cp01.sfo.rainpole.io</v>
      </c>
      <c r="L172" s="66"/>
      <c r="M172" s="4"/>
    </row>
    <row r="173" spans="5:13" ht="20" customHeight="1" x14ac:dyDescent="0.2">
      <c r="E173" s="7"/>
      <c r="F173" s="7"/>
      <c r="G173" s="7"/>
      <c r="H173" s="7"/>
      <c r="I173" s="7"/>
      <c r="J173" s="4" t="s">
        <v>522</v>
      </c>
      <c r="K173" s="65" t="s">
        <v>137</v>
      </c>
      <c r="L173" s="66"/>
      <c r="M173" s="8" t="str">
        <f>IF(mgmt_domain_password_creation_chosen="Selected","Inputs are masked out as you have opted to deploy with system generated passwords","Minimum 15 Characters, 1 Uppercase, 1 Special")</f>
        <v>Minimum 15 Characters, 1 Uppercase, 1 Special</v>
      </c>
    </row>
    <row r="174" spans="5:13" ht="20" customHeight="1" x14ac:dyDescent="0.2">
      <c r="E174" s="7"/>
      <c r="F174" s="7"/>
      <c r="G174" s="7"/>
      <c r="H174" s="7"/>
      <c r="I174" s="7"/>
      <c r="J174" s="521" t="s">
        <v>3133</v>
      </c>
      <c r="K174" s="522"/>
      <c r="L174" s="522"/>
      <c r="M174" s="523"/>
    </row>
    <row r="175" spans="5:13" ht="20" customHeight="1" x14ac:dyDescent="0.2">
      <c r="E175" s="7"/>
      <c r="F175" s="7"/>
      <c r="G175" s="7"/>
      <c r="H175" s="7"/>
      <c r="I175" s="7"/>
      <c r="J175" s="4" t="s">
        <v>39</v>
      </c>
      <c r="K175" s="214" t="str">
        <f>CONCATENATE(prefix_portable_component,"-lc01.",sample_parent_dns_zone)</f>
        <v>flt-lc01.rainpole.io</v>
      </c>
      <c r="L175" s="66"/>
      <c r="M175" s="180"/>
    </row>
    <row r="176" spans="5:13" ht="20" customHeight="1" x14ac:dyDescent="0.2">
      <c r="E176" s="7"/>
      <c r="F176" s="7"/>
      <c r="G176" s="7"/>
      <c r="H176" s="7"/>
      <c r="I176" s="7"/>
      <c r="J176" s="521" t="s">
        <v>3097</v>
      </c>
      <c r="K176" s="522"/>
      <c r="L176" s="522"/>
      <c r="M176" s="523"/>
    </row>
    <row r="177" spans="5:14" ht="20" customHeight="1" x14ac:dyDescent="0.2">
      <c r="E177" s="7"/>
      <c r="F177" s="7"/>
      <c r="G177" s="7"/>
      <c r="H177" s="7"/>
      <c r="I177" s="7"/>
      <c r="J177" s="4" t="s">
        <v>3268</v>
      </c>
      <c r="K177" s="105" t="str">
        <f>CONCATENATE(prefix_portable_component,"-fc01.",sample_parent_dns_zone)</f>
        <v>flt-fc01.rainpole.io</v>
      </c>
      <c r="L177" s="114"/>
      <c r="M177" s="8" t="s">
        <v>3351</v>
      </c>
    </row>
    <row r="178" spans="5:14" ht="20" customHeight="1" x14ac:dyDescent="0.2">
      <c r="E178" s="7"/>
      <c r="F178" s="7"/>
      <c r="G178" s="7"/>
      <c r="H178" s="7"/>
      <c r="I178" s="7"/>
      <c r="J178" s="4" t="s">
        <v>3269</v>
      </c>
      <c r="K178" s="105" t="str">
        <f>CONCATENATE(this_instance,"-ic01.",sample_child_dns_zone)</f>
        <v>sfo-ic01.sfo.rainpole.io</v>
      </c>
      <c r="L178" s="114"/>
      <c r="M178" s="8" t="s">
        <v>3352</v>
      </c>
    </row>
    <row r="179" spans="5:14" ht="20" customHeight="1" x14ac:dyDescent="0.2">
      <c r="E179" s="7"/>
      <c r="F179" s="7"/>
      <c r="G179" s="7"/>
      <c r="H179" s="7"/>
      <c r="I179" s="7"/>
      <c r="J179" s="4" t="s">
        <v>3146</v>
      </c>
      <c r="K179" s="122" t="str">
        <f>CONCATENATE(prefix_portable_component,"-idb01",".",sample_parent_dns_zone)</f>
        <v>flt-idb01.rainpole.io</v>
      </c>
      <c r="L179" s="66"/>
      <c r="M179" s="8" t="str">
        <f>IF(vcf_granular_option_chosen="Deploy a VCF Instance in an existing VCF Fleet","An additional Identity Broker can be deployed as part of day 2 Operation.","")</f>
        <v/>
      </c>
    </row>
    <row r="180" spans="5:14" ht="20" customHeight="1" x14ac:dyDescent="0.2">
      <c r="E180" s="7"/>
      <c r="F180" s="7"/>
      <c r="G180" s="7"/>
      <c r="H180" s="7"/>
      <c r="I180" s="7"/>
      <c r="J180" s="4" t="s">
        <v>3134</v>
      </c>
      <c r="K180" s="105" t="str">
        <f>CONCATENATE(this_instance,,"-","sr01.",sample_child_dns_zone)</f>
        <v>sfo-sr01.sfo.rainpole.io</v>
      </c>
      <c r="L180" s="114"/>
      <c r="M180" s="8" t="s">
        <v>3353</v>
      </c>
    </row>
    <row r="181" spans="5:14" ht="20" customHeight="1" x14ac:dyDescent="0.2">
      <c r="E181" s="7"/>
      <c r="F181" s="7"/>
      <c r="G181" s="7"/>
      <c r="H181" s="7"/>
      <c r="I181" s="7"/>
      <c r="J181" s="4" t="s">
        <v>3697</v>
      </c>
      <c r="K181" s="105" t="s">
        <v>137</v>
      </c>
      <c r="L181" s="114"/>
      <c r="M181" s="8" t="str">
        <f t="shared" ref="M181" si="0">IF(mgmt_domain_password_creation_chosen="Selected","Inputs are masked out as you have opted to deploy with system generated passwords","Minimum 15 Characters, 1 Uppercase, 1 Special")</f>
        <v>Minimum 15 Characters, 1 Uppercase, 1 Special</v>
      </c>
    </row>
    <row r="182" spans="5:14" ht="20" customHeight="1" x14ac:dyDescent="0.2">
      <c r="E182" s="7"/>
      <c r="F182" s="7"/>
      <c r="G182" s="7"/>
      <c r="H182" s="7"/>
      <c r="I182" s="7"/>
      <c r="J182" s="4" t="s">
        <v>3593</v>
      </c>
      <c r="K182" s="105" t="s">
        <v>576</v>
      </c>
      <c r="L182" s="66" t="s">
        <v>576</v>
      </c>
      <c r="M182" s="34"/>
    </row>
    <row r="183" spans="5:14" ht="20" customHeight="1" x14ac:dyDescent="0.2">
      <c r="E183" s="7"/>
      <c r="F183" s="7"/>
      <c r="G183" s="7"/>
      <c r="H183" s="7"/>
      <c r="I183" s="7"/>
      <c r="J183" s="97"/>
      <c r="K183" s="102"/>
      <c r="L183" s="102"/>
      <c r="M183" s="102"/>
    </row>
    <row r="184" spans="5:14" ht="34" customHeight="1" x14ac:dyDescent="0.2">
      <c r="E184" s="7"/>
      <c r="F184" s="7"/>
      <c r="G184" s="7"/>
      <c r="H184" s="7"/>
      <c r="I184" s="7"/>
      <c r="J184" s="412" t="s">
        <v>2814</v>
      </c>
      <c r="K184" s="413"/>
      <c r="L184" s="413"/>
      <c r="M184" s="414"/>
    </row>
    <row r="185" spans="5:14" ht="20" customHeight="1" x14ac:dyDescent="0.2">
      <c r="E185" s="7"/>
      <c r="F185" s="7"/>
      <c r="G185" s="7"/>
      <c r="H185" s="7"/>
      <c r="I185" s="7"/>
      <c r="J185" s="521" t="s">
        <v>2833</v>
      </c>
      <c r="K185" s="522"/>
      <c r="L185" s="522"/>
      <c r="M185" s="523"/>
    </row>
    <row r="186" spans="5:14" ht="20" customHeight="1" x14ac:dyDescent="0.2">
      <c r="E186" s="7"/>
      <c r="F186" s="7"/>
      <c r="G186" s="7"/>
      <c r="H186" s="7"/>
      <c r="I186" s="7"/>
      <c r="J186" s="63" t="s">
        <v>18</v>
      </c>
      <c r="K186" s="63" t="s">
        <v>19</v>
      </c>
      <c r="L186" s="63" t="s">
        <v>20</v>
      </c>
      <c r="M186" s="63" t="s">
        <v>21</v>
      </c>
    </row>
    <row r="187" spans="5:14" ht="20" customHeight="1" x14ac:dyDescent="0.2">
      <c r="E187" s="7"/>
      <c r="F187" s="7"/>
      <c r="G187" s="7"/>
      <c r="H187" s="7"/>
      <c r="I187" s="7"/>
      <c r="J187" s="4" t="s">
        <v>1905</v>
      </c>
      <c r="K187" s="65" t="str">
        <f>CONCATENATE(prefix_portable_component,"-auto01.",sample_parent_dns_zone)</f>
        <v>flt-auto01.rainpole.io</v>
      </c>
      <c r="L187" s="66"/>
      <c r="M187" s="8" t="str">
        <f>IF(OR(mgmt_domain_ops_automation_later_chosen="Selected",mgmt_domain_vcf_automation_later_chosen="Selected"),"Inputs are masked out as you have opted to deploy or import VCF Automation post MGMT Domain deployment","")</f>
        <v/>
      </c>
    </row>
    <row r="188" spans="5:14" ht="20" customHeight="1" x14ac:dyDescent="0.2">
      <c r="E188" s="7"/>
      <c r="F188" s="7"/>
      <c r="G188" s="7"/>
      <c r="H188" s="7"/>
      <c r="I188" s="7"/>
      <c r="J188" s="4" t="s">
        <v>3134</v>
      </c>
      <c r="K188" s="65" t="str">
        <f>CONCATENATE(prefix_portable_component,"-vcfa-sr01.",sample_parent_dns_zone)</f>
        <v>flt-vcfa-sr01.rainpole.io</v>
      </c>
      <c r="L188" s="66"/>
      <c r="M188" s="8" t="s">
        <v>3542</v>
      </c>
    </row>
    <row r="189" spans="5:14" ht="20" customHeight="1" x14ac:dyDescent="0.2">
      <c r="E189" s="7"/>
      <c r="F189" s="7"/>
      <c r="G189" s="7"/>
      <c r="H189" s="7"/>
      <c r="I189" s="7"/>
      <c r="J189" s="4" t="s">
        <v>2828</v>
      </c>
      <c r="K189" s="65" t="s">
        <v>137</v>
      </c>
      <c r="L189" s="66"/>
      <c r="M189" s="8" t="str">
        <f>IF(OR(mgmt_domain_ops_automation_later_chosen="Selected",mgmt_domain_vcf_automation_later_chosen="Selected"),"Inputs are masked out as you have opted to deploy or import VCF Automation post MGMT Domain deployment",IF(mgmt_domain_password_creation_chosen="Selected","Inputs are masked out as you have opted to deploy with system generated passwords","Minimum 15 Characters, 1 Uppercase, 1 Special"))</f>
        <v>Minimum 15 Characters, 1 Uppercase, 1 Special</v>
      </c>
    </row>
    <row r="190" spans="5:14" ht="20" customHeight="1" x14ac:dyDescent="0.2">
      <c r="E190" s="7"/>
      <c r="F190" s="7"/>
      <c r="G190" s="7"/>
      <c r="H190" s="7"/>
      <c r="I190" s="7"/>
      <c r="J190" s="30" t="s">
        <v>3594</v>
      </c>
      <c r="K190" s="108" t="s">
        <v>3613</v>
      </c>
      <c r="L190" s="66" t="s">
        <v>3613</v>
      </c>
      <c r="M190" s="8" t="s">
        <v>525</v>
      </c>
    </row>
    <row r="191" spans="5:14" ht="20" customHeight="1" x14ac:dyDescent="0.2">
      <c r="F191" s="7"/>
      <c r="G191" s="7"/>
      <c r="H191" s="7"/>
      <c r="I191" s="7"/>
      <c r="J191" s="30" t="s">
        <v>523</v>
      </c>
      <c r="K191" s="65" t="str">
        <f>CONCATENATE(prefix_portable_component,"-auto")</f>
        <v>flt-auto</v>
      </c>
      <c r="L191" s="66"/>
      <c r="M191" s="9"/>
      <c r="N191" s="7"/>
    </row>
    <row r="192" spans="5:14" ht="20" customHeight="1" x14ac:dyDescent="0.2">
      <c r="F192" s="7"/>
      <c r="G192" s="7"/>
      <c r="H192" s="7"/>
      <c r="I192" s="7"/>
      <c r="J192" s="97"/>
      <c r="K192" s="102"/>
      <c r="L192" s="102"/>
      <c r="M192" s="102"/>
      <c r="N192" s="7"/>
    </row>
    <row r="193" spans="5:13" ht="34" customHeight="1" x14ac:dyDescent="0.2">
      <c r="E193" s="7"/>
      <c r="F193" s="7"/>
      <c r="G193" s="7"/>
      <c r="H193" s="7"/>
      <c r="I193" s="7"/>
      <c r="J193" s="412" t="s">
        <v>693</v>
      </c>
      <c r="K193" s="413"/>
      <c r="L193" s="413"/>
      <c r="M193" s="414"/>
    </row>
    <row r="194" spans="5:13" ht="20" customHeight="1" x14ac:dyDescent="0.2">
      <c r="E194" s="7"/>
      <c r="F194" s="7"/>
      <c r="G194" s="7"/>
      <c r="H194" s="7"/>
      <c r="I194" s="7"/>
      <c r="J194" s="521" t="s">
        <v>2834</v>
      </c>
      <c r="K194" s="522"/>
      <c r="L194" s="522"/>
      <c r="M194" s="523"/>
    </row>
    <row r="195" spans="5:13" ht="20" customHeight="1" x14ac:dyDescent="0.2">
      <c r="E195" s="7"/>
      <c r="F195" s="7"/>
      <c r="G195" s="7"/>
      <c r="H195" s="7"/>
      <c r="I195" s="7"/>
      <c r="J195" s="63" t="s">
        <v>18</v>
      </c>
      <c r="K195" s="63" t="s">
        <v>19</v>
      </c>
      <c r="L195" s="63" t="s">
        <v>20</v>
      </c>
      <c r="M195" s="63" t="s">
        <v>21</v>
      </c>
    </row>
    <row r="196" spans="5:13" ht="20" customHeight="1" x14ac:dyDescent="0.2">
      <c r="E196" s="7"/>
      <c r="F196" s="7"/>
      <c r="G196" s="7"/>
      <c r="H196" s="7"/>
      <c r="I196" s="7"/>
      <c r="J196" s="4" t="s">
        <v>2831</v>
      </c>
      <c r="K196" s="109" t="str">
        <f>CONCATENATE(this_instance,"-m01-vc01.",sample_child_dns_zone)</f>
        <v>sfo-m01-vc01.sfo.rainpole.io</v>
      </c>
      <c r="L196" s="66"/>
      <c r="M196" s="8"/>
    </row>
    <row r="197" spans="5:13" ht="20" customHeight="1" x14ac:dyDescent="0.2">
      <c r="E197" s="7"/>
      <c r="F197" s="7"/>
      <c r="G197" s="7"/>
      <c r="H197" s="7"/>
      <c r="I197" s="7"/>
      <c r="J197" s="4" t="s">
        <v>1570</v>
      </c>
      <c r="K197" s="65" t="str">
        <f>CONCATENATE(this_instance,"-m01-dc01")</f>
        <v>sfo-m01-dc01</v>
      </c>
      <c r="L197" s="66"/>
      <c r="M197" s="8" t="str">
        <f>IF(mgmt_domain_existing_vcenter_chosen="Selected","Inputs are masked out as you have opted to import an existing vCenter Server","")</f>
        <v/>
      </c>
    </row>
    <row r="198" spans="5:13" ht="20" customHeight="1" x14ac:dyDescent="0.2">
      <c r="E198" s="7"/>
      <c r="F198" s="7"/>
      <c r="G198" s="7"/>
      <c r="H198" s="7"/>
      <c r="I198" s="7"/>
      <c r="J198" s="4" t="s">
        <v>200</v>
      </c>
      <c r="K198" s="65" t="str">
        <f>CONCATENATE(this_instance,"-m01-cl01")</f>
        <v>sfo-m01-cl01</v>
      </c>
      <c r="L198" s="66"/>
      <c r="M198" s="8" t="str">
        <f>IF(mgmt_domain_existing_vcenter_chosen="Selected","Inputs are masked out as you have opted to import an existing vCenter Server","")</f>
        <v/>
      </c>
    </row>
    <row r="199" spans="5:13" ht="20" customHeight="1" x14ac:dyDescent="0.2">
      <c r="E199" s="7"/>
      <c r="F199" s="7"/>
      <c r="G199" s="7"/>
      <c r="H199" s="7"/>
      <c r="I199" s="7"/>
      <c r="J199" s="4" t="s">
        <v>553</v>
      </c>
      <c r="K199" s="65" t="s">
        <v>2415</v>
      </c>
      <c r="L199" s="66"/>
      <c r="M199" s="8" t="str">
        <f>IF(mgmt_domain_existing_vcenter_chosen="Selected","Inputs are masked out as you have opted to import an existing vCenter Server","")</f>
        <v/>
      </c>
    </row>
    <row r="200" spans="5:13" ht="20" customHeight="1" x14ac:dyDescent="0.2">
      <c r="E200" s="7"/>
      <c r="F200" s="7"/>
      <c r="G200" s="7"/>
      <c r="H200" s="7"/>
      <c r="I200" s="7"/>
      <c r="J200" s="4" t="s">
        <v>2835</v>
      </c>
      <c r="K200" s="65" t="s">
        <v>1485</v>
      </c>
      <c r="L200" s="66"/>
      <c r="M200" s="8" t="str">
        <f>IF(mgmt_domain_existing_vcenter_chosen="Unselected", "Input is masked out and only required if importing an existing vCenter","")</f>
        <v>Input is masked out and only required if importing an existing vCenter</v>
      </c>
    </row>
    <row r="201" spans="5:13" ht="20" customHeight="1" x14ac:dyDescent="0.2">
      <c r="E201" s="7"/>
      <c r="F201" s="7"/>
      <c r="G201" s="7"/>
      <c r="H201" s="7"/>
      <c r="I201" s="7"/>
      <c r="J201" s="4" t="s">
        <v>2828</v>
      </c>
      <c r="K201" s="65" t="s">
        <v>137</v>
      </c>
      <c r="L201" s="66"/>
      <c r="M201" s="8" t="str">
        <f>IF(mgmt_domain_existing_vcenter_chosen="Selected","",IF(mgmt_domain_password_creation_chosen="Selected","Inputs are masked out as you have opted deploy with system generated passwords","Minimum 15 Characters, 1 Uppercase, 1 Special"))</f>
        <v>Minimum 15 Characters, 1 Uppercase, 1 Special</v>
      </c>
    </row>
    <row r="202" spans="5:13" ht="20" customHeight="1" x14ac:dyDescent="0.2">
      <c r="E202" s="7"/>
      <c r="F202" s="7"/>
      <c r="G202" s="7"/>
      <c r="H202" s="7"/>
      <c r="I202" s="7"/>
      <c r="J202" s="4" t="s">
        <v>522</v>
      </c>
      <c r="K202" s="65" t="s">
        <v>137</v>
      </c>
      <c r="L202" s="66"/>
      <c r="M202" s="8" t="str">
        <f>IF(mgmt_domain_existing_vcenter_chosen="Selected","",IF(mgmt_domain_password_creation_chosen="Selected","Inputs are masked out as you have opted deploy with system generated passwords","Minimum 15 Characters, 1 Uppercase, 1 Special"))</f>
        <v>Minimum 15 Characters, 1 Uppercase, 1 Special</v>
      </c>
    </row>
    <row r="203" spans="5:13" ht="20" customHeight="1" x14ac:dyDescent="0.2">
      <c r="E203" s="7"/>
      <c r="F203" s="7"/>
      <c r="G203" s="7"/>
      <c r="H203" s="7"/>
      <c r="I203" s="7"/>
      <c r="J203" s="110"/>
      <c r="K203" s="110"/>
      <c r="L203" s="110"/>
      <c r="M203" s="110"/>
    </row>
    <row r="204" spans="5:13" ht="34" customHeight="1" x14ac:dyDescent="0.2">
      <c r="E204" s="7"/>
      <c r="F204" s="7"/>
      <c r="G204" s="7"/>
      <c r="H204" s="7"/>
      <c r="I204" s="7"/>
      <c r="J204" s="412" t="s">
        <v>708</v>
      </c>
      <c r="K204" s="413"/>
      <c r="L204" s="413"/>
      <c r="M204" s="414"/>
    </row>
    <row r="205" spans="5:13" ht="20" customHeight="1" x14ac:dyDescent="0.2">
      <c r="E205" s="7"/>
      <c r="F205" s="7"/>
      <c r="G205" s="7"/>
      <c r="H205" s="7"/>
      <c r="I205" s="7"/>
      <c r="J205" s="521" t="s">
        <v>2837</v>
      </c>
      <c r="K205" s="522"/>
      <c r="L205" s="522"/>
      <c r="M205" s="523"/>
    </row>
    <row r="206" spans="5:13" ht="20" customHeight="1" x14ac:dyDescent="0.2">
      <c r="E206" s="7"/>
      <c r="F206" s="7"/>
      <c r="G206" s="7"/>
      <c r="H206" s="7"/>
      <c r="I206" s="7"/>
      <c r="J206" s="63" t="s">
        <v>18</v>
      </c>
      <c r="K206" s="63" t="s">
        <v>19</v>
      </c>
      <c r="L206" s="63" t="s">
        <v>20</v>
      </c>
      <c r="M206" s="63" t="s">
        <v>21</v>
      </c>
    </row>
    <row r="207" spans="5:13" ht="20" customHeight="1" x14ac:dyDescent="0.2">
      <c r="E207" s="7"/>
      <c r="F207" s="7"/>
      <c r="G207" s="7"/>
      <c r="H207" s="7"/>
      <c r="I207" s="7"/>
      <c r="J207" s="4" t="s">
        <v>2838</v>
      </c>
      <c r="K207" s="65" t="str">
        <f>IF(mgmt_principal_storage_chosen="VMFS on Fibre Channel (FC)",CONCATENATE(this_instance,"-m01-cl01-ds-vmfs01"),IF(mgmt_principal_storage_chosen="NFSv3",CONCATENATE(this_instance,"-m01-cl01-ds-nfs01"),CONCATENATE(this_instance,"-m01-cl01-ds-vsan01")))</f>
        <v>sfo-m01-cl01-ds-vsan01</v>
      </c>
      <c r="L207" s="66"/>
      <c r="M207" s="8" t="str">
        <f>IF(mgmt_domain_existing_vcenter_chosen="Selected","Inputs are masked out as you have opted to import an existing vCenter Server","")</f>
        <v/>
      </c>
    </row>
    <row r="208" spans="5:13" ht="20" customHeight="1" x14ac:dyDescent="0.2">
      <c r="E208" s="7"/>
      <c r="F208" s="7"/>
      <c r="G208" s="7"/>
      <c r="H208" s="7"/>
      <c r="I208" s="7"/>
      <c r="J208" s="95" t="s">
        <v>3208</v>
      </c>
      <c r="K208" s="104" t="s">
        <v>724</v>
      </c>
      <c r="L208" s="107" t="s">
        <v>724</v>
      </c>
      <c r="M208" s="224" t="str">
        <f>IF(mgmt_cl01_vsan_data_in_transit_chosen="Unselected","Input is masked out and only required if configuring vSAN Data-in-Transit encryption","")</f>
        <v>Input is masked out and only required if configuring vSAN Data-in-Transit encryption</v>
      </c>
    </row>
    <row r="209" spans="5:13" ht="20" customHeight="1" x14ac:dyDescent="0.2">
      <c r="E209" s="7"/>
      <c r="F209" s="7"/>
      <c r="G209" s="7"/>
      <c r="H209" s="7"/>
      <c r="I209" s="7"/>
      <c r="J209" s="95" t="s">
        <v>3209</v>
      </c>
      <c r="K209" s="104" t="s">
        <v>3196</v>
      </c>
      <c r="L209" s="107" t="s">
        <v>3577</v>
      </c>
      <c r="M209" s="224" t="str">
        <f>IF(mgmt_cl01_vsan_data_in_transit_chosen="Unselected","Input is masked out and only required if configuring vSAN Data-in-Transit encryption","")</f>
        <v>Input is masked out and only required if configuring vSAN Data-in-Transit encryption</v>
      </c>
    </row>
    <row r="210" spans="5:13" ht="20" customHeight="1" x14ac:dyDescent="0.2">
      <c r="E210" s="7"/>
      <c r="F210" s="7"/>
      <c r="G210" s="7"/>
      <c r="H210" s="7"/>
      <c r="I210" s="7"/>
      <c r="J210" s="95" t="s">
        <v>3210</v>
      </c>
      <c r="K210" s="104">
        <v>1440</v>
      </c>
      <c r="L210" s="107"/>
      <c r="M210" s="224" t="s">
        <v>3204</v>
      </c>
    </row>
    <row r="211" spans="5:13" ht="20" customHeight="1" x14ac:dyDescent="0.2">
      <c r="E211" s="7"/>
      <c r="F211" s="7"/>
      <c r="G211" s="7"/>
      <c r="H211" s="7"/>
      <c r="I211" s="7"/>
      <c r="J211" s="95" t="s">
        <v>2840</v>
      </c>
      <c r="K211" s="104" t="str">
        <f>CONCATENATE("/share/",this_instance,"-m01-cl01-ds-nfs01")</f>
        <v>/share/sfo-m01-cl01-ds-nfs01</v>
      </c>
      <c r="L211" s="111"/>
      <c r="M211" s="224" t="str">
        <f>IF(mgmt_principal_storage_chosen&lt;&gt;"NFSv3","Input is masked out and only required if configuring NFS Storage","")</f>
        <v>Input is masked out and only required if configuring NFS Storage</v>
      </c>
    </row>
    <row r="212" spans="5:13" ht="20" customHeight="1" x14ac:dyDescent="0.2">
      <c r="E212" s="7"/>
      <c r="F212" s="7"/>
      <c r="G212" s="7"/>
      <c r="H212" s="7"/>
      <c r="I212" s="7"/>
      <c r="J212" s="95" t="s">
        <v>2841</v>
      </c>
      <c r="K212" s="104" t="str">
        <f>CONCATENATE(prefix_mgmt_az1_cidr,"15.200")</f>
        <v>10.11.15.200</v>
      </c>
      <c r="L212" s="111"/>
      <c r="M212" s="224" t="str">
        <f>IF(mgmt_principal_storage_chosen&lt;&gt;"NFSv3","Input is masked out and only required if configuring NFS Storage","")</f>
        <v>Input is masked out and only required if configuring NFS Storage</v>
      </c>
    </row>
    <row r="213" spans="5:13" ht="20" customHeight="1" x14ac:dyDescent="0.2">
      <c r="E213" s="7"/>
      <c r="F213" s="7"/>
      <c r="G213" s="7"/>
      <c r="H213" s="7"/>
      <c r="I213" s="7"/>
      <c r="J213" s="4" t="s">
        <v>2842</v>
      </c>
      <c r="K213" s="65" t="s">
        <v>154</v>
      </c>
      <c r="L213" s="66" t="s">
        <v>154</v>
      </c>
      <c r="M213" s="8" t="str">
        <f>IF(mgmt_principal_storage_chosen&lt;&gt;"NFSv3","Input is masked out and only required if configuring NFS Storage","")</f>
        <v>Input is masked out and only required if configuring NFS Storage</v>
      </c>
    </row>
    <row r="215" spans="5:13" ht="34" customHeight="1" x14ac:dyDescent="0.2">
      <c r="E215" s="7"/>
      <c r="F215" s="7"/>
      <c r="G215" s="7"/>
      <c r="H215" s="7"/>
      <c r="I215" s="7"/>
      <c r="J215" s="412" t="s">
        <v>3216</v>
      </c>
      <c r="K215" s="413"/>
      <c r="L215" s="413"/>
      <c r="M215" s="414"/>
    </row>
    <row r="216" spans="5:13" ht="20" customHeight="1" x14ac:dyDescent="0.2">
      <c r="E216" s="7"/>
      <c r="F216" s="7"/>
      <c r="G216" s="7"/>
      <c r="H216" s="7"/>
      <c r="I216" s="7"/>
      <c r="J216" s="521" t="s">
        <v>2864</v>
      </c>
      <c r="K216" s="522"/>
      <c r="L216" s="522"/>
      <c r="M216" s="523"/>
    </row>
    <row r="217" spans="5:13" ht="20" customHeight="1" x14ac:dyDescent="0.2">
      <c r="E217" s="7"/>
      <c r="F217" s="7"/>
      <c r="G217" s="7"/>
      <c r="H217" s="7"/>
      <c r="I217" s="7"/>
      <c r="J217" s="63" t="s">
        <v>18</v>
      </c>
      <c r="K217" s="63" t="s">
        <v>19</v>
      </c>
      <c r="L217" s="63" t="s">
        <v>20</v>
      </c>
      <c r="M217" s="63" t="s">
        <v>21</v>
      </c>
    </row>
    <row r="218" spans="5:13" ht="20" customHeight="1" x14ac:dyDescent="0.2">
      <c r="E218" s="7"/>
      <c r="F218" s="7"/>
      <c r="G218" s="7"/>
      <c r="H218" s="7"/>
      <c r="I218" s="7"/>
      <c r="J218" s="4" t="s">
        <v>2865</v>
      </c>
      <c r="K218" s="65" t="s">
        <v>724</v>
      </c>
      <c r="L218" s="66" t="s">
        <v>1967</v>
      </c>
      <c r="M218" s="120" t="str">
        <f>IF(mgmt_domain_existing_vcenter_chosen="Selected","Inputs are masked out as you have opted to import an existing vCenter Server","")</f>
        <v/>
      </c>
    </row>
    <row r="219" spans="5:13" ht="20" customHeight="1" x14ac:dyDescent="0.2">
      <c r="E219" s="7"/>
      <c r="F219" s="7"/>
      <c r="G219" s="7"/>
      <c r="H219" s="7"/>
      <c r="I219" s="7"/>
      <c r="J219" s="97"/>
      <c r="K219" s="102"/>
      <c r="L219" s="98"/>
      <c r="M219" s="102"/>
    </row>
    <row r="220" spans="5:13" ht="34" customHeight="1" x14ac:dyDescent="0.2">
      <c r="E220" s="7"/>
      <c r="F220" s="7"/>
      <c r="G220" s="7"/>
      <c r="H220" s="7"/>
      <c r="I220" s="7"/>
      <c r="J220" s="54" t="s">
        <v>726</v>
      </c>
      <c r="K220" s="55"/>
      <c r="L220" s="55"/>
      <c r="M220" s="56"/>
    </row>
    <row r="221" spans="5:13" ht="20" customHeight="1" x14ac:dyDescent="0.2">
      <c r="E221" s="7"/>
      <c r="F221" s="7"/>
      <c r="G221" s="7"/>
      <c r="H221" s="7"/>
      <c r="I221" s="7"/>
      <c r="J221" s="58" t="s">
        <v>2991</v>
      </c>
      <c r="K221" s="59"/>
      <c r="L221" s="59"/>
      <c r="M221" s="60"/>
    </row>
    <row r="222" spans="5:13" ht="20" customHeight="1" x14ac:dyDescent="0.2">
      <c r="E222" s="7"/>
      <c r="F222" s="7"/>
      <c r="G222" s="7"/>
      <c r="H222" s="7"/>
      <c r="I222" s="7"/>
      <c r="J222" s="63" t="s">
        <v>18</v>
      </c>
      <c r="K222" s="63" t="s">
        <v>19</v>
      </c>
      <c r="L222" s="63" t="s">
        <v>20</v>
      </c>
      <c r="M222" s="63" t="s">
        <v>21</v>
      </c>
    </row>
    <row r="223" spans="5:13" ht="20" customHeight="1" x14ac:dyDescent="0.2">
      <c r="E223" s="7"/>
      <c r="F223" s="7"/>
      <c r="G223" s="7"/>
      <c r="H223" s="7"/>
      <c r="I223" s="7"/>
      <c r="J223" s="4" t="s">
        <v>2866</v>
      </c>
      <c r="K223" s="65" t="str">
        <f>CONCATENATE(this_instance,"-m01-cl01-vds01")</f>
        <v>sfo-m01-cl01-vds01</v>
      </c>
      <c r="L223" s="114"/>
      <c r="M223" s="8" t="str">
        <f>IF(mgmt_domain_existing_vcenter_chosen="Selected","Inputs are masked out as you have opted to import an existing vCenter Server","")</f>
        <v/>
      </c>
    </row>
    <row r="224" spans="5:13" ht="20" customHeight="1" x14ac:dyDescent="0.2">
      <c r="E224" s="7"/>
      <c r="F224" s="7"/>
      <c r="G224" s="7"/>
      <c r="H224" s="7"/>
      <c r="I224" s="7"/>
      <c r="J224" s="4" t="s">
        <v>155</v>
      </c>
      <c r="K224" s="65">
        <v>9000</v>
      </c>
      <c r="L224" s="66"/>
      <c r="M224" s="8"/>
    </row>
    <row r="225" spans="5:13" ht="20" customHeight="1" x14ac:dyDescent="0.2">
      <c r="E225" s="7"/>
      <c r="F225" s="7"/>
      <c r="G225" s="7"/>
      <c r="H225" s="7"/>
      <c r="I225" s="7"/>
      <c r="J225" s="4" t="s">
        <v>2735</v>
      </c>
      <c r="K225" s="65" t="s">
        <v>2966</v>
      </c>
      <c r="L225" s="66" t="s">
        <v>2966</v>
      </c>
      <c r="M225" s="8"/>
    </row>
    <row r="226" spans="5:13" ht="20" customHeight="1" x14ac:dyDescent="0.2">
      <c r="E226" s="7"/>
      <c r="F226" s="7"/>
      <c r="G226" s="7"/>
      <c r="H226" s="7"/>
      <c r="I226" s="7"/>
      <c r="J226" s="4" t="s">
        <v>2967</v>
      </c>
      <c r="K226" s="65" t="str">
        <f>CONCATENATE("m01-cl01-vds1-lg")</f>
        <v>m01-cl01-vds1-lg</v>
      </c>
      <c r="L226" s="66"/>
      <c r="M226" s="8" t="str">
        <f>IF(mgmt_cl01_vds01_link_type_chosen="VDS Uplinks","This input is masked out as you have chosen to configure VDS Uplinks","There is a 16 Character Limit for LAG Name")</f>
        <v>This input is masked out as you have chosen to configure VDS Uplinks</v>
      </c>
    </row>
    <row r="227" spans="5:13" ht="20" customHeight="1" x14ac:dyDescent="0.2">
      <c r="E227" s="7"/>
      <c r="F227" s="7"/>
      <c r="G227" s="7"/>
      <c r="H227" s="7"/>
      <c r="I227" s="7"/>
      <c r="J227" s="4" t="s">
        <v>2968</v>
      </c>
      <c r="K227" s="65" t="s">
        <v>739</v>
      </c>
      <c r="L227" s="66" t="s">
        <v>739</v>
      </c>
      <c r="M227" s="8" t="str">
        <f>IF(mgmt_cl01_vds01_link_type_chosen="VDS Uplinks","This input is masked out as you have chosen to configure VDS Uplinks","")</f>
        <v>This input is masked out as you have chosen to configure VDS Uplinks</v>
      </c>
    </row>
    <row r="228" spans="5:13" ht="20" customHeight="1" x14ac:dyDescent="0.2">
      <c r="E228" s="7"/>
      <c r="F228" s="7"/>
      <c r="G228" s="7"/>
      <c r="H228" s="7"/>
      <c r="I228" s="7"/>
      <c r="J228" s="4" t="s">
        <v>2969</v>
      </c>
      <c r="K228" s="65" t="s">
        <v>2986</v>
      </c>
      <c r="L228" s="66" t="s">
        <v>2986</v>
      </c>
      <c r="M228" s="8" t="str">
        <f>IF(mgmt_cl01_vds01_link_type_chosen="VDS Uplinks","This input is masked out as you have chosen to configure VDS Uplinks","")</f>
        <v>This input is masked out as you have chosen to configure VDS Uplinks</v>
      </c>
    </row>
    <row r="229" spans="5:13" ht="20" customHeight="1" x14ac:dyDescent="0.2">
      <c r="E229" s="7"/>
      <c r="F229" s="7"/>
      <c r="G229" s="7"/>
      <c r="H229" s="7"/>
      <c r="I229" s="7"/>
      <c r="J229" s="4" t="s">
        <v>2970</v>
      </c>
      <c r="K229" s="65" t="s">
        <v>2971</v>
      </c>
      <c r="L229" s="66" t="s">
        <v>2971</v>
      </c>
      <c r="M229" s="8" t="str">
        <f>IF(mgmt_cl01_vds01_link_type_chosen="VDS Uplinks","This input is masked out as you have chosen to configure VDS Uplinks","")</f>
        <v>This input is masked out as you have chosen to configure VDS Uplinks</v>
      </c>
    </row>
    <row r="230" spans="5:13" ht="20" customHeight="1" x14ac:dyDescent="0.2">
      <c r="E230" s="7"/>
      <c r="F230" s="7"/>
      <c r="G230" s="7"/>
      <c r="H230" s="7"/>
      <c r="I230" s="7"/>
      <c r="J230" s="4" t="s">
        <v>729</v>
      </c>
      <c r="K230" s="65">
        <v>2</v>
      </c>
      <c r="L230" s="66"/>
      <c r="M230" s="8"/>
    </row>
    <row r="231" spans="5:13" ht="20" customHeight="1" x14ac:dyDescent="0.2">
      <c r="E231" s="7"/>
      <c r="F231" s="7"/>
      <c r="G231" s="7"/>
      <c r="H231" s="7"/>
      <c r="I231" s="7"/>
      <c r="J231" s="4" t="str">
        <f>IF(mgmt_cl01_vds01_link_type_chosen="VDS LAG",IF(mgmt_cl01_vds01_lag_name="Value Missing","lag-0",CONCATENATE(mgmt_cl01_vds01_lag_name,"-0")),"uplink1")</f>
        <v>uplink1</v>
      </c>
      <c r="K231" s="65" t="s">
        <v>828</v>
      </c>
      <c r="L231" s="66"/>
      <c r="M231" s="8"/>
    </row>
    <row r="232" spans="5:13" ht="20" customHeight="1" x14ac:dyDescent="0.2">
      <c r="E232" s="7"/>
      <c r="F232" s="7"/>
      <c r="G232" s="7"/>
      <c r="H232" s="7"/>
      <c r="I232" s="7"/>
      <c r="J232" s="4" t="str">
        <f>IF(mgmt_cl01_vds01_link_type_chosen="VDS LAG",IF(mgmt_cl01_vds01_lag_name="Value Missing","lag-1",CONCATENATE(mgmt_cl01_vds01_lag_name,"-1")),"uplink2")</f>
        <v>uplink2</v>
      </c>
      <c r="K232" s="65" t="s">
        <v>829</v>
      </c>
      <c r="L232" s="66"/>
      <c r="M232" s="8"/>
    </row>
    <row r="233" spans="5:13" ht="20" customHeight="1" x14ac:dyDescent="0.2">
      <c r="E233" s="7"/>
      <c r="F233" s="7"/>
      <c r="G233" s="7"/>
      <c r="H233" s="7"/>
      <c r="I233" s="7"/>
      <c r="J233" s="521" t="s">
        <v>766</v>
      </c>
      <c r="K233" s="522"/>
      <c r="L233" s="522"/>
      <c r="M233" s="523"/>
    </row>
    <row r="234" spans="5:13" ht="20" customHeight="1" x14ac:dyDescent="0.2">
      <c r="E234" s="7"/>
      <c r="F234" s="7"/>
      <c r="G234" s="7"/>
      <c r="H234" s="7"/>
      <c r="I234" s="7"/>
      <c r="J234" s="4" t="s">
        <v>2866</v>
      </c>
      <c r="K234" s="65" t="str">
        <f>CONCATENATE(this_instance,"-m01-cl01-vds02")</f>
        <v>sfo-m01-cl01-vds02</v>
      </c>
      <c r="L234" s="66"/>
      <c r="M234" s="8" t="str">
        <f>IF(mgmt_domain_existing_vcenter_chosen="Selected","Inputs are masked out as you have opted to import an existing vCenter Server",IF(mgmt_cl01_vds_profile_chosen="Default","This input is masked out due to VDS Profile selected",""))</f>
        <v/>
      </c>
    </row>
    <row r="235" spans="5:13" ht="20" customHeight="1" x14ac:dyDescent="0.2">
      <c r="E235" s="7"/>
      <c r="F235" s="7"/>
      <c r="G235" s="7"/>
      <c r="H235" s="7"/>
      <c r="I235" s="7"/>
      <c r="J235" s="4" t="s">
        <v>155</v>
      </c>
      <c r="K235" s="65">
        <v>9000</v>
      </c>
      <c r="L235" s="66"/>
      <c r="M235" s="8" t="str">
        <f>IF(mgmt_cl01_vds_profile_chosen="Default","This input is masked out due to VDS Profile selected","")</f>
        <v/>
      </c>
    </row>
    <row r="236" spans="5:13" ht="20" customHeight="1" x14ac:dyDescent="0.2">
      <c r="E236" s="7"/>
      <c r="F236" s="7"/>
      <c r="G236" s="7"/>
      <c r="H236" s="7"/>
      <c r="I236" s="7"/>
      <c r="J236" s="4" t="s">
        <v>2735</v>
      </c>
      <c r="K236" s="65" t="s">
        <v>2966</v>
      </c>
      <c r="L236" s="66" t="s">
        <v>2966</v>
      </c>
      <c r="M236" s="8" t="str">
        <f>IF(mgmt_cl01_vds_profile_chosen="Default","This input is masked out due to VDS Profile selected","")</f>
        <v/>
      </c>
    </row>
    <row r="237" spans="5:13" ht="20" customHeight="1" x14ac:dyDescent="0.2">
      <c r="E237" s="7"/>
      <c r="F237" s="7"/>
      <c r="G237" s="7"/>
      <c r="H237" s="7"/>
      <c r="I237" s="7"/>
      <c r="J237" s="4" t="s">
        <v>2967</v>
      </c>
      <c r="K237" s="65" t="str">
        <f>CONCATENATE("m01-cl01-vds2-lg")</f>
        <v>m01-cl01-vds2-lg</v>
      </c>
      <c r="L237" s="66"/>
      <c r="M237" s="8" t="str">
        <f>IF(mgmt_cl01_vds_profile_chosen="Default","This input is masked out due to VDS Profile selected",IF(mgmt_cl01_vds02_link_type_chosen="VDS Uplinks","This input is masked out as you have chosen to configure VDS Uplinks","There is a 16 Character Limit for LAG Name"))</f>
        <v>This input is masked out as you have chosen to configure VDS Uplinks</v>
      </c>
    </row>
    <row r="238" spans="5:13" ht="20" customHeight="1" x14ac:dyDescent="0.2">
      <c r="E238" s="7"/>
      <c r="F238" s="7"/>
      <c r="G238" s="7"/>
      <c r="H238" s="7"/>
      <c r="I238" s="7"/>
      <c r="J238" s="4" t="s">
        <v>2968</v>
      </c>
      <c r="K238" s="65" t="s">
        <v>739</v>
      </c>
      <c r="L238" s="66" t="s">
        <v>739</v>
      </c>
      <c r="M238" s="8" t="str">
        <f>IF(mgmt_cl01_vds_profile_chosen="Default","This input is masked out due to VDS Profile selected",IF(mgmt_cl01_vds02_link_type_chosen="VDS Uplinks","This input is masked out as you have chosen to configure VDS Uplinks",""))</f>
        <v>This input is masked out as you have chosen to configure VDS Uplinks</v>
      </c>
    </row>
    <row r="239" spans="5:13" ht="20" customHeight="1" x14ac:dyDescent="0.2">
      <c r="E239" s="7"/>
      <c r="F239" s="7"/>
      <c r="G239" s="7"/>
      <c r="H239" s="7"/>
      <c r="I239" s="7"/>
      <c r="J239" s="4" t="s">
        <v>2969</v>
      </c>
      <c r="K239" s="65" t="s">
        <v>2986</v>
      </c>
      <c r="L239" s="66" t="s">
        <v>2986</v>
      </c>
      <c r="M239" s="8" t="str">
        <f>IF(mgmt_cl01_vds_profile_chosen="Default","This input is masked out due to VDS Profile selected",IF(mgmt_cl01_vds02_link_type_chosen="VDS Uplinks","This input is masked out as you have chosen to configure VDS Uplinks",""))</f>
        <v>This input is masked out as you have chosen to configure VDS Uplinks</v>
      </c>
    </row>
    <row r="240" spans="5:13" ht="20" customHeight="1" x14ac:dyDescent="0.2">
      <c r="E240" s="7"/>
      <c r="F240" s="7"/>
      <c r="G240" s="7"/>
      <c r="H240" s="7"/>
      <c r="I240" s="7"/>
      <c r="J240" s="4" t="s">
        <v>2970</v>
      </c>
      <c r="K240" s="65" t="s">
        <v>2971</v>
      </c>
      <c r="L240" s="66" t="s">
        <v>2971</v>
      </c>
      <c r="M240" s="8" t="str">
        <f>IF(mgmt_cl01_vds_profile_chosen="Default","This input is masked out due to VDS Profile selected",IF(mgmt_cl01_vds02_link_type_chosen="VDS Uplinks","This input is masked out as you have chosen to configure VDS Uplinks",""))</f>
        <v>This input is masked out as you have chosen to configure VDS Uplinks</v>
      </c>
    </row>
    <row r="241" spans="1:13" ht="20" customHeight="1" x14ac:dyDescent="0.2">
      <c r="E241" s="7"/>
      <c r="F241" s="7"/>
      <c r="G241" s="7"/>
      <c r="H241" s="7"/>
      <c r="I241" s="7"/>
      <c r="J241" s="4" t="s">
        <v>729</v>
      </c>
      <c r="K241" s="65">
        <v>2</v>
      </c>
      <c r="L241" s="66"/>
      <c r="M241" s="8" t="str">
        <f>IF(mgmt_cl01_vds_profile_chosen="Default","This input is masked out due to VDS Profile selected","")</f>
        <v/>
      </c>
    </row>
    <row r="242" spans="1:13" ht="20" customHeight="1" x14ac:dyDescent="0.2">
      <c r="E242" s="7"/>
      <c r="F242" s="7"/>
      <c r="G242" s="7"/>
      <c r="H242" s="7"/>
      <c r="I242" s="7"/>
      <c r="J242" s="4" t="str">
        <f>IF(mgmt_cl01_vds02_link_type_chosen="VDS LAG",IF(mgmt_cl01_vds02_lag_name="Value Missing","lag-0",CONCATENATE(mgmt_cl01_vds02_lag_name,"-0")),"uplink1")</f>
        <v>uplink1</v>
      </c>
      <c r="K242" s="65" t="s">
        <v>2872</v>
      </c>
      <c r="L242" s="66"/>
      <c r="M242" s="8" t="str">
        <f>IF(mgmt_cl01_vds_profile_chosen="Default","This input is masked out due to VDS Profile selected","")</f>
        <v/>
      </c>
    </row>
    <row r="243" spans="1:13" ht="20" customHeight="1" x14ac:dyDescent="0.2">
      <c r="J243" s="4" t="str">
        <f>IF(mgmt_cl01_vds02_link_type_chosen="VDS LAG",IF(mgmt_cl01_vds02_lag_name="Value Missing","lag-1",CONCATENATE(mgmt_cl01_vds02_lag_name,"-1")),"uplink2")</f>
        <v>uplink2</v>
      </c>
      <c r="K243" s="65" t="s">
        <v>2873</v>
      </c>
      <c r="L243" s="66"/>
      <c r="M243" s="8" t="str">
        <f>IF(mgmt_cl01_vds_profile_chosen="Default","This input is masked out due to VDS Profile selected","")</f>
        <v/>
      </c>
    </row>
    <row r="244" spans="1:13" s="112" customFormat="1" ht="20" customHeight="1" x14ac:dyDescent="0.2">
      <c r="A244" s="7"/>
      <c r="B244" s="7"/>
      <c r="C244" s="7"/>
      <c r="D244" s="7"/>
      <c r="E244" s="7"/>
      <c r="F244" s="7"/>
      <c r="G244" s="7"/>
      <c r="H244" s="7"/>
      <c r="I244" s="7"/>
      <c r="J244" s="521" t="s">
        <v>769</v>
      </c>
      <c r="K244" s="522"/>
      <c r="L244" s="522"/>
      <c r="M244" s="523"/>
    </row>
    <row r="245" spans="1:13" s="112" customFormat="1" ht="20" customHeight="1" x14ac:dyDescent="0.2">
      <c r="A245" s="7"/>
      <c r="B245" s="7"/>
      <c r="C245" s="7"/>
      <c r="D245" s="7"/>
      <c r="E245" s="7"/>
      <c r="F245" s="7"/>
      <c r="G245" s="7"/>
      <c r="H245" s="7"/>
      <c r="I245" s="7"/>
      <c r="J245" s="4" t="s">
        <v>2866</v>
      </c>
      <c r="K245" s="65" t="str">
        <f>CONCATENATE(this_instance,"-m01-cl01-vds03")</f>
        <v>sfo-m01-cl01-vds03</v>
      </c>
      <c r="L245" s="66"/>
      <c r="M245" s="8" t="str">
        <f>IF(mgmt_domain_existing_vcenter_chosen="Selected","Inputs are masked out as you have opted to import an existing vCenter Server",IF(mgmt_cl01_vds_profile_chosen&lt;&gt;"Storage Traffic and NSX Traffic Separation","This input is masked out due to VDS Profile selected",""))</f>
        <v/>
      </c>
    </row>
    <row r="246" spans="1:13" s="112" customFormat="1" ht="20" customHeight="1" x14ac:dyDescent="0.2">
      <c r="A246" s="7"/>
      <c r="B246" s="7"/>
      <c r="C246" s="7"/>
      <c r="D246" s="7"/>
      <c r="E246" s="7"/>
      <c r="F246" s="7"/>
      <c r="G246" s="7"/>
      <c r="H246" s="7"/>
      <c r="I246" s="7"/>
      <c r="J246" s="4" t="s">
        <v>155</v>
      </c>
      <c r="K246" s="65">
        <v>9000</v>
      </c>
      <c r="L246" s="66"/>
      <c r="M246" s="8" t="str">
        <f>IF(mgmt_domain_existing_vcenter_chosen="Selected","Inputs are masked out as you have opted to import an existing vCenter Server",IF(mgmt_cl01_vds_profile_chosen&lt;&gt;"Storage Traffic and NSX Traffic Separation","This input is masked out due to VDS Profile selected",""))</f>
        <v/>
      </c>
    </row>
    <row r="247" spans="1:13" s="112" customFormat="1" ht="20" customHeight="1" x14ac:dyDescent="0.2">
      <c r="A247" s="7"/>
      <c r="B247" s="7"/>
      <c r="C247" s="7"/>
      <c r="D247" s="7"/>
      <c r="E247" s="7"/>
      <c r="F247" s="7"/>
      <c r="G247" s="7"/>
      <c r="H247" s="7"/>
      <c r="I247" s="7"/>
      <c r="J247" s="4" t="s">
        <v>2735</v>
      </c>
      <c r="K247" s="65" t="s">
        <v>2966</v>
      </c>
      <c r="L247" s="66" t="s">
        <v>2966</v>
      </c>
      <c r="M247" s="8" t="str">
        <f>IF(mgmt_domain_existing_vcenter_chosen="Selected","Inputs are masked out as you have opted to import an existing vCenter Server",IF(mgmt_cl01_vds_profile_chosen&lt;&gt;"Storage Traffic and NSX Traffic Separation","This input is masked out due to VDS Profile selected",""))</f>
        <v/>
      </c>
    </row>
    <row r="248" spans="1:13" s="112" customFormat="1" ht="20" customHeight="1" x14ac:dyDescent="0.2">
      <c r="A248" s="7"/>
      <c r="B248" s="7"/>
      <c r="C248" s="7"/>
      <c r="D248" s="7"/>
      <c r="E248" s="7"/>
      <c r="F248" s="7"/>
      <c r="G248" s="7"/>
      <c r="H248" s="7"/>
      <c r="I248" s="7"/>
      <c r="J248" s="4" t="s">
        <v>2967</v>
      </c>
      <c r="K248" s="65" t="str">
        <f>CONCATENATE("m01-cl01-vds3-lg")</f>
        <v>m01-cl01-vds3-lg</v>
      </c>
      <c r="L248" s="66"/>
      <c r="M248" s="8" t="str">
        <f>IF(mgmt_cl01_vds_profile_chosen&lt;&gt;"Storage Traffic and NSX Traffic Separation","This input is masked out due to VDS Profile selected",IF(mgmt_cl01_vds03_link_type_chosen="VDS Uplinks","This input is masked out as you have chosen to configure VDS Uplinks","There is a 16 Character Limit for LAG Name"))</f>
        <v>This input is masked out as you have chosen to configure VDS Uplinks</v>
      </c>
    </row>
    <row r="249" spans="1:13" s="112" customFormat="1" ht="20" customHeight="1" x14ac:dyDescent="0.2">
      <c r="A249" s="7"/>
      <c r="B249" s="7"/>
      <c r="C249" s="7"/>
      <c r="D249" s="7"/>
      <c r="E249" s="7"/>
      <c r="F249" s="7"/>
      <c r="G249" s="7"/>
      <c r="H249" s="7"/>
      <c r="I249" s="7"/>
      <c r="J249" s="4" t="s">
        <v>2968</v>
      </c>
      <c r="K249" s="65" t="s">
        <v>739</v>
      </c>
      <c r="L249" s="66" t="s">
        <v>739</v>
      </c>
      <c r="M249" s="8" t="str">
        <f>IF(mgmt_cl01_vds_profile_chosen&lt;&gt;"Storage Traffic and NSX Traffic Separation","This input is masked out due to VDS Profile selected",IF(mgmt_cl01_vds03_link_type_chosen="VDS Uplinks","This input is masked out as you have chosen to configure VDS Uplinks",""))</f>
        <v>This input is masked out as you have chosen to configure VDS Uplinks</v>
      </c>
    </row>
    <row r="250" spans="1:13" s="112" customFormat="1" ht="20" customHeight="1" x14ac:dyDescent="0.2">
      <c r="A250" s="7"/>
      <c r="B250" s="7"/>
      <c r="C250" s="7"/>
      <c r="D250" s="7"/>
      <c r="E250" s="7"/>
      <c r="F250" s="7"/>
      <c r="G250" s="7"/>
      <c r="H250" s="7"/>
      <c r="I250" s="7"/>
      <c r="J250" s="4" t="s">
        <v>2969</v>
      </c>
      <c r="K250" s="65" t="s">
        <v>2986</v>
      </c>
      <c r="L250" s="66" t="s">
        <v>2986</v>
      </c>
      <c r="M250" s="8" t="str">
        <f>IF(mgmt_cl01_vds_profile_chosen&lt;&gt;"Storage Traffic and NSX Traffic Separation","This input is masked out due to VDS Profile selected",IF(mgmt_cl01_vds03_link_type_chosen="VDS Uplinks","This input is masked out as you have chosen to configure VDS Uplinks",""))</f>
        <v>This input is masked out as you have chosen to configure VDS Uplinks</v>
      </c>
    </row>
    <row r="251" spans="1:13" s="112" customFormat="1" ht="20" customHeight="1" x14ac:dyDescent="0.2">
      <c r="A251" s="7"/>
      <c r="B251" s="7"/>
      <c r="C251" s="7"/>
      <c r="D251" s="7"/>
      <c r="E251" s="7"/>
      <c r="F251" s="7"/>
      <c r="G251" s="7"/>
      <c r="H251" s="7"/>
      <c r="I251" s="7"/>
      <c r="J251" s="4" t="s">
        <v>2970</v>
      </c>
      <c r="K251" s="65" t="s">
        <v>2971</v>
      </c>
      <c r="L251" s="66" t="s">
        <v>2971</v>
      </c>
      <c r="M251" s="8" t="str">
        <f>IF(mgmt_cl01_vds_profile_chosen&lt;&gt;"Storage Traffic and NSX Traffic Separation","This input is masked out due to VDS Profile selected",IF(mgmt_cl01_vds03_link_type_chosen="VDS Uplinks","This input is masked out as you have chosen to configure VDS Uplinks",""))</f>
        <v>This input is masked out as you have chosen to configure VDS Uplinks</v>
      </c>
    </row>
    <row r="252" spans="1:13" s="112" customFormat="1" ht="20" customHeight="1" x14ac:dyDescent="0.2">
      <c r="A252" s="7"/>
      <c r="B252" s="7"/>
      <c r="C252" s="7"/>
      <c r="D252" s="7"/>
      <c r="E252" s="7"/>
      <c r="F252" s="7"/>
      <c r="G252" s="7"/>
      <c r="H252" s="7"/>
      <c r="I252" s="7"/>
      <c r="J252" s="4" t="s">
        <v>729</v>
      </c>
      <c r="K252" s="65">
        <v>2</v>
      </c>
      <c r="L252" s="66"/>
      <c r="M252" s="8" t="str">
        <f>IF(mgmt_cl01_vds_profile_chosen="Default","This input is masked out due to VDS Profile selected","")</f>
        <v/>
      </c>
    </row>
    <row r="253" spans="1:13" ht="20" customHeight="1" x14ac:dyDescent="0.2">
      <c r="E253" s="7"/>
      <c r="F253" s="7"/>
      <c r="G253" s="7"/>
      <c r="H253" s="7"/>
      <c r="I253" s="7"/>
      <c r="J253" s="4" t="str">
        <f>IF(mgmt_cl01_vds03_link_type_chosen="VDS LAG",IF(mgmt_cl01_vds03_lag_name="Value Missing","lag-0",CONCATENATE(mgmt_cl01_vds03_lag_name,"-0")),"uplink1")</f>
        <v>uplink1</v>
      </c>
      <c r="K253" s="65" t="s">
        <v>2874</v>
      </c>
      <c r="L253" s="66"/>
      <c r="M253" s="8" t="str">
        <f>IF(mgmt_cl01_vds_profile_chosen="Default","This input is masked out due to VDS Profile selected","")</f>
        <v/>
      </c>
    </row>
    <row r="254" spans="1:13" ht="20" customHeight="1" x14ac:dyDescent="0.2">
      <c r="E254" s="7"/>
      <c r="F254" s="7"/>
      <c r="G254" s="7"/>
      <c r="H254" s="7"/>
      <c r="I254" s="7"/>
      <c r="J254" s="4" t="str">
        <f>IF(mgmt_cl01_vds03_link_type_chosen="VDS LAG",IF(mgmt_cl01_vds03_lag_name="Value Missing","lag-1",CONCATENATE(mgmt_cl01_vds03_lag_name,"-1")),"uplink2")</f>
        <v>uplink2</v>
      </c>
      <c r="K254" s="65" t="s">
        <v>2875</v>
      </c>
      <c r="L254" s="66"/>
      <c r="M254" s="8" t="str">
        <f>IF(mgmt_cl01_vds_profile_chosen="Default","This input is masked out due to VDS Profile selected","")</f>
        <v/>
      </c>
    </row>
    <row r="255" spans="1:13" ht="20" customHeight="1" x14ac:dyDescent="0.2">
      <c r="E255" s="7"/>
      <c r="F255" s="7"/>
      <c r="G255" s="7"/>
      <c r="H255" s="7"/>
      <c r="I255" s="7"/>
      <c r="J255" s="58" t="s">
        <v>3258</v>
      </c>
      <c r="K255" s="59"/>
      <c r="L255" s="59"/>
      <c r="M255" s="60"/>
    </row>
    <row r="256" spans="1:13" ht="20" customHeight="1" x14ac:dyDescent="0.2">
      <c r="E256" s="7"/>
      <c r="F256" s="7"/>
      <c r="G256" s="7"/>
      <c r="H256" s="7"/>
      <c r="I256" s="7"/>
      <c r="J256" s="4" t="s">
        <v>178</v>
      </c>
      <c r="K256" s="65" t="str">
        <f>CONCATENATE(this_instance,"-m01-cl01-vds01-pg-esx-mgmt")</f>
        <v>sfo-m01-cl01-vds01-pg-esx-mgmt</v>
      </c>
      <c r="L256" s="115"/>
      <c r="M256" s="8" t="str">
        <f>IF(mgmt_domain_existing_vcenter_chosen="Selected","Inputs are masked out as you have opted to import an existing vCenter Server","Portgroup will be created on Primary Distributed Switch")</f>
        <v>Portgroup will be created on Primary Distributed Switch</v>
      </c>
    </row>
    <row r="257" spans="5:13" ht="20" customHeight="1" x14ac:dyDescent="0.2">
      <c r="E257" s="7"/>
      <c r="F257" s="7"/>
      <c r="G257" s="7"/>
      <c r="H257" s="7"/>
      <c r="I257" s="7"/>
      <c r="J257" s="4" t="s">
        <v>736</v>
      </c>
      <c r="K257" s="65" t="s">
        <v>737</v>
      </c>
      <c r="L257" s="66" t="s">
        <v>737</v>
      </c>
      <c r="M257" s="8" t="str">
        <f>IF(mgmt_cl01_vds01_link_type_chosen="VDS Lag","This input is masked out as you have chosen to configure VDS LAG","")</f>
        <v/>
      </c>
    </row>
    <row r="258" spans="5:13" ht="20" customHeight="1" x14ac:dyDescent="0.2">
      <c r="E258" s="7"/>
      <c r="F258" s="7"/>
      <c r="G258" s="7"/>
      <c r="H258" s="7"/>
      <c r="I258" s="7"/>
      <c r="J258" s="4" t="s">
        <v>738</v>
      </c>
      <c r="K258" s="65" t="s">
        <v>739</v>
      </c>
      <c r="L258" s="66" t="s">
        <v>739</v>
      </c>
      <c r="M258" s="8" t="str">
        <f>IF(mgmt_cl01_vds01_link_type_chosen="VDS Lag","This input is masked out as you have chosen to configure VDS LAG","")</f>
        <v/>
      </c>
    </row>
    <row r="259" spans="5:13" ht="20" customHeight="1" x14ac:dyDescent="0.2">
      <c r="E259" s="7"/>
      <c r="F259" s="7"/>
      <c r="G259" s="7"/>
      <c r="H259" s="7"/>
      <c r="I259" s="7"/>
      <c r="J259" s="4" t="s">
        <v>740</v>
      </c>
      <c r="K259" s="65" t="s">
        <v>739</v>
      </c>
      <c r="L259" s="66" t="s">
        <v>739</v>
      </c>
      <c r="M259" s="8" t="str">
        <f>IF(mgmt_cl01_vds01_link_type_chosen="VDS Lag","This input is masked out as you have chosen to configure VDS LAG","")</f>
        <v/>
      </c>
    </row>
    <row r="260" spans="5:13" ht="20" customHeight="1" x14ac:dyDescent="0.2">
      <c r="E260" s="7"/>
      <c r="F260" s="7"/>
      <c r="G260" s="7"/>
      <c r="H260" s="7"/>
      <c r="I260" s="7"/>
      <c r="J260" s="58" t="s">
        <v>741</v>
      </c>
      <c r="K260" s="59"/>
      <c r="L260" s="59"/>
      <c r="M260" s="60"/>
    </row>
    <row r="261" spans="5:13" ht="20" customHeight="1" x14ac:dyDescent="0.2">
      <c r="E261" s="7"/>
      <c r="F261" s="7"/>
      <c r="G261" s="7"/>
      <c r="H261" s="7"/>
      <c r="I261" s="7"/>
      <c r="J261" s="4" t="s">
        <v>178</v>
      </c>
      <c r="K261" s="65" t="str">
        <f>CONCATENATE(this_instance,"-m01-cl01-vds01-pg-vm-mgmt")</f>
        <v>sfo-m01-cl01-vds01-pg-vm-mgmt</v>
      </c>
      <c r="L261" s="115"/>
      <c r="M261" s="8" t="str">
        <f>IF(mgmt_domain_existing_vcenter_chosen="Selected","Inputs are masked out as you have opted to import an existing vCenter Server","Portgroup will be created on Primary Distributed Switch")</f>
        <v>Portgroup will be created on Primary Distributed Switch</v>
      </c>
    </row>
    <row r="262" spans="5:13" ht="20" customHeight="1" x14ac:dyDescent="0.2">
      <c r="E262" s="7"/>
      <c r="F262" s="7"/>
      <c r="G262" s="7"/>
      <c r="H262" s="7"/>
      <c r="I262" s="7"/>
      <c r="J262" s="4" t="s">
        <v>736</v>
      </c>
      <c r="K262" s="65" t="s">
        <v>737</v>
      </c>
      <c r="L262" s="66" t="s">
        <v>737</v>
      </c>
      <c r="M262" s="8" t="str">
        <f>IF(mgmt_cl01_vds01_link_type_chosen="VDS Lag","This input is masked out as you have chosen to configure VDS LAG","")</f>
        <v/>
      </c>
    </row>
    <row r="263" spans="5:13" ht="20" customHeight="1" x14ac:dyDescent="0.2">
      <c r="E263" s="7"/>
      <c r="F263" s="7"/>
      <c r="G263" s="7"/>
      <c r="H263" s="7"/>
      <c r="I263" s="7"/>
      <c r="J263" s="4" t="s">
        <v>738</v>
      </c>
      <c r="K263" s="65" t="s">
        <v>739</v>
      </c>
      <c r="L263" s="66" t="s">
        <v>739</v>
      </c>
      <c r="M263" s="8" t="str">
        <f>IF(mgmt_cl01_vds01_link_type_chosen="VDS Lag","This input is masked out as you have chosen to configure VDS LAG","")</f>
        <v/>
      </c>
    </row>
    <row r="264" spans="5:13" ht="20" customHeight="1" x14ac:dyDescent="0.2">
      <c r="E264" s="7"/>
      <c r="F264" s="7"/>
      <c r="G264" s="7"/>
      <c r="H264" s="7"/>
      <c r="I264" s="7"/>
      <c r="J264" s="4" t="s">
        <v>740</v>
      </c>
      <c r="K264" s="65" t="s">
        <v>739</v>
      </c>
      <c r="L264" s="66" t="s">
        <v>739</v>
      </c>
      <c r="M264" s="8" t="str">
        <f>IF(mgmt_cl01_vds01_link_type_chosen="VDS Lag","This input is masked out as you have chosen to configure VDS LAG","")</f>
        <v/>
      </c>
    </row>
    <row r="265" spans="5:13" ht="20" customHeight="1" x14ac:dyDescent="0.2">
      <c r="E265" s="7"/>
      <c r="F265" s="7"/>
      <c r="G265" s="7"/>
      <c r="H265" s="7"/>
      <c r="I265" s="7"/>
      <c r="J265" s="521" t="s">
        <v>3259</v>
      </c>
      <c r="K265" s="522"/>
      <c r="L265" s="522"/>
      <c r="M265" s="523"/>
    </row>
    <row r="266" spans="5:13" ht="20" customHeight="1" x14ac:dyDescent="0.2">
      <c r="E266" s="7"/>
      <c r="F266" s="7"/>
      <c r="G266" s="7"/>
      <c r="H266" s="7"/>
      <c r="I266" s="7"/>
      <c r="J266" s="4" t="s">
        <v>178</v>
      </c>
      <c r="K266" s="65" t="str">
        <f>CONCATENATE(this_instance,"-m01-cl01-vds01-pg-vcf-mgmt")</f>
        <v>sfo-m01-cl01-vds01-pg-vcf-mgmt</v>
      </c>
      <c r="L266" s="66"/>
      <c r="M266" s="290"/>
    </row>
    <row r="267" spans="5:13" ht="20" customHeight="1" x14ac:dyDescent="0.2">
      <c r="E267" s="7"/>
      <c r="F267" s="7"/>
      <c r="G267" s="7"/>
      <c r="H267" s="7"/>
      <c r="I267" s="7"/>
      <c r="J267" s="4" t="s">
        <v>736</v>
      </c>
      <c r="K267" s="65" t="s">
        <v>737</v>
      </c>
      <c r="L267" s="66" t="s">
        <v>737</v>
      </c>
      <c r="M267" s="290"/>
    </row>
    <row r="268" spans="5:13" ht="20" customHeight="1" x14ac:dyDescent="0.2">
      <c r="E268" s="7"/>
      <c r="F268" s="7"/>
      <c r="G268" s="7"/>
      <c r="H268" s="7"/>
      <c r="I268" s="7"/>
      <c r="J268" s="4" t="s">
        <v>738</v>
      </c>
      <c r="K268" s="65" t="s">
        <v>739</v>
      </c>
      <c r="L268" s="66" t="s">
        <v>739</v>
      </c>
      <c r="M268" s="290"/>
    </row>
    <row r="269" spans="5:13" ht="20" customHeight="1" x14ac:dyDescent="0.2">
      <c r="E269" s="7"/>
      <c r="F269" s="7"/>
      <c r="G269" s="7"/>
      <c r="H269" s="7"/>
      <c r="I269" s="7"/>
      <c r="J269" s="4" t="s">
        <v>740</v>
      </c>
      <c r="K269" s="65" t="s">
        <v>739</v>
      </c>
      <c r="L269" s="66" t="s">
        <v>739</v>
      </c>
      <c r="M269" s="290"/>
    </row>
    <row r="270" spans="5:13" ht="20" customHeight="1" x14ac:dyDescent="0.2">
      <c r="E270" s="7"/>
      <c r="F270" s="7"/>
      <c r="G270" s="7"/>
      <c r="H270" s="7"/>
      <c r="I270" s="7"/>
      <c r="J270" s="58" t="s">
        <v>742</v>
      </c>
      <c r="K270" s="59"/>
      <c r="L270" s="59"/>
      <c r="M270" s="60"/>
    </row>
    <row r="271" spans="5:13" ht="20" customHeight="1" x14ac:dyDescent="0.2">
      <c r="E271" s="7"/>
      <c r="F271" s="7"/>
      <c r="G271" s="7"/>
      <c r="H271" s="7"/>
      <c r="I271" s="7"/>
      <c r="J271" s="4" t="s">
        <v>178</v>
      </c>
      <c r="K271" s="65" t="str">
        <f>CONCATENATE(this_instance,"-m01-cl01-vds01-pg-vmotion")</f>
        <v>sfo-m01-cl01-vds01-pg-vmotion</v>
      </c>
      <c r="L271" s="66"/>
      <c r="M271" s="8" t="str">
        <f>IF(mgmt_domain_existing_vcenter_chosen="Selected","Inputs are masked out as you have opted to import an existing vCenter Server","Portgroup will be created on Primary Distributed Switch")</f>
        <v>Portgroup will be created on Primary Distributed Switch</v>
      </c>
    </row>
    <row r="272" spans="5:13" ht="20" customHeight="1" x14ac:dyDescent="0.2">
      <c r="E272" s="7"/>
      <c r="F272" s="7"/>
      <c r="G272" s="7"/>
      <c r="H272" s="7"/>
      <c r="I272" s="7"/>
      <c r="J272" s="4" t="s">
        <v>736</v>
      </c>
      <c r="K272" s="65" t="s">
        <v>737</v>
      </c>
      <c r="L272" s="66" t="s">
        <v>737</v>
      </c>
      <c r="M272" s="8" t="str">
        <f>IF(mgmt_cl01_vds01_link_type_chosen="VDS Lag","This input is masked out as you have chosen to configure VDS LAG","")</f>
        <v/>
      </c>
    </row>
    <row r="273" spans="5:14" ht="20" customHeight="1" x14ac:dyDescent="0.2">
      <c r="E273" s="7"/>
      <c r="F273" s="7"/>
      <c r="G273" s="7"/>
      <c r="H273" s="7"/>
      <c r="I273" s="7"/>
      <c r="J273" s="4" t="s">
        <v>738</v>
      </c>
      <c r="K273" s="65" t="s">
        <v>739</v>
      </c>
      <c r="L273" s="66" t="s">
        <v>739</v>
      </c>
      <c r="M273" s="8" t="str">
        <f>IF(mgmt_cl01_vds01_link_type_chosen="VDS Lag","This input is masked out as you have chosen to configure VDS LAG","")</f>
        <v/>
      </c>
    </row>
    <row r="274" spans="5:14" ht="20" customHeight="1" x14ac:dyDescent="0.2">
      <c r="E274" s="7"/>
      <c r="F274" s="7"/>
      <c r="G274" s="7"/>
      <c r="H274" s="7"/>
      <c r="I274" s="7"/>
      <c r="J274" s="4" t="s">
        <v>740</v>
      </c>
      <c r="K274" s="65" t="s">
        <v>739</v>
      </c>
      <c r="L274" s="66" t="s">
        <v>739</v>
      </c>
      <c r="M274" s="8" t="str">
        <f>IF(mgmt_cl01_vds01_link_type_chosen="VDS Lag","This input is masked out as you have chosen to configure VDS LAG","")</f>
        <v/>
      </c>
    </row>
    <row r="275" spans="5:14" ht="20" customHeight="1" x14ac:dyDescent="0.2">
      <c r="E275" s="7"/>
      <c r="F275" s="7"/>
      <c r="G275" s="7"/>
      <c r="H275" s="7"/>
      <c r="I275" s="7"/>
      <c r="J275" s="58" t="s">
        <v>743</v>
      </c>
      <c r="K275" s="59"/>
      <c r="L275" s="59"/>
      <c r="M275" s="60"/>
    </row>
    <row r="276" spans="5:14" ht="20" customHeight="1" x14ac:dyDescent="0.2">
      <c r="E276" s="7"/>
      <c r="F276" s="7"/>
      <c r="G276" s="7"/>
      <c r="H276" s="7"/>
      <c r="I276" s="7"/>
      <c r="J276" s="4" t="s">
        <v>178</v>
      </c>
      <c r="K276" s="65" t="str">
        <f>IF(mgmt_cl01_vds_profile_chosen="Storage Traffic Separation",CONCATENATE(this_instance,"-m01-cl01-vds02-pg-vsan"),
IF(mgmt_cl01_vds_profile_chosen="NSX Traffic Separation",CONCATENATE(this_instance,"-m01-cl01-vds01-pg-vsan"),
IF(mgmt_cl01_vds_profile_chosen="Storage Traffic and NSX Traffic Separation",CONCATENATE(this_instance,"-m01-cl01-vds02-pg-vsan"),CONCATENATE(this_instance,"-m01-cl01-vds01-pg-vsan"))))</f>
        <v>sfo-m01-cl01-vds02-pg-vsan</v>
      </c>
      <c r="L276" s="66"/>
      <c r="M276" s="8" t="str">
        <f>IF(mgmt_domain_existing_vcenter_chosen="Selected","Inputs are masked out as you have opted to import an existing vCenter Server",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Portgroup will be created on Secondary Distributed Switch</v>
      </c>
    </row>
    <row r="277" spans="5:14" ht="20" customHeight="1" x14ac:dyDescent="0.2">
      <c r="E277" s="7"/>
      <c r="F277" s="7"/>
      <c r="G277" s="7"/>
      <c r="H277" s="7"/>
      <c r="I277" s="7"/>
      <c r="J277" s="4" t="s">
        <v>736</v>
      </c>
      <c r="K277" s="65" t="s">
        <v>737</v>
      </c>
      <c r="L277" s="66" t="s">
        <v>737</v>
      </c>
      <c r="M277" s="8"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78" spans="5:14" ht="20" customHeight="1" x14ac:dyDescent="0.2">
      <c r="E278" s="7"/>
      <c r="F278" s="7"/>
      <c r="G278" s="7"/>
      <c r="H278" s="7"/>
      <c r="I278" s="7"/>
      <c r="J278" s="4" t="s">
        <v>738</v>
      </c>
      <c r="K278" s="65" t="s">
        <v>739</v>
      </c>
      <c r="L278" s="66" t="s">
        <v>739</v>
      </c>
      <c r="M278" s="8"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79" spans="5:14" ht="20" customHeight="1" x14ac:dyDescent="0.2">
      <c r="E279" s="7"/>
      <c r="F279" s="7"/>
      <c r="G279" s="7"/>
      <c r="H279" s="7"/>
      <c r="I279" s="7"/>
      <c r="J279" s="4" t="s">
        <v>740</v>
      </c>
      <c r="K279" s="65" t="s">
        <v>739</v>
      </c>
      <c r="L279" s="66" t="s">
        <v>739</v>
      </c>
      <c r="M279" s="8"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80" spans="5:14" ht="20" customHeight="1" x14ac:dyDescent="0.2">
      <c r="E280" s="7"/>
      <c r="F280" s="7"/>
      <c r="G280" s="7"/>
      <c r="H280" s="7"/>
      <c r="I280" s="7"/>
      <c r="J280" s="58" t="s">
        <v>2867</v>
      </c>
      <c r="K280" s="59"/>
      <c r="L280" s="59"/>
      <c r="M280" s="60"/>
    </row>
    <row r="281" spans="5:14" ht="20" customHeight="1" x14ac:dyDescent="0.2">
      <c r="E281" s="7"/>
      <c r="F281" s="7"/>
      <c r="G281" s="7"/>
      <c r="H281" s="7"/>
      <c r="I281" s="7"/>
      <c r="J281" s="4" t="s">
        <v>178</v>
      </c>
      <c r="K281" s="65" t="str">
        <f>IF(mgmt_cl01_vds_profile_chosen="Storage Traffic Separation",CONCATENATE(this_instance,"-m01-cl01-vds02-pg-nfs"),
IF(mgmt_cl01_vds_profile_chosen="NSX Traffic Separation",CONCATENATE(this_instance,"-m01-cl01-vds01-pg-nfs"),
IF(mgmt_cl01_vds_profile_chosen="Storage Traffic and NSX Traffic Separation",CONCATENATE(this_instance,"-m01-cl01-vds02-pg-nfs"),CONCATENATE(this_instance,"-m01-cl01-vds01-pg-nfs"))))</f>
        <v>sfo-m01-cl01-vds02-pg-nfs</v>
      </c>
      <c r="L281" s="66"/>
      <c r="M281" s="8" t="str">
        <f>IF(mgmt_domain_existing_vcenter_chosen="Selected","Inputs are masked out as you have opted to import an existing vCenter Server",IF(mgmt_principal_storage_chosen&lt;&gt;"NFSv3","This input is masked out and only required if configuring NFS Storage",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This input is masked out and only required if configuring NFS Storage</v>
      </c>
    </row>
    <row r="282" spans="5:14" ht="20" customHeight="1" x14ac:dyDescent="0.2">
      <c r="E282" s="7"/>
      <c r="F282" s="7"/>
      <c r="G282" s="7"/>
      <c r="H282" s="7"/>
      <c r="I282" s="7"/>
      <c r="J282" s="4" t="s">
        <v>736</v>
      </c>
      <c r="K282" s="65" t="s">
        <v>737</v>
      </c>
      <c r="L282" s="66" t="s">
        <v>737</v>
      </c>
      <c r="M282" s="8"/>
    </row>
    <row r="283" spans="5:14" ht="20" customHeight="1" x14ac:dyDescent="0.2">
      <c r="J283" s="4" t="s">
        <v>738</v>
      </c>
      <c r="K283" s="65" t="s">
        <v>739</v>
      </c>
      <c r="L283" s="66" t="s">
        <v>739</v>
      </c>
      <c r="M283" s="8"/>
    </row>
    <row r="284" spans="5:14" ht="20" customHeight="1" x14ac:dyDescent="0.2">
      <c r="E284" s="7"/>
      <c r="F284" s="7"/>
      <c r="G284" s="7"/>
      <c r="H284" s="7"/>
      <c r="I284" s="7"/>
      <c r="J284" s="4" t="s">
        <v>740</v>
      </c>
      <c r="K284" s="65" t="s">
        <v>739</v>
      </c>
      <c r="L284" s="66" t="s">
        <v>739</v>
      </c>
      <c r="M284" s="8"/>
    </row>
    <row r="285" spans="5:14" ht="20" customHeight="1" x14ac:dyDescent="0.2">
      <c r="E285" s="7"/>
      <c r="F285" s="7"/>
      <c r="G285" s="7"/>
      <c r="H285" s="7"/>
      <c r="I285" s="7"/>
      <c r="J285" s="521" t="s">
        <v>745</v>
      </c>
      <c r="K285" s="522"/>
      <c r="L285" s="522"/>
      <c r="M285" s="523"/>
    </row>
    <row r="286" spans="5:14" ht="20" customHeight="1" x14ac:dyDescent="0.2">
      <c r="E286" s="7"/>
      <c r="F286" s="7"/>
      <c r="G286" s="7"/>
      <c r="H286" s="7"/>
      <c r="I286" s="7"/>
      <c r="J286" s="4" t="s">
        <v>746</v>
      </c>
      <c r="K286" s="65" t="s">
        <v>154</v>
      </c>
      <c r="L286" s="66" t="s">
        <v>154</v>
      </c>
      <c r="M286" s="8" t="s">
        <v>3205</v>
      </c>
      <c r="N286" s="9" t="str">
        <f>IF(mgmt_domain_existing_vcenter_chosen="Selected","Inputs are masked out as you have opted to import an existing vCenter Server",
IF(AND(mgmt_nsx_vpc_type_chosen&lt;&gt;"VLAN backed VPC",mgmt_cl01_vds_profile_chosen="Storage Traffic Separation"),"Overlay Traffic will be configured on Primary Distributed Switch",
IF(AND(mgmt_nsx_vpc_type_chosen&lt;&gt;"VLAN backed VPC",mgmt_cl01_vds_profile_chosen="NSX Traffic Separation"),"Overlay Traffic will be configured on Secondary Distributed Switch",
IF(AND(mgmt_nsx_vpc_type_chosen&lt;&gt;"VLAN backed VPC",mgmt_cl01_vds_profile_chosen="Storage Traffic and NSX Traffic Separation"),"Overlay Traffic will be configured on Tertiary Distributed Switch",
IF(AND(mgmt_nsx_vpc_type_chosen&lt;&gt;"VLAN backed VPC",mgmt_cl01_vds_profile_chosen="Custom"),"","Overlay Traffic will be configured on Primary Distributed Switch")))))</f>
        <v>Overlay Traffic will be configured on Tertiary Distributed Switch</v>
      </c>
    </row>
    <row r="287" spans="5:14" ht="20" customHeight="1" x14ac:dyDescent="0.2">
      <c r="E287" s="7"/>
      <c r="F287" s="7"/>
      <c r="G287" s="7"/>
      <c r="H287" s="7"/>
      <c r="I287" s="7"/>
      <c r="J287" s="4" t="s">
        <v>2868</v>
      </c>
      <c r="K287" s="65" t="s">
        <v>2869</v>
      </c>
      <c r="L287" s="66" t="s">
        <v>2869</v>
      </c>
      <c r="M287" s="8" t="str">
        <f>IF(mgmt_nsx_default_operation_mode_chosen="Selected","Inputs are masked out as you have opted to apply the default operational mode - Enhanced Datapath Standard","")</f>
        <v>Inputs are masked out as you have opted to apply the default operational mode - Enhanced Datapath Standard</v>
      </c>
    </row>
    <row r="288" spans="5:14" ht="20" customHeight="1" x14ac:dyDescent="0.2">
      <c r="E288" s="7"/>
      <c r="F288" s="7"/>
      <c r="G288" s="7"/>
      <c r="H288" s="7"/>
      <c r="I288" s="7"/>
      <c r="J288" s="4" t="s">
        <v>736</v>
      </c>
      <c r="K288" s="65" t="s">
        <v>2870</v>
      </c>
      <c r="L288" s="66" t="s">
        <v>2870</v>
      </c>
      <c r="M288" s="8"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89" spans="5:13" ht="20" customHeight="1" x14ac:dyDescent="0.2">
      <c r="E289" s="7"/>
      <c r="F289" s="7"/>
      <c r="G289" s="7"/>
      <c r="H289" s="7"/>
      <c r="I289" s="7"/>
      <c r="J289" s="4" t="s">
        <v>738</v>
      </c>
      <c r="K289" s="65" t="s">
        <v>739</v>
      </c>
      <c r="L289" s="66" t="s">
        <v>739</v>
      </c>
      <c r="M289" s="8"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90" spans="5:13" ht="20" customHeight="1" x14ac:dyDescent="0.2">
      <c r="E290" s="7"/>
      <c r="F290" s="7"/>
      <c r="G290" s="7"/>
      <c r="H290" s="7"/>
      <c r="I290" s="7"/>
      <c r="J290" s="4" t="s">
        <v>740</v>
      </c>
      <c r="K290" s="65" t="s">
        <v>739</v>
      </c>
      <c r="L290" s="66" t="s">
        <v>739</v>
      </c>
      <c r="M290" s="8"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91" spans="5:13" ht="20" customHeight="1" x14ac:dyDescent="0.2">
      <c r="E291" s="7"/>
      <c r="F291" s="7"/>
      <c r="G291" s="7"/>
      <c r="H291" s="7"/>
      <c r="I291" s="7"/>
      <c r="J291" s="97"/>
      <c r="K291" s="97"/>
      <c r="L291" s="97"/>
      <c r="M291" s="102"/>
    </row>
    <row r="292" spans="5:13" ht="34" customHeight="1" x14ac:dyDescent="0.2">
      <c r="E292" s="7"/>
      <c r="F292" s="7"/>
      <c r="G292" s="7"/>
      <c r="H292" s="7"/>
      <c r="I292" s="7"/>
      <c r="J292" s="412" t="s">
        <v>661</v>
      </c>
      <c r="K292" s="413"/>
      <c r="L292" s="413"/>
      <c r="M292" s="414"/>
    </row>
    <row r="293" spans="5:13" ht="20" customHeight="1" x14ac:dyDescent="0.2">
      <c r="E293" s="7"/>
      <c r="F293" s="7"/>
      <c r="G293" s="7"/>
      <c r="H293" s="7"/>
      <c r="I293" s="7"/>
      <c r="J293" s="521" t="s">
        <v>2836</v>
      </c>
      <c r="K293" s="522"/>
      <c r="L293" s="522"/>
      <c r="M293" s="523"/>
    </row>
    <row r="294" spans="5:13" ht="20" customHeight="1" x14ac:dyDescent="0.2">
      <c r="E294" s="7"/>
      <c r="F294" s="7"/>
      <c r="G294" s="7"/>
      <c r="H294" s="7"/>
      <c r="I294" s="7"/>
      <c r="J294" s="63" t="s">
        <v>18</v>
      </c>
      <c r="K294" s="63" t="s">
        <v>19</v>
      </c>
      <c r="L294" s="63" t="s">
        <v>20</v>
      </c>
      <c r="M294" s="63" t="s">
        <v>21</v>
      </c>
    </row>
    <row r="295" spans="5:13" ht="20" customHeight="1" x14ac:dyDescent="0.2">
      <c r="E295" s="7"/>
      <c r="F295" s="7"/>
      <c r="G295" s="7"/>
      <c r="H295" s="7"/>
      <c r="I295" s="7"/>
      <c r="J295" s="4" t="s">
        <v>199</v>
      </c>
      <c r="K295" s="109" t="str">
        <f>CONCATENATE(this_instance,"-m01-nsx01",".",sample_child_dns_zone)</f>
        <v>sfo-m01-nsx01.sfo.rainpole.io</v>
      </c>
      <c r="L295" s="101"/>
      <c r="M295" s="8"/>
    </row>
    <row r="296" spans="5:13" ht="20" customHeight="1" x14ac:dyDescent="0.2">
      <c r="E296" s="7"/>
      <c r="F296" s="7"/>
      <c r="G296" s="7"/>
      <c r="H296" s="7"/>
      <c r="I296" s="7"/>
      <c r="J296" s="4" t="s">
        <v>668</v>
      </c>
      <c r="K296" s="109" t="str">
        <f>CONCATENATE(this_instance,"-m01-nsx01a",".",sample_child_dns_zone)</f>
        <v>sfo-m01-nsx01a.sfo.rainpole.io</v>
      </c>
      <c r="L296" s="66"/>
      <c r="M296" s="8" t="str">
        <f>IF(mgmt_domain_existing_nsx_manager_chosen="Selected","Inputs are masked out as you have opted to deploy with an existing NSX Cluster","")</f>
        <v/>
      </c>
    </row>
    <row r="297" spans="5:13" ht="20" customHeight="1" x14ac:dyDescent="0.2">
      <c r="E297" s="7"/>
      <c r="F297" s="7"/>
      <c r="G297" s="7"/>
      <c r="H297" s="7"/>
      <c r="I297" s="7"/>
      <c r="J297" s="4" t="s">
        <v>1092</v>
      </c>
      <c r="K297" s="109" t="str">
        <f>CONCATENATE(this_instance,"-m01-nsx01b",".",sample_child_dns_zone)</f>
        <v>sfo-m01-nsx01b.sfo.rainpole.io</v>
      </c>
      <c r="L297" s="66"/>
      <c r="M297" s="8" t="str">
        <f>IF(mgmt_domain_existing_nsx_manager_chosen="Selected","Inputs are masked out as you have opted to deploy with an existing NSX Cluster","")</f>
        <v/>
      </c>
    </row>
    <row r="298" spans="5:13" ht="20" customHeight="1" x14ac:dyDescent="0.2">
      <c r="E298" s="7"/>
      <c r="F298" s="7"/>
      <c r="G298" s="7"/>
      <c r="H298" s="7"/>
      <c r="I298" s="7"/>
      <c r="J298" s="4" t="s">
        <v>1093</v>
      </c>
      <c r="K298" s="109" t="str">
        <f>CONCATENATE(this_instance,"-m01-nsx01c",".",sample_child_dns_zone)</f>
        <v>sfo-m01-nsx01c.sfo.rainpole.io</v>
      </c>
      <c r="L298" s="66"/>
      <c r="M298" s="8" t="str">
        <f>IF(mgmt_domain_existing_nsx_manager_chosen="Selected","Inputs are masked out as you have opted to deploy with an existing NSX Cluster","")</f>
        <v/>
      </c>
    </row>
    <row r="299" spans="5:13" ht="20" customHeight="1" x14ac:dyDescent="0.2">
      <c r="E299" s="7"/>
      <c r="F299" s="7"/>
      <c r="G299" s="7"/>
      <c r="H299" s="7"/>
      <c r="I299" s="7"/>
      <c r="J299" s="4" t="s">
        <v>2828</v>
      </c>
      <c r="K299" s="65" t="s">
        <v>137</v>
      </c>
      <c r="L299" s="66"/>
      <c r="M299" s="8" t="str">
        <f>IF(mgmt_domain_password_creation_chosen="Selected","Inputs are masked out as you have opted to deploy with system generated passwords","Minimum 12 Characters, 1 Uppercase, 1 Special")</f>
        <v>Minimum 12 Characters, 1 Uppercase, 1 Special</v>
      </c>
    </row>
    <row r="300" spans="5:13" ht="20" customHeight="1" x14ac:dyDescent="0.2">
      <c r="E300" s="7"/>
      <c r="F300" s="7"/>
      <c r="G300" s="7"/>
      <c r="H300" s="7"/>
      <c r="I300" s="7"/>
      <c r="J300" s="4" t="s">
        <v>522</v>
      </c>
      <c r="K300" s="65" t="s">
        <v>137</v>
      </c>
      <c r="L300" s="66"/>
      <c r="M300" s="8" t="str">
        <f>IF(mgmt_domain_password_creation_chosen="Selected","Inputs are masked out as you have opted to deploy with system generated passwords","Minimum 12 Characters, 1 Uppercase, 1 Special")</f>
        <v>Minimum 12 Characters, 1 Uppercase, 1 Special</v>
      </c>
    </row>
    <row r="301" spans="5:13" ht="20" customHeight="1" x14ac:dyDescent="0.2">
      <c r="E301" s="7"/>
      <c r="F301" s="7"/>
      <c r="G301" s="7"/>
      <c r="H301" s="7"/>
      <c r="I301" s="7"/>
      <c r="J301" s="4" t="s">
        <v>705</v>
      </c>
      <c r="K301" s="65" t="s">
        <v>137</v>
      </c>
      <c r="L301" s="66"/>
      <c r="M301" s="8" t="str">
        <f>IF(mgmt_domain_password_creation_chosen="Selected","Inputs are masked out as you have opted to deploy with system generated passwords","Minimum 12 Characters, 1 Uppercase, 1 Special")</f>
        <v>Minimum 12 Characters, 1 Uppercase, 1 Special</v>
      </c>
    </row>
    <row r="302" spans="5:13" ht="20" customHeight="1" x14ac:dyDescent="0.2">
      <c r="E302" s="7"/>
      <c r="F302" s="7"/>
      <c r="G302" s="7"/>
      <c r="I302" s="7"/>
      <c r="J302" s="4" t="s">
        <v>3227</v>
      </c>
      <c r="K302" s="65" t="s">
        <v>140</v>
      </c>
      <c r="L302" s="66" t="s">
        <v>140</v>
      </c>
      <c r="M302" s="8" t="str">
        <f>IF(mgmt_domain_existing_nsx_manager_chosen="Unselected","Input is masked out and only required if importing an NSX Instance","")</f>
        <v>Input is masked out and only required if importing an NSX Instance</v>
      </c>
    </row>
    <row r="303" spans="5:13" ht="20" customHeight="1" x14ac:dyDescent="0.2">
      <c r="E303" s="7"/>
      <c r="F303" s="7"/>
      <c r="G303" s="7"/>
      <c r="I303" s="7"/>
      <c r="J303" s="67" t="s">
        <v>3240</v>
      </c>
      <c r="K303" s="65" t="s">
        <v>140</v>
      </c>
      <c r="L303" s="66" t="s">
        <v>140</v>
      </c>
      <c r="M303" s="8" t="str">
        <f>IF(mgmt_domain_existing_vcenter_chosen="Selected","If this option is unselected. NSX will be configured in VLAN transport zone mode","Input is masked out and only required if importing an existing vCenter ")</f>
        <v xml:space="preserve">Input is masked out and only required if importing an existing vCenter </v>
      </c>
    </row>
    <row r="304" spans="5:13" ht="20" customHeight="1" x14ac:dyDescent="0.2">
      <c r="E304" s="7"/>
      <c r="F304" s="7"/>
      <c r="G304" s="7"/>
      <c r="H304" s="7"/>
      <c r="I304" s="7"/>
      <c r="J304" s="521" t="s">
        <v>3116</v>
      </c>
      <c r="K304" s="522"/>
      <c r="L304" s="522"/>
      <c r="M304" s="523"/>
    </row>
    <row r="305" spans="5:13" ht="20" customHeight="1" x14ac:dyDescent="0.2">
      <c r="E305" s="7"/>
      <c r="F305" s="7"/>
      <c r="G305" s="7"/>
      <c r="H305" s="7"/>
      <c r="I305" s="7"/>
      <c r="J305" s="4" t="s">
        <v>85</v>
      </c>
      <c r="K305" s="65">
        <v>1198</v>
      </c>
      <c r="L305" s="346"/>
      <c r="M305" s="8" t="s">
        <v>3132</v>
      </c>
    </row>
    <row r="306" spans="5:13" ht="20" customHeight="1" x14ac:dyDescent="0.2">
      <c r="E306" s="7"/>
      <c r="F306" s="7"/>
      <c r="G306" s="7"/>
      <c r="H306" s="7"/>
      <c r="I306" s="7"/>
      <c r="J306" s="4" t="s">
        <v>707</v>
      </c>
      <c r="K306" s="65" t="s">
        <v>87</v>
      </c>
      <c r="L306" s="346"/>
      <c r="M306" s="8"/>
    </row>
    <row r="307" spans="5:13" ht="20" customHeight="1" x14ac:dyDescent="0.2">
      <c r="E307" s="7"/>
      <c r="F307" s="7"/>
      <c r="G307" s="7"/>
      <c r="H307" s="7"/>
      <c r="I307" s="7"/>
      <c r="J307" s="97"/>
      <c r="K307" s="102"/>
      <c r="L307" s="102"/>
      <c r="M307" s="102"/>
    </row>
    <row r="308" spans="5:13" ht="34" customHeight="1" x14ac:dyDescent="0.2">
      <c r="E308" s="7"/>
      <c r="F308" s="7"/>
      <c r="G308" s="7"/>
      <c r="H308" s="7"/>
      <c r="I308" s="7"/>
      <c r="J308" s="412" t="s">
        <v>1377</v>
      </c>
      <c r="K308" s="413"/>
      <c r="L308" s="413"/>
      <c r="M308" s="414"/>
    </row>
    <row r="309" spans="5:13" ht="20" customHeight="1" x14ac:dyDescent="0.2">
      <c r="E309" s="7"/>
      <c r="F309" s="7"/>
      <c r="G309" s="7"/>
      <c r="H309" s="7"/>
      <c r="I309" s="7"/>
      <c r="J309" s="521" t="s">
        <v>2876</v>
      </c>
      <c r="K309" s="522"/>
      <c r="L309" s="522"/>
      <c r="M309" s="523"/>
    </row>
    <row r="310" spans="5:13" ht="20" customHeight="1" x14ac:dyDescent="0.2">
      <c r="E310" s="7"/>
      <c r="F310" s="7"/>
      <c r="G310" s="7"/>
      <c r="H310" s="7"/>
      <c r="I310" s="7"/>
      <c r="J310" s="63" t="s">
        <v>18</v>
      </c>
      <c r="K310" s="63" t="s">
        <v>19</v>
      </c>
      <c r="L310" s="63" t="s">
        <v>20</v>
      </c>
      <c r="M310" s="63" t="s">
        <v>21</v>
      </c>
    </row>
    <row r="311" spans="5:13" ht="20" customHeight="1" x14ac:dyDescent="0.2">
      <c r="E311" s="7"/>
      <c r="F311" s="7"/>
      <c r="G311" s="7"/>
      <c r="H311" s="7"/>
      <c r="I311" s="7"/>
      <c r="J311" s="4" t="s">
        <v>2877</v>
      </c>
      <c r="K311" s="109" t="s">
        <v>2878</v>
      </c>
      <c r="L311" s="66" t="s">
        <v>2878</v>
      </c>
      <c r="M311" s="4" t="str">
        <f>IF(mgmt_domain_deployment_type_chosen="VMware vSphere Foundation","",IF(mgmt_vcf_installer_location_chosen="Deployed outside management domain","During the deployment process, a new SDDC Manager appliance will be deployed.","During the deployment process, the VCF installer will be converted to the SDDC Manager Appliance"))</f>
        <v>During the deployment process, the VCF installer will be converted to the SDDC Manager Appliance</v>
      </c>
    </row>
    <row r="312" spans="5:13" ht="20" customHeight="1" x14ac:dyDescent="0.2">
      <c r="E312" s="7"/>
      <c r="F312" s="7"/>
      <c r="G312" s="7"/>
      <c r="H312" s="7"/>
      <c r="I312" s="7"/>
      <c r="J312" s="4" t="s">
        <v>2831</v>
      </c>
      <c r="K312" s="109" t="str">
        <f>CONCATENATE(this_instance,"-vcf01",".",sample_child_dns_zone)</f>
        <v>sfo-vcf01.sfo.rainpole.io</v>
      </c>
      <c r="L312" s="66"/>
      <c r="M312" s="5" t="str">
        <f>IF(mgmt_vcf_installer_location_chosen="Deployed outside management domain","","Ensure this FQDN is used when setting the VCF Installer FQDN")</f>
        <v>Ensure this FQDN is used when setting the VCF Installer FQDN</v>
      </c>
    </row>
    <row r="313" spans="5:13" ht="20" customHeight="1" x14ac:dyDescent="0.2">
      <c r="E313" s="7"/>
      <c r="F313" s="7"/>
      <c r="G313" s="7"/>
      <c r="H313" s="7"/>
      <c r="I313" s="7"/>
      <c r="J313" s="4" t="s">
        <v>522</v>
      </c>
      <c r="K313" s="65" t="s">
        <v>137</v>
      </c>
      <c r="L313" s="66"/>
      <c r="M313" s="8" t="str">
        <f>IF(mgmt_domain_password_creation_chosen="Selected","Inputs are masked out as you have opted to deploy with system generated passwords","Minimum 12 Characters, 1 Uppercase, 1 Special")</f>
        <v>Minimum 12 Characters, 1 Uppercase, 1 Special</v>
      </c>
    </row>
    <row r="314" spans="5:13" ht="20" customHeight="1" x14ac:dyDescent="0.2">
      <c r="E314" s="7"/>
      <c r="F314" s="7"/>
      <c r="G314" s="7"/>
      <c r="H314" s="7"/>
      <c r="I314" s="7"/>
      <c r="J314" s="4" t="s">
        <v>2879</v>
      </c>
      <c r="K314" s="65" t="s">
        <v>137</v>
      </c>
      <c r="L314" s="66"/>
      <c r="M314" s="8" t="str">
        <f>IF(mgmt_domain_password_creation_chosen="Selected","Inputs are masked out as you have opted to deploy with system generated passwords","Minimum 12 Characters, 1 Uppercase, 1 Special")</f>
        <v>Minimum 12 Characters, 1 Uppercase, 1 Special</v>
      </c>
    </row>
    <row r="315" spans="5:13" ht="20" customHeight="1" x14ac:dyDescent="0.2">
      <c r="E315" s="7"/>
      <c r="F315" s="7"/>
      <c r="G315" s="7"/>
      <c r="H315" s="7"/>
      <c r="I315" s="7"/>
      <c r="J315" s="4" t="s">
        <v>2828</v>
      </c>
      <c r="K315" s="65" t="s">
        <v>137</v>
      </c>
      <c r="L315" s="66"/>
      <c r="M315" s="8" t="str">
        <f>IF(mgmt_domain_password_creation_chosen="Selected","Inputs are masked out as you have opted to deploy with system generated passwords","Minimum 12 Characters, 1 Uppercase, 1 Special")</f>
        <v>Minimum 12 Characters, 1 Uppercase, 1 Special</v>
      </c>
    </row>
    <row r="316" spans="5:13" ht="20" customHeight="1" x14ac:dyDescent="0.2">
      <c r="E316" s="7"/>
      <c r="H316" s="7"/>
      <c r="I316" s="7"/>
    </row>
    <row r="317" spans="5:13" ht="32" customHeight="1" x14ac:dyDescent="0.2">
      <c r="E317" s="7"/>
      <c r="F317" s="7"/>
      <c r="G317" s="7"/>
      <c r="H317" s="7"/>
      <c r="I317" s="7"/>
      <c r="J317" s="543" t="s">
        <v>3251</v>
      </c>
      <c r="K317" s="544"/>
      <c r="L317" s="544"/>
      <c r="M317" s="545"/>
    </row>
    <row r="318" spans="5:13" ht="20" customHeight="1" x14ac:dyDescent="0.2">
      <c r="E318" s="7"/>
      <c r="F318" s="7"/>
      <c r="G318" s="7"/>
      <c r="H318" s="7"/>
      <c r="I318" s="7"/>
      <c r="J318" s="63" t="s">
        <v>18</v>
      </c>
      <c r="K318" s="63" t="s">
        <v>19</v>
      </c>
      <c r="L318" s="63" t="s">
        <v>20</v>
      </c>
      <c r="M318" s="63" t="s">
        <v>21</v>
      </c>
    </row>
    <row r="319" spans="5:13" ht="20" customHeight="1" x14ac:dyDescent="0.2">
      <c r="E319" s="7"/>
      <c r="F319" s="7"/>
      <c r="G319" s="7"/>
      <c r="H319" s="7"/>
      <c r="I319" s="7"/>
      <c r="J319" s="4" t="s">
        <v>3211</v>
      </c>
      <c r="K319" s="65" t="s">
        <v>154</v>
      </c>
      <c r="L319" s="197" t="s">
        <v>140</v>
      </c>
      <c r="M319" s="8" t="str">
        <f>IF(mgmt_set_appliance_size_chosen="Unselected","Only supported via API. Use VCF.JSONGenerator to generate the JSON File once PnP is complete","Option is not visible VCF installer U -   Sample Values are size based on your Deployment Model and Size choice")</f>
        <v>Only supported via API. Use VCF.JSONGenerator to generate the JSON File once PnP is complete</v>
      </c>
    </row>
    <row r="320" spans="5:13" ht="20" customHeight="1" x14ac:dyDescent="0.2">
      <c r="E320" s="7"/>
      <c r="F320" s="7"/>
      <c r="G320" s="7"/>
      <c r="H320" s="7"/>
      <c r="I320" s="7"/>
      <c r="J320" s="521" t="s">
        <v>1095</v>
      </c>
      <c r="K320" s="522"/>
      <c r="L320" s="522"/>
      <c r="M320" s="523"/>
    </row>
    <row r="321" spans="5:13" ht="20" customHeight="1" x14ac:dyDescent="0.2">
      <c r="E321" s="7"/>
      <c r="F321" s="7"/>
      <c r="G321" s="7"/>
      <c r="H321" s="7"/>
      <c r="I321" s="7"/>
      <c r="J321" s="4" t="s">
        <v>667</v>
      </c>
      <c r="K321" s="65" t="str">
        <f>IF(mgmt_domain_vcf_operations_size_chosen="Medium","Large",
IF(mgmt_domain_vcf_operations_size_chosen="Large","Large","Small"))</f>
        <v>Large</v>
      </c>
      <c r="L321" s="66" t="s">
        <v>92</v>
      </c>
      <c r="M321" s="8" t="str">
        <f>IF(mgmt_domain_ops_automation_later_chosen="Selected","Inputs are masked out as you have opted to deploy VCF Ops and Automation post MGMT Domain deployment",CONCATENATE(IF(mgmt_vcfops_appliance_size_chosen="xsmall","2 vCPU, 8GB RAM, 274 GB Storage",
IF(mgmt_vcfops_appliance_size_chosen="small","4 vCPU, 16GB RAM, 274 GB Storage",
IF(mgmt_vcfops_appliance_size_chosen="medium","8 vCPU, 32GB RAM, 274 GB Storage",
IF(mgmt_vcfops_appliance_size_chosen="large","16 vCPU, 48GB RAM, 274 GB Storage",
IF(mgmt_vcfops_appliance_size_chosen="xLarge","24 vCPU, 128GB RAM, 274 GB Storage",
)))))," Per Appliance "))</f>
        <v xml:space="preserve">8 vCPU, 32GB RAM, 274 GB Storage Per Appliance </v>
      </c>
    </row>
    <row r="322" spans="5:13" ht="20" customHeight="1" x14ac:dyDescent="0.2">
      <c r="E322" s="7"/>
      <c r="F322" s="7"/>
      <c r="G322" s="7"/>
      <c r="H322" s="7"/>
      <c r="I322" s="7"/>
      <c r="J322" s="521" t="s">
        <v>3163</v>
      </c>
      <c r="K322" s="522"/>
      <c r="L322" s="522"/>
      <c r="M322" s="523"/>
    </row>
    <row r="323" spans="5:13" ht="20" customHeight="1" x14ac:dyDescent="0.2">
      <c r="E323" s="7"/>
      <c r="F323" s="7"/>
      <c r="G323" s="7"/>
      <c r="H323" s="7"/>
      <c r="I323" s="7"/>
      <c r="J323" s="4" t="s">
        <v>667</v>
      </c>
      <c r="K323" s="65" t="str">
        <f>IF(mgmt_domain_vcf_operations_size_chosen="Medium","Standard",
IF(mgmt_domain_vcf_operations_size_chosen="Large","Standard","Small"))</f>
        <v>Standard</v>
      </c>
      <c r="L323" s="66" t="s">
        <v>521</v>
      </c>
      <c r="M323" s="290" t="str">
        <f>IF(mgmt_vcfops_collector_size_chosen="Small","4 vCPU, 16GB RAM",
IF(mgmt_vcfops_collector_size_chosen="Standard","8 vCPU, 48GB RAM"))</f>
        <v>8 vCPU, 48GB RAM</v>
      </c>
    </row>
    <row r="324" spans="5:13" ht="20" customHeight="1" x14ac:dyDescent="0.2">
      <c r="E324" s="7"/>
      <c r="F324" s="7"/>
      <c r="G324" s="7"/>
      <c r="H324" s="7"/>
      <c r="I324" s="7"/>
      <c r="J324" s="521" t="s">
        <v>693</v>
      </c>
      <c r="K324" s="522"/>
      <c r="L324" s="522"/>
      <c r="M324" s="523"/>
    </row>
    <row r="325" spans="5:13" ht="20" customHeight="1" x14ac:dyDescent="0.2">
      <c r="E325" s="7"/>
      <c r="F325" s="7"/>
      <c r="G325" s="7"/>
      <c r="H325" s="7"/>
      <c r="I325" s="7"/>
      <c r="J325" s="4" t="s">
        <v>667</v>
      </c>
      <c r="K325" s="65" t="str">
        <f>IF(mgmt_domain_vcf_operations_size_chosen="Medium","Medium",
IF(mgmt_domain_vcf_operations_size_chosen="Large","Large",
IF(mgmt_domain_vcf_operations_size_chosen="Small","Small")))</f>
        <v>Medium</v>
      </c>
      <c r="L325" s="66" t="s">
        <v>92</v>
      </c>
      <c r="M325" s="8" t="str">
        <f>IF(mgmt_domain_existing_vcenter_chosen="Selected","Inputs are masked out as you have opted to import an existing vCenter Server",
IF(mgmt_vcenter_appliance_size_chosen="Tiny","2 vCPU, 10GB RAM",
IF(mgmt_vcenter_appliance_size_chosen="Small","4 vCPU, 21GB RAM",
IF(mgmt_vcenter_appliance_size_chosen="Medium","8 vCPU, 30GB RAM",
IF(mgmt_vcenter_appliance_size_chosen="Large","16 vCPU, 39GB RAM",
IF(mgmt_vcenter_appliance_size_chosen="Extra Large","24 vCPU, 58GB  RAM",
))))))</f>
        <v>8 vCPU, 30GB RAM</v>
      </c>
    </row>
    <row r="326" spans="5:13" ht="20" customHeight="1" x14ac:dyDescent="0.2">
      <c r="E326" s="7"/>
      <c r="F326" s="7"/>
      <c r="G326" s="7"/>
      <c r="H326" s="7"/>
      <c r="I326" s="7"/>
      <c r="J326" s="95" t="s">
        <v>1080</v>
      </c>
      <c r="K326" s="65" t="str">
        <f>IF(mgmt_domain_vcf_operations_size_chosen="Medium","lstorage",
IF(mgmt_domain_vcf_operations_size_chosen="Large","xlstorage",
IF(mgmt_domain_vcf_operations_size_chosen="Small","Default")))</f>
        <v>lstorage</v>
      </c>
      <c r="L326" s="66" t="s">
        <v>3513</v>
      </c>
      <c r="M326" s="8" t="str">
        <f>IF(mgmt_domain_existing_vcenter_chosen="Selected","Inputs are masked out as you have opted to import an existing vCenter Server",
CONCATENATE(VLOOKUP(CONCATENATE(mgmt_vcenter_appliance_size_chosen,mgmt_vcenter_storage_size_chosen),table_vcenter_disk_gb,2,FALSE)," GB"))</f>
        <v>2233 GB</v>
      </c>
    </row>
    <row r="327" spans="5:13" ht="20" customHeight="1" x14ac:dyDescent="0.2">
      <c r="E327" s="7"/>
      <c r="F327" s="7"/>
      <c r="G327" s="7"/>
      <c r="H327" s="7"/>
      <c r="I327" s="7"/>
      <c r="J327" s="521" t="s">
        <v>661</v>
      </c>
      <c r="K327" s="522"/>
      <c r="L327" s="522"/>
      <c r="M327" s="523"/>
    </row>
    <row r="328" spans="5:13" ht="20" customHeight="1" x14ac:dyDescent="0.2">
      <c r="E328" s="7"/>
      <c r="F328" s="7"/>
      <c r="G328" s="7"/>
      <c r="H328" s="7"/>
      <c r="I328" s="7"/>
      <c r="J328" s="4" t="s">
        <v>667</v>
      </c>
      <c r="K328" s="65" t="str">
        <f>IF(mgmt_domain_vcf_operations_size_chosen="Large","Large","Medium")</f>
        <v>Medium</v>
      </c>
      <c r="L328" s="66" t="s">
        <v>92</v>
      </c>
      <c r="M328" s="8" t="str">
        <f>IF(mgmt_domain_existing_nsx_manager_chosen="Selected","Inputs are masked out as you have opted to import with an existing NSX Cluster",
IF(mgmt_nsxt_appliance_size_chosen="Extra Small","2 vCPU, 8GB, 300GB Storage - Only supported via API. Use VCF.JSONGenerator to generate the JSON File once PnP is complete",
IF(mgmt_nsxt_appliance_size_chosen="Small","4 vCPU, 16GB, 300GB Storage",
IF(mgmt_nsxt_appliance_size_chosen="Medium","6 vCPU, 24GB, 300GB Storage",
IF(mgmt_nsxt_appliance_size_chosen="Large","12 vCPU, 48GB, 400GB Storage",
IF(mgmt_nsxt_appliance_size_chosen="XLarge","24 vCPU, 96GB, 400GB Storage",
))))))</f>
        <v>6 vCPU, 24GB, 300GB Storage</v>
      </c>
    </row>
    <row r="329" spans="5:13" ht="20" customHeight="1" x14ac:dyDescent="0.2">
      <c r="E329" s="7"/>
      <c r="F329" s="7"/>
      <c r="G329" s="7"/>
      <c r="H329" s="7"/>
      <c r="I329" s="7"/>
    </row>
    <row r="330" spans="5:13" ht="34" customHeight="1" x14ac:dyDescent="0.2">
      <c r="E330" s="7"/>
      <c r="F330" s="7"/>
      <c r="G330" s="7"/>
      <c r="H330" s="7"/>
      <c r="I330" s="7"/>
      <c r="J330" s="117" t="s">
        <v>2880</v>
      </c>
      <c r="K330" s="117"/>
      <c r="L330" s="117"/>
      <c r="M330" s="117"/>
    </row>
    <row r="331" spans="5:13" ht="20" customHeight="1" x14ac:dyDescent="0.2">
      <c r="E331" s="7"/>
      <c r="F331" s="7"/>
      <c r="G331" s="7"/>
      <c r="H331" s="7"/>
      <c r="I331" s="7"/>
      <c r="J331" s="63" t="s">
        <v>18</v>
      </c>
      <c r="K331" s="63" t="s">
        <v>19</v>
      </c>
      <c r="L331" s="63" t="s">
        <v>20</v>
      </c>
      <c r="M331" s="63" t="s">
        <v>21</v>
      </c>
    </row>
    <row r="332" spans="5:13" ht="20" customHeight="1" x14ac:dyDescent="0.2">
      <c r="E332" s="7"/>
      <c r="F332" s="7"/>
      <c r="G332" s="7"/>
      <c r="H332" s="7"/>
      <c r="I332" s="7"/>
      <c r="J332" s="521" t="s">
        <v>202</v>
      </c>
      <c r="K332" s="522"/>
      <c r="L332" s="522"/>
      <c r="M332" s="523"/>
    </row>
    <row r="333" spans="5:13" ht="20" customHeight="1" x14ac:dyDescent="0.2">
      <c r="E333" s="7"/>
      <c r="F333" s="7"/>
      <c r="G333" s="7"/>
      <c r="H333" s="7"/>
      <c r="I333" s="7"/>
      <c r="J333" s="155" t="s">
        <v>85</v>
      </c>
      <c r="K333" s="65" t="str">
        <f>sample_mgmt_az1_mgmt_vlan</f>
        <v>1111</v>
      </c>
      <c r="L333" s="196" t="str">
        <f>mgmt_az1_mgmt_vlan</f>
        <v>Value Missing</v>
      </c>
      <c r="M333" s="8"/>
    </row>
    <row r="334" spans="5:13" ht="20" customHeight="1" x14ac:dyDescent="0.2">
      <c r="E334" s="7"/>
      <c r="F334" s="7"/>
      <c r="G334" s="7"/>
      <c r="H334" s="7"/>
      <c r="I334" s="7"/>
      <c r="J334" s="155" t="s">
        <v>3092</v>
      </c>
      <c r="K334" s="65" t="str">
        <f>sample_mgmt_az1_mgmt_gateway_cidr</f>
        <v>10.11.11.1/24</v>
      </c>
      <c r="L334" s="196" t="str">
        <f>mgmt_az1_mgmt_gateway_ip</f>
        <v>Value Missing</v>
      </c>
      <c r="M334" s="8"/>
    </row>
    <row r="335" spans="5:13" ht="20" customHeight="1" x14ac:dyDescent="0.2">
      <c r="E335" s="7"/>
      <c r="F335" s="7"/>
      <c r="G335" s="7"/>
      <c r="H335" s="7"/>
      <c r="I335" s="7"/>
      <c r="J335" s="4" t="s">
        <v>155</v>
      </c>
      <c r="K335" s="65">
        <f>sample_mgmt_az1_mgmt_mtu</f>
        <v>1500</v>
      </c>
      <c r="L335" s="196" t="str">
        <f>mgmt_az1_mgmt_mtu</f>
        <v>Value Missing</v>
      </c>
      <c r="M335" s="8"/>
    </row>
    <row r="336" spans="5:13" ht="20" customHeight="1" x14ac:dyDescent="0.2">
      <c r="E336" s="7"/>
      <c r="F336" s="7"/>
      <c r="G336" s="7"/>
      <c r="H336" s="7"/>
      <c r="I336" s="7"/>
      <c r="J336" s="540" t="s">
        <v>789</v>
      </c>
      <c r="K336" s="541"/>
      <c r="L336" s="541"/>
      <c r="M336" s="542"/>
    </row>
    <row r="337" spans="5:13" ht="20" customHeight="1" x14ac:dyDescent="0.2">
      <c r="E337" s="7"/>
      <c r="F337" s="7"/>
      <c r="G337" s="7"/>
      <c r="H337" s="7"/>
      <c r="I337" s="7"/>
      <c r="J337" s="155" t="s">
        <v>85</v>
      </c>
      <c r="K337" s="103" t="str">
        <f>sample_mgmt_az1_mgmt_vm_vlan</f>
        <v>1110</v>
      </c>
      <c r="L337" s="8" t="str">
        <f>mgmt_az1_mgmt_vm_vlan</f>
        <v>Value Missing</v>
      </c>
      <c r="M337" s="290"/>
    </row>
    <row r="338" spans="5:13" ht="20" customHeight="1" x14ac:dyDescent="0.2">
      <c r="E338" s="7"/>
      <c r="F338" s="7"/>
      <c r="G338" s="7"/>
      <c r="H338" s="7"/>
      <c r="I338" s="7"/>
      <c r="J338" s="155" t="s">
        <v>3092</v>
      </c>
      <c r="K338" s="103" t="str">
        <f>sample_mgmt_az1_mgmt_vm_gateway_cidr</f>
        <v>10.11.10.1/24</v>
      </c>
      <c r="L338" s="8" t="str">
        <f>mgmt_az1_mgmt_vm_gateway_cidr</f>
        <v>Value Missing</v>
      </c>
      <c r="M338" s="290"/>
    </row>
    <row r="339" spans="5:13" ht="20" customHeight="1" x14ac:dyDescent="0.2">
      <c r="E339" s="7"/>
      <c r="F339" s="7"/>
      <c r="G339" s="7"/>
      <c r="H339" s="7"/>
      <c r="I339" s="7"/>
      <c r="J339" s="4" t="s">
        <v>155</v>
      </c>
      <c r="K339" s="103">
        <f>sample_mgmt_az1_mgmt_vm_mtu</f>
        <v>1500</v>
      </c>
      <c r="L339" s="8" t="str">
        <f>mgmt_az1_mgmt_vm_mtu</f>
        <v>Value Missing</v>
      </c>
      <c r="M339" s="290"/>
    </row>
    <row r="340" spans="5:13" ht="20" customHeight="1" x14ac:dyDescent="0.2">
      <c r="E340" s="7"/>
      <c r="F340" s="7"/>
      <c r="G340" s="7"/>
      <c r="H340" s="7"/>
      <c r="I340" s="7"/>
      <c r="J340" s="540" t="s">
        <v>3125</v>
      </c>
      <c r="K340" s="541"/>
      <c r="L340" s="541"/>
      <c r="M340" s="542"/>
    </row>
    <row r="341" spans="5:13" ht="20" customHeight="1" x14ac:dyDescent="0.2">
      <c r="E341" s="7"/>
      <c r="F341" s="7"/>
      <c r="G341" s="7"/>
      <c r="H341" s="7"/>
      <c r="I341" s="7"/>
      <c r="J341" s="155" t="s">
        <v>85</v>
      </c>
      <c r="K341" s="103" t="str">
        <f>sample_mgmt_az1_vcf_mgmt_vlan</f>
        <v>1199</v>
      </c>
      <c r="L341" s="8" t="str" cm="1">
        <f t="array" ref="L341">mgmt_az1_vcf_mgmt_vlan</f>
        <v>Value Missing</v>
      </c>
      <c r="M341" s="8"/>
    </row>
    <row r="342" spans="5:13" ht="20" customHeight="1" x14ac:dyDescent="0.2">
      <c r="E342" s="7"/>
      <c r="F342" s="7"/>
      <c r="G342" s="7"/>
      <c r="H342" s="7"/>
      <c r="I342" s="7"/>
      <c r="J342" s="155" t="s">
        <v>180</v>
      </c>
      <c r="K342" s="103" t="str">
        <f>sample_mgmt_az1_vcf_mgmt_gateway_cidr</f>
        <v>10.11.99.1/24</v>
      </c>
      <c r="L342" s="8" t="str" cm="1">
        <f t="array" ref="L342">mgmt_az1_vcf_mgmt_gateway_cidr</f>
        <v>Value Missing</v>
      </c>
      <c r="M342" s="8"/>
    </row>
    <row r="343" spans="5:13" ht="20" customHeight="1" x14ac:dyDescent="0.2">
      <c r="E343" s="7"/>
      <c r="F343" s="7"/>
      <c r="G343" s="7"/>
      <c r="H343" s="7"/>
      <c r="I343" s="7"/>
      <c r="J343" s="4" t="s">
        <v>155</v>
      </c>
      <c r="K343" s="103">
        <f>sample_mgmt_az1_vcf_mgmt_mtu</f>
        <v>1500</v>
      </c>
      <c r="L343" s="8" t="str" cm="1">
        <f t="array" ref="L343">mgmt_az1_vcf_mgmt_mtu</f>
        <v>Value Missing</v>
      </c>
      <c r="M343" s="8"/>
    </row>
    <row r="344" spans="5:13" ht="20" customHeight="1" x14ac:dyDescent="0.2">
      <c r="E344" s="7"/>
      <c r="F344" s="7"/>
      <c r="G344" s="7"/>
      <c r="H344" s="7"/>
      <c r="I344" s="7"/>
      <c r="J344" s="521" t="s">
        <v>240</v>
      </c>
      <c r="K344" s="522"/>
      <c r="L344" s="522"/>
      <c r="M344" s="523"/>
    </row>
    <row r="345" spans="5:13" ht="20" customHeight="1" x14ac:dyDescent="0.2">
      <c r="E345" s="7"/>
      <c r="F345" s="7"/>
      <c r="G345" s="7"/>
      <c r="H345" s="7"/>
      <c r="I345" s="7"/>
      <c r="J345" s="4" t="s">
        <v>85</v>
      </c>
      <c r="K345" s="103" t="str">
        <f>sample_mgmt_az1_vmotion_vlan</f>
        <v>1112</v>
      </c>
      <c r="L345" s="196" t="str">
        <f>mgmt_az1_vmotion_vlan</f>
        <v>Value Missing</v>
      </c>
      <c r="M345" s="113"/>
    </row>
    <row r="346" spans="5:13" ht="20" customHeight="1" x14ac:dyDescent="0.2">
      <c r="E346" s="7"/>
      <c r="F346" s="7"/>
      <c r="G346" s="7"/>
      <c r="H346" s="7"/>
      <c r="I346" s="7"/>
      <c r="J346" s="4" t="s">
        <v>3092</v>
      </c>
      <c r="K346" s="103" t="str">
        <f>sample_mgmt_az1_vmotion_gateway_cidr</f>
        <v>10.11.12.1/24</v>
      </c>
      <c r="L346" s="196" t="str">
        <f>mgmt_az1_vmotion_gateway_cidr</f>
        <v>Value Missing</v>
      </c>
      <c r="M346" s="8"/>
    </row>
    <row r="347" spans="5:13" ht="20" customHeight="1" x14ac:dyDescent="0.2">
      <c r="E347" s="7"/>
      <c r="F347" s="7"/>
      <c r="G347" s="7"/>
      <c r="H347" s="7"/>
      <c r="I347" s="7"/>
      <c r="J347" s="4" t="s">
        <v>155</v>
      </c>
      <c r="K347" s="103">
        <f>sample_mgmt_az1_vmotion_mtu</f>
        <v>9000</v>
      </c>
      <c r="L347" s="196" t="str">
        <f>mgmt_az1_vmotion_mtu</f>
        <v>Value Missing</v>
      </c>
      <c r="M347" s="8"/>
    </row>
    <row r="348" spans="5:13" ht="20" customHeight="1" x14ac:dyDescent="0.2">
      <c r="E348" s="7"/>
      <c r="F348" s="7"/>
      <c r="G348" s="7"/>
      <c r="H348" s="7"/>
      <c r="I348" s="7"/>
      <c r="J348" s="23" t="s">
        <v>244</v>
      </c>
      <c r="K348" s="103" t="str">
        <f>sample_mgmt_az1_vmotion_pool_start_ip</f>
        <v>10.11.12.101</v>
      </c>
      <c r="L348" s="196" t="str">
        <f>mgmt_az1_vmotion_pool_start_ip</f>
        <v>Value Missing</v>
      </c>
      <c r="M348" s="8"/>
    </row>
    <row r="349" spans="5:13" ht="20" customHeight="1" x14ac:dyDescent="0.2">
      <c r="E349" s="7"/>
      <c r="F349" s="7"/>
      <c r="G349" s="7"/>
      <c r="H349" s="7"/>
      <c r="I349" s="7"/>
      <c r="J349" s="23" t="s">
        <v>245</v>
      </c>
      <c r="K349" s="103" t="str">
        <f>sample_mgmt_az1_vmotion_pool_end_ip</f>
        <v>10.11.12.116</v>
      </c>
      <c r="L349" s="196" t="str">
        <f>mgmt_az1_vmotion_pool_end_ip</f>
        <v>Value Missing</v>
      </c>
      <c r="M349" s="8"/>
    </row>
    <row r="350" spans="5:13" ht="20" customHeight="1" x14ac:dyDescent="0.2">
      <c r="E350" s="7"/>
      <c r="F350" s="7"/>
      <c r="G350" s="7"/>
      <c r="H350" s="7"/>
      <c r="I350" s="7"/>
      <c r="J350" s="521" t="s">
        <v>246</v>
      </c>
      <c r="K350" s="522"/>
      <c r="L350" s="522"/>
      <c r="M350" s="523"/>
    </row>
    <row r="351" spans="5:13" ht="20" customHeight="1" x14ac:dyDescent="0.2">
      <c r="E351" s="7"/>
      <c r="F351" s="7"/>
      <c r="G351" s="7"/>
      <c r="H351" s="7"/>
      <c r="I351" s="7"/>
      <c r="J351" s="4" t="s">
        <v>85</v>
      </c>
      <c r="K351" s="103" t="str">
        <f>sample_mgmt_az1_vsan_vlan</f>
        <v>1113</v>
      </c>
      <c r="L351" s="196" t="str">
        <f>mgmt_az1_vsan_vlan</f>
        <v>Value Missing</v>
      </c>
      <c r="M351" s="290"/>
    </row>
    <row r="352" spans="5:13" ht="20" customHeight="1" x14ac:dyDescent="0.2">
      <c r="E352" s="7"/>
      <c r="F352" s="7"/>
      <c r="G352" s="7"/>
      <c r="H352" s="7"/>
      <c r="I352" s="7"/>
      <c r="J352" s="4" t="s">
        <v>3092</v>
      </c>
      <c r="K352" s="103" t="str">
        <f>sample_mgmt_az1_vsan_gateway_cidr</f>
        <v>10.11.13.1/24</v>
      </c>
      <c r="L352" s="196" t="str">
        <f>mgmt_az1_vsan_gateway_cidr</f>
        <v>Value Missing</v>
      </c>
      <c r="M352" s="290" t="str">
        <f>IF(AND(mgmt_stretched_cluster_result="Included",mgmt_dpg_reuse_result="Excluded"),"Stretched L2","")</f>
        <v/>
      </c>
    </row>
    <row r="353" spans="5:13" ht="20" customHeight="1" x14ac:dyDescent="0.2">
      <c r="E353" s="7"/>
      <c r="F353" s="7"/>
      <c r="G353" s="7"/>
      <c r="H353" s="7"/>
      <c r="I353" s="7"/>
      <c r="J353" s="4" t="s">
        <v>155</v>
      </c>
      <c r="K353" s="103">
        <f>sample_mgmt_az1_vsan_mtu</f>
        <v>9000</v>
      </c>
      <c r="L353" s="196" t="str">
        <f>mgmt_az1_vsan_mtu</f>
        <v>Value Missing</v>
      </c>
      <c r="M353" s="290"/>
    </row>
    <row r="354" spans="5:13" ht="20" customHeight="1" x14ac:dyDescent="0.2">
      <c r="E354" s="7"/>
      <c r="F354" s="7"/>
      <c r="G354" s="7"/>
      <c r="H354" s="7"/>
      <c r="I354" s="7"/>
      <c r="J354" s="23" t="s">
        <v>244</v>
      </c>
      <c r="K354" s="103" t="str">
        <f>sample_mgmt_az1_vsan_pool_start_ip</f>
        <v>10.11.13.101</v>
      </c>
      <c r="L354" s="196" t="str">
        <f>mgmt_az1_vsan_pool_start_ip</f>
        <v>Value Missing</v>
      </c>
      <c r="M354" s="290"/>
    </row>
    <row r="355" spans="5:13" ht="20" customHeight="1" x14ac:dyDescent="0.2">
      <c r="E355" s="7"/>
      <c r="F355" s="7"/>
      <c r="G355" s="7"/>
      <c r="H355" s="7"/>
      <c r="I355" s="7"/>
      <c r="J355" s="23" t="s">
        <v>245</v>
      </c>
      <c r="K355" s="103" t="str">
        <f>sample_mgmt_az1_vsan_pool_end_ip</f>
        <v>10.11.13.116</v>
      </c>
      <c r="L355" s="196" t="str">
        <f>mgmt_az1_vsan_pool_end_ip</f>
        <v>Value Missing</v>
      </c>
      <c r="M355" s="290"/>
    </row>
    <row r="356" spans="5:13" ht="20" customHeight="1" x14ac:dyDescent="0.2">
      <c r="E356" s="7"/>
      <c r="F356" s="7"/>
      <c r="G356" s="7"/>
      <c r="H356" s="7"/>
      <c r="I356" s="7"/>
      <c r="J356" s="521" t="s">
        <v>794</v>
      </c>
      <c r="K356" s="522"/>
      <c r="L356" s="522"/>
      <c r="M356" s="523"/>
    </row>
    <row r="357" spans="5:13" ht="20" customHeight="1" x14ac:dyDescent="0.2">
      <c r="E357" s="7"/>
      <c r="F357" s="7"/>
      <c r="G357" s="7"/>
      <c r="H357" s="7"/>
      <c r="I357" s="7"/>
      <c r="J357" s="4" t="s">
        <v>85</v>
      </c>
      <c r="K357" s="103" t="str">
        <f>sample_mgmt_az1_host_overlay_vlan</f>
        <v>1114</v>
      </c>
      <c r="L357" s="196" t="str">
        <f>mgmt_az1_host_overlay_vlan</f>
        <v>Value Missing</v>
      </c>
      <c r="M357" s="8"/>
    </row>
    <row r="358" spans="5:13" ht="20" customHeight="1" x14ac:dyDescent="0.2">
      <c r="E358" s="7"/>
      <c r="F358" s="7"/>
      <c r="G358" s="7"/>
      <c r="H358" s="7"/>
      <c r="I358" s="7"/>
      <c r="J358" s="4" t="s">
        <v>180</v>
      </c>
      <c r="K358" s="103" t="str">
        <f>sample_mgmt_az1_host_overlay_gateway_cidr</f>
        <v>10.11.14.1/24</v>
      </c>
      <c r="L358" s="196" t="str">
        <f>mgmt_az1_host_overlay_gateway_cidr</f>
        <v>Value Missing</v>
      </c>
      <c r="M358" s="8"/>
    </row>
    <row r="359" spans="5:13" ht="20" customHeight="1" x14ac:dyDescent="0.2">
      <c r="E359" s="7"/>
      <c r="F359" s="7"/>
      <c r="G359" s="7"/>
      <c r="H359" s="7"/>
      <c r="I359" s="7"/>
      <c r="J359" s="4" t="s">
        <v>155</v>
      </c>
      <c r="K359" s="103">
        <v>9000</v>
      </c>
      <c r="L359" s="197"/>
      <c r="M359" s="8" t="s">
        <v>3573</v>
      </c>
    </row>
    <row r="360" spans="5:13" ht="20" customHeight="1" x14ac:dyDescent="0.2">
      <c r="E360" s="7"/>
      <c r="F360" s="7"/>
      <c r="G360" s="7"/>
      <c r="H360" s="7"/>
      <c r="I360" s="7"/>
      <c r="J360" s="23" t="s">
        <v>244</v>
      </c>
      <c r="K360" s="103" t="str">
        <f>sample_mgmt_az1_host_overlay_pool_start_ip</f>
        <v>10.11.14.101</v>
      </c>
      <c r="L360" s="196" t="str">
        <f>mgmt_az1_host_overlay_pool_start_ip</f>
        <v>Value Missing</v>
      </c>
      <c r="M360" s="8"/>
    </row>
    <row r="361" spans="5:13" ht="20" customHeight="1" x14ac:dyDescent="0.2">
      <c r="E361" s="7"/>
      <c r="F361" s="7"/>
      <c r="G361" s="7"/>
      <c r="H361" s="7"/>
      <c r="I361" s="7"/>
      <c r="J361" s="23" t="s">
        <v>245</v>
      </c>
      <c r="K361" s="103" t="str">
        <f>sample_mgmt_az1_host_overlay_pool_end_ip</f>
        <v>10.11.14.132</v>
      </c>
      <c r="L361" s="196" t="str">
        <f>mgmt_az1_host_overlay_pool_end_ip</f>
        <v>Value Missing</v>
      </c>
      <c r="M361" s="8"/>
    </row>
    <row r="362" spans="5:13" ht="20" customHeight="1" x14ac:dyDescent="0.2">
      <c r="E362" s="7"/>
      <c r="F362" s="7"/>
      <c r="G362" s="7"/>
      <c r="H362" s="7"/>
      <c r="I362" s="7"/>
      <c r="J362" s="537" t="s">
        <v>2881</v>
      </c>
      <c r="K362" s="538"/>
      <c r="L362" s="538"/>
      <c r="M362" s="539"/>
    </row>
    <row r="363" spans="5:13" ht="20" customHeight="1" x14ac:dyDescent="0.2">
      <c r="E363" s="7"/>
      <c r="F363" s="7"/>
      <c r="G363" s="7"/>
      <c r="H363" s="7"/>
      <c r="I363" s="7"/>
      <c r="J363" s="118" t="s">
        <v>3154</v>
      </c>
      <c r="K363" s="63" t="s">
        <v>796</v>
      </c>
      <c r="L363" s="119" t="s">
        <v>797</v>
      </c>
      <c r="M363" s="63" t="s">
        <v>21</v>
      </c>
    </row>
    <row r="364" spans="5:13" ht="20" customHeight="1" x14ac:dyDescent="0.2">
      <c r="E364" s="7"/>
      <c r="F364" s="7"/>
      <c r="G364" s="7"/>
      <c r="H364" s="7"/>
      <c r="I364" s="7"/>
      <c r="J364" s="8" t="str">
        <f>flt_fc_fqdn</f>
        <v>Value Missing</v>
      </c>
      <c r="K364" s="103" t="str">
        <f>IF(mgmt_vcf_management_network_chosen="Use a separate dedicated network",CONCATENATE(prefix_flt_shared_cidr,".20"),IF(mgmt_dpg_reuse_result="Excluded",CONCATENATE(prefix_mgmt_az1_cidr,"11.20"),CONCATENATE(prefix_mgmt_az1_cidr,"10.20")))</f>
        <v>10.11.99.20</v>
      </c>
      <c r="L364" s="66"/>
      <c r="M364" s="8" t="s">
        <v>3151</v>
      </c>
    </row>
    <row r="365" spans="5:13" ht="20" customHeight="1" x14ac:dyDescent="0.2">
      <c r="E365" s="7"/>
      <c r="F365" s="7"/>
      <c r="G365" s="7"/>
      <c r="H365" s="7"/>
      <c r="I365" s="7"/>
      <c r="J365" s="66" t="str">
        <f>flt_ic_fqdn</f>
        <v>Value Missing</v>
      </c>
      <c r="K365" s="103" t="str">
        <f>IF(mgmt_vcf_management_network_chosen="Use a separate dedicated network",CONCATENATE(prefix_flt_shared_cidr,".11"),IF(mgmt_dpg_reuse_result="Excluded",CONCATENATE(prefix_mgmt_az1_cidr,"11.11"),CONCATENATE(prefix_mgmt_az1_cidr,"10.11")))</f>
        <v>10.11.99.11</v>
      </c>
      <c r="L365" s="66"/>
      <c r="M365" s="8" t="s">
        <v>3152</v>
      </c>
    </row>
    <row r="366" spans="5:13" ht="20" customHeight="1" x14ac:dyDescent="0.2">
      <c r="E366" s="7"/>
      <c r="F366" s="7"/>
      <c r="G366" s="7"/>
      <c r="H366" s="7"/>
      <c r="I366" s="7"/>
      <c r="J366" s="66" t="str">
        <f>flt_vidb_vip_fqdn</f>
        <v>Value Missing</v>
      </c>
      <c r="K366" s="122" t="str">
        <f>IF(mgmt_vcf_management_network_chosen="Use a separate dedicated network",CONCATENATE(prefix_flt_shared_cidr,".23"),IF(mgmt_dpg_reuse_result="Excluded",CONCATENATE(prefix_mgmt_az1_cidr,"11.23"),CONCATENATE(prefix_mgmt_az1_cidr,"10.23")))</f>
        <v>10.11.99.23</v>
      </c>
      <c r="L366" s="66"/>
      <c r="M366" s="8" t="s">
        <v>3153</v>
      </c>
    </row>
    <row r="367" spans="5:13" ht="20" customHeight="1" x14ac:dyDescent="0.2">
      <c r="E367" s="7"/>
      <c r="F367" s="7"/>
      <c r="G367" s="7"/>
      <c r="H367" s="7"/>
      <c r="I367" s="7"/>
      <c r="J367" s="66" t="str">
        <f>flt_sr_fqdn</f>
        <v>Value Missing</v>
      </c>
      <c r="K367" s="103" t="str">
        <f>IF(mgmt_vcf_management_network_chosen="Use a separate dedicated network",CONCATENATE(prefix_flt_shared_cidr,".10"),IF(mgmt_dpg_reuse_result="Excluded",CONCATENATE(prefix_mgmt_az1_cidr,"11.10"),CONCATENATE(prefix_mgmt_az1_cidr,"10.10")))</f>
        <v>10.11.99.10</v>
      </c>
      <c r="L367" s="66"/>
      <c r="M367" s="8" t="s">
        <v>3137</v>
      </c>
    </row>
    <row r="368" spans="5:13" ht="20" customHeight="1" x14ac:dyDescent="0.2">
      <c r="E368" s="7"/>
      <c r="F368" s="7"/>
      <c r="G368" s="7"/>
      <c r="H368" s="7"/>
      <c r="I368" s="7"/>
      <c r="J368" s="66" t="str">
        <f>flt_lc_fqdn</f>
        <v>Value Missing</v>
      </c>
      <c r="K368" s="103" t="str">
        <f>IF(mgmt_vcf_management_network_chosen="Use a separate dedicated network",CONCATENATE(prefix_flt_shared_cidr,".22"),IF(mgmt_dpg_reuse_result="Excluded",CONCATENATE(prefix_mgmt_az1_cidr,"11.22"),CONCATENATE(prefix_mgmt_az1_cidr,"10.22")))</f>
        <v>10.11.99.22</v>
      </c>
      <c r="L368" s="66"/>
      <c r="M368" s="120" t="s">
        <v>3391</v>
      </c>
    </row>
    <row r="369" spans="5:13" ht="20" customHeight="1" x14ac:dyDescent="0.2">
      <c r="E369" s="7"/>
      <c r="F369" s="7"/>
      <c r="G369" s="7"/>
      <c r="H369" s="7"/>
      <c r="I369" s="7"/>
      <c r="J369" s="66" t="s">
        <v>2129</v>
      </c>
      <c r="K369" s="103" t="str">
        <f>IF(AND(mgmt_dpg_reuse_chosen="Use ESX management network",mgmt_vcf_management_network_chosen="Use VM management network"),CONCATENATE(prefix_mgmt_az1_cidr,"11.31"),
IF(mgmt_vcf_management_network_chosen="Use VM management network",CONCATENATE(prefix_mgmt_az1_cidr,"10.31"),
CONCATENATE(prefix_flt_shared_cidr,".31")))</f>
        <v>10.11.99.31</v>
      </c>
      <c r="L369" s="8" t="str">
        <f>flt_vcfms_node_pool_start_ip</f>
        <v>Value Missing</v>
      </c>
      <c r="M369" s="8" t="s">
        <v>3393</v>
      </c>
    </row>
    <row r="370" spans="5:13" ht="20" customHeight="1" x14ac:dyDescent="0.2">
      <c r="E370" s="7"/>
      <c r="F370" s="7"/>
      <c r="G370" s="7"/>
      <c r="H370" s="7"/>
      <c r="I370" s="7"/>
      <c r="J370" s="66" t="s">
        <v>2129</v>
      </c>
      <c r="K370" s="103" t="str">
        <f>IF(AND(mgmt_dpg_reuse_chosen="Use ESX management network",mgmt_vcf_management_network_chosen="Use VM management network"),CONCATENATE(prefix_mgmt_az1_cidr,"11.45"),
IF(mgmt_vcf_management_network_chosen="Use VM management network",CONCATENATE(prefix_mgmt_az1_cidr,"10.45"),
CONCATENATE(prefix_flt_shared_cidr,".45")))</f>
        <v>10.11.99.45</v>
      </c>
      <c r="L370" s="8" t="str">
        <f>flt_vcfms_node_pool_end_ip</f>
        <v>Value Missing</v>
      </c>
      <c r="M370" s="8" t="s">
        <v>3394</v>
      </c>
    </row>
    <row r="371" spans="5:13" ht="20" customHeight="1" x14ac:dyDescent="0.2">
      <c r="E371" s="7"/>
      <c r="F371" s="7"/>
      <c r="G371" s="7"/>
      <c r="H371" s="7"/>
      <c r="I371" s="7"/>
      <c r="J371" s="63" t="s">
        <v>2882</v>
      </c>
      <c r="K371" s="63" t="s">
        <v>796</v>
      </c>
      <c r="L371" s="119" t="s">
        <v>797</v>
      </c>
      <c r="M371" s="63" t="s">
        <v>21</v>
      </c>
    </row>
    <row r="372" spans="5:13" ht="20" customHeight="1" x14ac:dyDescent="0.2">
      <c r="E372" s="7"/>
      <c r="F372" s="7"/>
      <c r="G372" s="7"/>
      <c r="H372" s="7"/>
      <c r="I372" s="7"/>
      <c r="J372" s="66" t="str">
        <f>xreg_vrops_nodea_fqdn</f>
        <v>Value Missing</v>
      </c>
      <c r="K372" s="103" t="str">
        <f>IF(mgmt_vcf_management_network_chosen="Use a separate dedicated network",CONCATENATE(prefix_flt_shared_cidr,".52"),IF(mgmt_dpg_reuse_result="Excluded",CONCATENATE(prefix_mgmt_az1_cidr,"11.52"),CONCATENATE(prefix_mgmt_az1_cidr,"10.52")))</f>
        <v>10.11.99.52</v>
      </c>
      <c r="L372" s="66"/>
      <c r="M372" s="120" t="str">
        <f>IF(mgmt_domain_ops_automation_later_chosen="Selected","Inputs are masked out as you have opted to deploy VCF Ops and Automation post MGMT Domain deployment","Primary node of VCF Operations")</f>
        <v>Primary node of VCF Operations</v>
      </c>
    </row>
    <row r="373" spans="5:13" ht="20" customHeight="1" x14ac:dyDescent="0.2">
      <c r="E373" s="7"/>
      <c r="F373" s="7"/>
      <c r="G373" s="7"/>
      <c r="H373" s="7"/>
      <c r="I373" s="7"/>
      <c r="J373" s="66" t="str">
        <f>xreg_vrops_nodeb_fqdn</f>
        <v>Value Missing</v>
      </c>
      <c r="K373" s="103" t="str">
        <f>IF(mgmt_vcf_management_network_chosen="Use a separate dedicated network",CONCATENATE(prefix_flt_shared_cidr,".53"),IF(mgmt_dpg_reuse_result="Excluded",CONCATENATE(prefix_mgmt_az1_cidr,"11.53"),CONCATENATE(prefix_mgmt_az1_cidr,"10.53")))</f>
        <v>10.11.99.53</v>
      </c>
      <c r="L373" s="66"/>
      <c r="M373" s="120" t="str">
        <f>IF(mgmt_domain_ops_automation_later_chosen="Selected","Inputs are masked out as you have opted to deploy VCF Ops and Automation post MGMT Domain deployment","Primary replica node of VCF Operations")</f>
        <v>Primary replica node of VCF Operations</v>
      </c>
    </row>
    <row r="374" spans="5:13" ht="20" customHeight="1" x14ac:dyDescent="0.2">
      <c r="E374" s="7"/>
      <c r="F374" s="7"/>
      <c r="G374" s="7"/>
      <c r="H374" s="7"/>
      <c r="I374" s="7"/>
      <c r="J374" s="66" t="str">
        <f>xreg_vrops_nodec_fqdn</f>
        <v>Value Missing</v>
      </c>
      <c r="K374" s="103" t="str">
        <f>IF(mgmt_vcf_management_network_chosen="Use a separate dedicated network",CONCATENATE(prefix_flt_shared_cidr,".54"),IF(mgmt_dpg_reuse_result="Excluded",CONCATENATE(prefix_mgmt_az1_cidr,"11.54"),CONCATENATE(prefix_mgmt_az1_cidr,"10.54")))</f>
        <v>10.11.99.54</v>
      </c>
      <c r="L374" s="66"/>
      <c r="M374" s="120" t="str">
        <f>IF(mgmt_domain_ops_automation_later_chosen="Selected","Inputs are masked out as you have opted to deploy VCF Ops and Automation post MGMT Domain deployment","Data node 1 of VCF Operations")</f>
        <v>Data node 1 of VCF Operations</v>
      </c>
    </row>
    <row r="375" spans="5:13" ht="20" customHeight="1" x14ac:dyDescent="0.2">
      <c r="E375" s="7"/>
      <c r="F375" s="7"/>
      <c r="G375" s="7"/>
      <c r="H375" s="7"/>
      <c r="I375" s="7"/>
      <c r="J375" s="66" t="str">
        <f>xreg_vrops_collector_fqdn</f>
        <v>Value Missing</v>
      </c>
      <c r="K375" s="103" t="str">
        <f>IF(mgmt_dpg_reuse_result="Excluded",CONCATENATE(prefix_mgmt_az1_cidr,"11.12"),CONCATENATE(prefix_mgmt_az1_cidr,"10.12"))</f>
        <v>10.11.10.12</v>
      </c>
      <c r="L375" s="66"/>
      <c r="M375" s="120" t="str">
        <f>IF(mgmt_domain_ops_automation_later_chosen="Selected","Inputs are masked out as you have opted to deploy VCF Ops and Automation post MGMT Domain deployment","Cloud Proxy IP")</f>
        <v>Cloud Proxy IP</v>
      </c>
    </row>
    <row r="376" spans="5:13" ht="20" customHeight="1" x14ac:dyDescent="0.2">
      <c r="E376" s="7"/>
      <c r="F376" s="7"/>
      <c r="G376" s="7"/>
      <c r="H376" s="7"/>
      <c r="I376" s="7"/>
      <c r="J376" s="63" t="s">
        <v>3160</v>
      </c>
      <c r="K376" s="63" t="s">
        <v>796</v>
      </c>
      <c r="L376" s="119" t="s">
        <v>797</v>
      </c>
      <c r="M376" s="63" t="s">
        <v>21</v>
      </c>
    </row>
    <row r="377" spans="5:13" ht="20" customHeight="1" x14ac:dyDescent="0.2">
      <c r="E377" s="7"/>
      <c r="F377" s="7"/>
      <c r="G377" s="7"/>
      <c r="H377" s="7"/>
      <c r="I377" s="7"/>
      <c r="J377" s="66" t="str">
        <f>xreg_vrops_virtual_fqdn</f>
        <v>Value Missing</v>
      </c>
      <c r="K377" s="103" t="str">
        <f>IF(mgmt_vcf_management_network_chosen="Use a separate dedicated network",CONCATENATE(prefix_flt_shared_cidr,".21"),
IF(mgmt_dpg_reuse_result="Excluded",CONCATENATE(prefix_mgmt_az1_cidr,"11.21"),CONCATENATE(prefix_mgmt_az1_cidr,"10.21")))</f>
        <v>10.11.99.21</v>
      </c>
      <c r="L377" s="66"/>
      <c r="M377" s="8" t="str">
        <f>IF(mgmt_domain_ops_automation_later_chosen="Selected","Inputs are masked out as you have opted to deploy VCF Ops and Automation post MGMT Domain deployment","VCF Operations VIP - Optional: For a high availability deployment, you can connect an external load balancer")</f>
        <v>VCF Operations VIP - Optional: For a high availability deployment, you can connect an external load balancer</v>
      </c>
    </row>
    <row r="378" spans="5:13" ht="20" customHeight="1" x14ac:dyDescent="0.2">
      <c r="E378" s="7"/>
      <c r="F378" s="7"/>
      <c r="G378" s="7"/>
      <c r="H378" s="7"/>
      <c r="I378" s="7"/>
      <c r="J378" s="63" t="s">
        <v>2814</v>
      </c>
      <c r="K378" s="63" t="s">
        <v>796</v>
      </c>
      <c r="L378" s="119" t="s">
        <v>797</v>
      </c>
      <c r="M378" s="63" t="s">
        <v>21</v>
      </c>
    </row>
    <row r="379" spans="5:13" ht="20" customHeight="1" x14ac:dyDescent="0.2">
      <c r="E379" s="7"/>
      <c r="F379" s="7"/>
      <c r="G379" s="7"/>
      <c r="H379" s="7"/>
      <c r="I379" s="7"/>
      <c r="J379" s="66" t="str">
        <f>xreg_vra_virtual_fqdn</f>
        <v>Value Missing</v>
      </c>
      <c r="K379" s="103" t="str">
        <f>IF(mgmt_vcf_management_network_chosen="Use a separate dedicated network",CONCATENATE(prefix_flt_shared_cidr,".25"),
IF(mgmt_dpg_reuse_result="Excluded",CONCATENATE(prefix_mgmt_az1_cidr,"11.25"),CONCATENATE(prefix_mgmt_az1_cidr,"10.25")))</f>
        <v>10.11.99.25</v>
      </c>
      <c r="L379" s="66"/>
      <c r="M379" s="120" t="str">
        <f>IF(mgmt_domain_ops_automation_later_chosen="Selected","Inputs are masked out as you have opted to deploy VCF Ops and Automation post MGMT Domain deployment","")</f>
        <v/>
      </c>
    </row>
    <row r="380" spans="5:13" ht="20" customHeight="1" x14ac:dyDescent="0.2">
      <c r="E380" s="7"/>
      <c r="F380" s="7"/>
      <c r="G380" s="7"/>
      <c r="H380" s="7"/>
      <c r="I380" s="7"/>
      <c r="J380" s="66" t="str">
        <f>flt_auto_sr_fqdn</f>
        <v>Value Missing</v>
      </c>
      <c r="K380" s="103" t="str">
        <f>IF(mgmt_vcf_management_network_chosen="Use a separate dedicated network",CONCATENATE(prefix_flt_shared_cidr,".24"),
IF(mgmt_dpg_reuse_result="Excluded",CONCATENATE(prefix_mgmt_az1_cidr,"11.24"),CONCATENATE(prefix_mgmt_az1_cidr,"10.24")))</f>
        <v>10.11.99.24</v>
      </c>
      <c r="L380" s="66"/>
      <c r="M380" s="120" t="s">
        <v>3392</v>
      </c>
    </row>
    <row r="381" spans="5:13" ht="20" customHeight="1" x14ac:dyDescent="0.2">
      <c r="E381" s="7"/>
      <c r="F381" s="7"/>
      <c r="G381" s="7"/>
      <c r="H381" s="7"/>
      <c r="I381" s="7"/>
      <c r="J381" s="66" t="s">
        <v>2129</v>
      </c>
      <c r="K381" s="103" t="str">
        <f>IF(mgmt_vcf_management_network_chosen="Use a separate dedicated network",CONCATENATE(prefix_flt_shared_cidr,".46"),IF(mgmt_dpg_reuse_result="Excluded",CONCATENATE(prefix_mgmt_az1_cidr,"11.46"),CONCATENATE(prefix_mgmt_az1_cidr,"10.46")))</f>
        <v>10.11.99.46</v>
      </c>
      <c r="L381" s="8" t="str">
        <f>flt_auto_node_pool_start_ip</f>
        <v>Value Missing</v>
      </c>
      <c r="M381" s="8" t="s">
        <v>3126</v>
      </c>
    </row>
    <row r="382" spans="5:13" ht="20" customHeight="1" x14ac:dyDescent="0.2">
      <c r="E382" s="7"/>
      <c r="F382" s="7"/>
      <c r="G382" s="7"/>
      <c r="H382" s="7"/>
      <c r="I382" s="7"/>
      <c r="J382" s="66" t="s">
        <v>2129</v>
      </c>
      <c r="K382" s="103" t="str">
        <f>IF(mgmt_vcf_management_network_chosen="Use a separate dedicated network",CONCATENATE(prefix_flt_shared_cidr,".51"),IF(mgmt_dpg_reuse_result="Excluded",CONCATENATE(prefix_mgmt_az1_cidr,"11.51"),CONCATENATE(prefix_mgmt_az1_cidr,"10.51")))</f>
        <v>10.11.99.51</v>
      </c>
      <c r="L382" s="8" t="str">
        <f>flt_auto_node_pool_end_ip</f>
        <v>Value Missing</v>
      </c>
      <c r="M382" s="8" t="s">
        <v>3127</v>
      </c>
    </row>
    <row r="383" spans="5:13" ht="20" customHeight="1" x14ac:dyDescent="0.2">
      <c r="E383" s="7"/>
      <c r="F383" s="7"/>
      <c r="G383" s="7"/>
      <c r="H383" s="7"/>
      <c r="I383" s="7"/>
      <c r="J383" s="63" t="s">
        <v>3257</v>
      </c>
      <c r="K383" s="63" t="s">
        <v>796</v>
      </c>
      <c r="L383" s="119" t="s">
        <v>797</v>
      </c>
      <c r="M383" s="63" t="s">
        <v>21</v>
      </c>
    </row>
    <row r="384" spans="5:13" ht="20" customHeight="1" x14ac:dyDescent="0.2">
      <c r="E384" s="7"/>
      <c r="F384" s="7"/>
      <c r="G384" s="7"/>
      <c r="H384" s="7"/>
      <c r="I384" s="7"/>
      <c r="J384" s="123"/>
      <c r="K384" s="109" t="str">
        <f>IF(mgmt_dpg_reuse_result="Excluded",CONCATENATE(prefix_mgmt_az1_cidr,"11.9"),CONCATENATE(prefix_mgmt_az1_cidr,"10.9"))</f>
        <v>10.11.10.9</v>
      </c>
      <c r="L384" s="66"/>
      <c r="M384" s="121" t="s">
        <v>3155</v>
      </c>
    </row>
    <row r="385" spans="1:13" ht="20" customHeight="1" x14ac:dyDescent="0.2">
      <c r="E385" s="7"/>
      <c r="F385" s="7"/>
      <c r="G385" s="7"/>
      <c r="H385" s="7"/>
      <c r="I385" s="7"/>
      <c r="J385" s="26" t="str">
        <f>sddc_mgr_fqdn</f>
        <v>Value Missing</v>
      </c>
      <c r="K385" s="109" t="str">
        <f>IF(mgmt_dpg_reuse_result="Excluded",CONCATENATE(prefix_mgmt_az1_cidr,"11.13"),CONCATENATE(prefix_mgmt_az1_cidr,"10.13"))</f>
        <v>10.11.10.13</v>
      </c>
      <c r="L385" s="66"/>
      <c r="M385" s="121" t="str">
        <f>IF(mgmt_vcf_installer_location_chosen="Deployed outside management domain","SDDC Manager",CONCATENATE("SDDC Manager  / Private Cloud Installer. ","Ensure this FQDN is used when setting the VCF Installer FQDN"))</f>
        <v>SDDC Manager  / Private Cloud Installer. Ensure this FQDN is used when setting the VCF Installer FQDN</v>
      </c>
    </row>
    <row r="386" spans="1:13" ht="20" customHeight="1" x14ac:dyDescent="0.2">
      <c r="E386" s="7"/>
      <c r="F386" s="7"/>
      <c r="G386" s="7"/>
      <c r="H386" s="7"/>
      <c r="I386" s="7"/>
      <c r="J386" s="26" t="str">
        <f>mgmt_vc_fqdn</f>
        <v>Value Missing</v>
      </c>
      <c r="K386" s="109" t="str">
        <f>IF(mgmt_dpg_reuse_result="Excluded",CONCATENATE(prefix_mgmt_az1_cidr,"11.70"),CONCATENATE(prefix_mgmt_az1_cidr,"10.70"))</f>
        <v>10.11.10.70</v>
      </c>
      <c r="L386" s="66"/>
      <c r="M386" s="121" t="s">
        <v>693</v>
      </c>
    </row>
    <row r="387" spans="1:13" ht="20" customHeight="1" x14ac:dyDescent="0.2">
      <c r="E387" s="7"/>
      <c r="F387" s="7"/>
      <c r="G387" s="7"/>
      <c r="H387" s="7"/>
      <c r="I387" s="7"/>
      <c r="J387" s="63" t="s">
        <v>1766</v>
      </c>
      <c r="K387" s="63" t="s">
        <v>796</v>
      </c>
      <c r="L387" s="119" t="s">
        <v>797</v>
      </c>
      <c r="M387" s="63" t="s">
        <v>21</v>
      </c>
    </row>
    <row r="388" spans="1:13" ht="20" customHeight="1" x14ac:dyDescent="0.2">
      <c r="E388" s="7"/>
      <c r="F388" s="7"/>
      <c r="G388" s="7"/>
      <c r="H388" s="7"/>
      <c r="I388" s="7"/>
      <c r="J388" s="26" t="str">
        <f>mgmt_nsxt_vip_fqdn</f>
        <v>Value Missing</v>
      </c>
      <c r="K388" s="109" t="str">
        <f>IF(mgmt_dpg_reuse_result="Excluded",CONCATENATE(prefix_mgmt_az1_cidr,"11.71"),CONCATENATE(prefix_mgmt_az1_cidr,"10.71"))</f>
        <v>10.11.10.71</v>
      </c>
      <c r="L388" s="66"/>
      <c r="M388" s="121" t="str">
        <f>IF(mgmt_domain_existing_nsx_manager_chosen="Included","Existing NSX Manager / Local Manager VIP","NSX Manager / Local Manager VIP")</f>
        <v>NSX Manager / Local Manager VIP</v>
      </c>
    </row>
    <row r="389" spans="1:13" ht="20" customHeight="1" x14ac:dyDescent="0.2">
      <c r="E389" s="7"/>
      <c r="F389" s="7"/>
      <c r="G389" s="7"/>
      <c r="H389" s="7"/>
      <c r="I389" s="7"/>
      <c r="J389" s="26" t="str">
        <f>mgmt_nsxt_mgra_fqdn</f>
        <v>Value Missing</v>
      </c>
      <c r="K389" s="109" t="str">
        <f>IF(mgmt_dpg_reuse_result="Excluded",CONCATENATE(prefix_mgmt_az1_cidr,"11.72"),CONCATENATE(prefix_mgmt_az1_cidr,"10.72"))</f>
        <v>10.11.10.72</v>
      </c>
      <c r="L389" s="66"/>
      <c r="M389" s="121" t="str">
        <f>IF(mgmt_domain_existing_nsx_manager_chosen="Included","Existing NSX Manager / Local Manager Node A","NSX Manager / Local Manager Node A")</f>
        <v>NSX Manager / Local Manager Node A</v>
      </c>
    </row>
    <row r="390" spans="1:13" ht="20" customHeight="1" x14ac:dyDescent="0.2">
      <c r="E390" s="7"/>
      <c r="F390" s="7"/>
      <c r="G390" s="7"/>
      <c r="H390" s="7"/>
      <c r="I390" s="7"/>
      <c r="J390" s="26" t="str">
        <f>mgmt_nsxt_mgrb_fqdn</f>
        <v>Value Missing</v>
      </c>
      <c r="K390" s="109" t="str">
        <f>IF(mgmt_dpg_reuse_result="Excluded",CONCATENATE(prefix_mgmt_az1_cidr,"11.73"),CONCATENATE(prefix_mgmt_az1_cidr,"10.73"))</f>
        <v>10.11.10.73</v>
      </c>
      <c r="L390" s="66"/>
      <c r="M390" s="121" t="str">
        <f>IF(mgmt_domain_existing_nsx_manager_chosen="Included","Existing NSX Manager / Local Manager Node B","NSX Manager / Local Manager Node B")</f>
        <v>NSX Manager / Local Manager Node B</v>
      </c>
    </row>
    <row r="391" spans="1:13" ht="20" customHeight="1" x14ac:dyDescent="0.2">
      <c r="E391" s="7"/>
      <c r="F391" s="7"/>
      <c r="G391" s="7"/>
      <c r="H391" s="7"/>
      <c r="I391" s="7"/>
      <c r="J391" s="26" t="str">
        <f>mgmt_nsxt_mgrc_fqdn</f>
        <v>Value Missing</v>
      </c>
      <c r="K391" s="109" t="str">
        <f>IF(mgmt_dpg_reuse_result="Excluded",CONCATENATE(prefix_mgmt_az1_cidr,"11.74"),CONCATENATE(prefix_mgmt_az1_cidr,"10.74"))</f>
        <v>10.11.10.74</v>
      </c>
      <c r="L391" s="66"/>
      <c r="M391" s="121" t="str">
        <f>IF(mgmt_domain_existing_nsx_manager_chosen="Included","Existing NSX Manager / Local Manager Node C","NSX Manager / Local Manager Node C")</f>
        <v>NSX Manager / Local Manager Node C</v>
      </c>
    </row>
    <row r="392" spans="1:13" ht="20" customHeight="1" x14ac:dyDescent="0.2">
      <c r="E392" s="7"/>
      <c r="F392" s="7"/>
      <c r="G392" s="7"/>
      <c r="H392" s="7"/>
      <c r="I392" s="7"/>
      <c r="J392" s="124" t="s">
        <v>203</v>
      </c>
      <c r="K392" s="63" t="s">
        <v>796</v>
      </c>
      <c r="L392" s="119" t="s">
        <v>797</v>
      </c>
      <c r="M392" s="63" t="s">
        <v>21</v>
      </c>
    </row>
    <row r="393" spans="1:13" ht="20" customHeight="1" x14ac:dyDescent="0.2">
      <c r="E393" s="7"/>
      <c r="F393" s="7"/>
      <c r="G393" s="7"/>
      <c r="H393" s="7"/>
      <c r="I393" s="7"/>
      <c r="J393" s="26" t="str">
        <f t="array" ref="J393:J408">mgmt_az1_host_fqdns</f>
        <v>Value Missing</v>
      </c>
      <c r="K393" s="109" t="str">
        <f>CONCATENATE(prefix_mgmt_az1_cidr,"11.101")</f>
        <v>10.11.11.101</v>
      </c>
      <c r="L393" s="66"/>
      <c r="M393" s="121" t="s">
        <v>205</v>
      </c>
    </row>
    <row r="394" spans="1:13" ht="20" customHeight="1" x14ac:dyDescent="0.2">
      <c r="E394" s="7"/>
      <c r="F394" s="7"/>
      <c r="G394" s="7"/>
      <c r="H394" s="7"/>
      <c r="I394" s="7"/>
      <c r="J394" s="26" t="str">
        <v>Value Missing</v>
      </c>
      <c r="K394" s="109" t="str">
        <f>CONCATENATE(prefix_mgmt_az1_cidr,"11.102")</f>
        <v>10.11.11.102</v>
      </c>
      <c r="L394" s="66"/>
      <c r="M394" s="121" t="s">
        <v>207</v>
      </c>
    </row>
    <row r="395" spans="1:13" ht="20" customHeight="1" x14ac:dyDescent="0.2">
      <c r="J395" s="26" t="str">
        <v>Value Missing</v>
      </c>
      <c r="K395" s="109" t="str">
        <f>CONCATENATE(prefix_mgmt_az1_cidr,"11.103")</f>
        <v>10.11.11.103</v>
      </c>
      <c r="L395" s="66"/>
      <c r="M395" s="121" t="s">
        <v>209</v>
      </c>
    </row>
    <row r="396" spans="1:13" ht="20" customHeight="1" x14ac:dyDescent="0.2">
      <c r="J396" s="26" t="str">
        <v>Value Missing</v>
      </c>
      <c r="K396" s="109" t="str">
        <f>CONCATENATE(prefix_mgmt_az1_cidr,"11.104")</f>
        <v>10.11.11.104</v>
      </c>
      <c r="L396" s="66"/>
      <c r="M396" s="121" t="s">
        <v>211</v>
      </c>
    </row>
    <row r="397" spans="1:13" ht="20" customHeight="1" x14ac:dyDescent="0.2">
      <c r="J397" s="26" t="str">
        <v>Value Missing</v>
      </c>
      <c r="K397" s="109" t="str">
        <f>CONCATENATE(prefix_mgmt_az1_cidr,"11.105")</f>
        <v>10.11.11.105</v>
      </c>
      <c r="L397" s="66"/>
      <c r="M397" s="121" t="s">
        <v>213</v>
      </c>
    </row>
    <row r="398" spans="1:13" ht="20" customHeight="1" x14ac:dyDescent="0.2">
      <c r="J398" s="26" t="str">
        <v>Value Missing</v>
      </c>
      <c r="K398" s="109" t="str">
        <f>CONCATENATE(prefix_mgmt_az1_cidr,"11.106")</f>
        <v>10.11.11.106</v>
      </c>
      <c r="L398" s="66"/>
      <c r="M398" s="121" t="s">
        <v>215</v>
      </c>
    </row>
    <row r="399" spans="1:13" ht="20" customHeight="1" x14ac:dyDescent="0.2">
      <c r="E399" s="7"/>
      <c r="F399" s="7"/>
      <c r="G399" s="7"/>
      <c r="H399" s="7"/>
      <c r="I399" s="7"/>
      <c r="J399" s="26" t="str">
        <v>Value Missing</v>
      </c>
      <c r="K399" s="109" t="str">
        <f>CONCATENATE(prefix_mgmt_az1_cidr,"11.107")</f>
        <v>10.11.11.107</v>
      </c>
      <c r="L399" s="66"/>
      <c r="M399" s="121" t="s">
        <v>217</v>
      </c>
    </row>
    <row r="400" spans="1:13" ht="20" customHeight="1" x14ac:dyDescent="0.2">
      <c r="A400" s="9"/>
      <c r="B400" s="9"/>
      <c r="C400" s="9"/>
      <c r="D400" s="9"/>
      <c r="E400" s="7"/>
      <c r="F400" s="7"/>
      <c r="G400" s="7"/>
      <c r="H400" s="7"/>
      <c r="I400" s="7"/>
      <c r="J400" s="26" t="str">
        <v>Value Missing</v>
      </c>
      <c r="K400" s="109" t="str">
        <f>CONCATENATE(prefix_mgmt_az1_cidr,"11.108")</f>
        <v>10.11.11.108</v>
      </c>
      <c r="L400" s="66"/>
      <c r="M400" s="121" t="s">
        <v>219</v>
      </c>
    </row>
    <row r="401" spans="5:13" ht="20" customHeight="1" x14ac:dyDescent="0.2">
      <c r="E401" s="7"/>
      <c r="F401" s="7"/>
      <c r="G401" s="7"/>
      <c r="H401" s="7"/>
      <c r="I401" s="7"/>
      <c r="J401" s="26" t="str">
        <v>Value Missing</v>
      </c>
      <c r="K401" s="109" t="str">
        <f>CONCATENATE(prefix_mgmt_az1_cidr,"11.109")</f>
        <v>10.11.11.109</v>
      </c>
      <c r="L401" s="66"/>
      <c r="M401" s="121" t="s">
        <v>221</v>
      </c>
    </row>
    <row r="402" spans="5:13" ht="20" customHeight="1" x14ac:dyDescent="0.2">
      <c r="E402" s="7"/>
      <c r="F402" s="7"/>
      <c r="G402" s="7"/>
      <c r="H402" s="7"/>
      <c r="I402" s="7"/>
      <c r="J402" s="26" t="str">
        <v>Value Missing</v>
      </c>
      <c r="K402" s="109" t="str">
        <f>CONCATENATE(prefix_mgmt_az1_cidr,"11.110")</f>
        <v>10.11.11.110</v>
      </c>
      <c r="L402" s="66"/>
      <c r="M402" s="121" t="s">
        <v>223</v>
      </c>
    </row>
    <row r="403" spans="5:13" ht="20" customHeight="1" x14ac:dyDescent="0.2">
      <c r="E403" s="7"/>
      <c r="F403" s="7"/>
      <c r="G403" s="7"/>
      <c r="H403" s="7"/>
      <c r="I403" s="7"/>
      <c r="J403" s="26" t="str">
        <v>Value Missing</v>
      </c>
      <c r="K403" s="109" t="str">
        <f>CONCATENATE(prefix_mgmt_az1_cidr,"11.111")</f>
        <v>10.11.11.111</v>
      </c>
      <c r="L403" s="66"/>
      <c r="M403" s="121" t="s">
        <v>225</v>
      </c>
    </row>
    <row r="404" spans="5:13" ht="20" customHeight="1" x14ac:dyDescent="0.2">
      <c r="E404" s="7"/>
      <c r="F404" s="7"/>
      <c r="G404" s="7"/>
      <c r="H404" s="7"/>
      <c r="I404" s="7"/>
      <c r="J404" s="26" t="str">
        <v>Value Missing</v>
      </c>
      <c r="K404" s="109" t="str">
        <f>CONCATENATE(prefix_mgmt_az1_cidr,"11.112")</f>
        <v>10.11.11.112</v>
      </c>
      <c r="L404" s="66"/>
      <c r="M404" s="121" t="s">
        <v>227</v>
      </c>
    </row>
    <row r="405" spans="5:13" ht="20" customHeight="1" x14ac:dyDescent="0.2">
      <c r="E405" s="7"/>
      <c r="F405" s="7"/>
      <c r="G405" s="7"/>
      <c r="H405" s="7"/>
      <c r="I405" s="7"/>
      <c r="J405" s="26" t="str">
        <v>Value Missing</v>
      </c>
      <c r="K405" s="109" t="str">
        <f>CONCATENATE(prefix_mgmt_az1_cidr,"11.113")</f>
        <v>10.11.11.113</v>
      </c>
      <c r="L405" s="66"/>
      <c r="M405" s="121" t="s">
        <v>229</v>
      </c>
    </row>
    <row r="406" spans="5:13" ht="20" customHeight="1" x14ac:dyDescent="0.2">
      <c r="E406" s="7"/>
      <c r="F406" s="7"/>
      <c r="G406" s="7"/>
      <c r="H406" s="7"/>
      <c r="I406" s="7"/>
      <c r="J406" s="26" t="str">
        <v>Value Missing</v>
      </c>
      <c r="K406" s="109" t="str">
        <f>CONCATENATE(prefix_mgmt_az1_cidr,"11.114")</f>
        <v>10.11.11.114</v>
      </c>
      <c r="L406" s="66"/>
      <c r="M406" s="121" t="s">
        <v>231</v>
      </c>
    </row>
    <row r="407" spans="5:13" ht="20" customHeight="1" x14ac:dyDescent="0.2">
      <c r="E407" s="7"/>
      <c r="F407" s="7"/>
      <c r="G407" s="7"/>
      <c r="H407" s="7"/>
      <c r="I407" s="7"/>
      <c r="J407" s="26" t="str">
        <v>Value Missing</v>
      </c>
      <c r="K407" s="109" t="str">
        <f>CONCATENATE(prefix_mgmt_az1_cidr,"11.115")</f>
        <v>10.11.11.115</v>
      </c>
      <c r="L407" s="66"/>
      <c r="M407" s="121" t="s">
        <v>233</v>
      </c>
    </row>
    <row r="408" spans="5:13" ht="20" customHeight="1" x14ac:dyDescent="0.2">
      <c r="E408" s="7"/>
      <c r="F408" s="7"/>
      <c r="G408" s="7"/>
      <c r="H408" s="7"/>
      <c r="I408" s="7"/>
      <c r="J408" s="26" t="str">
        <v>Value Missing</v>
      </c>
      <c r="K408" s="109" t="str">
        <f>CONCATENATE(prefix_mgmt_az1_cidr,"11.116")</f>
        <v>10.11.11.116</v>
      </c>
      <c r="L408" s="66"/>
      <c r="M408" s="121" t="s">
        <v>235</v>
      </c>
    </row>
    <row r="409" spans="5:13" ht="20" customHeight="1" x14ac:dyDescent="0.2">
      <c r="E409" s="7"/>
      <c r="F409" s="7"/>
      <c r="G409" s="7"/>
      <c r="H409" s="7"/>
      <c r="I409" s="7"/>
    </row>
    <row r="410" spans="5:13" ht="20" customHeight="1" x14ac:dyDescent="0.2">
      <c r="E410" s="7"/>
      <c r="F410" s="7"/>
      <c r="G410" s="7"/>
      <c r="H410" s="7"/>
      <c r="I410" s="7"/>
    </row>
    <row r="411" spans="5:13" ht="20" customHeight="1" x14ac:dyDescent="0.2">
      <c r="E411" s="7"/>
      <c r="F411" s="7"/>
      <c r="G411" s="7"/>
      <c r="H411" s="7"/>
      <c r="I411" s="7"/>
    </row>
    <row r="412" spans="5:13" ht="20" customHeight="1" x14ac:dyDescent="0.2">
      <c r="E412" s="7"/>
      <c r="F412" s="7"/>
      <c r="G412" s="7"/>
      <c r="H412" s="7"/>
      <c r="I412" s="7"/>
    </row>
    <row r="413" spans="5:13" ht="20" customHeight="1" x14ac:dyDescent="0.2">
      <c r="E413" s="7"/>
      <c r="F413" s="7"/>
      <c r="G413" s="7"/>
      <c r="H413" s="7"/>
      <c r="I413" s="7"/>
    </row>
    <row r="414" spans="5:13" ht="20" customHeight="1" x14ac:dyDescent="0.2">
      <c r="E414" s="7"/>
      <c r="F414" s="7"/>
      <c r="G414" s="7"/>
      <c r="H414" s="7"/>
      <c r="I414" s="7"/>
    </row>
    <row r="415" spans="5:13" ht="20" customHeight="1" x14ac:dyDescent="0.2">
      <c r="E415" s="7"/>
      <c r="F415" s="7"/>
      <c r="G415" s="7"/>
      <c r="H415" s="7"/>
      <c r="I415" s="7"/>
    </row>
    <row r="416" spans="5:13" ht="20" customHeight="1" x14ac:dyDescent="0.2">
      <c r="E416" s="7"/>
      <c r="F416" s="7"/>
      <c r="G416" s="7"/>
      <c r="H416" s="7"/>
      <c r="I416" s="7"/>
    </row>
    <row r="417" spans="5:12" ht="20" customHeight="1" x14ac:dyDescent="0.2">
      <c r="E417" s="7"/>
      <c r="F417" s="7"/>
      <c r="G417" s="7"/>
      <c r="H417" s="7"/>
      <c r="I417" s="7"/>
    </row>
    <row r="418" spans="5:12" ht="20" customHeight="1" x14ac:dyDescent="0.2">
      <c r="E418" s="7"/>
      <c r="F418" s="7"/>
      <c r="G418" s="7"/>
      <c r="H418" s="7"/>
      <c r="I418" s="7"/>
    </row>
    <row r="419" spans="5:12" ht="20" customHeight="1" x14ac:dyDescent="0.2">
      <c r="E419" s="7"/>
      <c r="F419" s="7"/>
      <c r="G419" s="7"/>
      <c r="H419" s="7"/>
      <c r="I419" s="7"/>
    </row>
    <row r="420" spans="5:12" ht="20" customHeight="1" x14ac:dyDescent="0.2">
      <c r="E420" s="7"/>
      <c r="F420" s="7"/>
      <c r="G420" s="7"/>
      <c r="H420" s="7"/>
      <c r="I420" s="7"/>
    </row>
    <row r="421" spans="5:12" ht="20" customHeight="1" x14ac:dyDescent="0.2">
      <c r="E421" s="7"/>
      <c r="F421" s="7"/>
      <c r="G421" s="7"/>
      <c r="H421" s="7"/>
      <c r="I421" s="7"/>
    </row>
    <row r="422" spans="5:12" ht="20" customHeight="1" x14ac:dyDescent="0.2">
      <c r="E422" s="7"/>
      <c r="F422" s="7"/>
      <c r="G422" s="7"/>
      <c r="H422" s="7"/>
      <c r="I422" s="7"/>
    </row>
    <row r="423" spans="5:12" ht="20" customHeight="1" x14ac:dyDescent="0.2">
      <c r="E423" s="7"/>
      <c r="F423" s="7"/>
      <c r="G423" s="7"/>
      <c r="H423" s="7"/>
      <c r="I423" s="7"/>
    </row>
    <row r="424" spans="5:12" ht="20" customHeight="1" x14ac:dyDescent="0.2">
      <c r="E424" s="7"/>
      <c r="F424" s="7"/>
      <c r="G424" s="7"/>
      <c r="H424" s="7"/>
      <c r="I424" s="7"/>
    </row>
    <row r="425" spans="5:12" ht="20" customHeight="1" x14ac:dyDescent="0.2">
      <c r="E425" s="7"/>
      <c r="F425" s="7"/>
      <c r="G425" s="7"/>
      <c r="H425" s="7"/>
      <c r="I425" s="7"/>
    </row>
    <row r="426" spans="5:12" ht="20" customHeight="1" x14ac:dyDescent="0.2">
      <c r="E426" s="7"/>
      <c r="F426" s="7"/>
      <c r="G426" s="7"/>
      <c r="H426" s="7"/>
      <c r="I426" s="7"/>
    </row>
    <row r="427" spans="5:12" ht="20" customHeight="1" x14ac:dyDescent="0.2">
      <c r="E427" s="7"/>
      <c r="F427" s="7"/>
      <c r="G427" s="7"/>
      <c r="H427" s="7"/>
      <c r="I427" s="7"/>
    </row>
    <row r="428" spans="5:12" ht="20" customHeight="1" x14ac:dyDescent="0.2">
      <c r="E428" s="7"/>
      <c r="F428" s="7"/>
      <c r="G428" s="7"/>
      <c r="H428" s="7"/>
      <c r="I428" s="7"/>
    </row>
    <row r="429" spans="5:12" ht="20" customHeight="1" x14ac:dyDescent="0.2">
      <c r="E429" s="7"/>
      <c r="F429" s="7"/>
      <c r="G429" s="7"/>
      <c r="H429" s="7"/>
      <c r="I429" s="7"/>
    </row>
    <row r="430" spans="5:12" ht="20" customHeight="1" x14ac:dyDescent="0.2">
      <c r="E430" s="7"/>
      <c r="F430" s="7"/>
      <c r="G430" s="7"/>
      <c r="H430" s="7"/>
      <c r="I430" s="7"/>
    </row>
    <row r="431" spans="5:12" ht="20" customHeight="1" x14ac:dyDescent="0.2">
      <c r="E431" s="7"/>
      <c r="F431" s="7"/>
      <c r="G431" s="7"/>
      <c r="H431" s="7"/>
      <c r="I431" s="7"/>
      <c r="L431" s="9">
        <v>1</v>
      </c>
    </row>
    <row r="432" spans="5:12" ht="20" customHeight="1" x14ac:dyDescent="0.2">
      <c r="E432" s="7"/>
      <c r="F432" s="7"/>
      <c r="G432" s="7"/>
      <c r="H432" s="7"/>
      <c r="I432" s="7"/>
    </row>
    <row r="433" spans="5:14" ht="20" customHeight="1" x14ac:dyDescent="0.2">
      <c r="E433" s="7"/>
      <c r="F433" s="7"/>
      <c r="G433" s="7"/>
      <c r="H433" s="7"/>
      <c r="I433" s="7"/>
    </row>
    <row r="434" spans="5:14" ht="20" customHeight="1" x14ac:dyDescent="0.2">
      <c r="E434" s="7"/>
      <c r="F434" s="7"/>
      <c r="G434" s="7"/>
      <c r="H434" s="7"/>
      <c r="I434" s="7"/>
    </row>
    <row r="435" spans="5:14" ht="20" customHeight="1" x14ac:dyDescent="0.2">
      <c r="E435" s="7"/>
      <c r="F435" s="7"/>
      <c r="G435" s="7"/>
      <c r="H435" s="7"/>
      <c r="I435" s="7"/>
    </row>
    <row r="436" spans="5:14" ht="20" customHeight="1" x14ac:dyDescent="0.2">
      <c r="E436" s="7"/>
      <c r="F436" s="7"/>
      <c r="G436" s="7"/>
      <c r="H436" s="7"/>
      <c r="I436" s="7"/>
    </row>
    <row r="437" spans="5:14" ht="20" customHeight="1" x14ac:dyDescent="0.2">
      <c r="E437" s="7"/>
      <c r="F437" s="7"/>
      <c r="G437" s="7"/>
      <c r="H437" s="7"/>
      <c r="I437" s="7"/>
    </row>
    <row r="438" spans="5:14" ht="20" customHeight="1" x14ac:dyDescent="0.2">
      <c r="E438" s="7"/>
      <c r="F438" s="7"/>
      <c r="G438" s="7"/>
      <c r="H438" s="7"/>
      <c r="I438" s="7"/>
    </row>
    <row r="439" spans="5:14" ht="20" customHeight="1" x14ac:dyDescent="0.2">
      <c r="E439" s="7"/>
      <c r="F439" s="7"/>
      <c r="G439" s="7"/>
      <c r="H439" s="7"/>
      <c r="I439" s="7"/>
    </row>
    <row r="440" spans="5:14" ht="20" customHeight="1" x14ac:dyDescent="0.2">
      <c r="E440" s="7"/>
      <c r="F440" s="7"/>
      <c r="G440" s="7"/>
      <c r="H440" s="7"/>
      <c r="I440" s="7"/>
    </row>
    <row r="441" spans="5:14" ht="20" customHeight="1" x14ac:dyDescent="0.2">
      <c r="E441" s="7"/>
      <c r="F441" s="7"/>
      <c r="G441" s="7"/>
      <c r="H441" s="7"/>
      <c r="I441" s="7"/>
      <c r="N441" s="47"/>
    </row>
    <row r="442" spans="5:14" ht="20" customHeight="1" x14ac:dyDescent="0.2">
      <c r="E442" s="7"/>
      <c r="F442" s="7"/>
      <c r="G442" s="7"/>
      <c r="H442" s="7"/>
      <c r="I442" s="7"/>
      <c r="N442" s="2"/>
    </row>
    <row r="443" spans="5:14" ht="20" customHeight="1" x14ac:dyDescent="0.2">
      <c r="E443" s="7"/>
      <c r="F443" s="7"/>
      <c r="G443" s="7"/>
      <c r="H443" s="7"/>
      <c r="I443" s="7"/>
      <c r="N443" s="2"/>
    </row>
    <row r="444" spans="5:14" ht="20" customHeight="1" x14ac:dyDescent="0.2">
      <c r="E444" s="7"/>
      <c r="F444" s="7"/>
      <c r="G444" s="7"/>
      <c r="H444" s="7"/>
      <c r="I444" s="7"/>
      <c r="N444" s="2"/>
    </row>
    <row r="445" spans="5:14" ht="20" customHeight="1" x14ac:dyDescent="0.2">
      <c r="E445" s="7"/>
      <c r="F445" s="7"/>
      <c r="G445" s="7"/>
      <c r="H445" s="7"/>
      <c r="I445" s="7"/>
    </row>
    <row r="446" spans="5:14" ht="20" customHeight="1" x14ac:dyDescent="0.2">
      <c r="E446" s="7"/>
      <c r="F446" s="7"/>
      <c r="G446" s="7"/>
      <c r="H446" s="7"/>
      <c r="I446" s="7"/>
    </row>
    <row r="447" spans="5:14" ht="20" customHeight="1" x14ac:dyDescent="0.2">
      <c r="E447" s="7"/>
      <c r="F447" s="7"/>
      <c r="G447" s="7"/>
      <c r="H447" s="7"/>
      <c r="I447" s="7"/>
    </row>
    <row r="448" spans="5:14" ht="20" customHeight="1" x14ac:dyDescent="0.2">
      <c r="E448" s="7"/>
      <c r="F448" s="7"/>
      <c r="G448" s="7"/>
      <c r="H448" s="7"/>
      <c r="I448" s="7"/>
    </row>
    <row r="449" spans="5:9" ht="20" customHeight="1" x14ac:dyDescent="0.2">
      <c r="E449" s="7"/>
      <c r="F449" s="7"/>
      <c r="G449" s="7"/>
      <c r="H449" s="7"/>
      <c r="I449" s="7"/>
    </row>
    <row r="450" spans="5:9" ht="20" customHeight="1" x14ac:dyDescent="0.2">
      <c r="E450" s="7"/>
      <c r="F450" s="7"/>
      <c r="G450" s="7"/>
      <c r="H450" s="7"/>
      <c r="I450" s="7"/>
    </row>
    <row r="451" spans="5:9" ht="20" customHeight="1" x14ac:dyDescent="0.2">
      <c r="E451" s="7"/>
      <c r="F451" s="7"/>
      <c r="G451" s="7"/>
      <c r="H451" s="7"/>
      <c r="I451" s="7"/>
    </row>
    <row r="452" spans="5:9" ht="20" customHeight="1" x14ac:dyDescent="0.2">
      <c r="E452" s="7"/>
      <c r="F452" s="7"/>
      <c r="G452" s="7"/>
      <c r="H452" s="7"/>
      <c r="I452" s="7"/>
    </row>
    <row r="453" spans="5:9" ht="20" customHeight="1" x14ac:dyDescent="0.2">
      <c r="E453" s="7"/>
      <c r="F453" s="7"/>
      <c r="G453" s="7"/>
      <c r="H453" s="7"/>
      <c r="I453" s="7"/>
    </row>
    <row r="454" spans="5:9" ht="20" customHeight="1" x14ac:dyDescent="0.2">
      <c r="E454" s="7"/>
      <c r="F454" s="7"/>
      <c r="G454" s="7"/>
      <c r="H454" s="7"/>
      <c r="I454" s="7"/>
    </row>
    <row r="455" spans="5:9" ht="20" customHeight="1" x14ac:dyDescent="0.2">
      <c r="E455" s="7"/>
      <c r="F455" s="7"/>
      <c r="G455" s="7"/>
      <c r="H455" s="7"/>
      <c r="I455" s="7"/>
    </row>
    <row r="456" spans="5:9" ht="20" customHeight="1" x14ac:dyDescent="0.2">
      <c r="E456" s="7"/>
      <c r="F456" s="7"/>
      <c r="G456" s="7"/>
      <c r="H456" s="7"/>
      <c r="I456" s="7"/>
    </row>
    <row r="457" spans="5:9" ht="20" customHeight="1" x14ac:dyDescent="0.2">
      <c r="E457" s="7"/>
      <c r="F457" s="7"/>
      <c r="G457" s="7"/>
      <c r="H457" s="7"/>
      <c r="I457" s="7"/>
    </row>
    <row r="458" spans="5:9" ht="20" customHeight="1" x14ac:dyDescent="0.2">
      <c r="E458" s="7"/>
      <c r="F458" s="7"/>
      <c r="G458" s="7"/>
      <c r="H458" s="7"/>
      <c r="I458" s="7"/>
    </row>
    <row r="459" spans="5:9" ht="20" customHeight="1" x14ac:dyDescent="0.2">
      <c r="E459" s="7"/>
      <c r="F459" s="7"/>
      <c r="G459" s="7"/>
      <c r="H459" s="7"/>
      <c r="I459" s="7"/>
    </row>
    <row r="460" spans="5:9" ht="20" customHeight="1" x14ac:dyDescent="0.2">
      <c r="E460" s="7"/>
      <c r="F460" s="7"/>
      <c r="G460" s="7"/>
      <c r="H460" s="7"/>
      <c r="I460" s="7"/>
    </row>
    <row r="461" spans="5:9" ht="20" customHeight="1" x14ac:dyDescent="0.2">
      <c r="E461" s="7"/>
      <c r="F461" s="7"/>
      <c r="G461" s="7"/>
      <c r="H461" s="7"/>
      <c r="I461" s="7"/>
    </row>
    <row r="462" spans="5:9" ht="20" customHeight="1" x14ac:dyDescent="0.2">
      <c r="E462" s="7"/>
      <c r="F462" s="7"/>
      <c r="G462" s="7"/>
      <c r="H462" s="7"/>
      <c r="I462" s="7"/>
    </row>
    <row r="463" spans="5:9" ht="20" customHeight="1" x14ac:dyDescent="0.2">
      <c r="E463" s="7"/>
      <c r="F463" s="7"/>
      <c r="G463" s="7"/>
      <c r="H463" s="7"/>
      <c r="I463" s="7"/>
    </row>
    <row r="464" spans="5:9" ht="20" customHeight="1" x14ac:dyDescent="0.2">
      <c r="E464" s="7"/>
      <c r="F464" s="7"/>
      <c r="G464" s="7"/>
      <c r="H464" s="7"/>
      <c r="I464" s="7"/>
    </row>
    <row r="465" spans="5:9" ht="20" customHeight="1" x14ac:dyDescent="0.2">
      <c r="E465" s="7"/>
      <c r="F465" s="7"/>
      <c r="G465" s="7"/>
      <c r="H465" s="7"/>
      <c r="I465" s="7"/>
    </row>
    <row r="466" spans="5:9" ht="20" customHeight="1" x14ac:dyDescent="0.2">
      <c r="E466" s="7"/>
      <c r="F466" s="7"/>
      <c r="G466" s="7"/>
      <c r="H466" s="7"/>
      <c r="I466" s="7"/>
    </row>
    <row r="467" spans="5:9" ht="20" customHeight="1" x14ac:dyDescent="0.2">
      <c r="E467" s="7"/>
      <c r="F467" s="7"/>
      <c r="G467" s="7"/>
      <c r="H467" s="7"/>
      <c r="I467" s="7"/>
    </row>
    <row r="468" spans="5:9" ht="20" customHeight="1" x14ac:dyDescent="0.2">
      <c r="E468" s="7"/>
      <c r="F468" s="7"/>
      <c r="G468" s="7"/>
      <c r="H468" s="7"/>
      <c r="I468" s="7"/>
    </row>
    <row r="469" spans="5:9" x14ac:dyDescent="0.2">
      <c r="E469" s="7"/>
      <c r="F469" s="7"/>
      <c r="G469" s="7"/>
      <c r="H469" s="7"/>
      <c r="I469" s="7"/>
    </row>
    <row r="470" spans="5:9" hidden="1" x14ac:dyDescent="0.2">
      <c r="E470" s="7"/>
      <c r="F470" s="7"/>
      <c r="G470" s="7"/>
      <c r="H470" s="7"/>
      <c r="I470" s="7"/>
    </row>
    <row r="471" spans="5:9" hidden="1" x14ac:dyDescent="0.2">
      <c r="E471" s="7"/>
      <c r="F471" s="7"/>
      <c r="G471" s="7"/>
      <c r="H471" s="7"/>
      <c r="I471" s="7"/>
    </row>
    <row r="472" spans="5:9" hidden="1" x14ac:dyDescent="0.2">
      <c r="E472" s="7"/>
      <c r="F472" s="7"/>
      <c r="G472" s="7"/>
      <c r="H472" s="7"/>
      <c r="I472" s="7"/>
    </row>
    <row r="473" spans="5:9" hidden="1" x14ac:dyDescent="0.2">
      <c r="E473" s="7"/>
      <c r="F473" s="7"/>
      <c r="G473" s="7"/>
      <c r="H473" s="7"/>
      <c r="I473" s="7"/>
    </row>
    <row r="474" spans="5:9" hidden="1" x14ac:dyDescent="0.2">
      <c r="E474" s="7"/>
      <c r="F474" s="7"/>
      <c r="G474" s="7"/>
      <c r="H474" s="7"/>
      <c r="I474" s="7"/>
    </row>
    <row r="475" spans="5:9" hidden="1" x14ac:dyDescent="0.2">
      <c r="E475" s="7"/>
      <c r="F475" s="7"/>
      <c r="G475" s="7"/>
      <c r="H475" s="7"/>
      <c r="I475" s="7"/>
    </row>
    <row r="476" spans="5:9" hidden="1" x14ac:dyDescent="0.2">
      <c r="E476" s="7"/>
      <c r="F476" s="7"/>
      <c r="G476" s="7"/>
      <c r="H476" s="7"/>
      <c r="I476" s="7"/>
    </row>
    <row r="477" spans="5:9" x14ac:dyDescent="0.2">
      <c r="E477" s="7"/>
      <c r="F477" s="7"/>
      <c r="G477" s="7"/>
      <c r="H477" s="7"/>
      <c r="I477" s="7"/>
    </row>
    <row r="478" spans="5:9" x14ac:dyDescent="0.2">
      <c r="E478" s="7"/>
      <c r="F478" s="7"/>
      <c r="G478" s="7"/>
      <c r="H478" s="7"/>
      <c r="I478" s="7"/>
    </row>
    <row r="479" spans="5:9" x14ac:dyDescent="0.2">
      <c r="E479" s="7"/>
      <c r="F479" s="7"/>
      <c r="G479" s="7"/>
      <c r="H479" s="7"/>
      <c r="I479" s="7"/>
    </row>
    <row r="480" spans="5:9" x14ac:dyDescent="0.2">
      <c r="E480" s="7"/>
      <c r="F480" s="7"/>
      <c r="G480" s="7"/>
      <c r="H480" s="7"/>
      <c r="I480" s="7"/>
    </row>
    <row r="481" spans="5:9" x14ac:dyDescent="0.2">
      <c r="E481" s="7"/>
      <c r="F481" s="7"/>
      <c r="G481" s="7"/>
      <c r="H481" s="7"/>
      <c r="I481" s="7"/>
    </row>
    <row r="482" spans="5:9" x14ac:dyDescent="0.2">
      <c r="E482" s="7"/>
      <c r="F482" s="7"/>
      <c r="G482" s="7"/>
      <c r="H482" s="7"/>
      <c r="I482" s="7"/>
    </row>
    <row r="483" spans="5:9" x14ac:dyDescent="0.2">
      <c r="E483" s="7"/>
      <c r="F483" s="7"/>
      <c r="G483" s="7"/>
      <c r="H483" s="7"/>
      <c r="I483" s="7"/>
    </row>
    <row r="484" spans="5:9" x14ac:dyDescent="0.2">
      <c r="E484" s="7"/>
      <c r="F484" s="7"/>
      <c r="G484" s="7"/>
      <c r="H484" s="7"/>
      <c r="I484" s="7"/>
    </row>
    <row r="485" spans="5:9" x14ac:dyDescent="0.2">
      <c r="E485" s="7"/>
      <c r="F485" s="7"/>
      <c r="G485" s="7"/>
      <c r="H485" s="7"/>
      <c r="I485" s="7"/>
    </row>
    <row r="486" spans="5:9" x14ac:dyDescent="0.2">
      <c r="E486" s="7"/>
      <c r="F486" s="7"/>
      <c r="G486" s="7"/>
      <c r="H486" s="7"/>
      <c r="I486" s="7"/>
    </row>
    <row r="487" spans="5:9" x14ac:dyDescent="0.2">
      <c r="E487" s="7"/>
      <c r="F487" s="7"/>
      <c r="G487" s="7"/>
      <c r="H487" s="7"/>
      <c r="I487" s="7"/>
    </row>
    <row r="488" spans="5:9" x14ac:dyDescent="0.2">
      <c r="E488" s="7"/>
      <c r="F488" s="7"/>
      <c r="G488" s="7"/>
      <c r="H488" s="7"/>
      <c r="I488" s="7"/>
    </row>
    <row r="489" spans="5:9" x14ac:dyDescent="0.2">
      <c r="E489" s="7"/>
      <c r="F489" s="7"/>
      <c r="G489" s="7"/>
      <c r="H489" s="7"/>
      <c r="I489" s="7"/>
    </row>
    <row r="490" spans="5:9" x14ac:dyDescent="0.2">
      <c r="E490" s="7"/>
      <c r="F490" s="7"/>
      <c r="G490" s="7"/>
      <c r="H490" s="7"/>
      <c r="I490" s="7"/>
    </row>
    <row r="491" spans="5:9" x14ac:dyDescent="0.2">
      <c r="E491" s="7"/>
      <c r="F491" s="7"/>
      <c r="G491" s="7"/>
      <c r="H491" s="7"/>
      <c r="I491" s="7"/>
    </row>
    <row r="492" spans="5:9" x14ac:dyDescent="0.2">
      <c r="E492" s="7"/>
      <c r="F492" s="7"/>
      <c r="G492" s="7"/>
      <c r="H492" s="7"/>
      <c r="I492" s="7"/>
    </row>
    <row r="493" spans="5:9" x14ac:dyDescent="0.2">
      <c r="E493" s="7"/>
      <c r="F493" s="7"/>
      <c r="G493" s="7"/>
      <c r="H493" s="7"/>
      <c r="I493" s="7"/>
    </row>
    <row r="494" spans="5:9" x14ac:dyDescent="0.2">
      <c r="E494" s="7"/>
      <c r="F494" s="7"/>
      <c r="G494" s="7"/>
      <c r="H494" s="7"/>
      <c r="I494" s="7"/>
    </row>
    <row r="495" spans="5:9" x14ac:dyDescent="0.2">
      <c r="E495" s="7"/>
      <c r="F495" s="7"/>
      <c r="G495" s="7"/>
      <c r="H495" s="7"/>
      <c r="I495" s="7"/>
    </row>
    <row r="496" spans="5:9" x14ac:dyDescent="0.2">
      <c r="E496" s="7"/>
      <c r="F496" s="7"/>
      <c r="G496" s="7"/>
      <c r="H496" s="7"/>
      <c r="I496" s="7"/>
    </row>
    <row r="497" spans="5:9" x14ac:dyDescent="0.2">
      <c r="E497" s="7"/>
      <c r="F497" s="7"/>
      <c r="G497" s="7"/>
      <c r="H497" s="7"/>
      <c r="I497" s="7"/>
    </row>
    <row r="498" spans="5:9" x14ac:dyDescent="0.2">
      <c r="E498" s="7"/>
      <c r="F498" s="7"/>
      <c r="G498" s="7"/>
      <c r="H498" s="7"/>
      <c r="I498" s="7"/>
    </row>
    <row r="499" spans="5:9" x14ac:dyDescent="0.2">
      <c r="E499" s="7"/>
      <c r="F499" s="7"/>
      <c r="G499" s="7"/>
      <c r="H499" s="7"/>
      <c r="I499" s="7"/>
    </row>
    <row r="500" spans="5:9" x14ac:dyDescent="0.2">
      <c r="E500" s="7"/>
      <c r="F500" s="7"/>
      <c r="G500" s="7"/>
      <c r="H500" s="7"/>
      <c r="I500" s="7"/>
    </row>
    <row r="501" spans="5:9" x14ac:dyDescent="0.2">
      <c r="E501" s="7"/>
      <c r="F501" s="7"/>
      <c r="G501" s="7"/>
      <c r="H501" s="7"/>
      <c r="I501" s="7"/>
    </row>
    <row r="502" spans="5:9" x14ac:dyDescent="0.2">
      <c r="E502" s="7"/>
      <c r="F502" s="7"/>
      <c r="G502" s="7"/>
      <c r="H502" s="7"/>
      <c r="I502" s="7"/>
    </row>
    <row r="503" spans="5:9" x14ac:dyDescent="0.2">
      <c r="E503" s="7"/>
      <c r="F503" s="7"/>
      <c r="G503" s="7"/>
      <c r="H503" s="7"/>
      <c r="I503" s="7"/>
    </row>
    <row r="504" spans="5:9" x14ac:dyDescent="0.2">
      <c r="E504" s="7"/>
      <c r="F504" s="7"/>
      <c r="G504" s="7"/>
      <c r="H504" s="7"/>
      <c r="I504" s="7"/>
    </row>
    <row r="505" spans="5:9" x14ac:dyDescent="0.2">
      <c r="E505" s="7"/>
      <c r="F505" s="7"/>
      <c r="G505" s="7"/>
      <c r="H505" s="7"/>
      <c r="I505" s="7"/>
    </row>
    <row r="506" spans="5:9" x14ac:dyDescent="0.2">
      <c r="E506" s="7"/>
      <c r="F506" s="7"/>
      <c r="G506" s="7"/>
      <c r="H506" s="7"/>
      <c r="I506" s="7"/>
    </row>
    <row r="507" spans="5:9" x14ac:dyDescent="0.2">
      <c r="E507" s="7"/>
      <c r="F507" s="7"/>
      <c r="G507" s="7"/>
      <c r="H507" s="7"/>
      <c r="I507" s="7"/>
    </row>
    <row r="508" spans="5:9" x14ac:dyDescent="0.2">
      <c r="E508" s="7"/>
      <c r="F508" s="7"/>
      <c r="G508" s="7"/>
      <c r="H508" s="7"/>
      <c r="I508" s="7"/>
    </row>
    <row r="509" spans="5:9" x14ac:dyDescent="0.2">
      <c r="E509" s="7"/>
      <c r="F509" s="7"/>
      <c r="G509" s="7"/>
      <c r="H509" s="7"/>
      <c r="I509" s="7"/>
    </row>
    <row r="510" spans="5:9" x14ac:dyDescent="0.2">
      <c r="E510" s="7"/>
      <c r="F510" s="7"/>
      <c r="G510" s="7"/>
      <c r="H510" s="7"/>
      <c r="I510" s="7"/>
    </row>
    <row r="511" spans="5:9" x14ac:dyDescent="0.2">
      <c r="E511" s="7"/>
      <c r="F511" s="7"/>
      <c r="G511" s="7"/>
      <c r="H511" s="7"/>
      <c r="I511" s="7"/>
    </row>
    <row r="512" spans="5:9" x14ac:dyDescent="0.2">
      <c r="E512" s="7"/>
      <c r="F512" s="7"/>
      <c r="G512" s="7"/>
      <c r="H512" s="7"/>
      <c r="I512" s="7"/>
    </row>
    <row r="513" spans="5:9" x14ac:dyDescent="0.2">
      <c r="E513" s="7"/>
      <c r="F513" s="7"/>
      <c r="G513" s="7"/>
      <c r="H513" s="7"/>
      <c r="I513" s="7"/>
    </row>
    <row r="514" spans="5:9" x14ac:dyDescent="0.2">
      <c r="E514" s="7"/>
      <c r="F514" s="7"/>
      <c r="G514" s="7"/>
      <c r="H514" s="7"/>
      <c r="I514" s="7"/>
    </row>
    <row r="515" spans="5:9" x14ac:dyDescent="0.2">
      <c r="E515" s="7"/>
      <c r="F515" s="7"/>
      <c r="G515" s="7"/>
      <c r="H515" s="7"/>
      <c r="I515" s="7"/>
    </row>
    <row r="516" spans="5:9" x14ac:dyDescent="0.2">
      <c r="E516" s="7"/>
      <c r="F516" s="7"/>
      <c r="G516" s="7"/>
      <c r="H516" s="7"/>
      <c r="I516" s="7"/>
    </row>
    <row r="517" spans="5:9" x14ac:dyDescent="0.2">
      <c r="E517" s="7"/>
      <c r="F517" s="7"/>
      <c r="G517" s="7"/>
      <c r="H517" s="7"/>
      <c r="I517" s="7"/>
    </row>
    <row r="518" spans="5:9" x14ac:dyDescent="0.2">
      <c r="E518" s="7"/>
      <c r="F518" s="7"/>
      <c r="G518" s="7"/>
      <c r="H518" s="7"/>
      <c r="I518" s="7"/>
    </row>
    <row r="519" spans="5:9" x14ac:dyDescent="0.2">
      <c r="E519" s="7"/>
      <c r="F519" s="7"/>
      <c r="G519" s="7"/>
      <c r="H519" s="7"/>
      <c r="I519" s="7"/>
    </row>
    <row r="520" spans="5:9" x14ac:dyDescent="0.2">
      <c r="E520" s="7"/>
      <c r="F520" s="7"/>
      <c r="G520" s="7"/>
      <c r="H520" s="7"/>
      <c r="I520" s="7"/>
    </row>
    <row r="521" spans="5:9" x14ac:dyDescent="0.2">
      <c r="E521" s="7"/>
      <c r="F521" s="7"/>
      <c r="G521" s="7"/>
      <c r="H521" s="7"/>
      <c r="I521" s="7"/>
    </row>
    <row r="522" spans="5:9" x14ac:dyDescent="0.2">
      <c r="E522" s="7"/>
      <c r="F522" s="7"/>
      <c r="G522" s="7"/>
      <c r="H522" s="7"/>
      <c r="I522" s="7"/>
    </row>
    <row r="523" spans="5:9" x14ac:dyDescent="0.2">
      <c r="E523" s="7"/>
      <c r="F523" s="7"/>
      <c r="G523" s="7"/>
      <c r="H523" s="7"/>
      <c r="I523" s="7"/>
    </row>
    <row r="524" spans="5:9" x14ac:dyDescent="0.2">
      <c r="E524" s="7"/>
      <c r="F524" s="7"/>
      <c r="G524" s="7"/>
      <c r="H524" s="7"/>
      <c r="I524" s="7"/>
    </row>
    <row r="525" spans="5:9" x14ac:dyDescent="0.2">
      <c r="E525" s="7"/>
      <c r="F525" s="7"/>
      <c r="G525" s="7"/>
      <c r="H525" s="7"/>
      <c r="I525" s="7"/>
    </row>
    <row r="526" spans="5:9" x14ac:dyDescent="0.2">
      <c r="E526" s="7"/>
      <c r="F526" s="7"/>
      <c r="G526" s="7"/>
      <c r="H526" s="7"/>
      <c r="I526" s="7"/>
    </row>
    <row r="527" spans="5:9" x14ac:dyDescent="0.2">
      <c r="E527" s="7"/>
      <c r="F527" s="7"/>
      <c r="G527" s="7"/>
      <c r="H527" s="7"/>
      <c r="I527" s="7"/>
    </row>
    <row r="528" spans="5:9" x14ac:dyDescent="0.2">
      <c r="E528" s="7"/>
      <c r="F528" s="7"/>
      <c r="G528" s="7"/>
      <c r="H528" s="7"/>
      <c r="I528" s="7"/>
    </row>
    <row r="529" spans="5:9" x14ac:dyDescent="0.2">
      <c r="E529" s="7"/>
      <c r="F529" s="7"/>
      <c r="G529" s="7"/>
      <c r="H529" s="7"/>
      <c r="I529" s="7"/>
    </row>
    <row r="530" spans="5:9" x14ac:dyDescent="0.2">
      <c r="E530" s="7"/>
      <c r="F530" s="7"/>
      <c r="G530" s="7"/>
      <c r="H530" s="7"/>
      <c r="I530" s="7"/>
    </row>
    <row r="531" spans="5:9" x14ac:dyDescent="0.2">
      <c r="E531" s="7"/>
      <c r="F531" s="7"/>
      <c r="G531" s="7"/>
      <c r="H531" s="7"/>
      <c r="I531" s="7"/>
    </row>
    <row r="532" spans="5:9" x14ac:dyDescent="0.2">
      <c r="E532" s="7"/>
      <c r="F532" s="7"/>
      <c r="G532" s="7"/>
      <c r="H532" s="7"/>
      <c r="I532" s="7"/>
    </row>
    <row r="533" spans="5:9" x14ac:dyDescent="0.2">
      <c r="E533" s="7"/>
      <c r="F533" s="7"/>
      <c r="G533" s="7"/>
      <c r="H533" s="7"/>
      <c r="I533" s="7"/>
    </row>
    <row r="534" spans="5:9" x14ac:dyDescent="0.2">
      <c r="E534" s="7"/>
      <c r="F534" s="7"/>
      <c r="G534" s="7"/>
      <c r="H534" s="7"/>
      <c r="I534" s="7"/>
    </row>
    <row r="535" spans="5:9" x14ac:dyDescent="0.2">
      <c r="E535" s="7"/>
      <c r="F535" s="7"/>
      <c r="G535" s="7"/>
      <c r="H535" s="7"/>
      <c r="I535" s="7"/>
    </row>
    <row r="536" spans="5:9" x14ac:dyDescent="0.2">
      <c r="E536" s="7"/>
      <c r="F536" s="7"/>
      <c r="G536" s="7"/>
      <c r="H536" s="7"/>
      <c r="I536" s="7"/>
    </row>
    <row r="537" spans="5:9" x14ac:dyDescent="0.2">
      <c r="E537" s="7"/>
      <c r="F537" s="7"/>
      <c r="G537" s="7"/>
      <c r="H537" s="7"/>
      <c r="I537" s="7"/>
    </row>
    <row r="538" spans="5:9" x14ac:dyDescent="0.2">
      <c r="E538" s="7"/>
      <c r="F538" s="7"/>
      <c r="G538" s="7"/>
      <c r="H538" s="7"/>
      <c r="I538" s="7"/>
    </row>
    <row r="539" spans="5:9" x14ac:dyDescent="0.2">
      <c r="E539" s="7"/>
      <c r="F539" s="7"/>
      <c r="G539" s="7"/>
      <c r="H539" s="7"/>
      <c r="I539" s="7"/>
    </row>
    <row r="540" spans="5:9" x14ac:dyDescent="0.2">
      <c r="E540" s="7"/>
      <c r="F540" s="7"/>
      <c r="G540" s="7"/>
      <c r="H540" s="7"/>
      <c r="I540" s="7"/>
    </row>
    <row r="541" spans="5:9" x14ac:dyDescent="0.2">
      <c r="E541" s="7"/>
      <c r="F541" s="7"/>
      <c r="G541" s="7"/>
      <c r="H541" s="7"/>
      <c r="I541" s="7"/>
    </row>
    <row r="542" spans="5:9" x14ac:dyDescent="0.2">
      <c r="E542" s="7"/>
      <c r="F542" s="7"/>
      <c r="G542" s="7"/>
      <c r="H542" s="7"/>
      <c r="I542" s="7"/>
    </row>
    <row r="543" spans="5:9" x14ac:dyDescent="0.2">
      <c r="E543" s="7"/>
      <c r="F543" s="7"/>
      <c r="G543" s="7"/>
      <c r="H543" s="7"/>
      <c r="I543" s="7"/>
    </row>
    <row r="544" spans="5:9" x14ac:dyDescent="0.2">
      <c r="E544" s="7"/>
      <c r="F544" s="7"/>
      <c r="G544" s="7"/>
      <c r="H544" s="7"/>
      <c r="I544" s="7"/>
    </row>
    <row r="545" spans="5:9" x14ac:dyDescent="0.2">
      <c r="E545" s="7"/>
      <c r="F545" s="7"/>
      <c r="G545" s="7"/>
      <c r="H545" s="7"/>
      <c r="I545" s="7"/>
    </row>
    <row r="546" spans="5:9" x14ac:dyDescent="0.2">
      <c r="E546" s="7"/>
      <c r="F546" s="7"/>
      <c r="G546" s="7"/>
      <c r="H546" s="7"/>
      <c r="I546" s="7"/>
    </row>
    <row r="547" spans="5:9" x14ac:dyDescent="0.2">
      <c r="E547" s="7"/>
      <c r="F547" s="7"/>
      <c r="G547" s="7"/>
      <c r="H547" s="7"/>
      <c r="I547" s="7"/>
    </row>
    <row r="548" spans="5:9" x14ac:dyDescent="0.2">
      <c r="E548" s="7"/>
      <c r="F548" s="7"/>
      <c r="G548" s="7"/>
      <c r="H548" s="7"/>
      <c r="I548" s="7"/>
    </row>
    <row r="549" spans="5:9" x14ac:dyDescent="0.2">
      <c r="E549" s="7"/>
      <c r="F549" s="7"/>
      <c r="G549" s="7"/>
      <c r="H549" s="7"/>
      <c r="I549" s="7"/>
    </row>
    <row r="550" spans="5:9" x14ac:dyDescent="0.2">
      <c r="E550" s="7"/>
      <c r="F550" s="7"/>
      <c r="G550" s="7"/>
      <c r="H550" s="7"/>
      <c r="I550" s="7"/>
    </row>
    <row r="551" spans="5:9" x14ac:dyDescent="0.2">
      <c r="E551" s="7"/>
      <c r="F551" s="7"/>
      <c r="G551" s="7"/>
      <c r="H551" s="7"/>
      <c r="I551" s="7"/>
    </row>
    <row r="552" spans="5:9" x14ac:dyDescent="0.2">
      <c r="E552" s="7"/>
      <c r="F552" s="7"/>
      <c r="G552" s="7"/>
      <c r="H552" s="7"/>
      <c r="I552" s="7"/>
    </row>
    <row r="553" spans="5:9" x14ac:dyDescent="0.2">
      <c r="E553" s="7"/>
      <c r="F553" s="7"/>
      <c r="G553" s="7"/>
      <c r="H553" s="7"/>
      <c r="I553" s="7"/>
    </row>
    <row r="554" spans="5:9" x14ac:dyDescent="0.2">
      <c r="E554" s="7"/>
      <c r="F554" s="7"/>
      <c r="G554" s="7"/>
      <c r="H554" s="7"/>
      <c r="I554" s="7"/>
    </row>
    <row r="555" spans="5:9" x14ac:dyDescent="0.2">
      <c r="E555" s="7"/>
      <c r="F555" s="7"/>
      <c r="G555" s="7"/>
      <c r="H555" s="7"/>
      <c r="I555" s="7"/>
    </row>
    <row r="556" spans="5:9" x14ac:dyDescent="0.2">
      <c r="E556" s="7"/>
      <c r="F556" s="7"/>
      <c r="G556" s="7"/>
      <c r="H556" s="7"/>
      <c r="I556" s="7"/>
    </row>
    <row r="557" spans="5:9" x14ac:dyDescent="0.2">
      <c r="E557" s="7"/>
      <c r="F557" s="7"/>
      <c r="G557" s="7"/>
      <c r="H557" s="7"/>
      <c r="I557" s="7"/>
    </row>
    <row r="558" spans="5:9" x14ac:dyDescent="0.2">
      <c r="E558" s="7"/>
      <c r="F558" s="7"/>
      <c r="G558" s="7"/>
      <c r="H558" s="7"/>
      <c r="I558" s="7"/>
    </row>
    <row r="559" spans="5:9" x14ac:dyDescent="0.2">
      <c r="E559" s="7"/>
      <c r="F559" s="7"/>
      <c r="G559" s="7"/>
      <c r="H559" s="7"/>
      <c r="I559" s="7"/>
    </row>
    <row r="560" spans="5:9" x14ac:dyDescent="0.2">
      <c r="E560" s="7"/>
      <c r="F560" s="7"/>
      <c r="G560" s="7"/>
      <c r="H560" s="7"/>
      <c r="I560" s="7"/>
    </row>
    <row r="561" spans="5:9" x14ac:dyDescent="0.2">
      <c r="E561" s="7"/>
      <c r="F561" s="7"/>
      <c r="G561" s="7"/>
      <c r="H561" s="7"/>
      <c r="I561" s="7"/>
    </row>
    <row r="562" spans="5:9" x14ac:dyDescent="0.2">
      <c r="E562" s="7"/>
      <c r="F562" s="7"/>
      <c r="G562" s="7"/>
      <c r="H562" s="7"/>
      <c r="I562" s="7"/>
    </row>
    <row r="563" spans="5:9" x14ac:dyDescent="0.2">
      <c r="E563" s="7"/>
      <c r="F563" s="7"/>
      <c r="G563" s="7"/>
      <c r="H563" s="7"/>
      <c r="I563" s="7"/>
    </row>
    <row r="564" spans="5:9" x14ac:dyDescent="0.2">
      <c r="E564" s="7"/>
      <c r="F564" s="7"/>
      <c r="G564" s="7"/>
      <c r="H564" s="7"/>
      <c r="I564" s="7"/>
    </row>
    <row r="565" spans="5:9" x14ac:dyDescent="0.2">
      <c r="E565" s="7"/>
      <c r="F565" s="7"/>
      <c r="G565" s="7"/>
      <c r="H565" s="7"/>
      <c r="I565" s="7"/>
    </row>
    <row r="566" spans="5:9" x14ac:dyDescent="0.2">
      <c r="E566" s="7"/>
      <c r="F566" s="7"/>
      <c r="G566" s="7"/>
      <c r="H566" s="7"/>
      <c r="I566" s="7"/>
    </row>
    <row r="567" spans="5:9" x14ac:dyDescent="0.2">
      <c r="E567" s="7"/>
      <c r="F567" s="7"/>
      <c r="G567" s="7"/>
      <c r="H567" s="7"/>
      <c r="I567" s="7"/>
    </row>
    <row r="568" spans="5:9" x14ac:dyDescent="0.2">
      <c r="E568" s="7"/>
      <c r="F568" s="7"/>
      <c r="G568" s="7"/>
      <c r="H568" s="7"/>
      <c r="I568" s="7"/>
    </row>
    <row r="569" spans="5:9" x14ac:dyDescent="0.2">
      <c r="E569" s="7"/>
      <c r="F569" s="7"/>
      <c r="G569" s="7"/>
      <c r="H569" s="7"/>
      <c r="I569" s="7"/>
    </row>
    <row r="570" spans="5:9" x14ac:dyDescent="0.2">
      <c r="E570" s="7"/>
      <c r="F570" s="7"/>
      <c r="G570" s="7"/>
      <c r="H570" s="7"/>
      <c r="I570" s="7"/>
    </row>
    <row r="571" spans="5:9" x14ac:dyDescent="0.2">
      <c r="E571" s="7"/>
      <c r="F571" s="7"/>
      <c r="G571" s="7"/>
      <c r="H571" s="7"/>
      <c r="I571" s="7"/>
    </row>
    <row r="572" spans="5:9" x14ac:dyDescent="0.2">
      <c r="E572" s="7"/>
      <c r="F572" s="7"/>
      <c r="G572" s="7"/>
      <c r="H572" s="7"/>
      <c r="I572" s="7"/>
    </row>
    <row r="573" spans="5:9" x14ac:dyDescent="0.2">
      <c r="E573" s="7"/>
      <c r="F573" s="7"/>
      <c r="G573" s="7"/>
      <c r="H573" s="7"/>
      <c r="I573" s="7"/>
    </row>
    <row r="574" spans="5:9" x14ac:dyDescent="0.2">
      <c r="E574" s="7"/>
      <c r="F574" s="7"/>
      <c r="G574" s="7"/>
      <c r="H574" s="7"/>
      <c r="I574" s="7"/>
    </row>
    <row r="575" spans="5:9" x14ac:dyDescent="0.2">
      <c r="E575" s="7"/>
      <c r="F575" s="7"/>
      <c r="G575" s="7"/>
      <c r="H575" s="7"/>
      <c r="I575" s="7"/>
    </row>
    <row r="576" spans="5:9" x14ac:dyDescent="0.2">
      <c r="E576" s="7"/>
      <c r="F576" s="7"/>
      <c r="G576" s="7"/>
      <c r="H576" s="7"/>
      <c r="I576" s="7"/>
    </row>
    <row r="577" spans="5:9" x14ac:dyDescent="0.2">
      <c r="E577" s="7"/>
      <c r="F577" s="7"/>
      <c r="G577" s="7"/>
      <c r="H577" s="7"/>
      <c r="I577" s="7"/>
    </row>
    <row r="578" spans="5:9" x14ac:dyDescent="0.2">
      <c r="E578" s="7"/>
      <c r="F578" s="7"/>
      <c r="G578" s="7"/>
      <c r="H578" s="7"/>
      <c r="I578" s="7"/>
    </row>
    <row r="579" spans="5:9" x14ac:dyDescent="0.2">
      <c r="E579" s="7"/>
      <c r="F579" s="7"/>
      <c r="G579" s="7"/>
      <c r="H579" s="7"/>
      <c r="I579" s="7"/>
    </row>
    <row r="580" spans="5:9" x14ac:dyDescent="0.2">
      <c r="E580" s="7"/>
      <c r="F580" s="7"/>
      <c r="G580" s="7"/>
      <c r="H580" s="7"/>
      <c r="I580" s="7"/>
    </row>
    <row r="581" spans="5:9" x14ac:dyDescent="0.2">
      <c r="E581" s="7"/>
      <c r="F581" s="7"/>
      <c r="G581" s="7"/>
      <c r="H581" s="7"/>
      <c r="I581" s="7"/>
    </row>
    <row r="582" spans="5:9" x14ac:dyDescent="0.2">
      <c r="E582" s="7"/>
      <c r="F582" s="7"/>
      <c r="G582" s="7"/>
      <c r="H582" s="7"/>
      <c r="I582" s="7"/>
    </row>
    <row r="583" spans="5:9" x14ac:dyDescent="0.2">
      <c r="E583" s="7"/>
      <c r="F583" s="7"/>
      <c r="G583" s="7"/>
      <c r="H583" s="7"/>
      <c r="I583" s="7"/>
    </row>
    <row r="584" spans="5:9" x14ac:dyDescent="0.2">
      <c r="E584" s="7"/>
      <c r="F584" s="7"/>
      <c r="G584" s="7"/>
      <c r="H584" s="7"/>
      <c r="I584" s="7"/>
    </row>
    <row r="585" spans="5:9" x14ac:dyDescent="0.2">
      <c r="E585" s="7"/>
      <c r="F585" s="7"/>
      <c r="G585" s="7"/>
      <c r="H585" s="7"/>
      <c r="I585" s="7"/>
    </row>
    <row r="586" spans="5:9" x14ac:dyDescent="0.2">
      <c r="E586" s="7"/>
      <c r="F586" s="7"/>
      <c r="G586" s="7"/>
      <c r="H586" s="7"/>
      <c r="I586" s="7"/>
    </row>
    <row r="587" spans="5:9" x14ac:dyDescent="0.2">
      <c r="E587" s="7"/>
      <c r="F587" s="7"/>
      <c r="G587" s="7"/>
      <c r="H587" s="7"/>
      <c r="I587" s="7"/>
    </row>
    <row r="588" spans="5:9" x14ac:dyDescent="0.2">
      <c r="E588" s="7"/>
      <c r="F588" s="7"/>
      <c r="G588" s="7"/>
      <c r="H588" s="7"/>
      <c r="I588" s="7"/>
    </row>
    <row r="589" spans="5:9" x14ac:dyDescent="0.2">
      <c r="E589" s="7"/>
      <c r="F589" s="7"/>
      <c r="G589" s="7"/>
      <c r="H589" s="7"/>
      <c r="I589" s="7"/>
    </row>
    <row r="590" spans="5:9" x14ac:dyDescent="0.2">
      <c r="E590" s="7"/>
      <c r="F590" s="7"/>
      <c r="G590" s="7"/>
      <c r="H590" s="7"/>
      <c r="I590" s="7"/>
    </row>
    <row r="591" spans="5:9" x14ac:dyDescent="0.2">
      <c r="E591" s="7"/>
      <c r="F591" s="7"/>
      <c r="G591" s="7"/>
      <c r="H591" s="7"/>
      <c r="I591" s="7"/>
    </row>
    <row r="592" spans="5:9" x14ac:dyDescent="0.2">
      <c r="E592" s="7"/>
      <c r="F592" s="7"/>
      <c r="G592" s="7"/>
      <c r="H592" s="7"/>
      <c r="I592" s="7"/>
    </row>
    <row r="593" spans="5:9" x14ac:dyDescent="0.2">
      <c r="E593" s="7"/>
      <c r="F593" s="7"/>
      <c r="G593" s="7"/>
      <c r="H593" s="7"/>
      <c r="I593" s="7"/>
    </row>
    <row r="594" spans="5:9" x14ac:dyDescent="0.2">
      <c r="E594" s="7"/>
      <c r="F594" s="7"/>
      <c r="G594" s="7"/>
      <c r="H594" s="7"/>
      <c r="I594" s="7"/>
    </row>
    <row r="595" spans="5:9" x14ac:dyDescent="0.2">
      <c r="E595" s="7"/>
      <c r="F595" s="7"/>
      <c r="G595" s="7"/>
      <c r="H595" s="7"/>
      <c r="I595" s="7"/>
    </row>
    <row r="596" spans="5:9" x14ac:dyDescent="0.2">
      <c r="E596" s="7"/>
      <c r="F596" s="7"/>
      <c r="G596" s="7"/>
      <c r="H596" s="7"/>
      <c r="I596" s="7"/>
    </row>
    <row r="597" spans="5:9" x14ac:dyDescent="0.2">
      <c r="E597" s="7"/>
      <c r="F597" s="7"/>
      <c r="G597" s="7"/>
      <c r="H597" s="7"/>
      <c r="I597" s="7"/>
    </row>
    <row r="598" spans="5:9" x14ac:dyDescent="0.2">
      <c r="E598" s="7"/>
      <c r="F598" s="7"/>
      <c r="G598" s="7"/>
      <c r="H598" s="7"/>
      <c r="I598" s="7"/>
    </row>
    <row r="599" spans="5:9" x14ac:dyDescent="0.2">
      <c r="E599" s="7"/>
      <c r="F599" s="7"/>
      <c r="G599" s="7"/>
      <c r="H599" s="7"/>
      <c r="I599" s="7"/>
    </row>
    <row r="600" spans="5:9" x14ac:dyDescent="0.2">
      <c r="E600" s="7"/>
      <c r="F600" s="7"/>
      <c r="G600" s="7"/>
      <c r="H600" s="7"/>
      <c r="I600" s="7"/>
    </row>
    <row r="601" spans="5:9" x14ac:dyDescent="0.2">
      <c r="E601" s="7"/>
      <c r="F601" s="7"/>
      <c r="G601" s="7"/>
      <c r="H601" s="7"/>
      <c r="I601" s="7"/>
    </row>
    <row r="602" spans="5:9" x14ac:dyDescent="0.2">
      <c r="E602" s="7"/>
      <c r="F602" s="7"/>
      <c r="G602" s="7"/>
      <c r="H602" s="7"/>
      <c r="I602" s="7"/>
    </row>
    <row r="603" spans="5:9" x14ac:dyDescent="0.2">
      <c r="E603" s="7"/>
      <c r="F603" s="7"/>
      <c r="G603" s="7"/>
      <c r="H603" s="7"/>
      <c r="I603" s="7"/>
    </row>
    <row r="604" spans="5:9" x14ac:dyDescent="0.2">
      <c r="E604" s="7"/>
      <c r="F604" s="7"/>
      <c r="G604" s="7"/>
      <c r="H604" s="7"/>
      <c r="I604" s="7"/>
    </row>
    <row r="605" spans="5:9" x14ac:dyDescent="0.2">
      <c r="E605" s="7"/>
      <c r="F605" s="7"/>
      <c r="G605" s="7"/>
      <c r="H605" s="7"/>
      <c r="I605" s="7"/>
    </row>
    <row r="606" spans="5:9" x14ac:dyDescent="0.2">
      <c r="E606" s="7"/>
      <c r="F606" s="7"/>
      <c r="G606" s="7"/>
      <c r="H606" s="7"/>
      <c r="I606" s="7"/>
    </row>
    <row r="607" spans="5:9" x14ac:dyDescent="0.2">
      <c r="E607" s="7"/>
      <c r="F607" s="7"/>
      <c r="G607" s="7"/>
      <c r="H607" s="7"/>
      <c r="I607" s="7"/>
    </row>
    <row r="608" spans="5:9" x14ac:dyDescent="0.2">
      <c r="E608" s="7"/>
      <c r="F608" s="7"/>
      <c r="G608" s="7"/>
      <c r="H608" s="7"/>
      <c r="I608" s="7"/>
    </row>
    <row r="609" spans="5:9" x14ac:dyDescent="0.2">
      <c r="E609" s="7"/>
      <c r="F609" s="7"/>
      <c r="G609" s="7"/>
      <c r="H609" s="7"/>
      <c r="I609" s="7"/>
    </row>
    <row r="610" spans="5:9" x14ac:dyDescent="0.2">
      <c r="E610" s="7"/>
      <c r="F610" s="7"/>
      <c r="G610" s="7"/>
      <c r="H610" s="7"/>
      <c r="I610" s="7"/>
    </row>
    <row r="611" spans="5:9" x14ac:dyDescent="0.2">
      <c r="E611" s="7"/>
      <c r="F611" s="7"/>
      <c r="G611" s="7"/>
      <c r="H611" s="7"/>
      <c r="I611" s="7"/>
    </row>
    <row r="612" spans="5:9" x14ac:dyDescent="0.2">
      <c r="E612" s="7"/>
      <c r="F612" s="7"/>
      <c r="G612" s="7"/>
      <c r="H612" s="7"/>
      <c r="I612" s="7"/>
    </row>
    <row r="613" spans="5:9" x14ac:dyDescent="0.2">
      <c r="E613" s="7"/>
      <c r="F613" s="7"/>
      <c r="G613" s="7"/>
      <c r="H613" s="7"/>
      <c r="I613" s="7"/>
    </row>
    <row r="614" spans="5:9" x14ac:dyDescent="0.2">
      <c r="E614" s="7"/>
      <c r="F614" s="7"/>
      <c r="G614" s="7"/>
      <c r="H614" s="7"/>
      <c r="I614" s="7"/>
    </row>
    <row r="615" spans="5:9" x14ac:dyDescent="0.2">
      <c r="E615" s="7"/>
      <c r="F615" s="7"/>
      <c r="G615" s="7"/>
      <c r="H615" s="7"/>
      <c r="I615" s="7"/>
    </row>
    <row r="616" spans="5:9" x14ac:dyDescent="0.2">
      <c r="E616" s="7"/>
      <c r="F616" s="7"/>
      <c r="G616" s="7"/>
      <c r="H616" s="7"/>
      <c r="I616" s="7"/>
    </row>
    <row r="617" spans="5:9" x14ac:dyDescent="0.2">
      <c r="E617" s="7"/>
      <c r="F617" s="7"/>
      <c r="G617" s="7"/>
      <c r="H617" s="7"/>
      <c r="I617" s="7"/>
    </row>
    <row r="618" spans="5:9" x14ac:dyDescent="0.2">
      <c r="E618" s="7"/>
      <c r="F618" s="7"/>
      <c r="G618" s="7"/>
      <c r="H618" s="7"/>
      <c r="I618" s="7"/>
    </row>
    <row r="619" spans="5:9" x14ac:dyDescent="0.2">
      <c r="E619" s="7"/>
      <c r="F619" s="7"/>
      <c r="G619" s="7"/>
      <c r="H619" s="7"/>
      <c r="I619" s="7"/>
    </row>
    <row r="620" spans="5:9" x14ac:dyDescent="0.2">
      <c r="E620" s="7"/>
      <c r="F620" s="7"/>
      <c r="G620" s="7"/>
      <c r="H620" s="7"/>
      <c r="I620" s="7"/>
    </row>
    <row r="621" spans="5:9" x14ac:dyDescent="0.2">
      <c r="E621" s="7"/>
      <c r="F621" s="7"/>
      <c r="G621" s="7"/>
      <c r="H621" s="7"/>
      <c r="I621" s="7"/>
    </row>
    <row r="622" spans="5:9" x14ac:dyDescent="0.2">
      <c r="E622" s="7"/>
      <c r="F622" s="7"/>
      <c r="G622" s="7"/>
      <c r="H622" s="7"/>
      <c r="I622" s="7"/>
    </row>
    <row r="623" spans="5:9" x14ac:dyDescent="0.2">
      <c r="E623" s="7"/>
      <c r="F623" s="7"/>
      <c r="G623" s="7"/>
      <c r="H623" s="7"/>
      <c r="I623" s="7"/>
    </row>
    <row r="624" spans="5:9" x14ac:dyDescent="0.2">
      <c r="E624" s="7"/>
      <c r="F624" s="7"/>
      <c r="G624" s="7"/>
      <c r="H624" s="7"/>
      <c r="I624" s="7"/>
    </row>
    <row r="625" spans="5:9" x14ac:dyDescent="0.2">
      <c r="E625" s="7"/>
      <c r="F625" s="7"/>
      <c r="G625" s="7"/>
      <c r="H625" s="7"/>
      <c r="I625" s="7"/>
    </row>
    <row r="626" spans="5:9" x14ac:dyDescent="0.2">
      <c r="E626" s="7"/>
      <c r="F626" s="7"/>
      <c r="G626" s="7"/>
      <c r="H626" s="7"/>
      <c r="I626" s="7"/>
    </row>
    <row r="627" spans="5:9" x14ac:dyDescent="0.2">
      <c r="E627" s="7"/>
      <c r="F627" s="7"/>
      <c r="G627" s="7"/>
      <c r="H627" s="7"/>
      <c r="I627" s="7"/>
    </row>
    <row r="628" spans="5:9" x14ac:dyDescent="0.2">
      <c r="E628" s="7"/>
      <c r="F628" s="7"/>
      <c r="G628" s="7"/>
      <c r="H628" s="7"/>
      <c r="I628" s="7"/>
    </row>
    <row r="629" spans="5:9" x14ac:dyDescent="0.2">
      <c r="E629" s="7"/>
      <c r="F629" s="7"/>
      <c r="G629" s="7"/>
      <c r="H629" s="7"/>
      <c r="I629" s="7"/>
    </row>
    <row r="630" spans="5:9" x14ac:dyDescent="0.2">
      <c r="E630" s="7"/>
      <c r="F630" s="7"/>
      <c r="G630" s="7"/>
      <c r="H630" s="7"/>
      <c r="I630" s="7"/>
    </row>
    <row r="631" spans="5:9" x14ac:dyDescent="0.2">
      <c r="E631" s="7"/>
      <c r="F631" s="7"/>
      <c r="G631" s="7"/>
      <c r="H631" s="7"/>
      <c r="I631" s="7"/>
    </row>
    <row r="632" spans="5:9" x14ac:dyDescent="0.2">
      <c r="E632" s="7"/>
      <c r="F632" s="7"/>
      <c r="G632" s="7"/>
      <c r="H632" s="7"/>
      <c r="I632" s="7"/>
    </row>
    <row r="633" spans="5:9" x14ac:dyDescent="0.2">
      <c r="E633" s="7"/>
      <c r="F633" s="7"/>
      <c r="G633" s="7"/>
      <c r="H633" s="7"/>
      <c r="I633" s="7"/>
    </row>
    <row r="634" spans="5:9" x14ac:dyDescent="0.2">
      <c r="E634" s="7"/>
      <c r="F634" s="7"/>
      <c r="G634" s="7"/>
      <c r="H634" s="7"/>
      <c r="I634" s="7"/>
    </row>
    <row r="635" spans="5:9" x14ac:dyDescent="0.2">
      <c r="E635" s="7"/>
      <c r="F635" s="7"/>
      <c r="G635" s="7"/>
      <c r="H635" s="7"/>
      <c r="I635" s="7"/>
    </row>
    <row r="636" spans="5:9" x14ac:dyDescent="0.2">
      <c r="E636" s="7"/>
      <c r="F636" s="7"/>
      <c r="G636" s="7"/>
      <c r="H636" s="7"/>
      <c r="I636" s="7"/>
    </row>
    <row r="637" spans="5:9" x14ac:dyDescent="0.2">
      <c r="E637" s="7"/>
      <c r="F637" s="7"/>
      <c r="G637" s="7"/>
      <c r="H637" s="7"/>
      <c r="I637" s="7"/>
    </row>
    <row r="638" spans="5:9" x14ac:dyDescent="0.2">
      <c r="E638" s="7"/>
      <c r="F638" s="7"/>
      <c r="G638" s="7"/>
      <c r="H638" s="7"/>
      <c r="I638" s="7"/>
    </row>
    <row r="639" spans="5:9" x14ac:dyDescent="0.2">
      <c r="E639" s="7"/>
      <c r="F639" s="7"/>
      <c r="G639" s="7"/>
      <c r="H639" s="7"/>
      <c r="I639" s="7"/>
    </row>
    <row r="640" spans="5:9" x14ac:dyDescent="0.2">
      <c r="E640" s="7"/>
      <c r="F640" s="7"/>
      <c r="G640" s="7"/>
      <c r="H640" s="7"/>
      <c r="I640" s="7"/>
    </row>
    <row r="641" spans="5:9" x14ac:dyDescent="0.2">
      <c r="E641" s="7"/>
      <c r="F641" s="7"/>
      <c r="G641" s="7"/>
      <c r="H641" s="7"/>
      <c r="I641" s="7"/>
    </row>
    <row r="642" spans="5:9" x14ac:dyDescent="0.2">
      <c r="E642" s="7"/>
      <c r="F642" s="7"/>
      <c r="G642" s="7"/>
      <c r="H642" s="7"/>
      <c r="I642" s="7"/>
    </row>
    <row r="643" spans="5:9" x14ac:dyDescent="0.2">
      <c r="E643" s="7"/>
      <c r="F643" s="7"/>
      <c r="G643" s="7"/>
      <c r="H643" s="7"/>
      <c r="I643" s="7"/>
    </row>
    <row r="644" spans="5:9" x14ac:dyDescent="0.2">
      <c r="E644" s="7"/>
      <c r="F644" s="7"/>
      <c r="G644" s="7"/>
      <c r="H644" s="7"/>
      <c r="I644" s="7"/>
    </row>
    <row r="645" spans="5:9" x14ac:dyDescent="0.2">
      <c r="E645" s="7"/>
      <c r="F645" s="7"/>
      <c r="G645" s="7"/>
      <c r="H645" s="7"/>
      <c r="I645" s="7"/>
    </row>
    <row r="646" spans="5:9" x14ac:dyDescent="0.2">
      <c r="E646" s="7"/>
      <c r="F646" s="7"/>
      <c r="G646" s="7"/>
      <c r="H646" s="7"/>
      <c r="I646" s="7"/>
    </row>
    <row r="647" spans="5:9" x14ac:dyDescent="0.2">
      <c r="E647" s="7"/>
      <c r="F647" s="7"/>
      <c r="G647" s="7"/>
      <c r="H647" s="7"/>
      <c r="I647" s="7"/>
    </row>
    <row r="648" spans="5:9" x14ac:dyDescent="0.2">
      <c r="E648" s="7"/>
      <c r="F648" s="7"/>
      <c r="G648" s="7"/>
      <c r="H648" s="7"/>
      <c r="I648" s="7"/>
    </row>
    <row r="649" spans="5:9" x14ac:dyDescent="0.2">
      <c r="E649" s="7"/>
      <c r="F649" s="7"/>
      <c r="G649" s="7"/>
      <c r="H649" s="7"/>
      <c r="I649" s="7"/>
    </row>
    <row r="650" spans="5:9" x14ac:dyDescent="0.2">
      <c r="E650" s="7"/>
      <c r="F650" s="7"/>
      <c r="G650" s="7"/>
      <c r="H650" s="7"/>
      <c r="I650" s="7"/>
    </row>
    <row r="651" spans="5:9" x14ac:dyDescent="0.2">
      <c r="E651" s="7"/>
      <c r="F651" s="7"/>
      <c r="G651" s="7"/>
      <c r="H651" s="7"/>
      <c r="I651" s="7"/>
    </row>
    <row r="652" spans="5:9" x14ac:dyDescent="0.2">
      <c r="E652" s="7"/>
      <c r="F652" s="7"/>
      <c r="G652" s="7"/>
      <c r="H652" s="7"/>
      <c r="I652" s="7"/>
    </row>
    <row r="653" spans="5:9" x14ac:dyDescent="0.2">
      <c r="E653" s="7"/>
      <c r="F653" s="7"/>
      <c r="G653" s="7"/>
      <c r="H653" s="7"/>
      <c r="I653" s="7"/>
    </row>
    <row r="654" spans="5:9" x14ac:dyDescent="0.2">
      <c r="E654" s="7"/>
      <c r="F654" s="7"/>
      <c r="G654" s="7"/>
      <c r="H654" s="7"/>
      <c r="I654" s="7"/>
    </row>
    <row r="655" spans="5:9" x14ac:dyDescent="0.2">
      <c r="E655" s="7"/>
      <c r="F655" s="7"/>
      <c r="G655" s="7"/>
      <c r="H655" s="7"/>
      <c r="I655" s="7"/>
    </row>
    <row r="656" spans="5:9" x14ac:dyDescent="0.2">
      <c r="E656" s="7"/>
      <c r="F656" s="7"/>
      <c r="G656" s="7"/>
      <c r="H656" s="7"/>
      <c r="I656" s="7"/>
    </row>
    <row r="657" spans="5:9" x14ac:dyDescent="0.2">
      <c r="E657" s="7"/>
      <c r="F657" s="7"/>
      <c r="G657" s="7"/>
      <c r="H657" s="7"/>
      <c r="I657" s="7"/>
    </row>
    <row r="658" spans="5:9" x14ac:dyDescent="0.2">
      <c r="E658" s="7"/>
      <c r="F658" s="7"/>
      <c r="G658" s="7"/>
      <c r="H658" s="7"/>
      <c r="I658" s="7"/>
    </row>
    <row r="659" spans="5:9" x14ac:dyDescent="0.2">
      <c r="E659" s="7"/>
      <c r="F659" s="7"/>
      <c r="G659" s="7"/>
      <c r="H659" s="7"/>
      <c r="I659" s="7"/>
    </row>
    <row r="660" spans="5:9" x14ac:dyDescent="0.2">
      <c r="E660" s="7"/>
      <c r="F660" s="7"/>
      <c r="G660" s="7"/>
      <c r="H660" s="7"/>
      <c r="I660" s="7"/>
    </row>
    <row r="661" spans="5:9" x14ac:dyDescent="0.2">
      <c r="E661" s="7"/>
      <c r="F661" s="7"/>
      <c r="G661" s="7"/>
      <c r="H661" s="7"/>
      <c r="I661" s="7"/>
    </row>
    <row r="662" spans="5:9" x14ac:dyDescent="0.2">
      <c r="E662" s="7"/>
      <c r="F662" s="7"/>
      <c r="G662" s="7"/>
      <c r="H662" s="7"/>
      <c r="I662" s="7"/>
    </row>
    <row r="663" spans="5:9" x14ac:dyDescent="0.2">
      <c r="E663" s="7"/>
      <c r="F663" s="7"/>
      <c r="G663" s="7"/>
      <c r="H663" s="7"/>
      <c r="I663" s="7"/>
    </row>
    <row r="664" spans="5:9" x14ac:dyDescent="0.2">
      <c r="E664" s="7"/>
      <c r="F664" s="7"/>
      <c r="G664" s="7"/>
      <c r="H664" s="7"/>
      <c r="I664" s="7"/>
    </row>
    <row r="665" spans="5:9" x14ac:dyDescent="0.2">
      <c r="E665" s="7"/>
      <c r="F665" s="7"/>
      <c r="G665" s="7"/>
      <c r="H665" s="7"/>
      <c r="I665" s="7"/>
    </row>
    <row r="666" spans="5:9" x14ac:dyDescent="0.2">
      <c r="E666" s="7"/>
      <c r="F666" s="7"/>
      <c r="G666" s="7"/>
      <c r="H666" s="7"/>
      <c r="I666" s="7"/>
    </row>
    <row r="667" spans="5:9" x14ac:dyDescent="0.2">
      <c r="E667" s="7"/>
      <c r="F667" s="7"/>
      <c r="G667" s="7"/>
      <c r="H667" s="7"/>
      <c r="I667" s="7"/>
    </row>
    <row r="668" spans="5:9" x14ac:dyDescent="0.2">
      <c r="E668" s="7"/>
      <c r="F668" s="7"/>
      <c r="G668" s="7"/>
      <c r="H668" s="7"/>
      <c r="I668" s="7"/>
    </row>
    <row r="669" spans="5:9" x14ac:dyDescent="0.2">
      <c r="E669" s="7"/>
      <c r="F669" s="7"/>
      <c r="G669" s="7"/>
      <c r="H669" s="7"/>
      <c r="I669" s="7"/>
    </row>
    <row r="670" spans="5:9" x14ac:dyDescent="0.2">
      <c r="E670" s="7"/>
      <c r="F670" s="7"/>
      <c r="G670" s="7"/>
      <c r="H670" s="7"/>
      <c r="I670" s="7"/>
    </row>
    <row r="671" spans="5:9" x14ac:dyDescent="0.2">
      <c r="E671" s="7"/>
      <c r="F671" s="7"/>
      <c r="G671" s="7"/>
      <c r="H671" s="7"/>
      <c r="I671" s="7"/>
    </row>
    <row r="672" spans="5:9" x14ac:dyDescent="0.2">
      <c r="E672" s="7"/>
      <c r="F672" s="7"/>
      <c r="G672" s="7"/>
      <c r="H672" s="7"/>
      <c r="I672" s="7"/>
    </row>
    <row r="673" spans="5:9" x14ac:dyDescent="0.2">
      <c r="E673" s="7"/>
      <c r="F673" s="7"/>
      <c r="G673" s="7"/>
      <c r="H673" s="7"/>
      <c r="I673" s="7"/>
    </row>
    <row r="674" spans="5:9" x14ac:dyDescent="0.2">
      <c r="E674" s="7"/>
      <c r="F674" s="7"/>
      <c r="G674" s="7"/>
      <c r="H674" s="7"/>
      <c r="I674" s="7"/>
    </row>
    <row r="675" spans="5:9" x14ac:dyDescent="0.2">
      <c r="E675" s="7"/>
      <c r="F675" s="7"/>
      <c r="G675" s="7"/>
      <c r="H675" s="7"/>
      <c r="I675" s="7"/>
    </row>
    <row r="676" spans="5:9" x14ac:dyDescent="0.2">
      <c r="E676" s="7"/>
      <c r="F676" s="7"/>
      <c r="G676" s="7"/>
      <c r="H676" s="7"/>
      <c r="I676" s="7"/>
    </row>
    <row r="677" spans="5:9" x14ac:dyDescent="0.2">
      <c r="E677" s="7"/>
      <c r="F677" s="7"/>
      <c r="G677" s="7"/>
      <c r="H677" s="7"/>
      <c r="I677" s="7"/>
    </row>
    <row r="678" spans="5:9" x14ac:dyDescent="0.2">
      <c r="E678" s="7"/>
      <c r="F678" s="7"/>
      <c r="G678" s="7"/>
      <c r="H678" s="7"/>
      <c r="I678" s="7"/>
    </row>
    <row r="679" spans="5:9" x14ac:dyDescent="0.2">
      <c r="E679" s="7"/>
      <c r="F679" s="7"/>
      <c r="G679" s="7"/>
      <c r="H679" s="7"/>
      <c r="I679" s="7"/>
    </row>
    <row r="680" spans="5:9" x14ac:dyDescent="0.2">
      <c r="E680" s="7"/>
      <c r="F680" s="7"/>
      <c r="G680" s="7"/>
      <c r="H680" s="7"/>
      <c r="I680" s="7"/>
    </row>
    <row r="681" spans="5:9" x14ac:dyDescent="0.2">
      <c r="E681" s="7"/>
      <c r="F681" s="7"/>
      <c r="G681" s="7"/>
      <c r="H681" s="7"/>
      <c r="I681" s="7"/>
    </row>
    <row r="682" spans="5:9" x14ac:dyDescent="0.2">
      <c r="E682" s="7"/>
      <c r="F682" s="7"/>
      <c r="G682" s="7"/>
      <c r="H682" s="7"/>
      <c r="I682" s="7"/>
    </row>
    <row r="683" spans="5:9" x14ac:dyDescent="0.2">
      <c r="E683" s="7"/>
      <c r="F683" s="7"/>
      <c r="G683" s="7"/>
      <c r="H683" s="7"/>
      <c r="I683" s="7"/>
    </row>
    <row r="684" spans="5:9" x14ac:dyDescent="0.2">
      <c r="E684" s="7"/>
      <c r="F684" s="7"/>
      <c r="G684" s="7"/>
      <c r="H684" s="7"/>
      <c r="I684" s="7"/>
    </row>
    <row r="685" spans="5:9" x14ac:dyDescent="0.2">
      <c r="E685" s="7"/>
      <c r="F685" s="7"/>
      <c r="G685" s="7"/>
      <c r="H685" s="7"/>
      <c r="I685" s="7"/>
    </row>
    <row r="686" spans="5:9" x14ac:dyDescent="0.2">
      <c r="E686" s="7"/>
      <c r="F686" s="7"/>
      <c r="G686" s="7"/>
      <c r="H686" s="7"/>
      <c r="I686" s="7"/>
    </row>
    <row r="687" spans="5:9" x14ac:dyDescent="0.2">
      <c r="E687" s="7"/>
      <c r="F687" s="7"/>
      <c r="G687" s="7"/>
      <c r="H687" s="7"/>
      <c r="I687" s="7"/>
    </row>
    <row r="688" spans="5:9" x14ac:dyDescent="0.2">
      <c r="E688" s="7"/>
      <c r="F688" s="7"/>
      <c r="G688" s="7"/>
      <c r="H688" s="7"/>
      <c r="I688" s="7"/>
    </row>
    <row r="689" spans="5:9" x14ac:dyDescent="0.2">
      <c r="E689" s="7"/>
      <c r="F689" s="7"/>
      <c r="G689" s="7"/>
      <c r="H689" s="7"/>
      <c r="I689" s="7"/>
    </row>
    <row r="690" spans="5:9" x14ac:dyDescent="0.2">
      <c r="E690" s="7"/>
      <c r="F690" s="7"/>
      <c r="G690" s="7"/>
      <c r="H690" s="7"/>
      <c r="I690" s="7"/>
    </row>
    <row r="691" spans="5:9" x14ac:dyDescent="0.2">
      <c r="E691" s="7"/>
      <c r="F691" s="7"/>
      <c r="G691" s="7"/>
      <c r="H691" s="7"/>
      <c r="I691" s="7"/>
    </row>
    <row r="692" spans="5:9" x14ac:dyDescent="0.2">
      <c r="E692" s="7"/>
      <c r="F692" s="7"/>
      <c r="G692" s="7"/>
      <c r="H692" s="7"/>
      <c r="I692" s="7"/>
    </row>
    <row r="693" spans="5:9" x14ac:dyDescent="0.2">
      <c r="E693" s="7"/>
      <c r="F693" s="7"/>
      <c r="G693" s="7"/>
      <c r="H693" s="7"/>
      <c r="I693" s="7"/>
    </row>
    <row r="694" spans="5:9" x14ac:dyDescent="0.2">
      <c r="E694" s="7"/>
      <c r="F694" s="7"/>
      <c r="G694" s="7"/>
      <c r="H694" s="7"/>
      <c r="I694" s="7"/>
    </row>
    <row r="695" spans="5:9" x14ac:dyDescent="0.2">
      <c r="E695" s="7"/>
      <c r="F695" s="7"/>
      <c r="G695" s="7"/>
      <c r="H695" s="7"/>
      <c r="I695" s="7"/>
    </row>
    <row r="696" spans="5:9" x14ac:dyDescent="0.2">
      <c r="E696" s="7"/>
      <c r="F696" s="7"/>
      <c r="G696" s="7"/>
      <c r="H696" s="7"/>
      <c r="I696" s="7"/>
    </row>
    <row r="697" spans="5:9" x14ac:dyDescent="0.2">
      <c r="E697" s="7"/>
      <c r="F697" s="7"/>
      <c r="G697" s="7"/>
      <c r="H697" s="7"/>
      <c r="I697" s="7"/>
    </row>
    <row r="698" spans="5:9" x14ac:dyDescent="0.2">
      <c r="E698" s="7"/>
      <c r="F698" s="7"/>
      <c r="G698" s="7"/>
      <c r="H698" s="7"/>
      <c r="I698" s="7"/>
    </row>
    <row r="699" spans="5:9" x14ac:dyDescent="0.2">
      <c r="E699" s="7"/>
      <c r="F699" s="7"/>
      <c r="G699" s="7"/>
      <c r="H699" s="7"/>
      <c r="I699" s="7"/>
    </row>
    <row r="700" spans="5:9" x14ac:dyDescent="0.2">
      <c r="E700" s="7"/>
      <c r="F700" s="7"/>
      <c r="G700" s="7"/>
      <c r="H700" s="7"/>
      <c r="I700" s="7"/>
    </row>
    <row r="701" spans="5:9" x14ac:dyDescent="0.2">
      <c r="E701" s="7"/>
      <c r="F701" s="7"/>
      <c r="G701" s="7"/>
      <c r="H701" s="7"/>
      <c r="I701" s="7"/>
    </row>
    <row r="702" spans="5:9" x14ac:dyDescent="0.2">
      <c r="E702" s="7"/>
      <c r="F702" s="7"/>
      <c r="G702" s="7"/>
      <c r="H702" s="7"/>
      <c r="I702" s="7"/>
    </row>
    <row r="703" spans="5:9" x14ac:dyDescent="0.2">
      <c r="E703" s="7"/>
      <c r="F703" s="7"/>
      <c r="G703" s="7"/>
      <c r="H703" s="7"/>
      <c r="I703" s="7"/>
    </row>
    <row r="704" spans="5:9" x14ac:dyDescent="0.2">
      <c r="E704" s="7"/>
      <c r="F704" s="7"/>
      <c r="G704" s="7"/>
      <c r="H704" s="7"/>
      <c r="I704" s="7"/>
    </row>
    <row r="705" spans="5:9" x14ac:dyDescent="0.2">
      <c r="E705" s="7"/>
      <c r="F705" s="7"/>
      <c r="G705" s="7"/>
      <c r="H705" s="7"/>
      <c r="I705" s="7"/>
    </row>
    <row r="706" spans="5:9" x14ac:dyDescent="0.2">
      <c r="E706" s="7"/>
      <c r="F706" s="7"/>
      <c r="G706" s="7"/>
      <c r="H706" s="7"/>
      <c r="I706" s="7"/>
    </row>
    <row r="707" spans="5:9" x14ac:dyDescent="0.2">
      <c r="E707" s="7"/>
      <c r="F707" s="7"/>
      <c r="G707" s="7"/>
      <c r="H707" s="7"/>
      <c r="I707" s="7"/>
    </row>
    <row r="708" spans="5:9" x14ac:dyDescent="0.2">
      <c r="E708" s="7"/>
      <c r="F708" s="7"/>
      <c r="G708" s="7"/>
      <c r="H708" s="7"/>
      <c r="I708" s="7"/>
    </row>
    <row r="709" spans="5:9" x14ac:dyDescent="0.2">
      <c r="E709" s="7"/>
      <c r="F709" s="7"/>
      <c r="G709" s="7"/>
      <c r="H709" s="7"/>
      <c r="I709" s="7"/>
    </row>
    <row r="710" spans="5:9" x14ac:dyDescent="0.2">
      <c r="E710" s="7"/>
      <c r="F710" s="7"/>
      <c r="G710" s="7"/>
      <c r="H710" s="7"/>
      <c r="I710" s="7"/>
    </row>
    <row r="711" spans="5:9" x14ac:dyDescent="0.2">
      <c r="E711" s="7"/>
      <c r="F711" s="7"/>
      <c r="G711" s="7"/>
      <c r="H711" s="7"/>
      <c r="I711" s="7"/>
    </row>
    <row r="712" spans="5:9" x14ac:dyDescent="0.2">
      <c r="E712" s="7"/>
      <c r="F712" s="7"/>
      <c r="G712" s="7"/>
      <c r="H712" s="7"/>
      <c r="I712" s="7"/>
    </row>
    <row r="713" spans="5:9" x14ac:dyDescent="0.2">
      <c r="E713" s="7"/>
      <c r="F713" s="7"/>
      <c r="G713" s="7"/>
      <c r="H713" s="7"/>
      <c r="I713" s="7"/>
    </row>
    <row r="714" spans="5:9" x14ac:dyDescent="0.2">
      <c r="E714" s="7"/>
      <c r="F714" s="7"/>
      <c r="G714" s="7"/>
      <c r="H714" s="7"/>
      <c r="I714" s="7"/>
    </row>
    <row r="715" spans="5:9" x14ac:dyDescent="0.2">
      <c r="E715" s="7"/>
      <c r="F715" s="7"/>
      <c r="G715" s="7"/>
      <c r="H715" s="7"/>
      <c r="I715" s="7"/>
    </row>
    <row r="716" spans="5:9" x14ac:dyDescent="0.2">
      <c r="E716" s="7"/>
      <c r="F716" s="7"/>
      <c r="G716" s="7"/>
      <c r="H716" s="7"/>
      <c r="I716" s="7"/>
    </row>
    <row r="717" spans="5:9" x14ac:dyDescent="0.2">
      <c r="E717" s="7"/>
      <c r="F717" s="7"/>
      <c r="G717" s="7"/>
      <c r="H717" s="7"/>
      <c r="I717" s="7"/>
    </row>
    <row r="718" spans="5:9" x14ac:dyDescent="0.2">
      <c r="E718" s="7"/>
      <c r="F718" s="7"/>
      <c r="G718" s="7"/>
      <c r="H718" s="7"/>
      <c r="I718" s="7"/>
    </row>
    <row r="719" spans="5:9" x14ac:dyDescent="0.2">
      <c r="E719" s="7"/>
      <c r="F719" s="7"/>
      <c r="G719" s="7"/>
      <c r="H719" s="7"/>
      <c r="I719" s="7"/>
    </row>
    <row r="720" spans="5:9" x14ac:dyDescent="0.2">
      <c r="E720" s="7"/>
      <c r="F720" s="7"/>
      <c r="G720" s="7"/>
      <c r="H720" s="7"/>
      <c r="I720" s="7"/>
    </row>
    <row r="721" spans="5:9" x14ac:dyDescent="0.2">
      <c r="E721" s="7"/>
      <c r="F721" s="7"/>
      <c r="G721" s="7"/>
      <c r="H721" s="7"/>
      <c r="I721" s="7"/>
    </row>
    <row r="722" spans="5:9" x14ac:dyDescent="0.2">
      <c r="E722" s="7"/>
      <c r="F722" s="7"/>
      <c r="G722" s="7"/>
      <c r="H722" s="7"/>
      <c r="I722" s="7"/>
    </row>
    <row r="723" spans="5:9" x14ac:dyDescent="0.2">
      <c r="E723" s="7"/>
      <c r="F723" s="7"/>
      <c r="G723" s="7"/>
      <c r="H723" s="7"/>
      <c r="I723" s="7"/>
    </row>
    <row r="724" spans="5:9" x14ac:dyDescent="0.2">
      <c r="E724" s="7"/>
      <c r="F724" s="7"/>
      <c r="G724" s="7"/>
      <c r="H724" s="7"/>
      <c r="I724" s="7"/>
    </row>
    <row r="725" spans="5:9" x14ac:dyDescent="0.2">
      <c r="E725" s="7"/>
      <c r="F725" s="7"/>
      <c r="G725" s="7"/>
      <c r="H725" s="7"/>
      <c r="I725" s="7"/>
    </row>
    <row r="726" spans="5:9" x14ac:dyDescent="0.2">
      <c r="E726" s="7"/>
      <c r="F726" s="7"/>
      <c r="G726" s="7"/>
      <c r="H726" s="7"/>
      <c r="I726" s="7"/>
    </row>
    <row r="727" spans="5:9" x14ac:dyDescent="0.2">
      <c r="E727" s="7"/>
      <c r="F727" s="7"/>
      <c r="G727" s="7"/>
      <c r="H727" s="7"/>
      <c r="I727" s="7"/>
    </row>
    <row r="728" spans="5:9" x14ac:dyDescent="0.2">
      <c r="E728" s="7"/>
      <c r="F728" s="7"/>
      <c r="G728" s="7"/>
      <c r="H728" s="7"/>
      <c r="I728" s="7"/>
    </row>
    <row r="729" spans="5:9" x14ac:dyDescent="0.2">
      <c r="E729" s="7"/>
      <c r="F729" s="7"/>
      <c r="G729" s="7"/>
      <c r="H729" s="7"/>
      <c r="I729" s="7"/>
    </row>
    <row r="730" spans="5:9" x14ac:dyDescent="0.2">
      <c r="E730" s="7"/>
      <c r="F730" s="7"/>
      <c r="G730" s="7"/>
      <c r="H730" s="7"/>
      <c r="I730" s="7"/>
    </row>
    <row r="731" spans="5:9" x14ac:dyDescent="0.2">
      <c r="E731" s="7"/>
      <c r="F731" s="7"/>
      <c r="G731" s="7"/>
      <c r="H731" s="7"/>
      <c r="I731" s="7"/>
    </row>
    <row r="732" spans="5:9" x14ac:dyDescent="0.2">
      <c r="E732" s="7"/>
      <c r="F732" s="7"/>
      <c r="G732" s="7"/>
      <c r="H732" s="7"/>
      <c r="I732" s="7"/>
    </row>
    <row r="733" spans="5:9" x14ac:dyDescent="0.2">
      <c r="E733" s="7"/>
      <c r="F733" s="7"/>
      <c r="G733" s="7"/>
      <c r="H733" s="7"/>
      <c r="I733" s="7"/>
    </row>
    <row r="734" spans="5:9" x14ac:dyDescent="0.2">
      <c r="E734" s="7"/>
      <c r="F734" s="7"/>
      <c r="G734" s="7"/>
      <c r="H734" s="7"/>
      <c r="I734" s="7"/>
    </row>
    <row r="735" spans="5:9" x14ac:dyDescent="0.2">
      <c r="E735" s="7"/>
      <c r="F735" s="7"/>
      <c r="G735" s="7"/>
      <c r="H735" s="7"/>
      <c r="I735" s="7"/>
    </row>
    <row r="736" spans="5:9" x14ac:dyDescent="0.2">
      <c r="E736" s="7"/>
      <c r="F736" s="7"/>
      <c r="G736" s="7"/>
      <c r="H736" s="7"/>
      <c r="I736" s="7"/>
    </row>
    <row r="737" spans="5:9" x14ac:dyDescent="0.2">
      <c r="E737" s="7"/>
      <c r="F737" s="7"/>
      <c r="G737" s="7"/>
      <c r="H737" s="7"/>
      <c r="I737" s="7"/>
    </row>
    <row r="738" spans="5:9" x14ac:dyDescent="0.2">
      <c r="E738" s="7"/>
      <c r="F738" s="7"/>
      <c r="G738" s="7"/>
      <c r="H738" s="7"/>
      <c r="I738" s="7"/>
    </row>
    <row r="739" spans="5:9" x14ac:dyDescent="0.2">
      <c r="E739" s="7"/>
      <c r="F739" s="7"/>
      <c r="G739" s="7"/>
      <c r="H739" s="7"/>
      <c r="I739" s="7"/>
    </row>
    <row r="740" spans="5:9" x14ac:dyDescent="0.2">
      <c r="E740" s="7"/>
      <c r="F740" s="7"/>
      <c r="G740" s="7"/>
      <c r="H740" s="7"/>
      <c r="I740" s="7"/>
    </row>
    <row r="741" spans="5:9" x14ac:dyDescent="0.2">
      <c r="E741" s="7"/>
      <c r="F741" s="7"/>
      <c r="G741" s="7"/>
      <c r="H741" s="7"/>
      <c r="I741" s="7"/>
    </row>
    <row r="742" spans="5:9" x14ac:dyDescent="0.2">
      <c r="E742" s="7"/>
      <c r="F742" s="7"/>
      <c r="G742" s="7"/>
      <c r="H742" s="7"/>
      <c r="I742" s="7"/>
    </row>
    <row r="743" spans="5:9" x14ac:dyDescent="0.2">
      <c r="E743" s="7"/>
      <c r="F743" s="7"/>
      <c r="G743" s="7"/>
      <c r="H743" s="7"/>
      <c r="I743" s="7"/>
    </row>
    <row r="744" spans="5:9" x14ac:dyDescent="0.2">
      <c r="E744" s="7"/>
      <c r="F744" s="7"/>
      <c r="G744" s="7"/>
      <c r="H744" s="7"/>
      <c r="I744" s="7"/>
    </row>
    <row r="745" spans="5:9" x14ac:dyDescent="0.2">
      <c r="E745" s="7"/>
      <c r="F745" s="7"/>
      <c r="G745" s="7"/>
      <c r="H745" s="7"/>
      <c r="I745" s="7"/>
    </row>
    <row r="746" spans="5:9" x14ac:dyDescent="0.2">
      <c r="E746" s="7"/>
      <c r="F746" s="7"/>
      <c r="G746" s="7"/>
      <c r="H746" s="7"/>
      <c r="I746" s="7"/>
    </row>
    <row r="747" spans="5:9" x14ac:dyDescent="0.2">
      <c r="E747" s="7"/>
      <c r="F747" s="7"/>
      <c r="G747" s="7"/>
      <c r="H747" s="7"/>
      <c r="I747" s="7"/>
    </row>
    <row r="748" spans="5:9" x14ac:dyDescent="0.2">
      <c r="E748" s="7"/>
      <c r="F748" s="7"/>
      <c r="G748" s="7"/>
      <c r="H748" s="7"/>
      <c r="I748" s="7"/>
    </row>
    <row r="749" spans="5:9" x14ac:dyDescent="0.2">
      <c r="E749" s="7"/>
      <c r="F749" s="7"/>
      <c r="G749" s="7"/>
      <c r="H749" s="7"/>
      <c r="I749" s="7"/>
    </row>
    <row r="750" spans="5:9" x14ac:dyDescent="0.2">
      <c r="E750" s="7"/>
      <c r="F750" s="7"/>
      <c r="G750" s="7"/>
      <c r="H750" s="7"/>
      <c r="I750" s="7"/>
    </row>
    <row r="751" spans="5:9" x14ac:dyDescent="0.2">
      <c r="E751" s="7"/>
      <c r="F751" s="7"/>
      <c r="G751" s="7"/>
      <c r="H751" s="7"/>
      <c r="I751" s="7"/>
    </row>
    <row r="752" spans="5:9" x14ac:dyDescent="0.2">
      <c r="E752" s="7"/>
      <c r="F752" s="7"/>
      <c r="G752" s="7"/>
      <c r="H752" s="7"/>
      <c r="I752" s="7"/>
    </row>
    <row r="753" spans="5:9" x14ac:dyDescent="0.2">
      <c r="E753" s="7"/>
      <c r="F753" s="7"/>
      <c r="G753" s="7"/>
      <c r="H753" s="7"/>
      <c r="I753" s="7"/>
    </row>
    <row r="754" spans="5:9" x14ac:dyDescent="0.2">
      <c r="E754" s="7"/>
      <c r="F754" s="7"/>
      <c r="G754" s="7"/>
      <c r="H754" s="7"/>
      <c r="I754" s="7"/>
    </row>
    <row r="755" spans="5:9" x14ac:dyDescent="0.2">
      <c r="E755" s="7"/>
      <c r="F755" s="7"/>
      <c r="G755" s="7"/>
      <c r="H755" s="7"/>
      <c r="I755" s="7"/>
    </row>
    <row r="756" spans="5:9" x14ac:dyDescent="0.2">
      <c r="E756" s="7"/>
      <c r="F756" s="7"/>
      <c r="G756" s="7"/>
      <c r="H756" s="7"/>
      <c r="I756" s="7"/>
    </row>
    <row r="757" spans="5:9" x14ac:dyDescent="0.2">
      <c r="E757" s="7"/>
      <c r="F757" s="7"/>
      <c r="G757" s="7"/>
      <c r="H757" s="7"/>
      <c r="I757" s="7"/>
    </row>
    <row r="758" spans="5:9" x14ac:dyDescent="0.2">
      <c r="E758" s="7"/>
      <c r="F758" s="7"/>
      <c r="G758" s="7"/>
      <c r="H758" s="7"/>
      <c r="I758" s="7"/>
    </row>
    <row r="759" spans="5:9" x14ac:dyDescent="0.2">
      <c r="E759" s="7"/>
      <c r="F759" s="7"/>
      <c r="G759" s="7"/>
      <c r="H759" s="7"/>
      <c r="I759" s="7"/>
    </row>
    <row r="760" spans="5:9" x14ac:dyDescent="0.2">
      <c r="E760" s="7"/>
      <c r="F760" s="7"/>
      <c r="G760" s="7"/>
      <c r="H760" s="7"/>
      <c r="I760" s="7"/>
    </row>
    <row r="761" spans="5:9" x14ac:dyDescent="0.2">
      <c r="E761" s="7"/>
      <c r="F761" s="7"/>
      <c r="G761" s="7"/>
      <c r="H761" s="7"/>
      <c r="I761" s="7"/>
    </row>
    <row r="762" spans="5:9" x14ac:dyDescent="0.2">
      <c r="E762" s="7"/>
      <c r="F762" s="7"/>
      <c r="G762" s="7"/>
      <c r="H762" s="7"/>
      <c r="I762" s="7"/>
    </row>
    <row r="763" spans="5:9" x14ac:dyDescent="0.2">
      <c r="E763" s="7"/>
      <c r="F763" s="7"/>
      <c r="G763" s="7"/>
      <c r="H763" s="7"/>
      <c r="I763" s="7"/>
    </row>
    <row r="764" spans="5:9" x14ac:dyDescent="0.2">
      <c r="E764" s="7"/>
      <c r="F764" s="7"/>
      <c r="G764" s="7"/>
      <c r="H764" s="7"/>
      <c r="I764" s="7"/>
    </row>
    <row r="765" spans="5:9" x14ac:dyDescent="0.2">
      <c r="E765" s="7"/>
      <c r="F765" s="7"/>
      <c r="G765" s="7"/>
      <c r="H765" s="7"/>
      <c r="I765" s="7"/>
    </row>
    <row r="766" spans="5:9" x14ac:dyDescent="0.2">
      <c r="E766" s="7"/>
      <c r="F766" s="7"/>
      <c r="G766" s="7"/>
      <c r="H766" s="7"/>
      <c r="I766" s="7"/>
    </row>
    <row r="767" spans="5:9" x14ac:dyDescent="0.2">
      <c r="E767" s="7"/>
      <c r="F767" s="7"/>
      <c r="G767" s="7"/>
      <c r="H767" s="7"/>
      <c r="I767" s="7"/>
    </row>
    <row r="768" spans="5:9" x14ac:dyDescent="0.2">
      <c r="E768" s="7"/>
      <c r="F768" s="7"/>
      <c r="G768" s="7"/>
      <c r="H768" s="7"/>
      <c r="I768" s="7"/>
    </row>
    <row r="769" spans="5:9" x14ac:dyDescent="0.2">
      <c r="E769" s="7"/>
      <c r="F769" s="7"/>
      <c r="G769" s="7"/>
      <c r="H769" s="7"/>
      <c r="I769" s="7"/>
    </row>
    <row r="770" spans="5:9" x14ac:dyDescent="0.2">
      <c r="E770" s="7"/>
      <c r="F770" s="7"/>
      <c r="G770" s="7"/>
      <c r="H770" s="7"/>
      <c r="I770" s="7"/>
    </row>
    <row r="771" spans="5:9" x14ac:dyDescent="0.2">
      <c r="E771" s="7"/>
      <c r="F771" s="7"/>
      <c r="G771" s="7"/>
      <c r="H771" s="7"/>
      <c r="I771" s="7"/>
    </row>
    <row r="772" spans="5:9" x14ac:dyDescent="0.2">
      <c r="E772" s="7"/>
      <c r="F772" s="7"/>
      <c r="G772" s="7"/>
      <c r="H772" s="7"/>
      <c r="I772" s="7"/>
    </row>
    <row r="773" spans="5:9" x14ac:dyDescent="0.2">
      <c r="E773" s="7"/>
      <c r="F773" s="7"/>
      <c r="G773" s="7"/>
      <c r="H773" s="7"/>
      <c r="I773" s="7"/>
    </row>
    <row r="774" spans="5:9" x14ac:dyDescent="0.2">
      <c r="E774" s="7"/>
      <c r="F774" s="7"/>
      <c r="G774" s="7"/>
      <c r="H774" s="7"/>
      <c r="I774" s="7"/>
    </row>
    <row r="775" spans="5:9" x14ac:dyDescent="0.2">
      <c r="E775" s="7"/>
      <c r="F775" s="7"/>
      <c r="G775" s="7"/>
      <c r="H775" s="7"/>
      <c r="I775" s="7"/>
    </row>
    <row r="776" spans="5:9" x14ac:dyDescent="0.2">
      <c r="E776" s="7"/>
      <c r="F776" s="7"/>
      <c r="G776" s="7"/>
      <c r="H776" s="7"/>
      <c r="I776" s="7"/>
    </row>
    <row r="777" spans="5:9" x14ac:dyDescent="0.2">
      <c r="E777" s="7"/>
      <c r="F777" s="7"/>
      <c r="G777" s="7"/>
      <c r="H777" s="7"/>
      <c r="I777" s="7"/>
    </row>
    <row r="778" spans="5:9" x14ac:dyDescent="0.2">
      <c r="E778" s="7"/>
      <c r="F778" s="7"/>
      <c r="G778" s="7"/>
      <c r="H778" s="7"/>
      <c r="I778" s="7"/>
    </row>
    <row r="779" spans="5:9" x14ac:dyDescent="0.2">
      <c r="E779" s="7"/>
      <c r="F779" s="7"/>
      <c r="G779" s="7"/>
      <c r="H779" s="7"/>
      <c r="I779" s="7"/>
    </row>
    <row r="780" spans="5:9" x14ac:dyDescent="0.2">
      <c r="E780" s="7"/>
      <c r="F780" s="7"/>
      <c r="G780" s="7"/>
      <c r="H780" s="7"/>
      <c r="I780" s="7"/>
    </row>
    <row r="781" spans="5:9" x14ac:dyDescent="0.2">
      <c r="E781" s="7"/>
      <c r="F781" s="7"/>
      <c r="G781" s="7"/>
      <c r="H781" s="7"/>
      <c r="I781" s="7"/>
    </row>
    <row r="782" spans="5:9" x14ac:dyDescent="0.2">
      <c r="E782" s="7"/>
      <c r="F782" s="7"/>
      <c r="G782" s="7"/>
      <c r="H782" s="7"/>
      <c r="I782" s="7"/>
    </row>
    <row r="783" spans="5:9" x14ac:dyDescent="0.2">
      <c r="E783" s="7"/>
      <c r="F783" s="7"/>
      <c r="G783" s="7"/>
      <c r="H783" s="7"/>
      <c r="I783" s="7"/>
    </row>
    <row r="784" spans="5:9" x14ac:dyDescent="0.2">
      <c r="E784" s="7"/>
      <c r="F784" s="7"/>
      <c r="G784" s="7"/>
      <c r="H784" s="7"/>
      <c r="I784" s="7"/>
    </row>
    <row r="785" spans="5:9" x14ac:dyDescent="0.2">
      <c r="E785" s="7"/>
      <c r="F785" s="7"/>
      <c r="G785" s="7"/>
      <c r="H785" s="7"/>
      <c r="I785" s="7"/>
    </row>
    <row r="786" spans="5:9" x14ac:dyDescent="0.2">
      <c r="E786" s="7"/>
      <c r="F786" s="7"/>
      <c r="G786" s="7"/>
      <c r="H786" s="7"/>
      <c r="I786" s="7"/>
    </row>
    <row r="787" spans="5:9" x14ac:dyDescent="0.2">
      <c r="E787" s="7"/>
      <c r="F787" s="7"/>
      <c r="G787" s="7"/>
      <c r="H787" s="7"/>
      <c r="I787" s="7"/>
    </row>
    <row r="788" spans="5:9" x14ac:dyDescent="0.2">
      <c r="E788" s="7"/>
      <c r="F788" s="7"/>
      <c r="G788" s="7"/>
      <c r="H788" s="7"/>
      <c r="I788" s="7"/>
    </row>
    <row r="789" spans="5:9" x14ac:dyDescent="0.2">
      <c r="E789" s="7"/>
      <c r="F789" s="7"/>
      <c r="G789" s="7"/>
      <c r="H789" s="7"/>
      <c r="I789" s="7"/>
    </row>
    <row r="790" spans="5:9" x14ac:dyDescent="0.2">
      <c r="E790" s="7"/>
      <c r="F790" s="7"/>
      <c r="G790" s="7"/>
      <c r="H790" s="7"/>
      <c r="I790" s="7"/>
    </row>
    <row r="791" spans="5:9" x14ac:dyDescent="0.2">
      <c r="E791" s="7"/>
      <c r="F791" s="7"/>
      <c r="G791" s="7"/>
      <c r="H791" s="7"/>
      <c r="I791" s="7"/>
    </row>
    <row r="792" spans="5:9" x14ac:dyDescent="0.2">
      <c r="E792" s="7"/>
      <c r="F792" s="7"/>
      <c r="G792" s="7"/>
      <c r="H792" s="7"/>
      <c r="I792" s="7"/>
    </row>
    <row r="793" spans="5:9" x14ac:dyDescent="0.2">
      <c r="E793" s="7"/>
      <c r="F793" s="7"/>
      <c r="G793" s="7"/>
      <c r="H793" s="7"/>
      <c r="I793" s="7"/>
    </row>
    <row r="794" spans="5:9" x14ac:dyDescent="0.2">
      <c r="E794" s="7"/>
      <c r="F794" s="7"/>
      <c r="G794" s="7"/>
      <c r="H794" s="7"/>
      <c r="I794" s="7"/>
    </row>
    <row r="795" spans="5:9" x14ac:dyDescent="0.2">
      <c r="E795" s="7"/>
      <c r="F795" s="7"/>
      <c r="G795" s="7"/>
      <c r="H795" s="7"/>
      <c r="I795" s="7"/>
    </row>
    <row r="796" spans="5:9" x14ac:dyDescent="0.2">
      <c r="E796" s="7"/>
      <c r="F796" s="7"/>
      <c r="G796" s="7"/>
      <c r="H796" s="7"/>
      <c r="I796" s="7"/>
    </row>
    <row r="797" spans="5:9" x14ac:dyDescent="0.2">
      <c r="E797" s="7"/>
      <c r="F797" s="7"/>
      <c r="G797" s="7"/>
      <c r="H797" s="7"/>
      <c r="I797" s="7"/>
    </row>
    <row r="798" spans="5:9" x14ac:dyDescent="0.2">
      <c r="E798" s="7"/>
      <c r="F798" s="7"/>
      <c r="G798" s="7"/>
      <c r="H798" s="7"/>
      <c r="I798" s="7"/>
    </row>
    <row r="799" spans="5:9" x14ac:dyDescent="0.2">
      <c r="E799" s="7"/>
      <c r="F799" s="7"/>
      <c r="G799" s="7"/>
      <c r="H799" s="7"/>
      <c r="I799" s="7"/>
    </row>
    <row r="800" spans="5:9" x14ac:dyDescent="0.2">
      <c r="E800" s="7"/>
      <c r="F800" s="7"/>
      <c r="G800" s="7"/>
      <c r="H800" s="7"/>
      <c r="I800" s="7"/>
    </row>
    <row r="801" spans="5:9" x14ac:dyDescent="0.2">
      <c r="E801" s="7"/>
      <c r="F801" s="7"/>
      <c r="G801" s="7"/>
      <c r="H801" s="7"/>
      <c r="I801" s="7"/>
    </row>
    <row r="802" spans="5:9" x14ac:dyDescent="0.2">
      <c r="E802" s="7"/>
      <c r="F802" s="7"/>
      <c r="G802" s="7"/>
      <c r="H802" s="7"/>
      <c r="I802" s="7"/>
    </row>
    <row r="803" spans="5:9" x14ac:dyDescent="0.2">
      <c r="E803" s="7"/>
      <c r="F803" s="7"/>
      <c r="G803" s="7"/>
      <c r="H803" s="7"/>
      <c r="I803" s="7"/>
    </row>
    <row r="804" spans="5:9" x14ac:dyDescent="0.2">
      <c r="E804" s="7"/>
      <c r="F804" s="7"/>
      <c r="G804" s="7"/>
      <c r="H804" s="7"/>
      <c r="I804" s="7"/>
    </row>
    <row r="805" spans="5:9" x14ac:dyDescent="0.2">
      <c r="E805" s="7"/>
      <c r="F805" s="7"/>
      <c r="G805" s="7"/>
      <c r="H805" s="7"/>
      <c r="I805" s="7"/>
    </row>
    <row r="806" spans="5:9" x14ac:dyDescent="0.2">
      <c r="E806" s="7"/>
      <c r="F806" s="7"/>
      <c r="G806" s="7"/>
      <c r="H806" s="7"/>
      <c r="I806" s="7"/>
    </row>
    <row r="807" spans="5:9" x14ac:dyDescent="0.2">
      <c r="E807" s="7"/>
      <c r="F807" s="7"/>
      <c r="G807" s="7"/>
      <c r="H807" s="7"/>
      <c r="I807" s="7"/>
    </row>
    <row r="808" spans="5:9" x14ac:dyDescent="0.2">
      <c r="E808" s="7"/>
      <c r="F808" s="7"/>
      <c r="G808" s="7"/>
      <c r="H808" s="7"/>
      <c r="I808" s="7"/>
    </row>
    <row r="809" spans="5:9" x14ac:dyDescent="0.2">
      <c r="E809" s="7"/>
      <c r="F809" s="7"/>
      <c r="G809" s="7"/>
      <c r="H809" s="7"/>
      <c r="I809" s="7"/>
    </row>
    <row r="810" spans="5:9" x14ac:dyDescent="0.2">
      <c r="E810" s="7"/>
      <c r="F810" s="7"/>
      <c r="G810" s="7"/>
      <c r="H810" s="7"/>
      <c r="I810" s="7"/>
    </row>
    <row r="811" spans="5:9" x14ac:dyDescent="0.2">
      <c r="E811" s="7"/>
      <c r="F811" s="7"/>
      <c r="G811" s="7"/>
      <c r="H811" s="7"/>
      <c r="I811" s="7"/>
    </row>
    <row r="812" spans="5:9" x14ac:dyDescent="0.2">
      <c r="E812" s="7"/>
      <c r="F812" s="7"/>
      <c r="G812" s="7"/>
      <c r="H812" s="7"/>
      <c r="I812" s="7"/>
    </row>
    <row r="813" spans="5:9" x14ac:dyDescent="0.2">
      <c r="E813" s="7"/>
      <c r="F813" s="7"/>
      <c r="G813" s="7"/>
      <c r="H813" s="7"/>
      <c r="I813" s="7"/>
    </row>
    <row r="814" spans="5:9" x14ac:dyDescent="0.2">
      <c r="E814" s="7"/>
      <c r="F814" s="7"/>
      <c r="G814" s="7"/>
      <c r="H814" s="7"/>
      <c r="I814" s="7"/>
    </row>
    <row r="815" spans="5:9" x14ac:dyDescent="0.2">
      <c r="E815" s="7"/>
      <c r="F815" s="7"/>
      <c r="G815" s="7"/>
      <c r="H815" s="7"/>
      <c r="I815" s="7"/>
    </row>
    <row r="816" spans="5:9" x14ac:dyDescent="0.2">
      <c r="E816" s="7"/>
      <c r="F816" s="7"/>
      <c r="G816" s="7"/>
      <c r="H816" s="7"/>
      <c r="I816" s="7"/>
    </row>
    <row r="817" spans="5:9" x14ac:dyDescent="0.2">
      <c r="E817" s="7"/>
      <c r="F817" s="7"/>
      <c r="G817" s="7"/>
      <c r="H817" s="7"/>
      <c r="I817" s="7"/>
    </row>
    <row r="818" spans="5:9" x14ac:dyDescent="0.2">
      <c r="E818" s="7"/>
      <c r="F818" s="7"/>
      <c r="G818" s="7"/>
      <c r="H818" s="7"/>
      <c r="I818" s="7"/>
    </row>
    <row r="819" spans="5:9" x14ac:dyDescent="0.2">
      <c r="E819" s="7"/>
      <c r="F819" s="7"/>
      <c r="G819" s="7"/>
      <c r="H819" s="7"/>
      <c r="I819" s="7"/>
    </row>
    <row r="820" spans="5:9" x14ac:dyDescent="0.2">
      <c r="E820" s="7"/>
      <c r="F820" s="7"/>
      <c r="G820" s="7"/>
      <c r="H820" s="7"/>
      <c r="I820" s="7"/>
    </row>
    <row r="821" spans="5:9" x14ac:dyDescent="0.2">
      <c r="E821" s="7"/>
      <c r="F821" s="7"/>
      <c r="G821" s="7"/>
      <c r="H821" s="7"/>
      <c r="I821" s="7"/>
    </row>
    <row r="822" spans="5:9" x14ac:dyDescent="0.2">
      <c r="E822" s="7"/>
      <c r="F822" s="7"/>
      <c r="G822" s="7"/>
      <c r="H822" s="7"/>
      <c r="I822" s="7"/>
    </row>
    <row r="823" spans="5:9" x14ac:dyDescent="0.2">
      <c r="E823" s="7"/>
      <c r="F823" s="7"/>
      <c r="G823" s="7"/>
      <c r="H823" s="7"/>
      <c r="I823" s="7"/>
    </row>
    <row r="824" spans="5:9" x14ac:dyDescent="0.2">
      <c r="E824" s="7"/>
      <c r="F824" s="7"/>
      <c r="G824" s="7"/>
      <c r="H824" s="7"/>
      <c r="I824" s="7"/>
    </row>
    <row r="825" spans="5:9" x14ac:dyDescent="0.2">
      <c r="E825" s="7"/>
      <c r="F825" s="7"/>
      <c r="G825" s="7"/>
      <c r="H825" s="7"/>
      <c r="I825" s="7"/>
    </row>
    <row r="826" spans="5:9" x14ac:dyDescent="0.2">
      <c r="E826" s="7"/>
      <c r="F826" s="7"/>
      <c r="G826" s="7"/>
      <c r="H826" s="7"/>
      <c r="I826" s="7"/>
    </row>
    <row r="827" spans="5:9" x14ac:dyDescent="0.2">
      <c r="E827" s="7"/>
      <c r="F827" s="7"/>
      <c r="G827" s="7"/>
      <c r="H827" s="7"/>
      <c r="I827" s="7"/>
    </row>
    <row r="828" spans="5:9" x14ac:dyDescent="0.2">
      <c r="E828" s="7"/>
      <c r="F828" s="7"/>
      <c r="G828" s="7"/>
      <c r="H828" s="7"/>
      <c r="I828" s="7"/>
    </row>
    <row r="829" spans="5:9" x14ac:dyDescent="0.2">
      <c r="E829" s="7"/>
      <c r="F829" s="7"/>
      <c r="G829" s="7"/>
      <c r="H829" s="7"/>
      <c r="I829" s="7"/>
    </row>
    <row r="830" spans="5:9" x14ac:dyDescent="0.2">
      <c r="E830" s="7"/>
      <c r="F830" s="7"/>
      <c r="G830" s="7"/>
      <c r="H830" s="7"/>
      <c r="I830" s="7"/>
    </row>
    <row r="831" spans="5:9" x14ac:dyDescent="0.2">
      <c r="E831" s="7"/>
      <c r="F831" s="7"/>
      <c r="G831" s="7"/>
      <c r="H831" s="7"/>
      <c r="I831" s="7"/>
    </row>
    <row r="832" spans="5:9" x14ac:dyDescent="0.2">
      <c r="E832" s="7"/>
      <c r="F832" s="7"/>
      <c r="G832" s="7"/>
      <c r="H832" s="7"/>
      <c r="I832" s="7"/>
    </row>
    <row r="833" spans="5:9" x14ac:dyDescent="0.2">
      <c r="E833" s="7"/>
      <c r="F833" s="7"/>
      <c r="G833" s="7"/>
      <c r="H833" s="7"/>
      <c r="I833" s="7"/>
    </row>
    <row r="834" spans="5:9" x14ac:dyDescent="0.2">
      <c r="E834" s="7"/>
      <c r="F834" s="7"/>
      <c r="G834" s="7"/>
      <c r="H834" s="7"/>
      <c r="I834" s="7"/>
    </row>
    <row r="835" spans="5:9" x14ac:dyDescent="0.2">
      <c r="E835" s="7"/>
      <c r="F835" s="7"/>
      <c r="G835" s="7"/>
      <c r="H835" s="7"/>
      <c r="I835" s="7"/>
    </row>
    <row r="836" spans="5:9" x14ac:dyDescent="0.2">
      <c r="E836" s="7"/>
      <c r="F836" s="7"/>
      <c r="G836" s="7"/>
      <c r="H836" s="7"/>
      <c r="I836" s="7"/>
    </row>
    <row r="837" spans="5:9" x14ac:dyDescent="0.2">
      <c r="E837" s="7"/>
      <c r="F837" s="7"/>
      <c r="G837" s="7"/>
      <c r="H837" s="7"/>
      <c r="I837" s="7"/>
    </row>
    <row r="838" spans="5:9" x14ac:dyDescent="0.2">
      <c r="E838" s="7"/>
      <c r="F838" s="7"/>
      <c r="G838" s="7"/>
      <c r="H838" s="7"/>
      <c r="I838" s="7"/>
    </row>
    <row r="839" spans="5:9" x14ac:dyDescent="0.2">
      <c r="E839" s="7"/>
      <c r="F839" s="7"/>
      <c r="G839" s="7"/>
      <c r="H839" s="7"/>
      <c r="I839" s="7"/>
    </row>
    <row r="840" spans="5:9" x14ac:dyDescent="0.2">
      <c r="E840" s="7"/>
      <c r="F840" s="7"/>
      <c r="G840" s="7"/>
      <c r="H840" s="7"/>
      <c r="I840" s="7"/>
    </row>
    <row r="841" spans="5:9" x14ac:dyDescent="0.2">
      <c r="E841" s="7"/>
      <c r="F841" s="7"/>
      <c r="G841" s="7"/>
      <c r="H841" s="7"/>
      <c r="I841" s="7"/>
    </row>
    <row r="842" spans="5:9" x14ac:dyDescent="0.2">
      <c r="E842" s="7"/>
      <c r="F842" s="7"/>
      <c r="G842" s="7"/>
      <c r="H842" s="7"/>
      <c r="I842" s="7"/>
    </row>
    <row r="843" spans="5:9" x14ac:dyDescent="0.2">
      <c r="E843" s="7"/>
      <c r="F843" s="7"/>
      <c r="G843" s="7"/>
      <c r="H843" s="7"/>
      <c r="I843" s="7"/>
    </row>
    <row r="844" spans="5:9" x14ac:dyDescent="0.2">
      <c r="E844" s="7"/>
      <c r="F844" s="7"/>
      <c r="G844" s="7"/>
      <c r="H844" s="7"/>
      <c r="I844" s="7"/>
    </row>
    <row r="845" spans="5:9" x14ac:dyDescent="0.2">
      <c r="E845" s="7"/>
      <c r="F845" s="7"/>
      <c r="G845" s="7"/>
      <c r="H845" s="7"/>
      <c r="I845" s="7"/>
    </row>
    <row r="846" spans="5:9" x14ac:dyDescent="0.2">
      <c r="E846" s="7"/>
      <c r="F846" s="7"/>
      <c r="G846" s="7"/>
      <c r="H846" s="7"/>
      <c r="I846" s="7"/>
    </row>
    <row r="847" spans="5:9" x14ac:dyDescent="0.2">
      <c r="E847" s="7"/>
      <c r="F847" s="7"/>
      <c r="G847" s="7"/>
      <c r="H847" s="7"/>
      <c r="I847" s="7"/>
    </row>
    <row r="848" spans="5:9" x14ac:dyDescent="0.2">
      <c r="E848" s="7"/>
      <c r="F848" s="7"/>
      <c r="G848" s="7"/>
      <c r="H848" s="7"/>
      <c r="I848" s="7"/>
    </row>
    <row r="849" spans="5:9" x14ac:dyDescent="0.2">
      <c r="E849" s="7"/>
      <c r="F849" s="7"/>
      <c r="G849" s="7"/>
      <c r="H849" s="7"/>
      <c r="I849" s="7"/>
    </row>
    <row r="850" spans="5:9" x14ac:dyDescent="0.2">
      <c r="E850" s="7"/>
      <c r="F850" s="7"/>
      <c r="G850" s="7"/>
      <c r="H850" s="7"/>
      <c r="I850" s="7"/>
    </row>
    <row r="851" spans="5:9" x14ac:dyDescent="0.2">
      <c r="E851" s="7"/>
      <c r="F851" s="7"/>
      <c r="G851" s="7"/>
      <c r="H851" s="7"/>
      <c r="I851" s="7"/>
    </row>
    <row r="852" spans="5:9" x14ac:dyDescent="0.2">
      <c r="E852" s="7"/>
      <c r="F852" s="7"/>
      <c r="G852" s="7"/>
      <c r="H852" s="7"/>
      <c r="I852" s="7"/>
    </row>
    <row r="853" spans="5:9" x14ac:dyDescent="0.2">
      <c r="E853" s="7"/>
      <c r="F853" s="7"/>
      <c r="G853" s="7"/>
      <c r="H853" s="7"/>
      <c r="I853" s="7"/>
    </row>
    <row r="854" spans="5:9" x14ac:dyDescent="0.2">
      <c r="E854" s="7"/>
      <c r="F854" s="7"/>
      <c r="G854" s="7"/>
      <c r="H854" s="7"/>
      <c r="I854" s="7"/>
    </row>
    <row r="855" spans="5:9" x14ac:dyDescent="0.2">
      <c r="E855" s="7"/>
      <c r="F855" s="7"/>
      <c r="G855" s="7"/>
      <c r="H855" s="7"/>
      <c r="I855" s="7"/>
    </row>
    <row r="856" spans="5:9" x14ac:dyDescent="0.2">
      <c r="E856" s="7"/>
      <c r="F856" s="7"/>
      <c r="G856" s="7"/>
      <c r="H856" s="7"/>
      <c r="I856" s="7"/>
    </row>
    <row r="857" spans="5:9" x14ac:dyDescent="0.2">
      <c r="E857" s="7"/>
      <c r="F857" s="7"/>
      <c r="G857" s="7"/>
      <c r="H857" s="7"/>
      <c r="I857" s="7"/>
    </row>
    <row r="858" spans="5:9" x14ac:dyDescent="0.2">
      <c r="E858" s="7"/>
      <c r="F858" s="7"/>
      <c r="G858" s="7"/>
      <c r="H858" s="7"/>
      <c r="I858" s="7"/>
    </row>
    <row r="859" spans="5:9" x14ac:dyDescent="0.2">
      <c r="E859" s="7"/>
      <c r="F859" s="7"/>
      <c r="G859" s="7"/>
      <c r="H859" s="7"/>
      <c r="I859" s="7"/>
    </row>
    <row r="860" spans="5:9" x14ac:dyDescent="0.2">
      <c r="E860" s="7"/>
      <c r="F860" s="7"/>
      <c r="G860" s="7"/>
      <c r="H860" s="7"/>
      <c r="I860" s="7"/>
    </row>
    <row r="861" spans="5:9" x14ac:dyDescent="0.2">
      <c r="E861" s="7"/>
      <c r="F861" s="7"/>
      <c r="G861" s="7"/>
      <c r="H861" s="7"/>
      <c r="I861" s="7"/>
    </row>
    <row r="862" spans="5:9" x14ac:dyDescent="0.2">
      <c r="E862" s="7"/>
      <c r="F862" s="7"/>
      <c r="G862" s="7"/>
      <c r="H862" s="7"/>
      <c r="I862" s="7"/>
    </row>
    <row r="863" spans="5:9" x14ac:dyDescent="0.2">
      <c r="E863" s="7"/>
      <c r="F863" s="7"/>
      <c r="G863" s="7"/>
      <c r="H863" s="7"/>
      <c r="I863" s="7"/>
    </row>
    <row r="864" spans="5:9" x14ac:dyDescent="0.2">
      <c r="E864" s="7"/>
      <c r="F864" s="7"/>
      <c r="G864" s="7"/>
      <c r="H864" s="7"/>
      <c r="I864" s="7"/>
    </row>
    <row r="865" spans="5:9" x14ac:dyDescent="0.2">
      <c r="E865" s="7"/>
      <c r="F865" s="7"/>
      <c r="G865" s="7"/>
      <c r="H865" s="7"/>
      <c r="I865" s="7"/>
    </row>
    <row r="866" spans="5:9" x14ac:dyDescent="0.2">
      <c r="E866" s="7"/>
      <c r="F866" s="7"/>
      <c r="G866" s="7"/>
      <c r="H866" s="7"/>
      <c r="I866" s="7"/>
    </row>
    <row r="867" spans="5:9" x14ac:dyDescent="0.2">
      <c r="E867" s="7"/>
      <c r="F867" s="7"/>
      <c r="G867" s="7"/>
      <c r="H867" s="7"/>
      <c r="I867" s="7"/>
    </row>
    <row r="868" spans="5:9" x14ac:dyDescent="0.2">
      <c r="E868" s="7"/>
      <c r="F868" s="7"/>
      <c r="G868" s="7"/>
      <c r="H868" s="7"/>
      <c r="I868" s="7"/>
    </row>
    <row r="869" spans="5:9" x14ac:dyDescent="0.2">
      <c r="E869" s="7"/>
      <c r="F869" s="7"/>
      <c r="G869" s="7"/>
      <c r="H869" s="7"/>
      <c r="I869" s="7"/>
    </row>
    <row r="870" spans="5:9" x14ac:dyDescent="0.2">
      <c r="E870" s="7"/>
      <c r="F870" s="7"/>
      <c r="G870" s="7"/>
      <c r="H870" s="7"/>
      <c r="I870" s="7"/>
    </row>
    <row r="871" spans="5:9" x14ac:dyDescent="0.2">
      <c r="E871" s="7"/>
      <c r="F871" s="7"/>
      <c r="G871" s="7"/>
      <c r="H871" s="7"/>
      <c r="I871" s="7"/>
    </row>
    <row r="872" spans="5:9" x14ac:dyDescent="0.2">
      <c r="E872" s="7"/>
      <c r="F872" s="7"/>
      <c r="G872" s="7"/>
      <c r="H872" s="7"/>
      <c r="I872" s="7"/>
    </row>
    <row r="873" spans="5:9" x14ac:dyDescent="0.2">
      <c r="E873" s="7"/>
      <c r="F873" s="7"/>
      <c r="G873" s="7"/>
      <c r="H873" s="7"/>
      <c r="I873" s="7"/>
    </row>
    <row r="874" spans="5:9" x14ac:dyDescent="0.2">
      <c r="E874" s="7"/>
      <c r="F874" s="7"/>
      <c r="G874" s="7"/>
      <c r="H874" s="7"/>
      <c r="I874" s="7"/>
    </row>
    <row r="875" spans="5:9" x14ac:dyDescent="0.2">
      <c r="E875" s="7"/>
      <c r="F875" s="7"/>
      <c r="G875" s="7"/>
      <c r="H875" s="7"/>
      <c r="I875" s="7"/>
    </row>
    <row r="876" spans="5:9" x14ac:dyDescent="0.2">
      <c r="E876" s="7"/>
      <c r="F876" s="7"/>
      <c r="G876" s="7"/>
      <c r="H876" s="7"/>
      <c r="I876" s="7"/>
    </row>
    <row r="877" spans="5:9" x14ac:dyDescent="0.2">
      <c r="E877" s="7"/>
      <c r="F877" s="7"/>
      <c r="G877" s="7"/>
      <c r="H877" s="7"/>
      <c r="I877" s="7"/>
    </row>
    <row r="878" spans="5:9" x14ac:dyDescent="0.2">
      <c r="E878" s="7"/>
      <c r="F878" s="7"/>
      <c r="G878" s="7"/>
      <c r="H878" s="7"/>
      <c r="I878" s="7"/>
    </row>
    <row r="879" spans="5:9" x14ac:dyDescent="0.2">
      <c r="E879" s="7"/>
      <c r="F879" s="7"/>
      <c r="G879" s="7"/>
      <c r="H879" s="7"/>
      <c r="I879" s="7"/>
    </row>
    <row r="880" spans="5:9" x14ac:dyDescent="0.2">
      <c r="E880" s="7"/>
      <c r="F880" s="7"/>
      <c r="G880" s="7"/>
      <c r="H880" s="7"/>
      <c r="I880" s="7"/>
    </row>
    <row r="881" spans="5:9" x14ac:dyDescent="0.2">
      <c r="E881" s="7"/>
      <c r="F881" s="7"/>
      <c r="G881" s="7"/>
      <c r="H881" s="7"/>
      <c r="I881" s="7"/>
    </row>
    <row r="882" spans="5:9" x14ac:dyDescent="0.2">
      <c r="E882" s="7"/>
      <c r="F882" s="7"/>
      <c r="G882" s="7"/>
      <c r="H882" s="7"/>
      <c r="I882" s="7"/>
    </row>
    <row r="883" spans="5:9" x14ac:dyDescent="0.2">
      <c r="E883" s="7"/>
      <c r="F883" s="7"/>
      <c r="G883" s="7"/>
      <c r="H883" s="7"/>
      <c r="I883" s="7"/>
    </row>
    <row r="884" spans="5:9" x14ac:dyDescent="0.2">
      <c r="E884" s="7"/>
      <c r="F884" s="7"/>
      <c r="G884" s="7"/>
      <c r="H884" s="7"/>
      <c r="I884" s="7"/>
    </row>
    <row r="885" spans="5:9" x14ac:dyDescent="0.2">
      <c r="E885" s="7"/>
      <c r="F885" s="7"/>
      <c r="G885" s="7"/>
      <c r="H885" s="7"/>
      <c r="I885" s="7"/>
    </row>
    <row r="886" spans="5:9" x14ac:dyDescent="0.2">
      <c r="E886" s="7"/>
      <c r="F886" s="7"/>
      <c r="G886" s="7"/>
      <c r="H886" s="7"/>
      <c r="I886" s="7"/>
    </row>
    <row r="887" spans="5:9" x14ac:dyDescent="0.2">
      <c r="E887" s="7"/>
      <c r="F887" s="7"/>
      <c r="G887" s="7"/>
      <c r="H887" s="7"/>
      <c r="I887" s="7"/>
    </row>
    <row r="888" spans="5:9" x14ac:dyDescent="0.2">
      <c r="E888" s="7"/>
      <c r="F888" s="7"/>
      <c r="G888" s="7"/>
      <c r="H888" s="7"/>
      <c r="I888" s="7"/>
    </row>
    <row r="889" spans="5:9" x14ac:dyDescent="0.2">
      <c r="E889" s="7"/>
      <c r="F889" s="7"/>
      <c r="G889" s="7"/>
      <c r="H889" s="7"/>
      <c r="I889" s="7"/>
    </row>
    <row r="890" spans="5:9" x14ac:dyDescent="0.2">
      <c r="E890" s="7"/>
      <c r="F890" s="7"/>
      <c r="G890" s="7"/>
      <c r="H890" s="7"/>
      <c r="I890" s="7"/>
    </row>
    <row r="891" spans="5:9" x14ac:dyDescent="0.2">
      <c r="E891" s="7"/>
      <c r="F891" s="7"/>
      <c r="G891" s="7"/>
      <c r="H891" s="7"/>
      <c r="I891" s="7"/>
    </row>
    <row r="892" spans="5:9" x14ac:dyDescent="0.2">
      <c r="E892" s="7"/>
      <c r="F892" s="7"/>
      <c r="G892" s="7"/>
      <c r="H892" s="7"/>
      <c r="I892" s="7"/>
    </row>
    <row r="893" spans="5:9" x14ac:dyDescent="0.2">
      <c r="E893" s="7"/>
      <c r="F893" s="7"/>
      <c r="G893" s="7"/>
      <c r="H893" s="7"/>
      <c r="I893" s="7"/>
    </row>
    <row r="894" spans="5:9" x14ac:dyDescent="0.2">
      <c r="E894" s="7"/>
      <c r="F894" s="7"/>
      <c r="G894" s="7"/>
      <c r="H894" s="7"/>
      <c r="I894" s="7"/>
    </row>
    <row r="895" spans="5:9" x14ac:dyDescent="0.2">
      <c r="E895" s="7"/>
      <c r="F895" s="7"/>
      <c r="G895" s="7"/>
      <c r="H895" s="7"/>
      <c r="I895" s="7"/>
    </row>
    <row r="896" spans="5:9" x14ac:dyDescent="0.2">
      <c r="E896" s="7"/>
      <c r="F896" s="7"/>
      <c r="G896" s="7"/>
      <c r="H896" s="7"/>
      <c r="I896" s="7"/>
    </row>
    <row r="897" spans="5:9" x14ac:dyDescent="0.2">
      <c r="E897" s="7"/>
      <c r="F897" s="7"/>
      <c r="G897" s="7"/>
      <c r="H897" s="7"/>
      <c r="I897" s="7"/>
    </row>
    <row r="898" spans="5:9" x14ac:dyDescent="0.2">
      <c r="E898" s="7"/>
      <c r="F898" s="7"/>
      <c r="G898" s="7"/>
      <c r="H898" s="7"/>
      <c r="I898" s="7"/>
    </row>
    <row r="899" spans="5:9" x14ac:dyDescent="0.2">
      <c r="E899" s="7"/>
      <c r="F899" s="7"/>
      <c r="G899" s="7"/>
      <c r="H899" s="7"/>
      <c r="I899" s="7"/>
    </row>
    <row r="900" spans="5:9" x14ac:dyDescent="0.2">
      <c r="E900" s="7"/>
      <c r="F900" s="7"/>
      <c r="G900" s="7"/>
      <c r="H900" s="7"/>
      <c r="I900" s="7"/>
    </row>
    <row r="901" spans="5:9" x14ac:dyDescent="0.2">
      <c r="E901" s="7"/>
      <c r="F901" s="7"/>
      <c r="G901" s="7"/>
      <c r="H901" s="7"/>
      <c r="I901" s="7"/>
    </row>
    <row r="902" spans="5:9" x14ac:dyDescent="0.2">
      <c r="E902" s="7"/>
      <c r="F902" s="7"/>
      <c r="G902" s="7"/>
      <c r="H902" s="7"/>
      <c r="I902" s="7"/>
    </row>
    <row r="903" spans="5:9" x14ac:dyDescent="0.2">
      <c r="E903" s="7"/>
      <c r="F903" s="7"/>
      <c r="G903" s="7"/>
      <c r="H903" s="7"/>
      <c r="I903" s="7"/>
    </row>
    <row r="904" spans="5:9" x14ac:dyDescent="0.2">
      <c r="E904" s="7"/>
      <c r="F904" s="7"/>
      <c r="G904" s="7"/>
      <c r="H904" s="7"/>
      <c r="I904" s="7"/>
    </row>
    <row r="905" spans="5:9" x14ac:dyDescent="0.2">
      <c r="E905" s="7"/>
      <c r="F905" s="7"/>
      <c r="G905" s="7"/>
      <c r="H905" s="7"/>
      <c r="I905" s="7"/>
    </row>
    <row r="906" spans="5:9" x14ac:dyDescent="0.2">
      <c r="E906" s="7"/>
      <c r="F906" s="7"/>
      <c r="G906" s="7"/>
      <c r="H906" s="7"/>
      <c r="I906" s="7"/>
    </row>
    <row r="907" spans="5:9" x14ac:dyDescent="0.2">
      <c r="E907" s="7"/>
      <c r="F907" s="7"/>
      <c r="G907" s="7"/>
      <c r="H907" s="7"/>
      <c r="I907" s="7"/>
    </row>
    <row r="908" spans="5:9" x14ac:dyDescent="0.2">
      <c r="E908" s="7"/>
      <c r="F908" s="7"/>
      <c r="G908" s="7"/>
      <c r="H908" s="7"/>
      <c r="I908" s="7"/>
    </row>
    <row r="909" spans="5:9" x14ac:dyDescent="0.2">
      <c r="E909" s="7"/>
      <c r="F909" s="7"/>
      <c r="G909" s="7"/>
      <c r="H909" s="7"/>
      <c r="I909" s="7"/>
    </row>
    <row r="910" spans="5:9" x14ac:dyDescent="0.2">
      <c r="E910" s="7"/>
      <c r="F910" s="7"/>
      <c r="G910" s="7"/>
      <c r="H910" s="7"/>
      <c r="I910" s="7"/>
    </row>
    <row r="911" spans="5:9" x14ac:dyDescent="0.2">
      <c r="E911" s="7"/>
      <c r="F911" s="7"/>
      <c r="G911" s="7"/>
      <c r="H911" s="7"/>
      <c r="I911" s="7"/>
    </row>
    <row r="912" spans="5:9" x14ac:dyDescent="0.2">
      <c r="E912" s="7"/>
      <c r="F912" s="7"/>
      <c r="G912" s="7"/>
      <c r="H912" s="7"/>
      <c r="I912" s="7"/>
    </row>
    <row r="913" spans="5:9" x14ac:dyDescent="0.2">
      <c r="E913" s="7"/>
      <c r="F913" s="7"/>
      <c r="G913" s="7"/>
      <c r="H913" s="7"/>
      <c r="I913" s="7"/>
    </row>
    <row r="914" spans="5:9" x14ac:dyDescent="0.2">
      <c r="E914" s="7"/>
      <c r="F914" s="7"/>
      <c r="G914" s="7"/>
      <c r="H914" s="7"/>
      <c r="I914" s="7"/>
    </row>
    <row r="915" spans="5:9" x14ac:dyDescent="0.2">
      <c r="E915" s="7"/>
      <c r="F915" s="7"/>
      <c r="G915" s="7"/>
      <c r="H915" s="7"/>
      <c r="I915" s="7"/>
    </row>
    <row r="916" spans="5:9" x14ac:dyDescent="0.2">
      <c r="E916" s="7"/>
      <c r="F916" s="7"/>
      <c r="G916" s="7"/>
      <c r="H916" s="7"/>
      <c r="I916" s="7"/>
    </row>
    <row r="917" spans="5:9" x14ac:dyDescent="0.2">
      <c r="E917" s="7"/>
      <c r="F917" s="7"/>
      <c r="G917" s="7"/>
      <c r="H917" s="7"/>
      <c r="I917" s="7"/>
    </row>
    <row r="918" spans="5:9" x14ac:dyDescent="0.2">
      <c r="E918" s="7"/>
      <c r="F918" s="7"/>
      <c r="G918" s="7"/>
      <c r="H918" s="7"/>
      <c r="I918" s="7"/>
    </row>
    <row r="919" spans="5:9" x14ac:dyDescent="0.2">
      <c r="E919" s="7"/>
      <c r="F919" s="7"/>
      <c r="G919" s="7"/>
      <c r="H919" s="7"/>
      <c r="I919" s="7"/>
    </row>
    <row r="920" spans="5:9" x14ac:dyDescent="0.2">
      <c r="E920" s="7"/>
      <c r="F920" s="7"/>
      <c r="G920" s="7"/>
      <c r="H920" s="7"/>
      <c r="I920" s="7"/>
    </row>
    <row r="921" spans="5:9" x14ac:dyDescent="0.2">
      <c r="E921" s="7"/>
      <c r="F921" s="7"/>
      <c r="G921" s="7"/>
      <c r="H921" s="7"/>
      <c r="I921" s="7"/>
    </row>
    <row r="922" spans="5:9" x14ac:dyDescent="0.2">
      <c r="E922" s="7"/>
      <c r="F922" s="7"/>
      <c r="G922" s="7"/>
      <c r="H922" s="7"/>
      <c r="I922" s="7"/>
    </row>
    <row r="923" spans="5:9" x14ac:dyDescent="0.2">
      <c r="E923" s="7"/>
      <c r="F923" s="7"/>
      <c r="G923" s="7"/>
      <c r="H923" s="7"/>
      <c r="I923" s="7"/>
    </row>
    <row r="924" spans="5:9" x14ac:dyDescent="0.2">
      <c r="E924" s="7"/>
      <c r="F924" s="7"/>
      <c r="G924" s="7"/>
      <c r="H924" s="7"/>
      <c r="I924" s="7"/>
    </row>
    <row r="925" spans="5:9" x14ac:dyDescent="0.2">
      <c r="E925" s="7"/>
      <c r="F925" s="7"/>
      <c r="G925" s="7"/>
      <c r="H925" s="7"/>
      <c r="I925" s="7"/>
    </row>
    <row r="926" spans="5:9" x14ac:dyDescent="0.2">
      <c r="E926" s="7"/>
      <c r="F926" s="7"/>
      <c r="G926" s="7"/>
      <c r="H926" s="7"/>
      <c r="I926" s="7"/>
    </row>
    <row r="927" spans="5:9" x14ac:dyDescent="0.2">
      <c r="E927" s="7"/>
      <c r="F927" s="7"/>
      <c r="G927" s="7"/>
      <c r="H927" s="7"/>
      <c r="I927" s="7"/>
    </row>
    <row r="928" spans="5:9" x14ac:dyDescent="0.2">
      <c r="E928" s="7"/>
      <c r="F928" s="7"/>
      <c r="G928" s="7"/>
      <c r="H928" s="7"/>
      <c r="I928" s="7"/>
    </row>
    <row r="929" spans="5:9" x14ac:dyDescent="0.2">
      <c r="E929" s="7"/>
      <c r="F929" s="7"/>
      <c r="G929" s="7"/>
      <c r="H929" s="7"/>
      <c r="I929" s="7"/>
    </row>
    <row r="930" spans="5:9" x14ac:dyDescent="0.2">
      <c r="E930" s="7"/>
      <c r="F930" s="7"/>
      <c r="G930" s="7"/>
      <c r="H930" s="7"/>
      <c r="I930" s="7"/>
    </row>
    <row r="931" spans="5:9" x14ac:dyDescent="0.2">
      <c r="E931" s="7"/>
      <c r="F931" s="7"/>
      <c r="G931" s="7"/>
      <c r="H931" s="7"/>
      <c r="I931" s="7"/>
    </row>
    <row r="932" spans="5:9" x14ac:dyDescent="0.2">
      <c r="E932" s="7"/>
      <c r="F932" s="7"/>
      <c r="G932" s="7"/>
      <c r="H932" s="7"/>
      <c r="I932" s="7"/>
    </row>
    <row r="933" spans="5:9" x14ac:dyDescent="0.2">
      <c r="E933" s="7"/>
      <c r="F933" s="7"/>
      <c r="G933" s="7"/>
      <c r="H933" s="7"/>
      <c r="I933" s="7"/>
    </row>
    <row r="934" spans="5:9" x14ac:dyDescent="0.2">
      <c r="E934" s="7"/>
      <c r="F934" s="7"/>
      <c r="G934" s="7"/>
      <c r="H934" s="7"/>
      <c r="I934" s="7"/>
    </row>
    <row r="935" spans="5:9" x14ac:dyDescent="0.2">
      <c r="E935" s="7"/>
      <c r="F935" s="7"/>
      <c r="G935" s="7"/>
      <c r="H935" s="7"/>
      <c r="I935" s="7"/>
    </row>
    <row r="936" spans="5:9" x14ac:dyDescent="0.2">
      <c r="E936" s="7"/>
      <c r="F936" s="7"/>
      <c r="G936" s="7"/>
      <c r="H936" s="7"/>
      <c r="I936" s="7"/>
    </row>
    <row r="937" spans="5:9" x14ac:dyDescent="0.2">
      <c r="E937" s="7"/>
      <c r="F937" s="7"/>
      <c r="G937" s="7"/>
      <c r="H937" s="7"/>
      <c r="I937" s="7"/>
    </row>
    <row r="938" spans="5:9" x14ac:dyDescent="0.2">
      <c r="E938" s="7"/>
      <c r="F938" s="7"/>
      <c r="G938" s="7"/>
      <c r="H938" s="7"/>
      <c r="I938" s="7"/>
    </row>
    <row r="939" spans="5:9" x14ac:dyDescent="0.2">
      <c r="E939" s="7"/>
      <c r="F939" s="7"/>
      <c r="G939" s="7"/>
      <c r="H939" s="7"/>
      <c r="I939" s="7"/>
    </row>
    <row r="940" spans="5:9" x14ac:dyDescent="0.2">
      <c r="E940" s="7"/>
      <c r="F940" s="7"/>
      <c r="G940" s="7"/>
      <c r="H940" s="7"/>
      <c r="I940" s="7"/>
    </row>
    <row r="941" spans="5:9" x14ac:dyDescent="0.2">
      <c r="E941" s="7"/>
      <c r="F941" s="7"/>
      <c r="G941" s="7"/>
      <c r="H941" s="7"/>
      <c r="I941" s="7"/>
    </row>
    <row r="942" spans="5:9" x14ac:dyDescent="0.2">
      <c r="E942" s="7"/>
      <c r="F942" s="7"/>
      <c r="G942" s="7"/>
      <c r="H942" s="7"/>
      <c r="I942" s="7"/>
    </row>
    <row r="943" spans="5:9" x14ac:dyDescent="0.2">
      <c r="E943" s="7"/>
      <c r="F943" s="7"/>
      <c r="G943" s="7"/>
      <c r="H943" s="7"/>
      <c r="I943" s="7"/>
    </row>
    <row r="944" spans="5:9" x14ac:dyDescent="0.2">
      <c r="E944" s="7"/>
      <c r="F944" s="7"/>
      <c r="G944" s="7"/>
      <c r="H944" s="7"/>
      <c r="I944" s="7"/>
    </row>
    <row r="945" spans="5:9" x14ac:dyDescent="0.2">
      <c r="E945" s="7"/>
      <c r="F945" s="7"/>
      <c r="G945" s="7"/>
      <c r="H945" s="7"/>
      <c r="I945" s="7"/>
    </row>
    <row r="946" spans="5:9" x14ac:dyDescent="0.2">
      <c r="E946" s="7"/>
      <c r="F946" s="7"/>
      <c r="G946" s="7"/>
      <c r="H946" s="7"/>
      <c r="I946" s="7"/>
    </row>
    <row r="947" spans="5:9" x14ac:dyDescent="0.2">
      <c r="E947" s="7"/>
      <c r="F947" s="7"/>
      <c r="G947" s="7"/>
      <c r="H947" s="7"/>
      <c r="I947" s="7"/>
    </row>
    <row r="948" spans="5:9" x14ac:dyDescent="0.2">
      <c r="E948" s="7"/>
      <c r="F948" s="7"/>
      <c r="G948" s="7"/>
      <c r="H948" s="7"/>
      <c r="I948" s="7"/>
    </row>
    <row r="949" spans="5:9" x14ac:dyDescent="0.2">
      <c r="E949" s="7"/>
      <c r="F949" s="7"/>
      <c r="G949" s="7"/>
      <c r="H949" s="7"/>
      <c r="I949" s="7"/>
    </row>
    <row r="950" spans="5:9" x14ac:dyDescent="0.2">
      <c r="E950" s="7"/>
      <c r="F950" s="7"/>
      <c r="G950" s="7"/>
      <c r="H950" s="7"/>
      <c r="I950" s="7"/>
    </row>
    <row r="951" spans="5:9" x14ac:dyDescent="0.2">
      <c r="E951" s="7"/>
      <c r="F951" s="7"/>
      <c r="G951" s="7"/>
      <c r="H951" s="7"/>
      <c r="I951" s="7"/>
    </row>
    <row r="952" spans="5:9" x14ac:dyDescent="0.2">
      <c r="E952" s="7"/>
      <c r="F952" s="7"/>
      <c r="G952" s="7"/>
      <c r="H952" s="7"/>
      <c r="I952" s="7"/>
    </row>
    <row r="953" spans="5:9" x14ac:dyDescent="0.2">
      <c r="E953" s="7"/>
      <c r="F953" s="7"/>
      <c r="G953" s="7"/>
      <c r="H953" s="7"/>
      <c r="I953" s="7"/>
    </row>
    <row r="954" spans="5:9" x14ac:dyDescent="0.2">
      <c r="E954" s="7"/>
      <c r="F954" s="7"/>
      <c r="G954" s="7"/>
      <c r="H954" s="7"/>
      <c r="I954" s="7"/>
    </row>
    <row r="955" spans="5:9" x14ac:dyDescent="0.2">
      <c r="E955" s="7"/>
      <c r="F955" s="7"/>
      <c r="G955" s="7"/>
      <c r="H955" s="7"/>
      <c r="I955" s="7"/>
    </row>
    <row r="956" spans="5:9" x14ac:dyDescent="0.2">
      <c r="E956" s="7"/>
      <c r="F956" s="7"/>
      <c r="G956" s="7"/>
      <c r="H956" s="7"/>
      <c r="I956" s="7"/>
    </row>
    <row r="957" spans="5:9" x14ac:dyDescent="0.2">
      <c r="E957" s="7"/>
      <c r="F957" s="7"/>
      <c r="G957" s="7"/>
      <c r="H957" s="7"/>
      <c r="I957" s="7"/>
    </row>
    <row r="958" spans="5:9" x14ac:dyDescent="0.2">
      <c r="E958" s="7"/>
      <c r="F958" s="7"/>
      <c r="G958" s="7"/>
      <c r="H958" s="7"/>
      <c r="I958" s="7"/>
    </row>
    <row r="959" spans="5:9" x14ac:dyDescent="0.2">
      <c r="E959" s="7"/>
      <c r="F959" s="7"/>
      <c r="G959" s="7"/>
      <c r="H959" s="7"/>
      <c r="I959" s="7"/>
    </row>
    <row r="960" spans="5:9" x14ac:dyDescent="0.2">
      <c r="E960" s="7"/>
      <c r="F960" s="7"/>
      <c r="G960" s="7"/>
      <c r="H960" s="7"/>
      <c r="I960" s="7"/>
    </row>
    <row r="961" spans="5:9" x14ac:dyDescent="0.2">
      <c r="E961" s="7"/>
      <c r="F961" s="7"/>
      <c r="G961" s="7"/>
      <c r="H961" s="7"/>
      <c r="I961" s="7"/>
    </row>
    <row r="962" spans="5:9" x14ac:dyDescent="0.2">
      <c r="E962" s="7"/>
      <c r="F962" s="7"/>
      <c r="G962" s="7"/>
      <c r="H962" s="7"/>
      <c r="I962" s="7"/>
    </row>
    <row r="963" spans="5:9" x14ac:dyDescent="0.2">
      <c r="E963" s="7"/>
      <c r="F963" s="7"/>
      <c r="G963" s="7"/>
      <c r="H963" s="7"/>
      <c r="I963" s="7"/>
    </row>
    <row r="964" spans="5:9" x14ac:dyDescent="0.2">
      <c r="E964" s="7"/>
      <c r="F964" s="7"/>
      <c r="G964" s="7"/>
      <c r="H964" s="7"/>
      <c r="I964" s="7"/>
    </row>
    <row r="965" spans="5:9" x14ac:dyDescent="0.2">
      <c r="E965" s="7"/>
      <c r="F965" s="7"/>
      <c r="G965" s="7"/>
      <c r="H965" s="7"/>
      <c r="I965" s="7"/>
    </row>
    <row r="966" spans="5:9" x14ac:dyDescent="0.2">
      <c r="E966" s="7"/>
      <c r="F966" s="7"/>
      <c r="G966" s="7"/>
      <c r="H966" s="7"/>
      <c r="I966" s="7"/>
    </row>
    <row r="967" spans="5:9" x14ac:dyDescent="0.2">
      <c r="E967" s="7"/>
      <c r="F967" s="7"/>
      <c r="G967" s="7"/>
      <c r="H967" s="7"/>
      <c r="I967" s="7"/>
    </row>
    <row r="968" spans="5:9" x14ac:dyDescent="0.2">
      <c r="E968" s="7"/>
      <c r="F968" s="7"/>
      <c r="G968" s="7"/>
      <c r="H968" s="7"/>
      <c r="I968" s="7"/>
    </row>
    <row r="969" spans="5:9" x14ac:dyDescent="0.2">
      <c r="E969" s="7"/>
      <c r="F969" s="7"/>
      <c r="G969" s="7"/>
      <c r="H969" s="7"/>
      <c r="I969" s="7"/>
    </row>
    <row r="970" spans="5:9" x14ac:dyDescent="0.2">
      <c r="E970" s="7"/>
      <c r="F970" s="7"/>
      <c r="G970" s="7"/>
      <c r="H970" s="7"/>
      <c r="I970" s="7"/>
    </row>
    <row r="971" spans="5:9" x14ac:dyDescent="0.2">
      <c r="E971" s="7"/>
      <c r="F971" s="7"/>
      <c r="G971" s="7"/>
      <c r="H971" s="7"/>
      <c r="I971" s="7"/>
    </row>
    <row r="972" spans="5:9" x14ac:dyDescent="0.2">
      <c r="E972" s="7"/>
      <c r="F972" s="7"/>
      <c r="G972" s="7"/>
      <c r="H972" s="7"/>
      <c r="I972" s="7"/>
    </row>
    <row r="973" spans="5:9" x14ac:dyDescent="0.2">
      <c r="E973" s="7"/>
      <c r="F973" s="7"/>
      <c r="G973" s="7"/>
      <c r="H973" s="7"/>
      <c r="I973" s="7"/>
    </row>
    <row r="974" spans="5:9" x14ac:dyDescent="0.2">
      <c r="E974" s="7"/>
      <c r="F974" s="7"/>
      <c r="G974" s="7"/>
      <c r="H974" s="7"/>
      <c r="I974" s="7"/>
    </row>
    <row r="975" spans="5:9" x14ac:dyDescent="0.2">
      <c r="E975" s="7"/>
      <c r="F975" s="7"/>
      <c r="G975" s="7"/>
      <c r="H975" s="7"/>
      <c r="I975" s="7"/>
    </row>
    <row r="976" spans="5:9" x14ac:dyDescent="0.2">
      <c r="E976" s="7"/>
      <c r="F976" s="7"/>
      <c r="G976" s="7"/>
      <c r="H976" s="7"/>
      <c r="I976" s="7"/>
    </row>
    <row r="977" spans="5:9" x14ac:dyDescent="0.2">
      <c r="E977" s="7"/>
      <c r="F977" s="7"/>
      <c r="G977" s="7"/>
      <c r="H977" s="7"/>
      <c r="I977" s="7"/>
    </row>
    <row r="978" spans="5:9" x14ac:dyDescent="0.2">
      <c r="E978" s="7"/>
      <c r="F978" s="7"/>
      <c r="G978" s="7"/>
      <c r="H978" s="7"/>
      <c r="I978" s="7"/>
    </row>
    <row r="979" spans="5:9" x14ac:dyDescent="0.2">
      <c r="E979" s="7"/>
      <c r="F979" s="7"/>
      <c r="G979" s="7"/>
      <c r="H979" s="7"/>
      <c r="I979" s="7"/>
    </row>
    <row r="980" spans="5:9" x14ac:dyDescent="0.2">
      <c r="E980" s="7"/>
      <c r="F980" s="7"/>
      <c r="G980" s="7"/>
      <c r="H980" s="7"/>
      <c r="I980" s="7"/>
    </row>
    <row r="981" spans="5:9" x14ac:dyDescent="0.2">
      <c r="E981" s="7"/>
      <c r="F981" s="7"/>
      <c r="G981" s="7"/>
      <c r="H981" s="7"/>
      <c r="I981" s="7"/>
    </row>
    <row r="982" spans="5:9" x14ac:dyDescent="0.2">
      <c r="E982" s="7"/>
      <c r="F982" s="7"/>
      <c r="G982" s="7"/>
      <c r="H982" s="7"/>
      <c r="I982" s="7"/>
    </row>
    <row r="983" spans="5:9" x14ac:dyDescent="0.2">
      <c r="E983" s="7"/>
      <c r="F983" s="7"/>
      <c r="G983" s="7"/>
      <c r="H983" s="7"/>
      <c r="I983" s="7"/>
    </row>
    <row r="984" spans="5:9" x14ac:dyDescent="0.2">
      <c r="E984" s="7"/>
      <c r="F984" s="7"/>
      <c r="G984" s="7"/>
      <c r="H984" s="7"/>
      <c r="I984" s="7"/>
    </row>
    <row r="985" spans="5:9" x14ac:dyDescent="0.2">
      <c r="E985" s="7"/>
      <c r="F985" s="7"/>
      <c r="G985" s="7"/>
      <c r="H985" s="7"/>
      <c r="I985" s="7"/>
    </row>
    <row r="986" spans="5:9" x14ac:dyDescent="0.2">
      <c r="E986" s="7"/>
      <c r="F986" s="7"/>
      <c r="G986" s="7"/>
      <c r="H986" s="7"/>
      <c r="I986" s="7"/>
    </row>
    <row r="987" spans="5:9" x14ac:dyDescent="0.2">
      <c r="E987" s="7"/>
      <c r="F987" s="7"/>
      <c r="G987" s="7"/>
      <c r="H987" s="7"/>
      <c r="I987" s="7"/>
    </row>
    <row r="988" spans="5:9" x14ac:dyDescent="0.2">
      <c r="E988" s="7"/>
      <c r="F988" s="7"/>
      <c r="G988" s="7"/>
      <c r="H988" s="7"/>
      <c r="I988" s="7"/>
    </row>
    <row r="989" spans="5:9" x14ac:dyDescent="0.2">
      <c r="E989" s="7"/>
      <c r="F989" s="7"/>
      <c r="G989" s="7"/>
      <c r="H989" s="7"/>
      <c r="I989" s="7"/>
    </row>
    <row r="990" spans="5:9" x14ac:dyDescent="0.2">
      <c r="E990" s="7"/>
      <c r="F990" s="7"/>
      <c r="G990" s="7"/>
      <c r="H990" s="7"/>
      <c r="I990" s="7"/>
    </row>
    <row r="991" spans="5:9" x14ac:dyDescent="0.2">
      <c r="E991" s="7"/>
      <c r="F991" s="7"/>
      <c r="G991" s="7"/>
      <c r="H991" s="7"/>
      <c r="I991" s="7"/>
    </row>
    <row r="992" spans="5:9" x14ac:dyDescent="0.2">
      <c r="E992" s="7"/>
      <c r="F992" s="7"/>
      <c r="G992" s="7"/>
      <c r="H992" s="7"/>
      <c r="I992" s="7"/>
    </row>
    <row r="993" spans="5:9" x14ac:dyDescent="0.2">
      <c r="E993" s="7"/>
      <c r="F993" s="7"/>
      <c r="G993" s="7"/>
      <c r="H993" s="7"/>
      <c r="I993" s="7"/>
    </row>
    <row r="994" spans="5:9" x14ac:dyDescent="0.2">
      <c r="E994" s="7"/>
      <c r="F994" s="7"/>
      <c r="G994" s="7"/>
      <c r="H994" s="7"/>
      <c r="I994" s="7"/>
    </row>
    <row r="995" spans="5:9" x14ac:dyDescent="0.2">
      <c r="E995" s="7"/>
      <c r="F995" s="7"/>
      <c r="G995" s="7"/>
      <c r="H995" s="7"/>
      <c r="I995" s="7"/>
    </row>
    <row r="996" spans="5:9" x14ac:dyDescent="0.2">
      <c r="E996" s="7"/>
      <c r="F996" s="7"/>
      <c r="G996" s="7"/>
      <c r="H996" s="7"/>
      <c r="I996" s="7"/>
    </row>
    <row r="997" spans="5:9" x14ac:dyDescent="0.2">
      <c r="E997" s="7"/>
      <c r="F997" s="7"/>
      <c r="G997" s="7"/>
      <c r="H997" s="7"/>
      <c r="I997" s="7"/>
    </row>
    <row r="998" spans="5:9" x14ac:dyDescent="0.2">
      <c r="E998" s="7"/>
      <c r="F998" s="7"/>
      <c r="G998" s="7"/>
      <c r="H998" s="7"/>
      <c r="I998" s="7"/>
    </row>
    <row r="999" spans="5:9" x14ac:dyDescent="0.2">
      <c r="E999" s="7"/>
      <c r="F999" s="7"/>
      <c r="G999" s="7"/>
      <c r="H999" s="7"/>
      <c r="I999" s="7"/>
    </row>
    <row r="1000" spans="5:9" x14ac:dyDescent="0.2">
      <c r="E1000" s="7"/>
      <c r="F1000" s="7"/>
      <c r="G1000" s="7"/>
      <c r="H1000" s="7"/>
      <c r="I1000" s="7"/>
    </row>
    <row r="1001" spans="5:9" x14ac:dyDescent="0.2">
      <c r="E1001" s="7"/>
      <c r="F1001" s="7"/>
      <c r="G1001" s="7"/>
      <c r="H1001" s="7"/>
      <c r="I1001" s="7"/>
    </row>
    <row r="1002" spans="5:9" x14ac:dyDescent="0.2">
      <c r="E1002" s="7"/>
      <c r="F1002" s="7"/>
      <c r="G1002" s="7"/>
      <c r="H1002" s="7"/>
      <c r="I1002" s="7"/>
    </row>
    <row r="1003" spans="5:9" x14ac:dyDescent="0.2">
      <c r="E1003" s="7"/>
      <c r="F1003" s="7"/>
      <c r="G1003" s="7"/>
      <c r="H1003" s="7"/>
      <c r="I1003" s="7"/>
    </row>
    <row r="1004" spans="5:9" x14ac:dyDescent="0.2">
      <c r="E1004" s="7"/>
      <c r="F1004" s="7"/>
      <c r="G1004" s="7"/>
      <c r="H1004" s="7"/>
      <c r="I1004" s="7"/>
    </row>
    <row r="1005" spans="5:9" x14ac:dyDescent="0.2">
      <c r="E1005" s="7"/>
      <c r="F1005" s="7"/>
      <c r="G1005" s="7"/>
      <c r="H1005" s="7"/>
      <c r="I1005" s="7"/>
    </row>
    <row r="1006" spans="5:9" x14ac:dyDescent="0.2">
      <c r="E1006" s="7"/>
      <c r="F1006" s="7"/>
      <c r="G1006" s="7"/>
      <c r="H1006" s="7"/>
      <c r="I1006" s="7"/>
    </row>
    <row r="1007" spans="5:9" x14ac:dyDescent="0.2">
      <c r="E1007" s="7"/>
      <c r="F1007" s="7"/>
      <c r="G1007" s="7"/>
      <c r="H1007" s="7"/>
      <c r="I1007" s="7"/>
    </row>
    <row r="1008" spans="5:9" x14ac:dyDescent="0.2">
      <c r="E1008" s="7"/>
      <c r="F1008" s="7"/>
      <c r="G1008" s="7"/>
      <c r="H1008" s="7"/>
      <c r="I1008" s="7"/>
    </row>
    <row r="1009" spans="5:9" x14ac:dyDescent="0.2">
      <c r="E1009" s="7"/>
      <c r="F1009" s="7"/>
      <c r="G1009" s="7"/>
      <c r="H1009" s="7"/>
      <c r="I1009" s="7"/>
    </row>
    <row r="1010" spans="5:9" x14ac:dyDescent="0.2">
      <c r="E1010" s="7"/>
      <c r="F1010" s="7"/>
      <c r="G1010" s="7"/>
      <c r="H1010" s="7"/>
      <c r="I1010" s="7"/>
    </row>
    <row r="1011" spans="5:9" x14ac:dyDescent="0.2">
      <c r="E1011" s="7"/>
      <c r="F1011" s="7"/>
      <c r="G1011" s="7"/>
      <c r="H1011" s="7"/>
      <c r="I1011" s="7"/>
    </row>
    <row r="1012" spans="5:9" x14ac:dyDescent="0.2">
      <c r="E1012" s="7"/>
      <c r="F1012" s="7"/>
      <c r="G1012" s="7"/>
      <c r="H1012" s="7"/>
      <c r="I1012" s="7"/>
    </row>
    <row r="1013" spans="5:9" x14ac:dyDescent="0.2">
      <c r="E1013" s="7"/>
      <c r="F1013" s="7"/>
      <c r="G1013" s="7"/>
      <c r="H1013" s="7"/>
      <c r="I1013" s="7"/>
    </row>
    <row r="1014" spans="5:9" x14ac:dyDescent="0.2">
      <c r="E1014" s="7"/>
      <c r="F1014" s="7"/>
      <c r="G1014" s="7"/>
      <c r="H1014" s="7"/>
      <c r="I1014" s="7"/>
    </row>
    <row r="1015" spans="5:9" x14ac:dyDescent="0.2">
      <c r="E1015" s="7"/>
      <c r="F1015" s="7"/>
      <c r="G1015" s="7"/>
      <c r="H1015" s="7"/>
      <c r="I1015" s="7"/>
    </row>
    <row r="1016" spans="5:9" x14ac:dyDescent="0.2">
      <c r="E1016" s="7"/>
      <c r="F1016" s="7"/>
      <c r="G1016" s="7"/>
      <c r="H1016" s="7"/>
      <c r="I1016" s="7"/>
    </row>
    <row r="1017" spans="5:9" x14ac:dyDescent="0.2">
      <c r="E1017" s="7"/>
      <c r="F1017" s="7"/>
      <c r="G1017" s="7"/>
      <c r="H1017" s="7"/>
      <c r="I1017" s="7"/>
    </row>
    <row r="1018" spans="5:9" x14ac:dyDescent="0.2">
      <c r="E1018" s="7"/>
      <c r="F1018" s="7"/>
      <c r="G1018" s="7"/>
      <c r="H1018" s="7"/>
      <c r="I1018" s="7"/>
    </row>
    <row r="1019" spans="5:9" x14ac:dyDescent="0.2">
      <c r="E1019" s="7"/>
      <c r="F1019" s="7"/>
      <c r="G1019" s="7"/>
      <c r="H1019" s="7"/>
      <c r="I1019" s="7"/>
    </row>
    <row r="1020" spans="5:9" x14ac:dyDescent="0.2">
      <c r="E1020" s="7"/>
      <c r="F1020" s="7"/>
      <c r="G1020" s="7"/>
      <c r="H1020" s="7"/>
      <c r="I1020" s="7"/>
    </row>
    <row r="1021" spans="5:9" x14ac:dyDescent="0.2">
      <c r="E1021" s="7"/>
      <c r="F1021" s="7"/>
      <c r="G1021" s="7"/>
      <c r="H1021" s="7"/>
      <c r="I1021" s="7"/>
    </row>
    <row r="1022" spans="5:9" x14ac:dyDescent="0.2">
      <c r="E1022" s="7"/>
      <c r="F1022" s="7"/>
      <c r="G1022" s="7"/>
      <c r="H1022" s="7"/>
      <c r="I1022" s="7"/>
    </row>
    <row r="1023" spans="5:9" x14ac:dyDescent="0.2">
      <c r="E1023" s="7"/>
      <c r="F1023" s="7"/>
      <c r="G1023" s="7"/>
      <c r="H1023" s="7"/>
      <c r="I1023" s="7"/>
    </row>
    <row r="1024" spans="5:9" x14ac:dyDescent="0.2">
      <c r="E1024" s="7"/>
      <c r="F1024" s="7"/>
      <c r="G1024" s="7"/>
      <c r="H1024" s="7"/>
      <c r="I1024" s="7"/>
    </row>
    <row r="1025" spans="5:9" x14ac:dyDescent="0.2">
      <c r="E1025" s="7"/>
      <c r="F1025" s="7"/>
      <c r="G1025" s="7"/>
      <c r="H1025" s="7"/>
      <c r="I1025" s="7"/>
    </row>
    <row r="1026" spans="5:9" x14ac:dyDescent="0.2">
      <c r="E1026" s="7"/>
      <c r="F1026" s="7"/>
      <c r="G1026" s="7"/>
      <c r="H1026" s="7"/>
      <c r="I1026" s="7"/>
    </row>
    <row r="1027" spans="5:9" x14ac:dyDescent="0.2">
      <c r="E1027" s="7"/>
      <c r="F1027" s="7"/>
      <c r="G1027" s="7"/>
      <c r="H1027" s="7"/>
      <c r="I1027" s="7"/>
    </row>
    <row r="1028" spans="5:9" x14ac:dyDescent="0.2">
      <c r="E1028" s="7"/>
      <c r="F1028" s="7"/>
      <c r="G1028" s="7"/>
      <c r="H1028" s="7"/>
      <c r="I1028" s="7"/>
    </row>
    <row r="1029" spans="5:9" x14ac:dyDescent="0.2">
      <c r="E1029" s="7"/>
      <c r="F1029" s="7"/>
      <c r="G1029" s="7"/>
      <c r="H1029" s="7"/>
      <c r="I1029" s="7"/>
    </row>
    <row r="1030" spans="5:9" x14ac:dyDescent="0.2">
      <c r="E1030" s="7"/>
      <c r="F1030" s="7"/>
      <c r="G1030" s="7"/>
      <c r="H1030" s="7"/>
      <c r="I1030" s="7"/>
    </row>
    <row r="1031" spans="5:9" x14ac:dyDescent="0.2">
      <c r="E1031" s="7"/>
      <c r="F1031" s="7"/>
      <c r="G1031" s="7"/>
      <c r="H1031" s="7"/>
      <c r="I1031" s="7"/>
    </row>
    <row r="1032" spans="5:9" x14ac:dyDescent="0.2">
      <c r="E1032" s="7"/>
      <c r="F1032" s="7"/>
      <c r="G1032" s="7"/>
      <c r="H1032" s="7"/>
      <c r="I1032" s="7"/>
    </row>
    <row r="1033" spans="5:9" x14ac:dyDescent="0.2">
      <c r="E1033" s="7"/>
      <c r="F1033" s="7"/>
      <c r="G1033" s="7"/>
      <c r="H1033" s="7"/>
      <c r="I1033" s="7"/>
    </row>
    <row r="1034" spans="5:9" x14ac:dyDescent="0.2">
      <c r="E1034" s="7"/>
      <c r="F1034" s="7"/>
      <c r="G1034" s="7"/>
      <c r="H1034" s="7"/>
      <c r="I1034" s="7"/>
    </row>
    <row r="1035" spans="5:9" x14ac:dyDescent="0.2">
      <c r="E1035" s="7"/>
      <c r="F1035" s="7"/>
      <c r="G1035" s="7"/>
      <c r="H1035" s="7"/>
      <c r="I1035" s="7"/>
    </row>
    <row r="1036" spans="5:9" x14ac:dyDescent="0.2">
      <c r="E1036" s="7"/>
      <c r="F1036" s="7"/>
      <c r="G1036" s="7"/>
      <c r="H1036" s="7"/>
      <c r="I1036" s="7"/>
    </row>
    <row r="1037" spans="5:9" x14ac:dyDescent="0.2">
      <c r="E1037" s="7"/>
      <c r="F1037" s="7"/>
      <c r="G1037" s="7"/>
      <c r="H1037" s="7"/>
      <c r="I1037" s="7"/>
    </row>
    <row r="1038" spans="5:9" x14ac:dyDescent="0.2">
      <c r="E1038" s="7"/>
      <c r="F1038" s="7"/>
      <c r="G1038" s="7"/>
      <c r="H1038" s="7"/>
      <c r="I1038" s="7"/>
    </row>
    <row r="1039" spans="5:9" x14ac:dyDescent="0.2">
      <c r="E1039" s="7"/>
      <c r="F1039" s="7"/>
      <c r="G1039" s="7"/>
      <c r="H1039" s="7"/>
      <c r="I1039" s="7"/>
    </row>
    <row r="1040" spans="5:9" x14ac:dyDescent="0.2">
      <c r="E1040" s="7"/>
      <c r="F1040" s="7"/>
      <c r="G1040" s="7"/>
      <c r="H1040" s="7"/>
      <c r="I1040" s="7"/>
    </row>
    <row r="1041" spans="5:9" x14ac:dyDescent="0.2">
      <c r="E1041" s="7"/>
      <c r="F1041" s="7"/>
      <c r="G1041" s="7"/>
      <c r="H1041" s="7"/>
      <c r="I1041" s="7"/>
    </row>
    <row r="1042" spans="5:9" x14ac:dyDescent="0.2">
      <c r="E1042" s="7"/>
      <c r="F1042" s="7"/>
      <c r="G1042" s="7"/>
      <c r="H1042" s="7"/>
      <c r="I1042" s="7"/>
    </row>
    <row r="1043" spans="5:9" x14ac:dyDescent="0.2">
      <c r="E1043" s="7"/>
      <c r="F1043" s="7"/>
      <c r="G1043" s="7"/>
      <c r="H1043" s="7"/>
      <c r="I1043" s="7"/>
    </row>
    <row r="1044" spans="5:9" x14ac:dyDescent="0.2">
      <c r="E1044" s="7"/>
      <c r="F1044" s="7"/>
      <c r="G1044" s="7"/>
      <c r="H1044" s="7"/>
      <c r="I1044" s="7"/>
    </row>
    <row r="1045" spans="5:9" x14ac:dyDescent="0.2">
      <c r="E1045" s="7"/>
      <c r="F1045" s="7"/>
      <c r="G1045" s="7"/>
      <c r="H1045" s="7"/>
      <c r="I1045" s="7"/>
    </row>
    <row r="1046" spans="5:9" x14ac:dyDescent="0.2">
      <c r="E1046" s="7"/>
      <c r="F1046" s="7"/>
      <c r="G1046" s="7"/>
      <c r="H1046" s="7"/>
      <c r="I1046" s="7"/>
    </row>
    <row r="1047" spans="5:9" x14ac:dyDescent="0.2">
      <c r="E1047" s="7"/>
      <c r="F1047" s="7"/>
      <c r="G1047" s="7"/>
      <c r="H1047" s="7"/>
      <c r="I1047" s="7"/>
    </row>
    <row r="1048" spans="5:9" x14ac:dyDescent="0.2">
      <c r="E1048" s="7"/>
      <c r="F1048" s="7"/>
      <c r="G1048" s="7"/>
      <c r="H1048" s="7"/>
      <c r="I1048" s="7"/>
    </row>
    <row r="1049" spans="5:9" x14ac:dyDescent="0.2">
      <c r="E1049" s="7"/>
      <c r="F1049" s="7"/>
      <c r="G1049" s="7"/>
      <c r="H1049" s="7"/>
      <c r="I1049" s="7"/>
    </row>
    <row r="1050" spans="5:9" x14ac:dyDescent="0.2">
      <c r="E1050" s="7"/>
      <c r="F1050" s="7"/>
      <c r="G1050" s="7"/>
      <c r="H1050" s="7"/>
      <c r="I1050" s="7"/>
    </row>
    <row r="1051" spans="5:9" x14ac:dyDescent="0.2">
      <c r="E1051" s="7"/>
      <c r="F1051" s="7"/>
      <c r="G1051" s="7"/>
      <c r="H1051" s="7"/>
      <c r="I1051" s="7"/>
    </row>
    <row r="1052" spans="5:9" x14ac:dyDescent="0.2">
      <c r="E1052" s="7"/>
      <c r="F1052" s="7"/>
      <c r="G1052" s="7"/>
      <c r="H1052" s="7"/>
      <c r="I1052" s="7"/>
    </row>
    <row r="1053" spans="5:9" x14ac:dyDescent="0.2">
      <c r="E1053" s="7"/>
      <c r="F1053" s="7"/>
      <c r="G1053" s="7"/>
      <c r="H1053" s="7"/>
      <c r="I1053" s="7"/>
    </row>
    <row r="1054" spans="5:9" x14ac:dyDescent="0.2">
      <c r="E1054" s="7"/>
      <c r="F1054" s="7"/>
      <c r="G1054" s="7"/>
      <c r="H1054" s="7"/>
      <c r="I1054" s="7"/>
    </row>
    <row r="1055" spans="5:9" x14ac:dyDescent="0.2">
      <c r="E1055" s="7"/>
      <c r="F1055" s="7"/>
      <c r="G1055" s="7"/>
      <c r="H1055" s="7"/>
      <c r="I1055" s="7"/>
    </row>
    <row r="1056" spans="5:9" x14ac:dyDescent="0.2">
      <c r="E1056" s="7"/>
      <c r="F1056" s="7"/>
      <c r="G1056" s="7"/>
      <c r="H1056" s="7"/>
      <c r="I1056" s="7"/>
    </row>
    <row r="1057" spans="5:9" x14ac:dyDescent="0.2">
      <c r="E1057" s="7"/>
      <c r="F1057" s="7"/>
      <c r="G1057" s="7"/>
      <c r="H1057" s="7"/>
      <c r="I1057" s="7"/>
    </row>
    <row r="1058" spans="5:9" x14ac:dyDescent="0.2">
      <c r="E1058" s="7"/>
      <c r="F1058" s="7"/>
      <c r="G1058" s="7"/>
      <c r="H1058" s="7"/>
      <c r="I1058" s="7"/>
    </row>
    <row r="1059" spans="5:9" x14ac:dyDescent="0.2">
      <c r="E1059" s="7"/>
      <c r="F1059" s="7"/>
      <c r="G1059" s="7"/>
      <c r="H1059" s="7"/>
      <c r="I1059" s="7"/>
    </row>
    <row r="1060" spans="5:9" x14ac:dyDescent="0.2">
      <c r="E1060" s="7"/>
      <c r="F1060" s="7"/>
      <c r="G1060" s="7"/>
      <c r="H1060" s="7"/>
      <c r="I1060" s="7"/>
    </row>
    <row r="1061" spans="5:9" x14ac:dyDescent="0.2">
      <c r="E1061" s="7"/>
      <c r="F1061" s="7"/>
      <c r="G1061" s="7"/>
      <c r="H1061" s="7"/>
      <c r="I1061" s="7"/>
    </row>
    <row r="1062" spans="5:9" x14ac:dyDescent="0.2">
      <c r="E1062" s="7"/>
      <c r="F1062" s="7"/>
      <c r="G1062" s="7"/>
      <c r="H1062" s="7"/>
      <c r="I1062" s="7"/>
    </row>
    <row r="1063" spans="5:9" x14ac:dyDescent="0.2">
      <c r="E1063" s="7"/>
      <c r="F1063" s="7"/>
      <c r="G1063" s="7"/>
      <c r="H1063" s="7"/>
      <c r="I1063" s="7"/>
    </row>
    <row r="1064" spans="5:9" x14ac:dyDescent="0.2">
      <c r="E1064" s="7"/>
      <c r="F1064" s="7"/>
      <c r="G1064" s="7"/>
      <c r="H1064" s="7"/>
      <c r="I1064" s="7"/>
    </row>
    <row r="1065" spans="5:9" x14ac:dyDescent="0.2">
      <c r="E1065" s="7"/>
      <c r="F1065" s="7"/>
      <c r="G1065" s="7"/>
      <c r="H1065" s="7"/>
      <c r="I1065" s="7"/>
    </row>
    <row r="1066" spans="5:9" x14ac:dyDescent="0.2">
      <c r="E1066" s="7"/>
      <c r="F1066" s="7"/>
      <c r="G1066" s="7"/>
      <c r="H1066" s="7"/>
      <c r="I1066" s="7"/>
    </row>
    <row r="1067" spans="5:9" x14ac:dyDescent="0.2">
      <c r="E1067" s="7"/>
      <c r="F1067" s="7"/>
      <c r="G1067" s="7"/>
      <c r="H1067" s="7"/>
      <c r="I1067" s="7"/>
    </row>
    <row r="1068" spans="5:9" x14ac:dyDescent="0.2">
      <c r="E1068" s="7"/>
      <c r="F1068" s="7"/>
      <c r="G1068" s="7"/>
      <c r="H1068" s="7"/>
      <c r="I1068" s="7"/>
    </row>
    <row r="1069" spans="5:9" x14ac:dyDescent="0.2">
      <c r="E1069" s="7"/>
      <c r="F1069" s="7"/>
      <c r="G1069" s="7"/>
      <c r="H1069" s="7"/>
      <c r="I1069" s="7"/>
    </row>
    <row r="1070" spans="5:9" x14ac:dyDescent="0.2">
      <c r="E1070" s="7"/>
      <c r="F1070" s="7"/>
      <c r="G1070" s="7"/>
      <c r="H1070" s="7"/>
      <c r="I1070" s="7"/>
    </row>
    <row r="1071" spans="5:9" x14ac:dyDescent="0.2">
      <c r="E1071" s="7"/>
      <c r="F1071" s="7"/>
      <c r="G1071" s="7"/>
      <c r="H1071" s="7"/>
      <c r="I1071" s="7"/>
    </row>
    <row r="1072" spans="5:9" x14ac:dyDescent="0.2">
      <c r="E1072" s="7"/>
      <c r="F1072" s="7"/>
      <c r="G1072" s="7"/>
      <c r="H1072" s="7"/>
      <c r="I1072" s="7"/>
    </row>
    <row r="1073" spans="5:9" x14ac:dyDescent="0.2">
      <c r="E1073" s="7"/>
      <c r="F1073" s="7"/>
      <c r="G1073" s="7"/>
      <c r="H1073" s="7"/>
      <c r="I1073" s="7"/>
    </row>
    <row r="1074" spans="5:9" x14ac:dyDescent="0.2">
      <c r="E1074" s="7"/>
      <c r="F1074" s="7"/>
      <c r="G1074" s="7"/>
      <c r="H1074" s="7"/>
      <c r="I1074" s="7"/>
    </row>
    <row r="1075" spans="5:9" x14ac:dyDescent="0.2">
      <c r="E1075" s="7"/>
      <c r="F1075" s="7"/>
      <c r="G1075" s="7"/>
      <c r="H1075" s="7"/>
      <c r="I1075" s="7"/>
    </row>
    <row r="1076" spans="5:9" x14ac:dyDescent="0.2">
      <c r="E1076" s="7"/>
      <c r="F1076" s="7"/>
      <c r="G1076" s="7"/>
      <c r="H1076" s="7"/>
      <c r="I1076" s="7"/>
    </row>
    <row r="1077" spans="5:9" x14ac:dyDescent="0.2">
      <c r="E1077" s="7"/>
      <c r="F1077" s="7"/>
      <c r="G1077" s="7"/>
      <c r="H1077" s="7"/>
      <c r="I1077" s="7"/>
    </row>
    <row r="1078" spans="5:9" x14ac:dyDescent="0.2">
      <c r="E1078" s="7"/>
      <c r="F1078" s="7"/>
      <c r="G1078" s="7"/>
      <c r="H1078" s="7"/>
      <c r="I1078" s="7"/>
    </row>
    <row r="1079" spans="5:9" x14ac:dyDescent="0.2">
      <c r="E1079" s="7"/>
      <c r="F1079" s="7"/>
      <c r="G1079" s="7"/>
      <c r="H1079" s="7"/>
      <c r="I1079" s="7"/>
    </row>
    <row r="1080" spans="5:9" x14ac:dyDescent="0.2">
      <c r="E1080" s="7"/>
      <c r="F1080" s="7"/>
      <c r="G1080" s="7"/>
      <c r="H1080" s="7"/>
      <c r="I1080" s="7"/>
    </row>
    <row r="1081" spans="5:9" x14ac:dyDescent="0.2">
      <c r="E1081" s="7"/>
      <c r="F1081" s="7"/>
      <c r="G1081" s="7"/>
      <c r="H1081" s="7"/>
      <c r="I1081" s="7"/>
    </row>
    <row r="1082" spans="5:9" x14ac:dyDescent="0.2">
      <c r="E1082" s="7"/>
      <c r="F1082" s="7"/>
      <c r="G1082" s="7"/>
      <c r="H1082" s="7"/>
      <c r="I1082" s="7"/>
    </row>
    <row r="1083" spans="5:9" x14ac:dyDescent="0.2">
      <c r="E1083" s="7"/>
      <c r="F1083" s="7"/>
      <c r="G1083" s="7"/>
      <c r="H1083" s="7"/>
      <c r="I1083" s="7"/>
    </row>
    <row r="1084" spans="5:9" x14ac:dyDescent="0.2">
      <c r="E1084" s="7"/>
      <c r="F1084" s="7"/>
      <c r="G1084" s="7"/>
      <c r="H1084" s="7"/>
      <c r="I1084" s="7"/>
    </row>
    <row r="1085" spans="5:9" x14ac:dyDescent="0.2">
      <c r="E1085" s="7"/>
      <c r="F1085" s="7"/>
      <c r="G1085" s="7"/>
      <c r="H1085" s="7"/>
      <c r="I1085" s="7"/>
    </row>
    <row r="1086" spans="5:9" x14ac:dyDescent="0.2">
      <c r="E1086" s="7"/>
      <c r="F1086" s="7"/>
      <c r="G1086" s="7"/>
      <c r="H1086" s="7"/>
      <c r="I1086" s="7"/>
    </row>
    <row r="1087" spans="5:9" x14ac:dyDescent="0.2">
      <c r="E1087" s="7"/>
      <c r="F1087" s="7"/>
      <c r="G1087" s="7"/>
      <c r="H1087" s="7"/>
      <c r="I1087" s="7"/>
    </row>
    <row r="1088" spans="5:9" x14ac:dyDescent="0.2">
      <c r="E1088" s="7"/>
      <c r="F1088" s="7"/>
      <c r="G1088" s="7"/>
      <c r="H1088" s="7"/>
      <c r="I1088" s="7"/>
    </row>
    <row r="1089" spans="5:9" x14ac:dyDescent="0.2">
      <c r="E1089" s="7"/>
      <c r="F1089" s="7"/>
      <c r="G1089" s="7"/>
      <c r="H1089" s="7"/>
      <c r="I1089" s="7"/>
    </row>
    <row r="1090" spans="5:9" x14ac:dyDescent="0.2">
      <c r="E1090" s="7"/>
      <c r="F1090" s="7"/>
      <c r="G1090" s="7"/>
      <c r="H1090" s="7"/>
      <c r="I1090" s="7"/>
    </row>
    <row r="1091" spans="5:9" x14ac:dyDescent="0.2">
      <c r="E1091" s="7"/>
      <c r="F1091" s="7"/>
      <c r="G1091" s="7"/>
      <c r="H1091" s="7"/>
      <c r="I1091" s="7"/>
    </row>
    <row r="1092" spans="5:9" x14ac:dyDescent="0.2">
      <c r="E1092" s="7"/>
      <c r="F1092" s="7"/>
      <c r="G1092" s="7"/>
      <c r="H1092" s="7"/>
      <c r="I1092" s="7"/>
    </row>
    <row r="1093" spans="5:9" x14ac:dyDescent="0.2">
      <c r="E1093" s="7"/>
      <c r="F1093" s="7"/>
      <c r="G1093" s="7"/>
      <c r="H1093" s="7"/>
      <c r="I1093" s="7"/>
    </row>
    <row r="1094" spans="5:9" x14ac:dyDescent="0.2">
      <c r="E1094" s="7"/>
      <c r="F1094" s="7"/>
      <c r="G1094" s="7"/>
      <c r="H1094" s="7"/>
      <c r="I1094" s="7"/>
    </row>
    <row r="1095" spans="5:9" x14ac:dyDescent="0.2">
      <c r="E1095" s="7"/>
      <c r="F1095" s="7"/>
      <c r="G1095" s="7"/>
      <c r="H1095" s="7"/>
      <c r="I1095" s="7"/>
    </row>
    <row r="1096" spans="5:9" x14ac:dyDescent="0.2">
      <c r="E1096" s="7"/>
      <c r="F1096" s="7"/>
      <c r="G1096" s="7"/>
      <c r="H1096" s="7"/>
      <c r="I1096" s="7"/>
    </row>
    <row r="1097" spans="5:9" x14ac:dyDescent="0.2">
      <c r="E1097" s="7"/>
      <c r="F1097" s="7"/>
      <c r="G1097" s="7"/>
      <c r="H1097" s="7"/>
      <c r="I1097" s="7"/>
    </row>
    <row r="1098" spans="5:9" x14ac:dyDescent="0.2">
      <c r="E1098" s="7"/>
      <c r="F1098" s="7"/>
      <c r="G1098" s="7"/>
      <c r="H1098" s="7"/>
      <c r="I1098" s="7"/>
    </row>
    <row r="1099" spans="5:9" x14ac:dyDescent="0.2">
      <c r="E1099" s="7"/>
      <c r="F1099" s="7"/>
      <c r="G1099" s="7"/>
      <c r="H1099" s="7"/>
      <c r="I1099" s="7"/>
    </row>
    <row r="1100" spans="5:9" x14ac:dyDescent="0.2">
      <c r="E1100" s="7"/>
      <c r="F1100" s="7"/>
      <c r="G1100" s="7"/>
      <c r="H1100" s="7"/>
      <c r="I1100" s="7"/>
    </row>
    <row r="1101" spans="5:9" x14ac:dyDescent="0.2">
      <c r="E1101" s="7"/>
      <c r="F1101" s="7"/>
      <c r="G1101" s="7"/>
      <c r="H1101" s="7"/>
      <c r="I1101" s="7"/>
    </row>
    <row r="1102" spans="5:9" x14ac:dyDescent="0.2">
      <c r="E1102" s="7"/>
      <c r="F1102" s="7"/>
      <c r="G1102" s="7"/>
      <c r="H1102" s="7"/>
      <c r="I1102" s="7"/>
    </row>
    <row r="1103" spans="5:9" x14ac:dyDescent="0.2">
      <c r="E1103" s="7"/>
      <c r="F1103" s="7"/>
      <c r="G1103" s="7"/>
      <c r="H1103" s="7"/>
      <c r="I1103" s="7"/>
    </row>
    <row r="1104" spans="5:9" x14ac:dyDescent="0.2">
      <c r="E1104" s="7"/>
      <c r="F1104" s="7"/>
      <c r="G1104" s="7"/>
      <c r="H1104" s="7"/>
      <c r="I1104" s="7"/>
    </row>
    <row r="1105" spans="5:9" x14ac:dyDescent="0.2">
      <c r="E1105" s="7"/>
      <c r="F1105" s="7"/>
      <c r="G1105" s="7"/>
      <c r="H1105" s="7"/>
      <c r="I1105" s="7"/>
    </row>
    <row r="1106" spans="5:9" x14ac:dyDescent="0.2">
      <c r="E1106" s="7"/>
      <c r="F1106" s="7"/>
      <c r="G1106" s="7"/>
      <c r="H1106" s="7"/>
      <c r="I1106" s="7"/>
    </row>
    <row r="1107" spans="5:9" x14ac:dyDescent="0.2">
      <c r="E1107" s="7"/>
      <c r="F1107" s="7"/>
      <c r="G1107" s="7"/>
      <c r="H1107" s="7"/>
      <c r="I1107" s="7"/>
    </row>
    <row r="1108" spans="5:9" x14ac:dyDescent="0.2">
      <c r="E1108" s="7"/>
      <c r="F1108" s="7"/>
      <c r="G1108" s="7"/>
      <c r="H1108" s="7"/>
      <c r="I1108" s="7"/>
    </row>
    <row r="1109" spans="5:9" x14ac:dyDescent="0.2">
      <c r="E1109" s="7"/>
      <c r="F1109" s="7"/>
      <c r="G1109" s="7"/>
      <c r="H1109" s="7"/>
      <c r="I1109" s="7"/>
    </row>
    <row r="1110" spans="5:9" x14ac:dyDescent="0.2">
      <c r="E1110" s="7"/>
      <c r="F1110" s="7"/>
      <c r="G1110" s="7"/>
      <c r="H1110" s="7"/>
      <c r="I1110" s="7"/>
    </row>
    <row r="1111" spans="5:9" x14ac:dyDescent="0.2">
      <c r="E1111" s="7"/>
      <c r="F1111" s="7"/>
      <c r="G1111" s="7"/>
      <c r="H1111" s="7"/>
      <c r="I1111" s="7"/>
    </row>
    <row r="1112" spans="5:9" x14ac:dyDescent="0.2">
      <c r="E1112" s="7"/>
      <c r="F1112" s="7"/>
      <c r="G1112" s="7"/>
      <c r="H1112" s="7"/>
      <c r="I1112" s="7"/>
    </row>
    <row r="1113" spans="5:9" x14ac:dyDescent="0.2">
      <c r="E1113" s="7"/>
      <c r="F1113" s="7"/>
      <c r="G1113" s="7"/>
      <c r="H1113" s="7"/>
      <c r="I1113" s="7"/>
    </row>
    <row r="1114" spans="5:9" x14ac:dyDescent="0.2">
      <c r="E1114" s="7"/>
      <c r="F1114" s="7"/>
      <c r="G1114" s="7"/>
      <c r="H1114" s="7"/>
      <c r="I1114" s="7"/>
    </row>
    <row r="1115" spans="5:9" x14ac:dyDescent="0.2">
      <c r="E1115" s="7"/>
      <c r="F1115" s="7"/>
      <c r="G1115" s="7"/>
      <c r="H1115" s="7"/>
      <c r="I1115" s="7"/>
    </row>
    <row r="1116" spans="5:9" x14ac:dyDescent="0.2">
      <c r="E1116" s="7"/>
      <c r="F1116" s="7"/>
      <c r="G1116" s="7"/>
      <c r="H1116" s="7"/>
      <c r="I1116" s="7"/>
    </row>
    <row r="1117" spans="5:9" x14ac:dyDescent="0.2">
      <c r="E1117" s="7"/>
      <c r="F1117" s="7"/>
      <c r="G1117" s="7"/>
      <c r="H1117" s="7"/>
      <c r="I1117" s="7"/>
    </row>
    <row r="1118" spans="5:9" x14ac:dyDescent="0.2">
      <c r="E1118" s="7"/>
      <c r="F1118" s="7"/>
      <c r="G1118" s="7"/>
      <c r="H1118" s="7"/>
      <c r="I1118" s="7"/>
    </row>
    <row r="1119" spans="5:9" x14ac:dyDescent="0.2">
      <c r="E1119" s="7"/>
      <c r="F1119" s="7"/>
      <c r="G1119" s="7"/>
      <c r="H1119" s="7"/>
      <c r="I1119" s="7"/>
    </row>
    <row r="1120" spans="5:9" x14ac:dyDescent="0.2">
      <c r="E1120" s="7"/>
      <c r="F1120" s="7"/>
      <c r="G1120" s="7"/>
      <c r="H1120" s="7"/>
      <c r="I1120" s="7"/>
    </row>
    <row r="1121" spans="5:9" x14ac:dyDescent="0.2">
      <c r="E1121" s="7"/>
      <c r="F1121" s="7"/>
      <c r="G1121" s="7"/>
      <c r="H1121" s="7"/>
      <c r="I1121" s="7"/>
    </row>
    <row r="1122" spans="5:9" x14ac:dyDescent="0.2">
      <c r="E1122" s="7"/>
      <c r="F1122" s="7"/>
      <c r="G1122" s="7"/>
      <c r="H1122" s="7"/>
      <c r="I1122" s="7"/>
    </row>
    <row r="1123" spans="5:9" x14ac:dyDescent="0.2">
      <c r="E1123" s="7"/>
      <c r="F1123" s="7"/>
      <c r="G1123" s="7"/>
      <c r="H1123" s="7"/>
      <c r="I1123" s="7"/>
    </row>
    <row r="1124" spans="5:9" x14ac:dyDescent="0.2">
      <c r="E1124" s="7"/>
      <c r="F1124" s="7"/>
      <c r="G1124" s="7"/>
      <c r="H1124" s="7"/>
      <c r="I1124" s="7"/>
    </row>
    <row r="1125" spans="5:9" x14ac:dyDescent="0.2">
      <c r="E1125" s="7"/>
      <c r="F1125" s="7"/>
      <c r="G1125" s="7"/>
      <c r="H1125" s="7"/>
      <c r="I1125" s="7"/>
    </row>
    <row r="1126" spans="5:9" x14ac:dyDescent="0.2">
      <c r="E1126" s="7"/>
      <c r="F1126" s="7"/>
      <c r="G1126" s="7"/>
      <c r="H1126" s="7"/>
      <c r="I1126" s="7"/>
    </row>
    <row r="1127" spans="5:9" x14ac:dyDescent="0.2">
      <c r="F1127" s="7"/>
      <c r="G1127" s="7"/>
      <c r="H1127" s="7"/>
      <c r="I1127" s="7"/>
    </row>
    <row r="1128" spans="5:9" x14ac:dyDescent="0.2">
      <c r="F1128" s="7"/>
      <c r="G1128" s="7"/>
      <c r="H1128" s="7"/>
      <c r="I1128" s="7"/>
    </row>
    <row r="1129" spans="5:9" x14ac:dyDescent="0.2">
      <c r="F1129" s="7"/>
      <c r="G1129" s="7"/>
      <c r="H1129" s="7"/>
      <c r="I1129" s="7"/>
    </row>
    <row r="1130" spans="5:9" x14ac:dyDescent="0.2">
      <c r="F1130" s="7"/>
      <c r="G1130" s="7"/>
      <c r="H1130" s="7"/>
      <c r="I1130" s="7"/>
    </row>
    <row r="1131" spans="5:9" x14ac:dyDescent="0.2">
      <c r="F1131" s="7"/>
      <c r="G1131" s="7"/>
      <c r="H1131" s="7"/>
      <c r="I1131" s="7"/>
    </row>
    <row r="1132" spans="5:9" x14ac:dyDescent="0.2">
      <c r="F1132" s="7"/>
      <c r="G1132" s="7"/>
      <c r="H1132" s="7"/>
      <c r="I1132" s="7"/>
    </row>
    <row r="1133" spans="5:9" x14ac:dyDescent="0.2">
      <c r="F1133" s="7"/>
      <c r="G1133" s="7"/>
      <c r="H1133" s="7"/>
      <c r="I1133" s="7"/>
    </row>
    <row r="1134" spans="5:9" x14ac:dyDescent="0.2">
      <c r="F1134" s="7"/>
      <c r="G1134" s="7"/>
      <c r="H1134" s="7"/>
      <c r="I1134" s="7"/>
    </row>
    <row r="1135" spans="5:9" x14ac:dyDescent="0.2">
      <c r="F1135" s="7"/>
      <c r="G1135" s="7"/>
      <c r="H1135" s="7"/>
      <c r="I1135" s="7"/>
    </row>
    <row r="1136" spans="5:9" x14ac:dyDescent="0.2">
      <c r="F1136" s="7"/>
      <c r="G1136" s="7"/>
      <c r="H1136" s="7"/>
      <c r="I1136" s="7"/>
    </row>
    <row r="1137" spans="6:9" x14ac:dyDescent="0.2">
      <c r="F1137" s="7"/>
      <c r="G1137" s="7"/>
      <c r="H1137" s="7"/>
      <c r="I1137" s="7"/>
    </row>
    <row r="1138" spans="6:9" x14ac:dyDescent="0.2">
      <c r="F1138" s="7"/>
      <c r="G1138" s="7"/>
      <c r="H1138" s="7"/>
      <c r="I1138" s="7"/>
    </row>
    <row r="1139" spans="6:9" x14ac:dyDescent="0.2">
      <c r="F1139" s="7"/>
      <c r="G1139" s="7"/>
      <c r="H1139" s="7"/>
      <c r="I1139" s="7"/>
    </row>
    <row r="1140" spans="6:9" x14ac:dyDescent="0.2">
      <c r="F1140" s="7"/>
      <c r="G1140" s="7"/>
      <c r="H1140" s="7"/>
      <c r="I1140" s="7"/>
    </row>
    <row r="1141" spans="6:9" x14ac:dyDescent="0.2">
      <c r="F1141" s="7"/>
      <c r="G1141" s="7"/>
      <c r="H1141" s="7"/>
      <c r="I1141" s="7"/>
    </row>
    <row r="1142" spans="6:9" x14ac:dyDescent="0.2">
      <c r="F1142" s="7"/>
      <c r="G1142" s="7"/>
      <c r="H1142" s="7"/>
      <c r="I1142" s="7"/>
    </row>
    <row r="1143" spans="6:9" x14ac:dyDescent="0.2">
      <c r="F1143" s="7"/>
      <c r="G1143" s="7"/>
      <c r="H1143" s="7"/>
      <c r="I1143" s="7"/>
    </row>
    <row r="1144" spans="6:9" x14ac:dyDescent="0.2">
      <c r="F1144" s="7"/>
      <c r="G1144" s="7"/>
      <c r="H1144" s="7"/>
    </row>
    <row r="1145" spans="6:9" x14ac:dyDescent="0.2">
      <c r="F1145" s="7"/>
      <c r="G1145" s="7"/>
      <c r="H1145" s="7"/>
    </row>
    <row r="1146" spans="6:9" x14ac:dyDescent="0.2">
      <c r="F1146" s="7"/>
      <c r="G1146" s="7"/>
      <c r="H1146" s="7"/>
    </row>
  </sheetData>
  <sheetProtection algorithmName="SHA-512" hashValue="6GVfktNR8t1BJsfQAj2774IY+n3ryQ2ohSHkgcrICPckVBxQUJG3yU5CWGjwHmf7nbrwAPJ573++42cegsFxMw==" saltValue="Vc9r4f2h7zEI5muQPSaJhw==" spinCount="100000" sheet="1" objects="1" scenarios="1"/>
  <mergeCells count="71">
    <mergeCell ref="J116:M116"/>
    <mergeCell ref="J158:M158"/>
    <mergeCell ref="J121:M121"/>
    <mergeCell ref="J126:M126"/>
    <mergeCell ref="J111:M111"/>
    <mergeCell ref="J129:M129"/>
    <mergeCell ref="J137:M137"/>
    <mergeCell ref="J151:M151"/>
    <mergeCell ref="J161:M161"/>
    <mergeCell ref="J159:M159"/>
    <mergeCell ref="J265:M265"/>
    <mergeCell ref="J320:M320"/>
    <mergeCell ref="J324:M324"/>
    <mergeCell ref="J215:M215"/>
    <mergeCell ref="J216:M216"/>
    <mergeCell ref="J169:M169"/>
    <mergeCell ref="J185:M185"/>
    <mergeCell ref="J204:M204"/>
    <mergeCell ref="J194:M194"/>
    <mergeCell ref="J184:M184"/>
    <mergeCell ref="J174:M174"/>
    <mergeCell ref="J176:M176"/>
    <mergeCell ref="J171:M171"/>
    <mergeCell ref="J233:M233"/>
    <mergeCell ref="J327:M327"/>
    <mergeCell ref="J285:M285"/>
    <mergeCell ref="J322:M322"/>
    <mergeCell ref="J362:M362"/>
    <mergeCell ref="J308:M308"/>
    <mergeCell ref="J309:M309"/>
    <mergeCell ref="J332:M332"/>
    <mergeCell ref="J336:M336"/>
    <mergeCell ref="J344:M344"/>
    <mergeCell ref="J350:M350"/>
    <mergeCell ref="J356:M356"/>
    <mergeCell ref="J304:M304"/>
    <mergeCell ref="J293:M293"/>
    <mergeCell ref="J292:M292"/>
    <mergeCell ref="J317:M317"/>
    <mergeCell ref="J340:M340"/>
    <mergeCell ref="J244:M244"/>
    <mergeCell ref="J145:M145"/>
    <mergeCell ref="J6:M6"/>
    <mergeCell ref="J7:M7"/>
    <mergeCell ref="J193:M193"/>
    <mergeCell ref="J52:M52"/>
    <mergeCell ref="J205:M205"/>
    <mergeCell ref="J22:M22"/>
    <mergeCell ref="J23:M23"/>
    <mergeCell ref="J72:M72"/>
    <mergeCell ref="J75:M75"/>
    <mergeCell ref="J29:M29"/>
    <mergeCell ref="J65:M65"/>
    <mergeCell ref="J66:M66"/>
    <mergeCell ref="J104:M104"/>
    <mergeCell ref="J83:M83"/>
    <mergeCell ref="B2:M2"/>
    <mergeCell ref="B3:M3"/>
    <mergeCell ref="J48:M48"/>
    <mergeCell ref="J57:M57"/>
    <mergeCell ref="J28:M28"/>
    <mergeCell ref="J37:M37"/>
    <mergeCell ref="J42:M42"/>
    <mergeCell ref="J43:M43"/>
    <mergeCell ref="J56:M56"/>
    <mergeCell ref="C17:G17"/>
    <mergeCell ref="J84:M84"/>
    <mergeCell ref="J105:M105"/>
    <mergeCell ref="J36:M36"/>
    <mergeCell ref="J78:M78"/>
    <mergeCell ref="J80:M80"/>
  </mergeCells>
  <phoneticPr fontId="54" type="noConversion"/>
  <conditionalFormatting sqref="C17">
    <cfRule type="expression" dxfId="1768" priority="176">
      <formula>OR((mgmt_domain_existing_vcf_operations_chosen="Selected"),(mgmt_domain_chosen="Deploy a VCF Instance in an existing VCF fleet"))</formula>
    </cfRule>
  </conditionalFormatting>
  <conditionalFormatting sqref="E23:E24 E26">
    <cfRule type="expression" dxfId="1767" priority="175">
      <formula>mgmt_domain_existing_vcenter_chosen="Selected"</formula>
    </cfRule>
  </conditionalFormatting>
  <conditionalFormatting sqref="E25">
    <cfRule type="expression" dxfId="1766" priority="174">
      <formula>mgmt_domain_existing_nsx_manager_chosen="Selected"</formula>
    </cfRule>
  </conditionalFormatting>
  <conditionalFormatting sqref="E25:E26 C18:G18">
    <cfRule type="expression" dxfId="1765" priority="466">
      <formula>mgmt_domain_deployment_type_chosen="VMware vSphere Foundation"</formula>
    </cfRule>
  </conditionalFormatting>
  <conditionalFormatting sqref="J364:J370 J372:J375">
    <cfRule type="expression" dxfId="1764" priority="84">
      <formula>mgmt_domain_ops_automation_later_chosen="Selected"</formula>
    </cfRule>
    <cfRule type="expression" dxfId="1763" priority="85">
      <formula>mgmt_domain_deployment_type_chosen="VMware vSphere Foundation"</formula>
    </cfRule>
  </conditionalFormatting>
  <conditionalFormatting sqref="J369:J370">
    <cfRule type="expression" dxfId="1762" priority="28">
      <formula>mgmt_domain_ops_automation_later_chosen="Selected"</formula>
    </cfRule>
    <cfRule type="expression" dxfId="1761" priority="29">
      <formula>mgmt_domain_deployment_type_chosen="VMware vSphere Foundation"</formula>
    </cfRule>
    <cfRule type="expression" dxfId="1760" priority="30">
      <formula>mgmt_domain_existing_vcf_operations_chosen="Selected"</formula>
    </cfRule>
    <cfRule type="expression" dxfId="1759" priority="31">
      <formula>mgmt_domain_vcf_automation_later_chosen="Selected"</formula>
    </cfRule>
  </conditionalFormatting>
  <conditionalFormatting sqref="J377">
    <cfRule type="expression" dxfId="1758" priority="124">
      <formula>mgmt_domain_ops_automation_later_chosen="Selected"</formula>
    </cfRule>
    <cfRule type="expression" dxfId="1757" priority="125">
      <formula>mgmt_domain_deployment_type_chosen="VMware vSphere Foundation"</formula>
    </cfRule>
  </conditionalFormatting>
  <conditionalFormatting sqref="J379:J382">
    <cfRule type="expression" dxfId="1756" priority="121">
      <formula>mgmt_domain_ops_automation_later_chosen="Selected"</formula>
    </cfRule>
    <cfRule type="expression" dxfId="1755" priority="122">
      <formula>mgmt_domain_deployment_type_chosen="VMware vSphere Foundation"</formula>
    </cfRule>
    <cfRule type="expression" dxfId="1754" priority="123">
      <formula>mgmt_domain_existing_vcf_operations_chosen="Selected"</formula>
    </cfRule>
  </conditionalFormatting>
  <conditionalFormatting sqref="J384 L384">
    <cfRule type="expression" dxfId="1753" priority="167">
      <formula>mgmt_vcf_installer_location_chosen="Deployed on one of the hosts in the management domain"</formula>
    </cfRule>
  </conditionalFormatting>
  <conditionalFormatting sqref="L9:L20 L25:L26 L31:L34 L39:L40 L45:L47 L49:L51 L53:L54 L59:L63 L68:L71 L73:L74 L76:L77 L79 L81 L86:L102 L107:L110 L112:L115 L117:L120 L122:L125 L130:L132 L138:L140 L162:L170 L172:L173 L177:L178 L181:L182 L187:L189 L196:L202 L207:L213 L218 L230:L232 L235:L243 L246 L252:L254 L256:L259 L261:L264 L266:L269 L272:L274 L277:L279 L282:L284 L286:L290 L292:L293 L295:L303 L305:L306 L311:L315 L321 L323 L325:L328 J364:J370 L364:L370 J372:J375 L372:L375 J377 L377 J379:J382 L379:L382 J384:J386 L384:L386 J388:J391 L388:L391 J393:J408 L393:L408">
    <cfRule type="containsBlanks" dxfId="1752" priority="1506">
      <formula>LEN(TRIM(J9))=0</formula>
    </cfRule>
  </conditionalFormatting>
  <conditionalFormatting sqref="L9:L20 L25:L26 L31:L34 L39:L40 L45:L47 L49:L51 L53:L54 L59:L63 L68:L71 L73:L74 L76:L77 L79 L81 L86:L102 L107:L110 L112:L115 L117:L120 L122:L125 L130:L132 L138:L140 L162:L170 L172:L173 L181:L182 L187:L189 L196:L202 L207:L213 L218 L230:L232 L235:L243 L246 L252:L254 L256:L259 L261:L264 L266:L269 L272:L274 L277:L279 L282:L284 L286:L290 L292:L293 L295:L303 L305:L306 L311:L315 L321 L323 L325:L328 J364:J370 L364:L370 J372:J375 L372:L375 J377 L377 J379:J382 L379:L382 J384:J386 L384:L386 J388:J391 L388:L391 J393:J408 L393:L408 L177:L178">
    <cfRule type="notContainsBlanks" dxfId="1751" priority="1505">
      <formula>LEN(TRIM(J9))&gt;0</formula>
    </cfRule>
  </conditionalFormatting>
  <conditionalFormatting sqref="L10:L11">
    <cfRule type="expression" dxfId="1749" priority="464">
      <formula>mgmt_offline_depot_chosen="Online"</formula>
    </cfRule>
  </conditionalFormatting>
  <conditionalFormatting sqref="L12:L14">
    <cfRule type="expression" dxfId="1748" priority="42">
      <formula>mgmt_offline_depot_chosen="Offline"</formula>
    </cfRule>
  </conditionalFormatting>
  <conditionalFormatting sqref="L15:L18">
    <cfRule type="expression" dxfId="1747" priority="451">
      <formula>mgmt_internet_proxy_chosen="Unselected"</formula>
    </cfRule>
  </conditionalFormatting>
  <conditionalFormatting sqref="L19:L20">
    <cfRule type="expression" dxfId="1746" priority="43">
      <formula>AND((mgmt_offline_depot_chosen="Online"),(mgmt_internet_proxy_chosen="Unselected"))</formula>
    </cfRule>
    <cfRule type="expression" dxfId="1745" priority="205">
      <formula>AND((mgmt_offline_depot_chosen="Online"),(mgmt_internet_proxy_auth_chosen="Unselected"))</formula>
    </cfRule>
  </conditionalFormatting>
  <conditionalFormatting sqref="L32">
    <cfRule type="expression" dxfId="1744" priority="9">
      <formula>mgmt_domain_existing_vcf_operations_chosen="Selected"</formula>
    </cfRule>
  </conditionalFormatting>
  <conditionalFormatting sqref="L33">
    <cfRule type="expression" dxfId="1743" priority="439">
      <formula>mgmt_domain_existing_vcenter_result="Unselected"</formula>
    </cfRule>
  </conditionalFormatting>
  <conditionalFormatting sqref="L40">
    <cfRule type="expression" dxfId="1742" priority="103">
      <formula>mgmt_domain_vcf_operations_ha_mode_chosen="Simple"</formula>
    </cfRule>
  </conditionalFormatting>
  <conditionalFormatting sqref="L47">
    <cfRule type="expression" dxfId="1741" priority="11">
      <formula>AND((mgmt_domain_vcf_automation_later_chosen="Selected"),(mgmt_domain_existing_vcf_operations_chosen="Selected"))</formula>
    </cfRule>
  </conditionalFormatting>
  <conditionalFormatting sqref="L50:L51 L110 L115 L120 L124:L125 L135:L136 L143:L144">
    <cfRule type="expression" dxfId="1740" priority="41">
      <formula>mgmt_dual_stack_networking_chosen="Unselected"</formula>
    </cfRule>
  </conditionalFormatting>
  <conditionalFormatting sqref="L54">
    <cfRule type="expression" dxfId="1739" priority="16">
      <formula>mgmt_nsx_vpc_type_chosen="VLAN backed VPC"</formula>
    </cfRule>
  </conditionalFormatting>
  <conditionalFormatting sqref="L60">
    <cfRule type="expression" dxfId="1738" priority="12">
      <formula>OR((mgmt_principal_storage_chosen="VMFS on Fibre Channel (FC)"),(mgmt_principal_storage_chosen="NFSv3"))</formula>
    </cfRule>
  </conditionalFormatting>
  <conditionalFormatting sqref="L61">
    <cfRule type="expression" dxfId="1737" priority="15">
      <formula>mgmt_principal_storage_chosen&lt;&gt;"vSAN-ESA"</formula>
    </cfRule>
  </conditionalFormatting>
  <conditionalFormatting sqref="L62:L63">
    <cfRule type="expression" dxfId="1736" priority="446">
      <formula>mgmt_principal_storage_chosen&lt;&gt;"vSAN-OSA"</formula>
    </cfRule>
  </conditionalFormatting>
  <conditionalFormatting sqref="L71 L81">
    <cfRule type="expression" dxfId="1735" priority="442">
      <formula>mgmt_domain_existing_vcenter_chosen="Excluded"</formula>
    </cfRule>
  </conditionalFormatting>
  <conditionalFormatting sqref="L73:L74 L79 L234 L256">
    <cfRule type="expression" dxfId="1734" priority="39">
      <formula>mgmt_domain_existing_vcenter_chosen="Selected"</formula>
    </cfRule>
  </conditionalFormatting>
  <conditionalFormatting sqref="L91:L102">
    <cfRule type="containsBlanks" dxfId="1733" priority="239">
      <formula>LEN(TRIM(L91))=0</formula>
    </cfRule>
    <cfRule type="notContainsBlanks" dxfId="1732" priority="240">
      <formula>LEN(TRIM(L91))&gt;0</formula>
    </cfRule>
  </conditionalFormatting>
  <conditionalFormatting sqref="L104:L120 L130:L136 L138:L144 L49:L51 L207:L213 L53:L54 L152:L156 L45 L83:L102 L197:L199">
    <cfRule type="expression" dxfId="1731" priority="97">
      <formula>mgmt_domain_existing_vcenter_chosen="Selected"</formula>
    </cfRule>
  </conditionalFormatting>
  <conditionalFormatting sqref="L117:L120">
    <cfRule type="expression" dxfId="1730" priority="75">
      <formula>mgmt_vcf_management_network_chosen="Use VM management network"</formula>
    </cfRule>
  </conditionalFormatting>
  <conditionalFormatting sqref="L127:L128">
    <cfRule type="expression" dxfId="1729" priority="26">
      <formula>mgmt_domain_deployment_type_chosen="VMware vSphere Foundation"</formula>
    </cfRule>
    <cfRule type="expression" dxfId="1728" priority="37">
      <formula>vcf_granular_option_chosen="Deploy a VCF Instance in an existing VCF fleet"</formula>
    </cfRule>
    <cfRule type="notContainsBlanks" dxfId="1726" priority="104">
      <formula>LEN(TRIM(L127))&gt;0</formula>
    </cfRule>
    <cfRule type="containsBlanks" dxfId="1725" priority="435">
      <formula>LEN(TRIM(L127))=0</formula>
    </cfRule>
  </conditionalFormatting>
  <conditionalFormatting sqref="L133:L136">
    <cfRule type="containsBlanks" dxfId="1724" priority="273" stopIfTrue="1">
      <formula>LEN(TRIM(L133))=0</formula>
    </cfRule>
    <cfRule type="notContainsBlanks" dxfId="1723" priority="274" stopIfTrue="1">
      <formula>LEN(TRIM(L133))&gt;0</formula>
    </cfRule>
  </conditionalFormatting>
  <conditionalFormatting sqref="L135:L136">
    <cfRule type="expression" dxfId="1722" priority="55">
      <formula>mgmt_az1_vmotion_ip_scheme_chosen="IPv4"</formula>
    </cfRule>
  </conditionalFormatting>
  <conditionalFormatting sqref="L138:L144">
    <cfRule type="expression" dxfId="1721" priority="277">
      <formula>OR((mgmt_principal_storage_chosen="VMFS on Fibre Channel (FC)"),(mgmt_principal_storage_chosen="NFSv3"))</formula>
    </cfRule>
  </conditionalFormatting>
  <conditionalFormatting sqref="L141:L144 L149:L150">
    <cfRule type="containsBlanks" dxfId="1720" priority="278" stopIfTrue="1">
      <formula>LEN(TRIM(L141))=0</formula>
    </cfRule>
    <cfRule type="notContainsBlanks" dxfId="1719" priority="364" stopIfTrue="1">
      <formula>LEN(TRIM(L141))&gt;0</formula>
    </cfRule>
  </conditionalFormatting>
  <conditionalFormatting sqref="L143:L144">
    <cfRule type="expression" dxfId="1718" priority="54">
      <formula>mgmt_az1_vsan_ip_scheme_chosen="IPv4"</formula>
    </cfRule>
  </conditionalFormatting>
  <conditionalFormatting sqref="L146:L148">
    <cfRule type="expression" dxfId="1717" priority="184">
      <formula>mgmt_domain_existing_vcenter_chosen="Selected"</formula>
    </cfRule>
    <cfRule type="expression" dxfId="1716" priority="185">
      <formula>mgmt_principal_storage_chosen="VMFS on Fibre Channel (FC)"</formula>
    </cfRule>
    <cfRule type="notContainsBlanks" dxfId="1714" priority="187">
      <formula>LEN(TRIM(L146))&gt;0</formula>
    </cfRule>
    <cfRule type="containsBlanks" dxfId="1713" priority="188">
      <formula>LEN(TRIM(L146))=0</formula>
    </cfRule>
  </conditionalFormatting>
  <conditionalFormatting sqref="L146:L150">
    <cfRule type="expression" dxfId="1712" priority="183">
      <formula>mgmt_principal_storage_chosen&lt;&gt;"NFSv3"</formula>
    </cfRule>
  </conditionalFormatting>
  <conditionalFormatting sqref="L152:L154 L233:L243">
    <cfRule type="notContainsBlanks" dxfId="1711" priority="259" stopIfTrue="1">
      <formula>LEN(TRIM(L152))&gt;0</formula>
    </cfRule>
    <cfRule type="containsBlanks" dxfId="1710" priority="260">
      <formula>LEN(TRIM(L152))=0</formula>
    </cfRule>
  </conditionalFormatting>
  <conditionalFormatting sqref="L152:L156">
    <cfRule type="expression" dxfId="1709" priority="14">
      <formula>mgmt_nsx_vpc_type_chosen="VLAN backed VPC"</formula>
    </cfRule>
  </conditionalFormatting>
  <conditionalFormatting sqref="L153 L155:L156">
    <cfRule type="expression" dxfId="1708" priority="249">
      <formula>mgmt_host_overlay_addressing_chosen&lt;&gt;"IP Pool"</formula>
    </cfRule>
  </conditionalFormatting>
  <conditionalFormatting sqref="L153:L154">
    <cfRule type="expression" dxfId="1707" priority="218">
      <formula>vcf_granular_option_chosen="None Selected"</formula>
    </cfRule>
    <cfRule type="expression" dxfId="1706" priority="219" stopIfTrue="1">
      <formula>OR((vcf_granular_option_chosen="Cluster"),(vcf_granular_option_chosen="None Chosen"))</formula>
    </cfRule>
    <cfRule type="expression" dxfId="1705" priority="220">
      <formula>mgmt_domain_deployment_type_chosen="VVF"</formula>
    </cfRule>
  </conditionalFormatting>
  <conditionalFormatting sqref="L155:L156">
    <cfRule type="containsBlanks" dxfId="1704" priority="262" stopIfTrue="1">
      <formula>LEN(TRIM(L155))=0</formula>
    </cfRule>
    <cfRule type="notContainsBlanks" dxfId="1703" priority="263" stopIfTrue="1">
      <formula>LEN(TRIM(L155))&gt;0</formula>
    </cfRule>
  </conditionalFormatting>
  <conditionalFormatting sqref="L162:L170 L127:L128 L172:L173 L201:L202 L321 L323">
    <cfRule type="expression" dxfId="1702" priority="20">
      <formula>mgmt_domain_ops_automation_later_chosen="Selected"</formula>
    </cfRule>
  </conditionalFormatting>
  <conditionalFormatting sqref="L163:L168 L170 L297:L301 L373:L374 L377 J373:J374">
    <cfRule type="expression" dxfId="1701" priority="287" stopIfTrue="1">
      <formula>mgmt_domain_vcf_operations_ha_mode_chosen="Simple"</formula>
    </cfRule>
  </conditionalFormatting>
  <conditionalFormatting sqref="L163:L168 L373:L375 L170 J372:J375 L377 L181:L182 L364:L370 J377 J364:J370 L321 L323">
    <cfRule type="expression" dxfId="1700" priority="449" stopIfTrue="1">
      <formula>mgmt_domain_existing_vcf_operations_chosen="Selected"</formula>
    </cfRule>
  </conditionalFormatting>
  <conditionalFormatting sqref="L164 L168 L374">
    <cfRule type="expression" dxfId="1699" priority="13" stopIfTrue="1">
      <formula>AND((mgmt_domain_vcf_operations_ha_mode_chosen="High Availability (Three-Node)"),(mgmt_domain_vcf_operations_size_chosen="Small"))</formula>
    </cfRule>
  </conditionalFormatting>
  <conditionalFormatting sqref="L165:L166">
    <cfRule type="expression" dxfId="1698" priority="436">
      <formula>AND((mgmt_domain_password_creation_chosen="Selected"),(vcf_granular_option_chosen="Deploy a new VCF Fleet"))</formula>
    </cfRule>
  </conditionalFormatting>
  <conditionalFormatting sqref="L173">
    <cfRule type="expression" dxfId="1697" priority="178">
      <formula>mgmt_domain_password_creation_chosen="Selected"</formula>
    </cfRule>
  </conditionalFormatting>
  <conditionalFormatting sqref="L175 L364:L370 L372:L375 L377 L379:L382">
    <cfRule type="expression" dxfId="1696" priority="130">
      <formula>mgmt_domain_ops_automation_later_chosen="Selected"</formula>
    </cfRule>
  </conditionalFormatting>
  <conditionalFormatting sqref="L175">
    <cfRule type="notContainsBlanks" dxfId="1694" priority="74">
      <formula>LEN(TRIM(L175))&gt;0</formula>
    </cfRule>
    <cfRule type="containsBlanks" dxfId="1693" priority="92">
      <formula>LEN(TRIM(L175))=0</formula>
    </cfRule>
  </conditionalFormatting>
  <conditionalFormatting sqref="L179 L177">
    <cfRule type="expression" dxfId="1691" priority="93">
      <formula>vcf_granular_option_chosen="Deploy a VCF Instance in an existing VCF Fleet"</formula>
    </cfRule>
  </conditionalFormatting>
  <conditionalFormatting sqref="L179">
    <cfRule type="expression" dxfId="1690" priority="69">
      <formula>mgmt_domain_deployment_type_chosen="VMware vSphere Foundation"</formula>
    </cfRule>
    <cfRule type="containsBlanks" dxfId="1689" priority="95">
      <formula>LEN(TRIM(L179))=0</formula>
    </cfRule>
    <cfRule type="notContainsBlanks" dxfId="1688" priority="181">
      <formula>LEN(TRIM(L179))&gt;0</formula>
    </cfRule>
  </conditionalFormatting>
  <conditionalFormatting sqref="L180:L182">
    <cfRule type="notContainsBlanks" dxfId="1686" priority="81">
      <formula>LEN(TRIM(L180))&gt;0</formula>
    </cfRule>
    <cfRule type="containsBlanks" dxfId="1685" priority="82">
      <formula>LEN(TRIM(L180))=0</formula>
    </cfRule>
  </conditionalFormatting>
  <conditionalFormatting sqref="L181:L182 L172:L173 L187:L189 L201:L202 L295:L303 L311:L315 L286:L290 L292:L293 L152:L156 L31 L33:L34 L47 L163:L168 L170 L364:L370 L373:L375 L377 L39:L40 L69:L71 L385 L388:L391">
    <cfRule type="expression" dxfId="1684" priority="191">
      <formula>mgmt_domain_deployment_type_chosen="VMware vSphere Foundation"</formula>
    </cfRule>
  </conditionalFormatting>
  <conditionalFormatting sqref="L181:L182">
    <cfRule type="expression" dxfId="1683" priority="59">
      <formula>mgmt_domain_ops_automation_later_chosen="Selected"</formula>
    </cfRule>
    <cfRule type="expression" dxfId="1682" priority="61">
      <formula>mgmt_domain_password_creation_chosen="Selected"</formula>
    </cfRule>
    <cfRule type="expression" dxfId="1681" priority="179">
      <formula>AND((mgmt_domain_password_creation_chosen="Selected"),(mgmt_domain_chosen="Deploy a new VCF fleet"))</formula>
    </cfRule>
    <cfRule type="expression" dxfId="1680" priority="211">
      <formula>mgmt_flt_fm_reuse_password_chosen="Selected"</formula>
    </cfRule>
  </conditionalFormatting>
  <conditionalFormatting sqref="L187:L191">
    <cfRule type="expression" dxfId="1679" priority="4">
      <formula>mgmt_domain_ops_automation_later_chosen="Selected"</formula>
    </cfRule>
  </conditionalFormatting>
  <conditionalFormatting sqref="L189 L53:L54">
    <cfRule type="expression" dxfId="1678" priority="27">
      <formula>mgmt_domain_deployment_type_chosen="VMware vSphere Foundation"</formula>
    </cfRule>
  </conditionalFormatting>
  <conditionalFormatting sqref="L189 L201:L202">
    <cfRule type="expression" dxfId="1677" priority="177">
      <formula>AND((mgmt_domain_existing_vcf_operations_chosen="Unselected"),(mgmt_domain_password_creation_chosen="Selected"),(mgmt_domain_chosen="First Instance"))</formula>
    </cfRule>
  </conditionalFormatting>
  <conditionalFormatting sqref="L190">
    <cfRule type="containsBlanks" dxfId="1676" priority="21">
      <formula>LEN(TRIM(L190))=0</formula>
    </cfRule>
    <cfRule type="notContainsBlanks" dxfId="1674" priority="98">
      <formula>LEN(TRIM(L190))&gt;0</formula>
    </cfRule>
  </conditionalFormatting>
  <conditionalFormatting sqref="L191">
    <cfRule type="expression" dxfId="1673" priority="1">
      <formula>vcf_granular_option_chosen="Deploy a VCF Instance in an existing VCF Fleet"</formula>
    </cfRule>
    <cfRule type="expression" dxfId="1672" priority="2">
      <formula>mgmt_domain_deployment_type_chosen="VMware vSphere Foundation"</formula>
    </cfRule>
    <cfRule type="expression" dxfId="1671" priority="3">
      <formula>mgmt_domain_password_creation_chosen="Selected"</formula>
    </cfRule>
    <cfRule type="expression" dxfId="1670" priority="5">
      <formula>mgmt_domain_existing_vcf_operations_chosen="Selected"</formula>
    </cfRule>
    <cfRule type="notContainsBlanks" dxfId="1668" priority="7">
      <formula>LEN(TRIM(L191))&gt;0</formula>
    </cfRule>
    <cfRule type="containsBlanks" dxfId="1667" priority="8">
      <formula>LEN(TRIM(L191))=0</formula>
    </cfRule>
  </conditionalFormatting>
  <conditionalFormatting sqref="L200">
    <cfRule type="expression" dxfId="1666" priority="189">
      <formula>mgmt_domain_existing_vcenter_chosen="Unselected"</formula>
    </cfRule>
  </conditionalFormatting>
  <conditionalFormatting sqref="L201:L202">
    <cfRule type="expression" dxfId="1665" priority="422">
      <formula>AND((mgmt_domain_existing_vcenter_chosen="Unselected"),(mgmt_domain_password_creation_chosen="Selected"))</formula>
    </cfRule>
  </conditionalFormatting>
  <conditionalFormatting sqref="L208:L210">
    <cfRule type="expression" dxfId="1664" priority="36">
      <formula>mgmt_cl01_vsan_data_in_transit_chosen="Unselected"</formula>
    </cfRule>
  </conditionalFormatting>
  <conditionalFormatting sqref="L209">
    <cfRule type="expression" dxfId="1663" priority="24">
      <formula>mgmt_cl01_vsan_dit_rekey_type_chosen="Custom"</formula>
    </cfRule>
  </conditionalFormatting>
  <conditionalFormatting sqref="L210">
    <cfRule type="expression" dxfId="1662" priority="25">
      <formula>mgmt_cl01_vsan_dit_rekey_type_chosen="Default"</formula>
    </cfRule>
  </conditionalFormatting>
  <conditionalFormatting sqref="L211:L213">
    <cfRule type="expression" dxfId="1661" priority="450">
      <formula>mgmt_principal_storage_chosen&lt;&gt;"NFSv3"</formula>
    </cfRule>
  </conditionalFormatting>
  <conditionalFormatting sqref="L223:L229">
    <cfRule type="notContainsBlanks" dxfId="1660" priority="268">
      <formula>LEN(TRIM(L223))&gt;0</formula>
    </cfRule>
    <cfRule type="containsBlanks" dxfId="1659" priority="269">
      <formula>LEN(TRIM(L223))=0</formula>
    </cfRule>
  </conditionalFormatting>
  <conditionalFormatting sqref="L223:L232 L235:L243 L246 L252:L254 L256:L259 L261:L264 L266:L269 L271:L274 L276:L279 L281:L284 L286:L290 L292:L293 L59:L63 L204:L205 L218 J393:J408 L393:L408">
    <cfRule type="expression" dxfId="1658" priority="165">
      <formula>mgmt_domain_existing_vcenter_chosen="Selected"</formula>
    </cfRule>
  </conditionalFormatting>
  <conditionalFormatting sqref="L226:L229">
    <cfRule type="expression" dxfId="1657" priority="120">
      <formula>mgmt_cl01_vds01_link_type_chosen="VDS Uplinks"</formula>
    </cfRule>
  </conditionalFormatting>
  <conditionalFormatting sqref="L234">
    <cfRule type="notContainsBlanks" dxfId="1656" priority="216">
      <formula>LEN(TRIM(L234))&gt;0</formula>
    </cfRule>
    <cfRule type="containsBlanks" dxfId="1655" priority="217">
      <formula>LEN(TRIM(L234))=0</formula>
    </cfRule>
  </conditionalFormatting>
  <conditionalFormatting sqref="L234:L243 L245:L254">
    <cfRule type="expression" dxfId="1654" priority="171">
      <formula>mgmt_cl01_vds_profile_chosen="Default"</formula>
    </cfRule>
  </conditionalFormatting>
  <conditionalFormatting sqref="L237:L240">
    <cfRule type="expression" dxfId="1653" priority="118">
      <formula>mgmt_cl01_vds02_link_type_chosen="VDS Uplinks"</formula>
    </cfRule>
  </conditionalFormatting>
  <conditionalFormatting sqref="L245:L247 L76:L77">
    <cfRule type="expression" dxfId="1652" priority="190">
      <formula>mgmt_domain_existing_vcenter_chosen="Selected"</formula>
    </cfRule>
  </conditionalFormatting>
  <conditionalFormatting sqref="L245:L251">
    <cfRule type="expression" dxfId="1651" priority="212">
      <formula>mgmt_domain_result="Excluded"</formula>
    </cfRule>
    <cfRule type="containsBlanks" dxfId="1650" priority="224">
      <formula>LEN(TRIM(L245))=0</formula>
    </cfRule>
    <cfRule type="notContainsBlanks" dxfId="1649" priority="344">
      <formula>LEN(TRIM(L245))&gt;0</formula>
    </cfRule>
  </conditionalFormatting>
  <conditionalFormatting sqref="L245:L254">
    <cfRule type="expression" dxfId="1648" priority="210">
      <formula>mgmt_cl01_vds_profile_chosen="Storage Traffic Separation"</formula>
    </cfRule>
    <cfRule type="expression" dxfId="1647" priority="213" stopIfTrue="1">
      <formula>mgmt_cl01_vds_profile_chosen="NSX Traffic Separation"</formula>
    </cfRule>
  </conditionalFormatting>
  <conditionalFormatting sqref="L248:L251">
    <cfRule type="expression" dxfId="1646" priority="116">
      <formula>mgmt_cl01_vds03_link_type_chosen="VDS Uplinks"</formula>
    </cfRule>
  </conditionalFormatting>
  <conditionalFormatting sqref="L256">
    <cfRule type="containsBlanks" dxfId="1645" priority="105">
      <formula>LEN(TRIM(L256))=0</formula>
    </cfRule>
    <cfRule type="notContainsBlanks" dxfId="1644" priority="106">
      <formula>LEN(TRIM(L256))&gt;0</formula>
    </cfRule>
  </conditionalFormatting>
  <conditionalFormatting sqref="L257:L259 L262:L264 L267:L269 L272:L274">
    <cfRule type="expression" dxfId="1643" priority="119">
      <formula>mgmt_cl01_vds01_link_type_chosen="VDS LAG"</formula>
    </cfRule>
  </conditionalFormatting>
  <conditionalFormatting sqref="L261">
    <cfRule type="containsBlanks" dxfId="1642" priority="237">
      <formula>LEN(TRIM(L261))=0</formula>
    </cfRule>
    <cfRule type="notContainsBlanks" dxfId="1641" priority="238">
      <formula>LEN(TRIM(L261))&gt;0</formula>
    </cfRule>
  </conditionalFormatting>
  <conditionalFormatting sqref="L266:L269">
    <cfRule type="expression" dxfId="1640" priority="34">
      <formula>mgmt_vcf_management_network_chosen="Use VM management network"</formula>
    </cfRule>
  </conditionalFormatting>
  <conditionalFormatting sqref="L271">
    <cfRule type="containsBlanks" dxfId="1639" priority="231">
      <formula>LEN(TRIM(L271))=0</formula>
    </cfRule>
    <cfRule type="notContainsBlanks" dxfId="1638" priority="232">
      <formula>LEN(TRIM(L271))&gt;0</formula>
    </cfRule>
  </conditionalFormatting>
  <conditionalFormatting sqref="L276">
    <cfRule type="containsBlanks" dxfId="1637" priority="228">
      <formula>LEN(TRIM(L276))=0</formula>
    </cfRule>
    <cfRule type="notContainsBlanks" dxfId="1636" priority="229">
      <formula>LEN(TRIM(L276))&gt;0</formula>
    </cfRule>
  </conditionalFormatting>
  <conditionalFormatting sqref="L276:L279">
    <cfRule type="expression" dxfId="1635" priority="166">
      <formula>OR((mgmt_principal_storage_chosen="VMFS on Fibre Channel (FC)"),(mgmt_principal_storage_chosen="NFSv3"))</formula>
    </cfRule>
  </conditionalFormatting>
  <conditionalFormatting sqref="L277:L279">
    <cfRule type="expression" dxfId="1634" priority="107">
      <formula>AND((mgmt_cl01_vds_profile_chosen="NSX Traffic Separation"),(mgmt_cl01_vds01_link_type_chosen="VDS Lag"))</formula>
    </cfRule>
    <cfRule type="expression" dxfId="1633" priority="108">
      <formula>AND((mgmt_cl01_vds_profile_chosen="Storage Traffic and NSX Traffic Separation"),(mgmt_cl01_vds02_link_type_chosen="VDS Lag"))</formula>
    </cfRule>
    <cfRule type="expression" dxfId="1632" priority="109">
      <formula>AND((mgmt_cl01_vds_profile_chosen="Storage Traffic Separation"),(mgmt_cl01_vds02_link_type_chosen="VDS Lag"))</formula>
    </cfRule>
    <cfRule type="expression" dxfId="1631" priority="110">
      <formula>AND((mgmt_cl01_vds_profile_chosen="Default"),(mgmt_cl01_vds01_link_type_chosen="VDS Lag"))</formula>
    </cfRule>
  </conditionalFormatting>
  <conditionalFormatting sqref="L281">
    <cfRule type="containsBlanks" dxfId="1630" priority="169">
      <formula>LEN(TRIM(L281))=0</formula>
    </cfRule>
    <cfRule type="notContainsBlanks" dxfId="1629" priority="214">
      <formula>LEN(TRIM(L281))&gt;0</formula>
    </cfRule>
  </conditionalFormatting>
  <conditionalFormatting sqref="L281:L284 L223:L232 L256:L259 L261:L264 L266:L269 L271:L274 L234:L243 L245:L254 L286:L290 L292:L293 L276:L279">
    <cfRule type="expression" dxfId="1628" priority="164" stopIfTrue="1">
      <formula>mgmt_cl01_vds_profile_chosen="Custom Switch Configuration"</formula>
    </cfRule>
  </conditionalFormatting>
  <conditionalFormatting sqref="L281:L284">
    <cfRule type="expression" dxfId="1627" priority="161">
      <formula>mgmt_principal_storage_chosen&lt;&gt;"NFSv3"</formula>
    </cfRule>
  </conditionalFormatting>
  <conditionalFormatting sqref="L287">
    <cfRule type="expression" dxfId="1626" priority="182">
      <formula>mgmt_nsx_default_operation_mode_chosen="Selected"</formula>
    </cfRule>
  </conditionalFormatting>
  <conditionalFormatting sqref="L288:L290 L292:L293">
    <cfRule type="expression" dxfId="1625" priority="111">
      <formula>AND((mgmt_cl01_vds_profile_chosen="Default"),(mgmt_cl01_vds01_link_type_chosen="VDS Lag"))</formula>
    </cfRule>
    <cfRule type="expression" dxfId="1624" priority="112">
      <formula>AND((mgmt_cl01_vds_profile_chosen="Storage Traffic Separation"),(mgmt_cl01_vds01_link_type_chosen="VDS Lag"))</formula>
    </cfRule>
    <cfRule type="expression" dxfId="1623" priority="113">
      <formula>AND((mgmt_cl01_vds_profile_chosen="Storage Traffic and NSX Traffic Separation"),(mgmt_cl01_vds03_link_type_chosen="VDS Lag"))</formula>
    </cfRule>
  </conditionalFormatting>
  <conditionalFormatting sqref="L288:L290">
    <cfRule type="expression" dxfId="1622" priority="114">
      <formula>AND((mgmt_cl01_vds_profile_chosen="NSX Traffic Separation"),(mgmt_cl01_vds02_link_type_chosen="VDS Lag"))</formula>
    </cfRule>
  </conditionalFormatting>
  <conditionalFormatting sqref="L296:L301 L389:L391 L328 J389:J391">
    <cfRule type="expression" dxfId="1621" priority="434">
      <formula>mgmt_domain_existing_nsx_manager_chosen="Selected"</formula>
    </cfRule>
  </conditionalFormatting>
  <conditionalFormatting sqref="L299:L301">
    <cfRule type="expression" dxfId="1620" priority="173">
      <formula>AND((mgmt_domain_existing_nsx_manager_chosen="Unselected"),(mgmt_domain_password_creation_chosen="Selected"))</formula>
    </cfRule>
  </conditionalFormatting>
  <conditionalFormatting sqref="L302">
    <cfRule type="expression" dxfId="1619" priority="285">
      <formula>mgmt_domain_existing_nsx_manager_chosen="Unselected"</formula>
    </cfRule>
  </conditionalFormatting>
  <conditionalFormatting sqref="L303">
    <cfRule type="expression" dxfId="1618" priority="35">
      <formula>mgmt_domain_existing_vcenter_chosen="Unselected"</formula>
    </cfRule>
  </conditionalFormatting>
  <conditionalFormatting sqref="L305:L306">
    <cfRule type="expression" dxfId="1617" priority="33">
      <formula>mgmt_nsx_overlay_transit_gateway_chosen="Centralized Connectivity"</formula>
    </cfRule>
    <cfRule type="expression" dxfId="1616" priority="38">
      <formula>mgmt_domain_existing_vcenter_chosen="Selected"</formula>
    </cfRule>
  </conditionalFormatting>
  <conditionalFormatting sqref="L313:L315">
    <cfRule type="expression" dxfId="1615" priority="172">
      <formula>mgmt_domain_password_creation_chosen="Selected"</formula>
    </cfRule>
  </conditionalFormatting>
  <conditionalFormatting sqref="L319">
    <cfRule type="containsBlanks" dxfId="1614" priority="44">
      <formula>LEN(TRIM(L319))=0</formula>
    </cfRule>
    <cfRule type="notContainsBlanks" dxfId="1612" priority="46">
      <formula>LEN(TRIM(L319))&gt;0</formula>
    </cfRule>
  </conditionalFormatting>
  <conditionalFormatting sqref="L321 L323 J364:J370 L187:L189 L163:L168 L170 L373:L374 L47 L31 L34 L175 L364:L370 J372:J375 J377 L377 J379:J382 L381:L382">
    <cfRule type="expression" dxfId="1611" priority="72">
      <formula>vcf_granular_option_chosen="Deploy a VCF Instance in an existing VCF Fleet"</formula>
    </cfRule>
  </conditionalFormatting>
  <conditionalFormatting sqref="L321 L323 L325:L326 L328">
    <cfRule type="expression" dxfId="1610" priority="47">
      <formula>mgmt_set_appliance_size_chosen="Unselected"</formula>
    </cfRule>
  </conditionalFormatting>
  <conditionalFormatting sqref="L325:L327">
    <cfRule type="expression" dxfId="1609" priority="52">
      <formula>mgmt_domain_existing_vcenter_chosen="Selected"</formula>
    </cfRule>
  </conditionalFormatting>
  <conditionalFormatting sqref="L327">
    <cfRule type="expression" dxfId="1608" priority="48">
      <formula>AND((mgmt_cl01_vds_profile_chosen="Default"),(mgmt_cl01_vds01_link_type_chosen="VDS Lag"))</formula>
    </cfRule>
    <cfRule type="expression" dxfId="1607" priority="49">
      <formula>AND((mgmt_cl01_vds_profile_chosen="Storage Traffic Separation"),(mgmt_cl01_vds01_link_type_chosen="VDS Lag"))</formula>
    </cfRule>
    <cfRule type="expression" dxfId="1606" priority="50">
      <formula>AND((mgmt_cl01_vds_profile_chosen="Storage Traffic and NSX Traffic Separation"),(mgmt_cl01_vds03_link_type_chosen="VDS Lag"))</formula>
    </cfRule>
    <cfRule type="expression" dxfId="1605" priority="51" stopIfTrue="1">
      <formula>mgmt_cl01_vds_profile_chosen="Custom Switch Configuration"</formula>
    </cfRule>
  </conditionalFormatting>
  <conditionalFormatting sqref="L327:L328">
    <cfRule type="expression" dxfId="1604" priority="53">
      <formula>mgmt_domain_deployment_type_chosen="VMware vSphere Foundation"</formula>
    </cfRule>
  </conditionalFormatting>
  <conditionalFormatting sqref="L333:L335 L339 L341:L343 L345:L349 L351:L355 L357:L361">
    <cfRule type="notContainsBlanks" dxfId="1602" priority="160">
      <formula>LEN(TRIM(L333))&gt;0</formula>
    </cfRule>
  </conditionalFormatting>
  <conditionalFormatting sqref="L337 L339 L341:L343">
    <cfRule type="notContainsBlanks" dxfId="1600" priority="145">
      <formula>LEN(TRIM(L337))&gt;0</formula>
    </cfRule>
  </conditionalFormatting>
  <conditionalFormatting sqref="L338">
    <cfRule type="containsBlanks" dxfId="1598" priority="136">
      <formula>LEN(TRIM(L338))=0</formula>
    </cfRule>
    <cfRule type="notContainsBlanks" dxfId="1597" priority="137">
      <formula>LEN(TRIM(L338))&gt;0</formula>
    </cfRule>
  </conditionalFormatting>
  <conditionalFormatting sqref="L339 L341:L343 L333:L335 L345:L349 L351:L355 L357:L361">
    <cfRule type="containsBlanks" dxfId="1596" priority="158">
      <formula>LEN(TRIM(L333))=0</formula>
    </cfRule>
  </conditionalFormatting>
  <conditionalFormatting sqref="L341:L343 L337 L339">
    <cfRule type="containsBlanks" dxfId="1595" priority="143">
      <formula>LEN(TRIM(L337))=0</formula>
    </cfRule>
  </conditionalFormatting>
  <conditionalFormatting sqref="L341:L343">
    <cfRule type="expression" dxfId="1594" priority="32">
      <formula>mgmt_vcf_management_network_chosen="Use VM management network"</formula>
    </cfRule>
  </conditionalFormatting>
  <conditionalFormatting sqref="L350">
    <cfRule type="expression" dxfId="1593" priority="149">
      <formula>input_mgmt_principal_storage_chosen="VMFS on Fibre Channel (FC)"</formula>
    </cfRule>
    <cfRule type="expression" dxfId="1592" priority="150">
      <formula>mgmt_domain_existing_vcenter_chosen="Selected"</formula>
    </cfRule>
    <cfRule type="containsBlanks" dxfId="1590" priority="152">
      <formula>LEN(TRIM(L350))=0</formula>
    </cfRule>
  </conditionalFormatting>
  <conditionalFormatting sqref="L356 L332">
    <cfRule type="expression" dxfId="1589" priority="154">
      <formula>mgmt_domain_existing_vcenter_chosen="Selected"</formula>
    </cfRule>
  </conditionalFormatting>
  <conditionalFormatting sqref="L356 L350">
    <cfRule type="notContainsBlanks" dxfId="1588" priority="156">
      <formula>LEN(TRIM(L350))&gt;0</formula>
    </cfRule>
  </conditionalFormatting>
  <conditionalFormatting sqref="L356">
    <cfRule type="expression" dxfId="1587" priority="153">
      <formula>input_mgmt_principal_storage_chosen="VMFS on Fibre Channel (FC)"</formula>
    </cfRule>
    <cfRule type="containsBlanks" dxfId="1585" priority="157">
      <formula>LEN(TRIM(L356))=0</formula>
    </cfRule>
  </conditionalFormatting>
  <conditionalFormatting sqref="L375 L379:L382 L26">
    <cfRule type="expression" dxfId="1584" priority="288" stopIfTrue="1">
      <formula>mgmt_domain_deployment_type_chosen="VMware vSphere Foundation"</formula>
    </cfRule>
  </conditionalFormatting>
  <conditionalFormatting sqref="L379:L382 L187:L189 L201:L202 J379:J382">
    <cfRule type="expression" dxfId="1583" priority="413">
      <formula>mgmt_domain_vcf_automation_later_chosen="Selected"</formula>
    </cfRule>
  </conditionalFormatting>
  <dataValidations count="33">
    <dataValidation type="list" allowBlank="1" showInputMessage="1" showErrorMessage="1" sqref="L47 L31:L34 L18 L63 L213 L319 L14 L71 L81 L286 L49 L60:L61" xr:uid="{AF68374F-C6E0-4249-91F4-B8396AEC4F33}">
      <formula1>"Selected,Unselected"</formula1>
    </dataValidation>
    <dataValidation type="list" allowBlank="1" showInputMessage="1" showErrorMessage="1" sqref="L39" xr:uid="{44E0A351-1070-D24C-851E-ECAF8C26C773}">
      <formula1>"High Availability (Three-Node),Simple"</formula1>
    </dataValidation>
    <dataValidation type="list" allowBlank="1" showInputMessage="1" showErrorMessage="1" sqref="L321" xr:uid="{44CE2A2A-A7E4-F548-A7CE-D6122B9B4D36}">
      <formula1>"xSmall, Small, Medium, Large, xLarge"</formula1>
    </dataValidation>
    <dataValidation type="list" allowBlank="1" showInputMessage="1" showErrorMessage="1" sqref="L9" xr:uid="{B62AACD4-B053-1B4B-9149-173F865E0012}">
      <formula1>"Online,Offline"</formula1>
    </dataValidation>
    <dataValidation type="list" allowBlank="1" showInputMessage="1" showErrorMessage="1" sqref="L325" xr:uid="{6DBA85C7-2733-2644-B3B8-8906F9C45B2C}">
      <formula1>"Tiny,Small,Medium,Large,XLarge"</formula1>
    </dataValidation>
    <dataValidation type="list" allowBlank="1" showInputMessage="1" showErrorMessage="1" sqref="L326" xr:uid="{EAF64F30-94DF-994D-BE30-47D2333F084B}">
      <formula1>"default,lstorage,xlstorage"</formula1>
    </dataValidation>
    <dataValidation type="list" allowBlank="1" showInputMessage="1" showErrorMessage="1" sqref="L59" xr:uid="{F8D5454F-B3C9-D448-9916-429B0E26396E}">
      <formula1>"vSAN-ESA,vSAN-OSA, VMFS on Fibre Channel (FC),NFSv3"</formula1>
    </dataValidation>
    <dataValidation type="list" allowBlank="1" showInputMessage="1" showErrorMessage="1" sqref="L218" xr:uid="{9E7D022B-232D-9C43-A35C-0B93CF49A34B}">
      <formula1>IF(mgmt_domain_deployment_type_chosen="VMware Cloud Foundation",wld_cl01_vds_standard_preconfigured_profiles,vvf_mgmt_cl01_vds_standard_preconfigured_profiles)</formula1>
    </dataValidation>
    <dataValidation type="list" allowBlank="1" showInputMessage="1" showErrorMessage="1" sqref="L62" xr:uid="{F01FA7FB-F473-C74A-8E32-92B960C1FF61}">
      <formula1>"1,2"</formula1>
    </dataValidation>
    <dataValidation type="list" allowBlank="1" showInputMessage="1" showErrorMessage="1" sqref="L15" xr:uid="{D045F95D-B763-6B4C-BC16-61C32E0E91CC}">
      <formula1>"HTTP,HTTPS"</formula1>
    </dataValidation>
    <dataValidation type="list" allowBlank="1" showInputMessage="1" showErrorMessage="1" sqref="L257 L262 L272 L277 L282 L267" xr:uid="{ECB2BA76-A1AF-7549-BE3B-D9AF5A0F9462}">
      <formula1>"Route based on IP hash,Route based on source MAC hash,Route based on the source of the port ID,Use explicit failover order,Route Based on Physical NIC Load"</formula1>
    </dataValidation>
    <dataValidation type="list" allowBlank="1" showInputMessage="1" showErrorMessage="1" sqref="L283:L284 L258:L259 L268:L269 L273:L274 L278:L279 L289:L290 L263:L264" xr:uid="{FA7409ED-5F61-584D-B67D-AFECE6C711E7}">
      <formula1>"Active,Standby,Unused"</formula1>
    </dataValidation>
    <dataValidation type="list" allowBlank="1" showInputMessage="1" showErrorMessage="1" sqref="L288" xr:uid="{8DBF9C77-00D5-2D4F-8B0E-D6109AAECA5E}">
      <formula1>"Route based on source MAC hash,Route based on the source of the port ID,Use explicit failover order"</formula1>
    </dataValidation>
    <dataValidation type="list" allowBlank="1" showInputMessage="1" showErrorMessage="1" sqref="L311" xr:uid="{CE34E3B0-C43E-504F-A5E1-B32029532AF3}">
      <formula1>"Deployed on one of the hosts in the management domain,Deployed outside management domain"</formula1>
    </dataValidation>
    <dataValidation type="list" allowBlank="1" showInputMessage="1" showErrorMessage="1" sqref="L287" xr:uid="{19825F38-EF3D-CE43-979A-B7C3B040FA1F}">
      <formula1>"Standard,Enhanced Datapath Standard,Enhanced Datapath Dedicated"</formula1>
    </dataValidation>
    <dataValidation type="list" allowBlank="1" showInputMessage="1" showErrorMessage="1" sqref="L225 L236 L247" xr:uid="{5A80132E-EF48-4A44-A1B7-4DF19B2E7913}">
      <formula1>"VDS Uplinks, VDS LAG"</formula1>
    </dataValidation>
    <dataValidation type="list" allowBlank="1" showInputMessage="1" showErrorMessage="1" sqref="L228 L239 L250" xr:uid="{43EC5384-31CB-7446-B239-FFD26D1D0D5D}">
      <formula1>lag_load_balancing</formula1>
    </dataValidation>
    <dataValidation type="list" allowBlank="1" showInputMessage="1" showErrorMessage="1" sqref="L229 L240 L251" xr:uid="{B4FD2D4F-AF3A-1C43-B208-723D08B76060}">
      <formula1>"Slow,Fast"</formula1>
    </dataValidation>
    <dataValidation type="list" allowBlank="1" showInputMessage="1" showErrorMessage="1" sqref="L227 L238 L249" xr:uid="{A66630F2-1A4D-2B48-81D5-9BFC0465B39B}">
      <formula1>"Active,Passive"</formula1>
    </dataValidation>
    <dataValidation type="list" allowBlank="1" showInputMessage="1" showErrorMessage="1" sqref="L328" xr:uid="{BF817B54-E717-A947-8C2D-57B6461DDA41}">
      <formula1>"Medium,Large,XLarge"</formula1>
    </dataValidation>
    <dataValidation type="list" allowBlank="1" showInputMessage="1" showErrorMessage="1" sqref="L54" xr:uid="{75B96CA9-C04A-C541-B3FD-A9540AB61299}">
      <formula1>" Distributed connectivity,Centralized connectivity"</formula1>
    </dataValidation>
    <dataValidation type="list" allowBlank="1" showInputMessage="1" showErrorMessage="1" sqref="L45" xr:uid="{2AB2A5E7-9465-2B4A-B677-8383FA75F7D3}">
      <formula1>"Use a separate dedicated network, Use ESX management network"</formula1>
    </dataValidation>
    <dataValidation type="list" allowBlank="1" showInputMessage="1" showErrorMessage="1" sqref="L46" xr:uid="{FCC2B25E-7118-B942-BA8F-99D837B31A29}">
      <formula1>"Use a separate dedicated network, Use VM management network"</formula1>
    </dataValidation>
    <dataValidation type="list" allowBlank="1" showInputMessage="1" showErrorMessage="1" sqref="L40" xr:uid="{8EC0AACF-03E9-604C-8634-6A50E1508A6E}">
      <formula1>"Small,Medium,Large"</formula1>
    </dataValidation>
    <dataValidation type="list" allowBlank="1" showInputMessage="1" showErrorMessage="1" sqref="L50:L51" xr:uid="{EFA9A60C-771C-1F4B-8BFF-1E72A5D7FAF6}">
      <formula1>"IPv4,IPv6"</formula1>
    </dataValidation>
    <dataValidation type="list" allowBlank="1" showInputMessage="1" showErrorMessage="1" sqref="L154" xr:uid="{73B7D652-569C-724D-8643-DAAD72788021}">
      <formula1>"DHCP,IP Pool"</formula1>
    </dataValidation>
    <dataValidation type="list" allowBlank="1" showInputMessage="1" showErrorMessage="1" sqref="L209" xr:uid="{58D0091D-E726-0D4D-AF16-F596DED61B3C}">
      <formula1>"6 Hours,12 hours,1 Day,3 Days,7 Days"</formula1>
    </dataValidation>
    <dataValidation type="list" allowBlank="1" showInputMessage="1" showErrorMessage="1" sqref="L302:L303" xr:uid="{2D57E373-328E-6A40-81B1-EFA5B5E7BC7C}">
      <formula1>"Unselected,Selected"</formula1>
    </dataValidation>
    <dataValidation type="list" allowBlank="1" showInputMessage="1" showErrorMessage="1" sqref="L323" xr:uid="{4BD803A1-317F-2D42-9324-A8A908373B47}">
      <formula1>"Small,Standard"</formula1>
    </dataValidation>
    <dataValidation type="list" allowBlank="1" showInputMessage="1" showErrorMessage="1" sqref="L208" xr:uid="{A3F9A7A9-901D-BF46-9C0B-BD7ED7D85CE5}">
      <formula1>"Default,Custom"</formula1>
    </dataValidation>
    <dataValidation type="list" allowBlank="1" showInputMessage="1" showErrorMessage="1" sqref="L182" xr:uid="{DB8E9CF4-EB8E-B54F-8A6B-CCC23EB7F35B}">
      <formula1>"192.18.0.0/15,240.0.0.0/15,250.0.0.0/15"</formula1>
    </dataValidation>
    <dataValidation type="list" allowBlank="1" showInputMessage="1" showErrorMessage="1" sqref="L190" xr:uid="{8824C7EC-CB26-EB4D-8898-DCAD5633727D}">
      <formula1>"198.18.0.0/15,240.0.0.0/15,250.0.0.0/15"</formula1>
    </dataValidation>
    <dataValidation type="list" allowBlank="1" showInputMessage="1" showErrorMessage="1" sqref="L53" xr:uid="{2FDAF4F0-13C3-9544-840C-15DB91B409FB}">
      <formula1>"Full Stack VPC,VLAN backed VPC"</formula1>
    </dataValidation>
  </dataValidations>
  <hyperlinks>
    <hyperlink ref="K10" r:id="rId1" xr:uid="{00000000-0004-0000-0300-000000000000}"/>
    <hyperlink ref="K20" r:id="rId2" xr:uid="{00000000-0004-0000-0300-000001000000}"/>
    <hyperlink ref="M26" location="'VCF &amp; VVF Planning'!J19" display="Values are set based on selections made in VCF VVF Planning Tab" xr:uid="{00000000-0004-0000-0300-000002000000}"/>
    <hyperlink ref="M68" location="'VCF &amp; VVF Planning'!J19" display="Values are set based on selections made in VCF VVF Planning Tab" xr:uid="{9E957A41-F94B-554C-97E2-41C588AD6D2F}"/>
  </hyperlinks>
  <pageMargins left="0.7" right="0.7" top="0.75" bottom="0.75" header="0.3" footer="0.3"/>
  <pageSetup paperSize="9" orientation="portrait" horizontalDpi="0" verticalDpi="0"/>
  <ignoredErrors>
    <ignoredError sqref="J379" unlockedFormula="1"/>
  </ignoredErrors>
  <drawing r:id="rId3"/>
  <extLst>
    <ext xmlns:x14="http://schemas.microsoft.com/office/spreadsheetml/2009/9/main" uri="{78C0D931-6437-407d-A8EE-F0AAD7539E65}">
      <x14:conditionalFormattings>
        <x14:conditionalFormatting xmlns:xm="http://schemas.microsoft.com/office/excel/2006/main">
          <x14:cfRule type="containsText" priority="469" operator="containsText" id="{8A70E33F-B8E1-464D-91D4-5C48A6AE1494}">
            <xm:f>NOT(ISERROR(SEARCH("Value Missing",J9)))</xm:f>
            <xm:f>"Value Missing"</xm:f>
            <x14:dxf>
              <font>
                <color rgb="FF0E223A"/>
              </font>
              <fill>
                <patternFill>
                  <bgColor rgb="FFFFBE29"/>
                </patternFill>
              </fill>
            </x14:dxf>
          </x14:cfRule>
          <xm:sqref>L9:L20 L207:L213 L162:L170 L181:L182 L321 L323 J364:J370 L364:L370 J372:J375 L372:L375 J377 L377 L59:L63 L68:L71 L81 L31:L34 L295:L303 L325:L328 J388:J391 L388:L391 L196:L202 L187:L189 J379:J382 L379:L382 L246 L25:L26 L138:L140 L235:L243 L86:L102 L261:L264 L252:L254 L39:L40 L45:L47 L172:L173 L286:L290 L292:L293 L311:L315 L384:L386 L76:L77 J384:J386 L277:L279 L218 L230:L232 L256:L259 L266:L269 L272:L274 L282:L284 J393:J408 L393:L408 L49:L51 L53:L54 L107:L110 L112:L115 L117:L120 L130:L132 L122:L125 L73:L74 L79 L305:L306</xm:sqref>
        </x14:conditionalFormatting>
        <x14:conditionalFormatting xmlns:xm="http://schemas.microsoft.com/office/excel/2006/main">
          <x14:cfRule type="containsText" priority="99" operator="containsText" id="{6FBCBB81-6AB8-5D40-AE48-8F1E9CF49C27}">
            <xm:f>NOT(ISERROR(SEARCH("Value Missing",L127)))</xm:f>
            <xm:f>"Value Missing"</xm:f>
            <x14:dxf>
              <font>
                <color rgb="FF0E223A"/>
              </font>
              <fill>
                <patternFill>
                  <bgColor rgb="FFFFBE29"/>
                </patternFill>
              </fill>
            </x14:dxf>
          </x14:cfRule>
          <xm:sqref>L127:L128</xm:sqref>
        </x14:conditionalFormatting>
        <x14:conditionalFormatting xmlns:xm="http://schemas.microsoft.com/office/excel/2006/main">
          <x14:cfRule type="containsText" priority="186" stopIfTrue="1" operator="containsText" id="{F4403742-9E03-7E4C-A9A4-9C70CC9738C9}">
            <xm:f>NOT(ISERROR(SEARCH("Value Missing",L146)))</xm:f>
            <xm:f>"Value Missing"</xm:f>
            <x14:dxf>
              <font>
                <color rgb="FF0E223A"/>
              </font>
              <fill>
                <patternFill>
                  <bgColor rgb="FFFFBE29"/>
                </patternFill>
              </fill>
            </x14:dxf>
          </x14:cfRule>
          <xm:sqref>L146:L148</xm:sqref>
        </x14:conditionalFormatting>
        <x14:conditionalFormatting xmlns:xm="http://schemas.microsoft.com/office/excel/2006/main">
          <x14:cfRule type="containsText" priority="73" operator="containsText" id="{1B0E87FC-C041-844F-AB98-5603F8F08DEE}">
            <xm:f>NOT(ISERROR(SEARCH("Value Missing",L175)))</xm:f>
            <xm:f>"Value Missing"</xm:f>
            <x14:dxf>
              <font>
                <color rgb="FF0E223A"/>
              </font>
              <fill>
                <patternFill>
                  <bgColor rgb="FFFFBE29"/>
                </patternFill>
              </fill>
            </x14:dxf>
          </x14:cfRule>
          <xm:sqref>L175</xm:sqref>
        </x14:conditionalFormatting>
        <x14:conditionalFormatting xmlns:xm="http://schemas.microsoft.com/office/excel/2006/main">
          <x14:cfRule type="containsText" priority="168" operator="containsText" id="{3E5757ED-CAE5-204F-BEB2-CF8E8FBA1DF0}">
            <xm:f>NOT(ISERROR(SEARCH("Value Missing",L177)))</xm:f>
            <xm:f>"Value Missing"</xm:f>
            <x14:dxf>
              <font>
                <color rgb="FF0E223A"/>
              </font>
              <fill>
                <patternFill>
                  <bgColor rgb="FFFFBE29"/>
                </patternFill>
              </fill>
            </x14:dxf>
          </x14:cfRule>
          <xm:sqref>L177:L179</xm:sqref>
        </x14:conditionalFormatting>
        <x14:conditionalFormatting xmlns:xm="http://schemas.microsoft.com/office/excel/2006/main">
          <x14:cfRule type="containsText" priority="80" operator="containsText" id="{CDD09365-596E-0F4E-8C0C-084A531C3376}">
            <xm:f>NOT(ISERROR(SEARCH("Value Missing",L180)))</xm:f>
            <xm:f>"Value Missing"</xm:f>
            <x14:dxf>
              <font>
                <color rgb="FF0E223A"/>
              </font>
              <fill>
                <patternFill>
                  <bgColor rgb="FFFFBE29"/>
                </patternFill>
              </fill>
            </x14:dxf>
          </x14:cfRule>
          <xm:sqref>L180:L182</xm:sqref>
        </x14:conditionalFormatting>
        <x14:conditionalFormatting xmlns:xm="http://schemas.microsoft.com/office/excel/2006/main">
          <x14:cfRule type="containsText" priority="22" operator="containsText" id="{A326075A-13FC-5E4B-A846-E2696D70F972}">
            <xm:f>NOT(ISERROR(SEARCH("Value Missing",L190)))</xm:f>
            <xm:f>"Value Missing"</xm:f>
            <x14:dxf>
              <font>
                <color rgb="FF0E223A"/>
              </font>
              <fill>
                <patternFill>
                  <bgColor rgb="FFFFBE29"/>
                </patternFill>
              </fill>
            </x14:dxf>
          </x14:cfRule>
          <xm:sqref>L190</xm:sqref>
        </x14:conditionalFormatting>
        <x14:conditionalFormatting xmlns:xm="http://schemas.microsoft.com/office/excel/2006/main">
          <x14:cfRule type="containsText" priority="6" operator="containsText" id="{7CC7EB61-B62E-3B4E-B2EA-5E2D4C58D582}">
            <xm:f>NOT(ISERROR(SEARCH("Value Missing",L191)))</xm:f>
            <xm:f>"Value Missing"</xm:f>
            <x14:dxf>
              <font>
                <color rgb="FF0E223A"/>
              </font>
              <fill>
                <patternFill>
                  <bgColor rgb="FFFFBE29"/>
                </patternFill>
              </fill>
            </x14:dxf>
          </x14:cfRule>
          <xm:sqref>L191</xm:sqref>
        </x14:conditionalFormatting>
        <x14:conditionalFormatting xmlns:xm="http://schemas.microsoft.com/office/excel/2006/main">
          <x14:cfRule type="containsText" priority="45" operator="containsText" id="{15769CAF-3382-CF44-B36D-3880573CFE6E}">
            <xm:f>NOT(ISERROR(SEARCH("Value Missing",L319)))</xm:f>
            <xm:f>"Value Missing"</xm:f>
            <x14:dxf>
              <fill>
                <patternFill>
                  <bgColor rgb="FFFFBE29"/>
                </patternFill>
              </fill>
            </x14:dxf>
          </x14:cfRule>
          <xm:sqref>L319</xm:sqref>
        </x14:conditionalFormatting>
        <x14:conditionalFormatting xmlns:xm="http://schemas.microsoft.com/office/excel/2006/main">
          <x14:cfRule type="containsText" priority="159" operator="containsText" id="{8CD701A8-3478-8646-817F-E7C59D3F3B1D}">
            <xm:f>NOT(ISERROR(SEARCH("Value Missing",L333)))</xm:f>
            <xm:f>"Value Missing"</xm:f>
            <x14:dxf>
              <fill>
                <patternFill>
                  <bgColor rgb="FFFFBE29"/>
                </patternFill>
              </fill>
            </x14:dxf>
          </x14:cfRule>
          <xm:sqref>L333:L335 L339 L341:L343 L345:L349 L351:L355 L357:L361</xm:sqref>
        </x14:conditionalFormatting>
        <x14:conditionalFormatting xmlns:xm="http://schemas.microsoft.com/office/excel/2006/main">
          <x14:cfRule type="containsText" priority="144" operator="containsText" id="{74FCFFD3-109A-1948-8078-78E22CF647CE}">
            <xm:f>NOT(ISERROR(SEARCH("Value Missing",L337)))</xm:f>
            <xm:f>"Value Missing"</xm:f>
            <x14:dxf>
              <font>
                <color theme="1"/>
              </font>
              <fill>
                <patternFill>
                  <bgColor rgb="FFFFBE29"/>
                </patternFill>
              </fill>
            </x14:dxf>
          </x14:cfRule>
          <xm:sqref>L337 L339 L341:L343</xm:sqref>
        </x14:conditionalFormatting>
        <x14:conditionalFormatting xmlns:xm="http://schemas.microsoft.com/office/excel/2006/main">
          <x14:cfRule type="containsText" priority="135" operator="containsText" id="{5F6B1D0A-99AC-2641-B0E9-D9EB6CE12A9A}">
            <xm:f>NOT(ISERROR(SEARCH("Value Missing",L338)))</xm:f>
            <xm:f>"Value Missing"</xm:f>
            <x14:dxf>
              <font>
                <color theme="1"/>
              </font>
              <fill>
                <patternFill>
                  <bgColor rgb="FFFFBE29"/>
                </patternFill>
              </fill>
            </x14:dxf>
          </x14:cfRule>
          <xm:sqref>L338</xm:sqref>
        </x14:conditionalFormatting>
        <x14:conditionalFormatting xmlns:xm="http://schemas.microsoft.com/office/excel/2006/main">
          <x14:cfRule type="containsText" priority="151" stopIfTrue="1" operator="containsText" id="{9E10FC66-F798-1E4E-A70B-813FE9B39BA2}">
            <xm:f>NOT(ISERROR(SEARCH("Value Missing",L350)))</xm:f>
            <xm:f>"Value Missing"</xm:f>
            <x14:dxf>
              <font>
                <color rgb="FF0E223A"/>
              </font>
              <fill>
                <patternFill>
                  <bgColor rgb="FFFFBE29"/>
                </patternFill>
              </fill>
            </x14:dxf>
          </x14:cfRule>
          <xm:sqref>L350</xm:sqref>
        </x14:conditionalFormatting>
        <x14:conditionalFormatting xmlns:xm="http://schemas.microsoft.com/office/excel/2006/main">
          <x14:cfRule type="containsText" priority="155" stopIfTrue="1" operator="containsText" id="{558487B0-6B55-AB4B-A2CE-4F60D95E498D}">
            <xm:f>NOT(ISERROR(SEARCH("Value Missing",L356)))</xm:f>
            <xm:f>"Value Missing"</xm:f>
            <x14:dxf>
              <font>
                <color rgb="FF0E223A"/>
              </font>
              <fill>
                <patternFill>
                  <bgColor rgb="FFFFBE29"/>
                </patternFill>
              </fill>
            </x14:dxf>
          </x14:cfRule>
          <xm:sqref>L356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98BA-7619-3446-8A72-6F3EE625E4A1}">
  <sheetPr codeName="Sheet6">
    <tabColor theme="9" tint="0.39997558519241921"/>
  </sheetPr>
  <dimension ref="A1:G648"/>
  <sheetViews>
    <sheetView showGridLines="0" workbookViewId="0">
      <pane ySplit="8" topLeftCell="A9" activePane="bottomLeft" state="frozen"/>
      <selection pane="bottomLeft"/>
    </sheetView>
  </sheetViews>
  <sheetFormatPr baseColWidth="10" defaultRowHeight="16" x14ac:dyDescent="0.2"/>
  <cols>
    <col min="1" max="1" width="2.83203125" style="9" customWidth="1"/>
    <col min="2" max="2" width="76.5" style="9" customWidth="1"/>
    <col min="3" max="4" width="75.83203125" style="2" customWidth="1"/>
    <col min="5" max="5" width="125.83203125" style="9" customWidth="1"/>
    <col min="6" max="7" width="12.1640625" style="9" bestFit="1" customWidth="1"/>
    <col min="8" max="8" width="10.83203125" style="9" customWidth="1"/>
    <col min="9" max="10" width="12.1640625" style="9" customWidth="1"/>
    <col min="11" max="11" width="43" style="9" bestFit="1" customWidth="1"/>
    <col min="12" max="12" width="12.83203125" style="9" bestFit="1" customWidth="1"/>
    <col min="13" max="15" width="10.83203125" style="9" customWidth="1"/>
    <col min="16" max="16384" width="10.83203125" style="9"/>
  </cols>
  <sheetData>
    <row r="1" spans="1:5" x14ac:dyDescent="0.2">
      <c r="A1" s="145"/>
    </row>
    <row r="2" spans="1:5" ht="54" customHeight="1" x14ac:dyDescent="0.2">
      <c r="A2" s="148"/>
      <c r="B2" s="571" t="s">
        <v>0</v>
      </c>
      <c r="C2" s="571"/>
      <c r="D2" s="571"/>
      <c r="E2" s="571"/>
    </row>
    <row r="3" spans="1:5" s="25" customFormat="1" ht="20" customHeight="1" x14ac:dyDescent="0.2">
      <c r="A3" s="61"/>
      <c r="B3" s="572" t="s">
        <v>1</v>
      </c>
      <c r="C3" s="572"/>
      <c r="D3" s="572"/>
      <c r="E3" s="572"/>
    </row>
    <row r="4" spans="1:5" ht="17" thickBot="1" x14ac:dyDescent="0.25"/>
    <row r="5" spans="1:5" ht="20" customHeight="1" thickBot="1" x14ac:dyDescent="0.25">
      <c r="B5" s="149" t="s">
        <v>2</v>
      </c>
      <c r="C5" s="149" t="s">
        <v>3</v>
      </c>
      <c r="D5" s="149" t="s">
        <v>4</v>
      </c>
      <c r="E5" s="149" t="s">
        <v>689</v>
      </c>
    </row>
    <row r="6" spans="1:5" s="25" customFormat="1" ht="10" customHeight="1" thickBot="1" x14ac:dyDescent="0.25">
      <c r="B6" s="150"/>
      <c r="C6" s="150"/>
      <c r="D6" s="150"/>
      <c r="E6" s="151"/>
    </row>
    <row r="7" spans="1:5" ht="20" customHeight="1" thickBot="1" x14ac:dyDescent="0.25">
      <c r="B7" s="149" t="s">
        <v>15</v>
      </c>
      <c r="C7" s="149" t="s">
        <v>7</v>
      </c>
      <c r="D7" s="149" t="s">
        <v>5</v>
      </c>
      <c r="E7" s="149"/>
    </row>
    <row r="10" spans="1:5" ht="34" customHeight="1" x14ac:dyDescent="0.2">
      <c r="B10" s="54" t="s">
        <v>8</v>
      </c>
      <c r="C10" s="55"/>
      <c r="D10" s="55"/>
      <c r="E10" s="56"/>
    </row>
    <row r="11" spans="1:5" ht="20" customHeight="1" x14ac:dyDescent="0.2">
      <c r="B11" s="63" t="s">
        <v>9</v>
      </c>
      <c r="C11" s="63" t="s">
        <v>10</v>
      </c>
      <c r="D11" s="63" t="s">
        <v>11</v>
      </c>
      <c r="E11" s="63" t="s">
        <v>12</v>
      </c>
    </row>
    <row r="12" spans="1:5" ht="20" customHeight="1" x14ac:dyDescent="0.2">
      <c r="B12" s="116" t="s">
        <v>13</v>
      </c>
      <c r="C12" s="65" t="s">
        <v>3</v>
      </c>
      <c r="D12" s="140" t="str">
        <f>IF(mgmt_domain_deployment_type_chosen="VMware vSphere Foundation","Excluded",IF(mgmt_signed_certs_chosen="Exclude","Excluded","Included"))</f>
        <v>Excluded</v>
      </c>
      <c r="E12" s="140" t="str">
        <f>IF(mgmt_domain_deployment_type_chosen="VMware vSphere Foundation","Cannot be performed on a VMware vSphere Foundation deployment",
IF(vcf_granular_option_chosen="Create Cluster","Deploy a new VCF fleet or Deploy a VCF Instance in an existing VCF fleet not selected on VCF &amp; VVF Planning Tab",
IF(vcf_granular_option_chosen="None Chosen","No Deployment Type Chosen",
IF(mgmt_signed_certs_chosen="Exclude","Cause: Not Selected. Signed certificates will not be deployed",
IF(mgmt_signed_certs_chosen="Microsoft CA","Microsoft CA based signed certificates will be deployed","OpenSSL CA based signed certificates will be deployed")))))</f>
        <v>Cause: Not Selected. Signed certificates will not be deployed</v>
      </c>
    </row>
    <row r="13" spans="1:5" ht="20" customHeight="1" x14ac:dyDescent="0.2">
      <c r="B13" s="116" t="s">
        <v>13</v>
      </c>
      <c r="C13" s="65" t="s">
        <v>14</v>
      </c>
      <c r="D13" s="140" t="str">
        <f>IF(mgmt_domain_deployment_type_chosen="VMware vSphere Foundation","Excluded",IF(mgmt_vns_chosen="Exclude","Excluded",
IF(mgmt_nsx_overlay_transit_gateway_chosen="Distributed Connectivity","Excluded","Included")))</f>
        <v>Excluded</v>
      </c>
      <c r="E13" s="140" t="str">
        <f>IF(mgmt_domain_deployment_type_chosen="VMware vSphere Foundation","Cannot be performed on a VMware vSphere Foundation deployment",IF(mgmt_vns_chosen="Exclude","Cause: Not Selected. NSX Network Connectivity for MGMT Workload Domain will not be configured",IF(mgmt_nsx_overlay_transit_gateway_chosen="Distributed Connectivity","Cause: As Distributed Connectivity is chosen in VCF Installer then its not possible to use the Transit Gateway Wizard after bring up.",
IF(mgmt_vns_chosen="Distributed Connectivity","Suitable for environments where you need a streamlined network configuration with limited NSX networking services.","NSX Edge cluster will be created. EBGP will be used. Suitable for environments where you need the full-scale of the NSX services"))))</f>
        <v>Cause: Not Selected. NSX Network Connectivity for MGMT Workload Domain will not be configured</v>
      </c>
    </row>
    <row r="14" spans="1:5" ht="20" customHeight="1" x14ac:dyDescent="0.2">
      <c r="B14" s="152" t="s">
        <v>13</v>
      </c>
      <c r="C14" s="65" t="s">
        <v>689</v>
      </c>
      <c r="D14" s="140" t="str">
        <f>IF(mgmt_domain_deployment_type_chosen="VMware vSphere Foundation","Excluded",
IF(AND((mgmt_supervisor_chosen&lt;&gt;"Exclude"),(mgmt_vns_result="Excluded")),"Excluded",
IF(mgmt_supervisor_chosen="Exclude","Excluded","Included")))</f>
        <v>Excluded</v>
      </c>
      <c r="E14" s="140" t="str">
        <f>IF(AND((mgmt_supervisor_chosen&lt;&gt;"Exclude"),(mgmt_vns_chosen="Exclude")),"Cause: You have not enabled NSX Network Connectivity for MGMT Workload Domain","Casue: Not Selected. vSphere Supervisor will not be enabled")</f>
        <v>Casue: Not Selected. vSphere Supervisor will not be enabled</v>
      </c>
    </row>
    <row r="15" spans="1:5" ht="20" customHeight="1" x14ac:dyDescent="0.2">
      <c r="B15" s="152" t="s">
        <v>13</v>
      </c>
      <c r="C15" s="65" t="s">
        <v>3395</v>
      </c>
      <c r="D15" s="140" t="str">
        <f>IF(AND(vcf_granular_option_chosen&lt;&gt;"Deploy a new VCF fleet",vcf_granular_option_chosen&lt;&gt;"Deploy a VCF Instance in an existing VCF fleet",vcf_granular_option_chosen&lt;&gt;"Create Cluster"),"Excluded",IF(mgmt_avi_loadbalancer_chosen="Exclude","Excluded","Included"))</f>
        <v>Excluded</v>
      </c>
      <c r="E15" s="140" t="str">
        <f>IF(vcf_granular_option_chosen="None Chosen","No Deployment Type Chosen",IF(mgmt_domain_deployment_type_chosen="VMware vSphere Foundation","Cannot be performed on a VMware vSphere Foundation deployment",
IF(mgmt_avi_loadbalancer_chosen="Exclude","Cause: Not Selected. AVI Load Balancer will not be configured","AVI Load Balancer will be configured")))</f>
        <v>Cause: Not Selected. AVI Load Balancer will not be configured</v>
      </c>
    </row>
    <row r="16" spans="1:5" ht="20" customHeight="1" x14ac:dyDescent="0.2">
      <c r="B16" s="116" t="s">
        <v>13</v>
      </c>
      <c r="C16" s="65" t="s">
        <v>15</v>
      </c>
      <c r="D16" s="140" t="str">
        <f>IF(AND(vcf_granular_option_chosen&lt;&gt;"Deploy a new VCF fleet",vcf_granular_option_chosen&lt;&gt;"Deploy a VCF Instance in an existing VCF fleet",vcf_granular_option_chosen&lt;&gt;"Create Cluster"),"Excluded",IF(mgmt_stretched_cluster_chosen="Exclude","Excluded",
IF(AND(mgmt_stretched_cluster_chosen="Include",AND(mgmt_principal_storage_chosen&lt;&gt;"vSAN-ESA",mgmt_principal_storage_chosen&lt;&gt;"vSAN-OSA")),"Excluded","Included")))</f>
        <v>Excluded</v>
      </c>
      <c r="E16" s="140" t="str">
        <f>IF(vcf_granular_option_chosen="None Chosen","No Deployment Type Chosen",IF(mgmt_domain_deployment_type_chosen="VMware vSphere Foundation","Cannot be performed on a VMware vSphere Foundation deployment",IF(vcf_version_chosen="No Version Selected","Cause: VCF Deployment version is not Selected",IF(mgmt_stretched_cluster_chosen="Exclude","Cause: Not Selected. Stretched Cluster will not be deployed",IF(AND(mgmt_stretched_cluster_chosen="Include",AND(mgmt_principal_storage_chosen&lt;&gt;"vSAN-ESA",mgmt_principal_storage_chosen&lt;&gt;"vSAN-OSA")),"Cause: Stretched Cluster is only supported with vSAN as Principal Storage",IF(mgmt_vns_chosen="VLAN-Backed","Note: VLAN-backed segments require L2 stretched VM Networks. Consider Overlay-backed instead.","Stretched Cluster will be deployed"))))))</f>
        <v>Cause: Not Selected. Stretched Cluster will not be deployed</v>
      </c>
    </row>
    <row r="17" spans="2:5" ht="20" customHeight="1" x14ac:dyDescent="0.2">
      <c r="B17" s="116" t="s">
        <v>13</v>
      </c>
      <c r="C17" s="65" t="s">
        <v>7</v>
      </c>
      <c r="D17" s="140" t="str">
        <f>IF(AND(vcf_granular_option_chosen&lt;&gt;"Deploy a new VCF fleet",vcf_granular_option_chosen&lt;&gt;"Deploy a VCF Instance in an existing VCF fleet",vcf_granular_option_chosen&lt;&gt;"Create Cluster",vcf_granular_option_chosen&lt;&gt;"One or More VVDs"),"Excluded",IF(mgmt_nsxt_federation_chosen="Exclude","Excluded",IF(mgmt_vns_chosen="Centralized Connectivity","Included","Excluded")))</f>
        <v>Excluded</v>
      </c>
      <c r="E17" s="140" t="str">
        <f>IF(vcf_granular_option_chosen="None Chosen","No Deployment Type Chosen",
IF(mgmt_domain_deployment_type_chosen="VMware vSphere Foundation","Cannot be performed on a VMware vSphere Foundation deployment",IF(mgmt_nsxt_federation_chosen="Exclude","Cause: Not Selected. NSX Federation for Management Domain will not be deployed",
IF(AND((mgmt_nsxt_federation_chosen="Active Global Manager"),(mgmt_nsxt_federation_result="Included")),"NSX Federation for Management Domain will be deployed with Active Global Manager",
IF(AND((mgmt_nsxt_federation_chosen="Standby Global Manager"),(mgmt_nsxt_federation_result="Included")),"NSX Federation for Management Domain will be deployed with Standby Global Manager",
IF(AND((mgmt_nsxt_federation_chosen="Connect Instance"),(mgmt_nsxt_federation_result="Included")),"Management Domain will be connected to an existing Global Manager","Cause: NSX Centralized Connectivity for Management Domain Required"))))))</f>
        <v>Cause: Not Selected. NSX Federation for Management Domain will not be deployed</v>
      </c>
    </row>
    <row r="18" spans="2:5" ht="16" customHeight="1" x14ac:dyDescent="0.2"/>
    <row r="19" spans="2:5" ht="34" customHeight="1" x14ac:dyDescent="0.2">
      <c r="B19" s="575" t="s">
        <v>16</v>
      </c>
      <c r="C19" s="576"/>
      <c r="D19" s="576"/>
      <c r="E19" s="577"/>
    </row>
    <row r="20" spans="2:5" ht="20" customHeight="1" x14ac:dyDescent="0.2">
      <c r="B20" s="553" t="s">
        <v>17</v>
      </c>
      <c r="C20" s="554"/>
      <c r="D20" s="554"/>
      <c r="E20" s="555"/>
    </row>
    <row r="21" spans="2:5" ht="20" customHeight="1" x14ac:dyDescent="0.2">
      <c r="B21" s="62" t="s">
        <v>18</v>
      </c>
      <c r="C21" s="63" t="s">
        <v>19</v>
      </c>
      <c r="D21" s="63" t="s">
        <v>20</v>
      </c>
      <c r="E21" s="63" t="s">
        <v>21</v>
      </c>
    </row>
    <row r="22" spans="2:5" ht="20" customHeight="1" x14ac:dyDescent="0.2">
      <c r="B22" s="4" t="s">
        <v>22</v>
      </c>
      <c r="C22" s="103" t="s">
        <v>23</v>
      </c>
      <c r="D22" s="66"/>
      <c r="E22" s="4" t="s">
        <v>24</v>
      </c>
    </row>
    <row r="23" spans="2:5" ht="20" customHeight="1" x14ac:dyDescent="0.2">
      <c r="B23" s="4" t="s">
        <v>25</v>
      </c>
      <c r="C23" s="65">
        <v>22</v>
      </c>
      <c r="D23" s="66"/>
      <c r="E23" s="4"/>
    </row>
    <row r="24" spans="2:5" ht="20" customHeight="1" x14ac:dyDescent="0.2">
      <c r="B24" s="4" t="s">
        <v>26</v>
      </c>
      <c r="C24" s="65" t="s">
        <v>27</v>
      </c>
      <c r="D24" s="66"/>
      <c r="E24" s="4"/>
    </row>
    <row r="25" spans="2:5" ht="20" customHeight="1" x14ac:dyDescent="0.2">
      <c r="B25" s="4" t="s">
        <v>28</v>
      </c>
      <c r="C25" s="65" t="s">
        <v>29</v>
      </c>
      <c r="D25" s="66"/>
      <c r="E25" s="4"/>
    </row>
    <row r="26" spans="2:5" ht="20" customHeight="1" x14ac:dyDescent="0.2">
      <c r="B26" s="4" t="s">
        <v>30</v>
      </c>
      <c r="C26" s="65" t="s">
        <v>31</v>
      </c>
      <c r="D26" s="66"/>
      <c r="E26" s="4"/>
    </row>
    <row r="27" spans="2:5" ht="20" customHeight="1" x14ac:dyDescent="0.2">
      <c r="B27" s="4" t="s">
        <v>32</v>
      </c>
      <c r="C27" s="65" t="s">
        <v>33</v>
      </c>
      <c r="D27" s="66"/>
      <c r="E27" s="4"/>
    </row>
    <row r="28" spans="2:5" ht="20" customHeight="1" x14ac:dyDescent="0.2">
      <c r="B28" s="4" t="s">
        <v>34</v>
      </c>
      <c r="C28" s="65" t="s">
        <v>35</v>
      </c>
      <c r="D28" s="66"/>
      <c r="E28" s="4"/>
    </row>
    <row r="29" spans="2:5" ht="20" customHeight="1" x14ac:dyDescent="0.2">
      <c r="B29" s="4" t="s">
        <v>36</v>
      </c>
      <c r="C29" s="65" t="s">
        <v>31</v>
      </c>
      <c r="D29" s="66"/>
      <c r="E29" s="4" t="s">
        <v>37</v>
      </c>
    </row>
    <row r="30" spans="2:5" ht="16" customHeight="1" x14ac:dyDescent="0.2"/>
    <row r="31" spans="2:5" ht="34" customHeight="1" x14ac:dyDescent="0.2">
      <c r="B31" s="573" t="s">
        <v>3</v>
      </c>
      <c r="C31" s="574"/>
      <c r="D31" s="574"/>
      <c r="E31" s="574"/>
    </row>
    <row r="32" spans="2:5" ht="20" customHeight="1" x14ac:dyDescent="0.2">
      <c r="B32" s="537" t="s">
        <v>38</v>
      </c>
      <c r="C32" s="538"/>
      <c r="D32" s="538"/>
      <c r="E32" s="539"/>
    </row>
    <row r="33" spans="2:5" ht="20" customHeight="1" x14ac:dyDescent="0.2">
      <c r="B33" s="62" t="s">
        <v>18</v>
      </c>
      <c r="C33" s="63" t="s">
        <v>19</v>
      </c>
      <c r="D33" s="63" t="s">
        <v>20</v>
      </c>
      <c r="E33" s="63" t="s">
        <v>21</v>
      </c>
    </row>
    <row r="34" spans="2:5" ht="20" customHeight="1" x14ac:dyDescent="0.2">
      <c r="B34" s="4" t="s">
        <v>39</v>
      </c>
      <c r="C34" s="103" t="s">
        <v>40</v>
      </c>
      <c r="D34" s="66"/>
      <c r="E34" s="8" t="str">
        <f>IF(mgmt_signed_certs_result="Excluded","Inputs are masked out and only required if Apply Signed Certifcates is chosen from the Post-Deployment Option","")</f>
        <v>Inputs are masked out and only required if Apply Signed Certifcates is chosen from the Post-Deployment Option</v>
      </c>
    </row>
    <row r="35" spans="2:5" ht="20" customHeight="1" x14ac:dyDescent="0.2">
      <c r="B35" s="4" t="s">
        <v>41</v>
      </c>
      <c r="C35" s="65" t="s">
        <v>42</v>
      </c>
      <c r="D35" s="66"/>
      <c r="E35" s="4"/>
    </row>
    <row r="36" spans="2:5" ht="20" customHeight="1" x14ac:dyDescent="0.2">
      <c r="B36" s="4" t="s">
        <v>30</v>
      </c>
      <c r="C36" s="100" t="s">
        <v>31</v>
      </c>
      <c r="D36" s="66"/>
      <c r="E36" s="4"/>
    </row>
    <row r="37" spans="2:5" ht="20" customHeight="1" x14ac:dyDescent="0.2">
      <c r="B37" s="537" t="s">
        <v>43</v>
      </c>
      <c r="C37" s="538"/>
      <c r="D37" s="538"/>
      <c r="E37" s="539"/>
    </row>
    <row r="38" spans="2:5" ht="20" customHeight="1" x14ac:dyDescent="0.2">
      <c r="B38" s="4" t="s">
        <v>39</v>
      </c>
      <c r="C38" s="65" t="str">
        <f>sample_certificate_authority_fqdn</f>
        <v>rpl-ad01.rainpole.io</v>
      </c>
      <c r="D38" s="134" t="str">
        <f>certificate_authority_fqdn</f>
        <v>Value Missing</v>
      </c>
      <c r="E38" s="8" t="str">
        <f>IF(mgmt_signed_certs_result="Excluded","Inputs are masked out and only required if Apply Signed Certifcates is chosen from the Post-Deployment Option","")</f>
        <v>Inputs are masked out and only required if Apply Signed Certifcates is chosen from the Post-Deployment Option</v>
      </c>
    </row>
    <row r="39" spans="2:5" ht="20" customHeight="1" x14ac:dyDescent="0.2">
      <c r="B39" s="4" t="s">
        <v>41</v>
      </c>
      <c r="C39" s="65" t="str">
        <f>sample_ca_administrator_username</f>
        <v>Administrator</v>
      </c>
      <c r="D39" s="134" t="str">
        <f>ca_administrator_username</f>
        <v>Value Missing</v>
      </c>
      <c r="E39" s="4"/>
    </row>
    <row r="40" spans="2:5" ht="20" customHeight="1" x14ac:dyDescent="0.2">
      <c r="B40" s="4" t="s">
        <v>30</v>
      </c>
      <c r="C40" s="65" t="str">
        <f>sample_ca_administrator_password</f>
        <v>VMw@re1!</v>
      </c>
      <c r="D40" s="134" t="str">
        <f>ca_administrator_password</f>
        <v>Value Missing</v>
      </c>
      <c r="E40" s="4"/>
    </row>
    <row r="41" spans="2:5" ht="20" customHeight="1" x14ac:dyDescent="0.2">
      <c r="B41" s="4" t="s">
        <v>44</v>
      </c>
      <c r="C41" s="65" t="str">
        <f>sample_certificate_authority_fqdn</f>
        <v>rpl-ad01.rainpole.io</v>
      </c>
      <c r="D41" s="134" t="str">
        <f>certificate_authority_fqdn</f>
        <v>Value Missing</v>
      </c>
      <c r="E41" s="4"/>
    </row>
    <row r="42" spans="2:5" ht="20" customHeight="1" x14ac:dyDescent="0.2">
      <c r="B42" s="537" t="s">
        <v>45</v>
      </c>
      <c r="C42" s="538"/>
      <c r="D42" s="538"/>
      <c r="E42" s="539"/>
    </row>
    <row r="43" spans="2:5" ht="20" customHeight="1" x14ac:dyDescent="0.2">
      <c r="B43" s="4" t="s">
        <v>46</v>
      </c>
      <c r="C43" s="65" t="str">
        <f>CONCATENATE("https://",sample_certificate_authority_fqdn)</f>
        <v>https://rpl-ad01.rainpole.io</v>
      </c>
      <c r="D43" s="134" t="str">
        <f>certificate_authority_fqdn</f>
        <v>Value Missing</v>
      </c>
      <c r="E43" s="8" t="str">
        <f>IF(mgmt_signed_certs_result="Excluded","Inputs are masked out and only required if Apply Signed Certifcates is chosen from the Post-Deployment Option","")</f>
        <v>Inputs are masked out and only required if Apply Signed Certifcates is chosen from the Post-Deployment Option</v>
      </c>
    </row>
    <row r="44" spans="2:5" ht="20" customHeight="1" x14ac:dyDescent="0.2">
      <c r="B44" s="4" t="s">
        <v>47</v>
      </c>
      <c r="C44" s="65" t="str">
        <f>sample_ca_administrator_username</f>
        <v>Administrator</v>
      </c>
      <c r="D44" s="134" t="str">
        <f>ca_administrator_username</f>
        <v>Value Missing</v>
      </c>
      <c r="E44" s="4"/>
    </row>
    <row r="45" spans="2:5" ht="20" customHeight="1" x14ac:dyDescent="0.2">
      <c r="B45" s="4" t="s">
        <v>30</v>
      </c>
      <c r="C45" s="65" t="str">
        <f>sample_ca_administrator_password</f>
        <v>VMw@re1!</v>
      </c>
      <c r="D45" s="134" t="str">
        <f>ca_administrator_password</f>
        <v>Value Missing</v>
      </c>
      <c r="E45" s="4"/>
    </row>
    <row r="46" spans="2:5" ht="20" customHeight="1" x14ac:dyDescent="0.2">
      <c r="B46" s="4" t="s">
        <v>48</v>
      </c>
      <c r="C46" s="106" t="s">
        <v>49</v>
      </c>
      <c r="D46" s="66"/>
      <c r="E46" s="4"/>
    </row>
    <row r="47" spans="2:5" ht="20" customHeight="1" x14ac:dyDescent="0.2">
      <c r="B47" s="537" t="s">
        <v>50</v>
      </c>
      <c r="C47" s="538"/>
      <c r="D47" s="538"/>
      <c r="E47" s="539"/>
    </row>
    <row r="48" spans="2:5" ht="20" customHeight="1" x14ac:dyDescent="0.2">
      <c r="B48" s="4" t="s">
        <v>39</v>
      </c>
      <c r="C48" s="65" t="str">
        <f>sample_certificate_authority_fqdn</f>
        <v>rpl-ad01.rainpole.io</v>
      </c>
      <c r="D48" s="134" t="str">
        <f>certificate_authority_fqdn</f>
        <v>Value Missing</v>
      </c>
      <c r="E48" s="8" t="str">
        <f>IF(mgmt_signed_certs_result="Excluded","Inputs are masked out and only required if Apply Signed Certifcates is chosen from the Post-Deployment Option","")</f>
        <v>Inputs are masked out and only required if Apply Signed Certifcates is chosen from the Post-Deployment Option</v>
      </c>
    </row>
    <row r="49" spans="2:5" ht="20" customHeight="1" x14ac:dyDescent="0.2">
      <c r="B49" s="4" t="s">
        <v>41</v>
      </c>
      <c r="C49" s="65" t="str">
        <f>sample_ca_administrator_username</f>
        <v>Administrator</v>
      </c>
      <c r="D49" s="134" t="str">
        <f>ca_administrator_username</f>
        <v>Value Missing</v>
      </c>
      <c r="E49" s="4"/>
    </row>
    <row r="50" spans="2:5" ht="20" customHeight="1" x14ac:dyDescent="0.2">
      <c r="B50" s="4" t="s">
        <v>30</v>
      </c>
      <c r="C50" s="65" t="str">
        <f>sample_ca_administrator_password</f>
        <v>VMw@re1!</v>
      </c>
      <c r="D50" s="134" t="str">
        <f>ca_administrator_password</f>
        <v>Value Missing</v>
      </c>
      <c r="E50" s="4"/>
    </row>
    <row r="51" spans="2:5" ht="20" customHeight="1" x14ac:dyDescent="0.2">
      <c r="B51" s="4" t="s">
        <v>51</v>
      </c>
      <c r="C51" s="65" t="s">
        <v>52</v>
      </c>
      <c r="D51" s="66"/>
      <c r="E51" s="4"/>
    </row>
    <row r="52" spans="2:5" ht="20" customHeight="1" x14ac:dyDescent="0.2">
      <c r="B52" s="537" t="s">
        <v>53</v>
      </c>
      <c r="C52" s="538"/>
      <c r="D52" s="538"/>
      <c r="E52" s="539"/>
    </row>
    <row r="53" spans="2:5" ht="20" customHeight="1" x14ac:dyDescent="0.2">
      <c r="B53" s="4" t="s">
        <v>54</v>
      </c>
      <c r="C53" s="65" t="s">
        <v>55</v>
      </c>
      <c r="D53" s="8" t="s">
        <v>55</v>
      </c>
      <c r="E53" s="8" t="str">
        <f>IF(mgmt_signed_certs_result="Excluded","Inputs are masked out and only required if Apply Signed Certifcates is chosen from the Post-Deployment Option","")</f>
        <v>Inputs are masked out and only required if Apply Signed Certifcates is chosen from the Post-Deployment Option</v>
      </c>
    </row>
    <row r="54" spans="2:5" ht="20" customHeight="1" x14ac:dyDescent="0.2">
      <c r="B54" s="4" t="s">
        <v>46</v>
      </c>
      <c r="C54" s="65" t="str">
        <f>CONCATENATE("https://",certificate_authority_fqdn,"/certsrv")</f>
        <v>https://Value Missing/certsrv</v>
      </c>
      <c r="D54" s="8" t="str">
        <f>CONCATENATE("https://",certificate_authority_fqdn,"/certsrv")</f>
        <v>https://Value Missing/certsrv</v>
      </c>
      <c r="E54" s="4"/>
    </row>
    <row r="55" spans="2:5" ht="20" customHeight="1" x14ac:dyDescent="0.2">
      <c r="B55" s="4" t="s">
        <v>28</v>
      </c>
      <c r="C55" s="65" t="str">
        <f>sample_svc_vcf_ca_vcf_user</f>
        <v>svc-vcf-ca</v>
      </c>
      <c r="D55" s="8" t="str">
        <f>user_svc_vcf_ca_vcf</f>
        <v>Value Missing</v>
      </c>
      <c r="E55" s="4"/>
    </row>
    <row r="56" spans="2:5" ht="20" customHeight="1" x14ac:dyDescent="0.2">
      <c r="B56" s="4" t="s">
        <v>30</v>
      </c>
      <c r="C56" s="65" t="s">
        <v>31</v>
      </c>
      <c r="D56" s="66"/>
      <c r="E56" s="4"/>
    </row>
    <row r="57" spans="2:5" ht="20" customHeight="1" x14ac:dyDescent="0.2">
      <c r="B57" s="4" t="s">
        <v>48</v>
      </c>
      <c r="C57" s="65" t="str">
        <f>sample_ca_template_name</f>
        <v>VMware</v>
      </c>
      <c r="D57" s="134" t="str">
        <f>ca_template_name</f>
        <v>Value Missing</v>
      </c>
      <c r="E57" s="4"/>
    </row>
    <row r="58" spans="2:5" ht="20" customHeight="1" x14ac:dyDescent="0.2">
      <c r="B58" s="565" t="s">
        <v>56</v>
      </c>
      <c r="C58" s="566"/>
      <c r="D58" s="566"/>
      <c r="E58" s="567"/>
    </row>
    <row r="59" spans="2:5" ht="20" customHeight="1" x14ac:dyDescent="0.2">
      <c r="B59" s="4" t="s">
        <v>57</v>
      </c>
      <c r="C59" s="106" t="s">
        <v>58</v>
      </c>
      <c r="D59" s="66"/>
      <c r="E59" s="8" t="str">
        <f>IF(mgmt_signed_certs_result="Excluded","Inputs are masked out and only required if Apply Signed Certifcates is chosen from the Post-Deployment Option","")</f>
        <v>Inputs are masked out and only required if Apply Signed Certifcates is chosen from the Post-Deployment Option</v>
      </c>
    </row>
    <row r="60" spans="2:5" ht="20" customHeight="1" x14ac:dyDescent="0.2">
      <c r="B60" s="4" t="s">
        <v>59</v>
      </c>
      <c r="C60" s="106" t="s">
        <v>60</v>
      </c>
      <c r="D60" s="66"/>
      <c r="E60" s="4"/>
    </row>
    <row r="61" spans="2:5" ht="20" customHeight="1" x14ac:dyDescent="0.2">
      <c r="B61" s="4" t="s">
        <v>61</v>
      </c>
      <c r="C61" s="106" t="s">
        <v>62</v>
      </c>
      <c r="D61" s="66"/>
      <c r="E61" s="4"/>
    </row>
    <row r="62" spans="2:5" ht="20" customHeight="1" x14ac:dyDescent="0.2">
      <c r="B62" s="4" t="s">
        <v>63</v>
      </c>
      <c r="C62" s="106" t="s">
        <v>64</v>
      </c>
      <c r="D62" s="66"/>
      <c r="E62" s="4"/>
    </row>
    <row r="63" spans="2:5" ht="20" customHeight="1" x14ac:dyDescent="0.2">
      <c r="B63" s="4" t="s">
        <v>65</v>
      </c>
      <c r="C63" s="106" t="s">
        <v>66</v>
      </c>
      <c r="D63" s="66"/>
      <c r="E63" s="4"/>
    </row>
    <row r="64" spans="2:5" ht="20" customHeight="1" x14ac:dyDescent="0.2">
      <c r="B64" s="4" t="s">
        <v>67</v>
      </c>
      <c r="C64" s="106" t="s">
        <v>68</v>
      </c>
      <c r="D64" s="66"/>
      <c r="E64" s="4"/>
    </row>
    <row r="65" spans="2:5" ht="20" customHeight="1" x14ac:dyDescent="0.2">
      <c r="B65" s="4" t="s">
        <v>69</v>
      </c>
      <c r="C65" s="106" t="s">
        <v>70</v>
      </c>
      <c r="D65" s="361"/>
      <c r="E65" s="4"/>
    </row>
    <row r="66" spans="2:5" ht="20" customHeight="1" x14ac:dyDescent="0.2">
      <c r="B66" s="4" t="s">
        <v>71</v>
      </c>
      <c r="C66" s="106">
        <v>4096</v>
      </c>
      <c r="D66" s="66"/>
      <c r="E66" s="4"/>
    </row>
    <row r="67" spans="2:5" ht="20" customHeight="1" x14ac:dyDescent="0.2">
      <c r="B67" s="537" t="s">
        <v>72</v>
      </c>
      <c r="C67" s="538"/>
      <c r="D67" s="538"/>
      <c r="E67" s="539"/>
    </row>
    <row r="68" spans="2:5" ht="20" customHeight="1" x14ac:dyDescent="0.2">
      <c r="B68" s="4" t="s">
        <v>54</v>
      </c>
      <c r="C68" s="103" t="s">
        <v>73</v>
      </c>
      <c r="D68" s="66"/>
      <c r="E68" s="8" t="str">
        <f>IF(mgmt_signed_certs_result="Excluded","Inputs are masked out and only required if Apply Signed Certifcates is chosen from the Post-Deployment Option","")</f>
        <v>Inputs are masked out and only required if Apply Signed Certifcates is chosen from the Post-Deployment Option</v>
      </c>
    </row>
    <row r="69" spans="2:5" ht="20" customHeight="1" x14ac:dyDescent="0.2">
      <c r="B69" s="4" t="s">
        <v>74</v>
      </c>
      <c r="C69" s="65" t="str">
        <f>sample_sddc_mgr_fqdn</f>
        <v>sfo-vcf01.sfo.rainpole.io</v>
      </c>
      <c r="D69" s="114"/>
      <c r="E69" s="4"/>
    </row>
    <row r="70" spans="2:5" ht="20" customHeight="1" x14ac:dyDescent="0.2">
      <c r="B70" s="4" t="s">
        <v>63</v>
      </c>
      <c r="C70" s="65" t="str">
        <f>sample_ca_country</f>
        <v>US</v>
      </c>
      <c r="D70" s="114"/>
      <c r="E70" s="4"/>
    </row>
    <row r="71" spans="2:5" ht="20" customHeight="1" x14ac:dyDescent="0.2">
      <c r="B71" s="4" t="s">
        <v>75</v>
      </c>
      <c r="C71" s="65" t="str">
        <f>sample_ca_locality</f>
        <v>San Francisco</v>
      </c>
      <c r="D71" s="114"/>
      <c r="E71" s="4"/>
    </row>
    <row r="72" spans="2:5" ht="20" customHeight="1" x14ac:dyDescent="0.2">
      <c r="B72" s="4" t="s">
        <v>76</v>
      </c>
      <c r="C72" s="65" t="str">
        <f>sample_ca_organization_unit</f>
        <v>Rainpole</v>
      </c>
      <c r="D72" s="114"/>
      <c r="E72" s="4"/>
    </row>
    <row r="73" spans="2:5" ht="20" customHeight="1" x14ac:dyDescent="0.2">
      <c r="B73" s="4" t="s">
        <v>77</v>
      </c>
      <c r="C73" s="65" t="str">
        <f>sample_ca_organization</f>
        <v>IT</v>
      </c>
      <c r="D73" s="114"/>
      <c r="E73" s="4"/>
    </row>
    <row r="74" spans="2:5" ht="20" customHeight="1" x14ac:dyDescent="0.2">
      <c r="B74" s="4" t="s">
        <v>65</v>
      </c>
      <c r="C74" s="65" t="str">
        <f>sample_ca_state</f>
        <v>CA</v>
      </c>
      <c r="D74" s="114"/>
      <c r="E74" s="4"/>
    </row>
    <row r="75" spans="2:5" ht="20" customHeight="1" x14ac:dyDescent="0.2">
      <c r="B75" s="537" t="s">
        <v>78</v>
      </c>
      <c r="C75" s="538"/>
      <c r="D75" s="538"/>
      <c r="E75" s="539"/>
    </row>
    <row r="76" spans="2:5" ht="20" customHeight="1" x14ac:dyDescent="0.2">
      <c r="B76" s="4" t="s">
        <v>57</v>
      </c>
      <c r="C76" s="65" t="str">
        <f>sample_ca_algorithm</f>
        <v>RSA</v>
      </c>
      <c r="D76" s="114"/>
      <c r="E76" s="8" t="str">
        <f>IF(mgmt_signed_certs_result="Excluded","Inputs are masked out and only required if Apply Signed Certifcates is chosen from the Post-Deployment Option","")</f>
        <v>Inputs are masked out and only required if Apply Signed Certifcates is chosen from the Post-Deployment Option</v>
      </c>
    </row>
    <row r="77" spans="2:5" ht="20" customHeight="1" x14ac:dyDescent="0.2">
      <c r="B77" s="4" t="s">
        <v>71</v>
      </c>
      <c r="C77" s="65">
        <f>sample_ca_key_size</f>
        <v>4096</v>
      </c>
      <c r="D77" s="114">
        <v>4096</v>
      </c>
      <c r="E77" s="4"/>
    </row>
    <row r="78" spans="2:5" ht="20" customHeight="1" x14ac:dyDescent="0.2">
      <c r="B78" s="4" t="s">
        <v>69</v>
      </c>
      <c r="C78" s="65" t="str">
        <f>sample_ca_email_address</f>
        <v>administrator@rainpole.io</v>
      </c>
      <c r="D78" s="114"/>
      <c r="E78" s="4"/>
    </row>
    <row r="79" spans="2:5" ht="20" customHeight="1" x14ac:dyDescent="0.2">
      <c r="B79" s="4" t="s">
        <v>61</v>
      </c>
      <c r="C79" s="65" t="str">
        <f>sample_ca_organization</f>
        <v>IT</v>
      </c>
      <c r="D79" s="114"/>
      <c r="E79" s="4"/>
    </row>
    <row r="80" spans="2:5" ht="20" customHeight="1" x14ac:dyDescent="0.2">
      <c r="B80" s="4" t="s">
        <v>76</v>
      </c>
      <c r="C80" s="65" t="str">
        <f>sample_ca_organization_unit</f>
        <v>Rainpole</v>
      </c>
      <c r="D80" s="114"/>
      <c r="E80" s="4"/>
    </row>
    <row r="81" spans="2:5" ht="20" customHeight="1" x14ac:dyDescent="0.2">
      <c r="B81" s="4" t="s">
        <v>67</v>
      </c>
      <c r="C81" s="65" t="str">
        <f>sample_ca_locality</f>
        <v>San Francisco</v>
      </c>
      <c r="D81" s="114"/>
      <c r="E81" s="4"/>
    </row>
    <row r="82" spans="2:5" ht="20" customHeight="1" x14ac:dyDescent="0.2">
      <c r="B82" s="4" t="s">
        <v>65</v>
      </c>
      <c r="C82" s="65" t="str">
        <f>sample_ca_state</f>
        <v>CA</v>
      </c>
      <c r="D82" s="114"/>
      <c r="E82" s="4"/>
    </row>
    <row r="83" spans="2:5" ht="20" customHeight="1" x14ac:dyDescent="0.2">
      <c r="B83" s="4" t="s">
        <v>63</v>
      </c>
      <c r="C83" s="65" t="str">
        <f>sample_ca_country</f>
        <v>US</v>
      </c>
      <c r="D83" s="114"/>
      <c r="E83" s="4"/>
    </row>
    <row r="84" spans="2:5" ht="20" customHeight="1" x14ac:dyDescent="0.2">
      <c r="B84" s="4" t="s">
        <v>79</v>
      </c>
      <c r="C84" s="65" t="s">
        <v>80</v>
      </c>
      <c r="D84" s="66"/>
      <c r="E84" s="4"/>
    </row>
    <row r="85" spans="2:5" ht="20" customHeight="1" x14ac:dyDescent="0.2">
      <c r="B85" s="4" t="s">
        <v>30</v>
      </c>
      <c r="C85" s="65" t="str">
        <f>sample_sddc_mgr_vcf_password</f>
        <v>VMw@re1!VMw@re1!</v>
      </c>
      <c r="D85" s="114"/>
      <c r="E85" s="4"/>
    </row>
    <row r="86" spans="2:5" ht="16" customHeight="1" x14ac:dyDescent="0.2">
      <c r="B86" s="6"/>
    </row>
    <row r="87" spans="2:5" ht="34" customHeight="1" x14ac:dyDescent="0.2">
      <c r="B87" s="575" t="s">
        <v>819</v>
      </c>
      <c r="C87" s="576"/>
      <c r="D87" s="576"/>
      <c r="E87" s="577"/>
    </row>
    <row r="88" spans="2:5" ht="20" customHeight="1" x14ac:dyDescent="0.2">
      <c r="B88" s="537" t="s">
        <v>81</v>
      </c>
      <c r="C88" s="538"/>
      <c r="D88" s="538"/>
      <c r="E88" s="539"/>
    </row>
    <row r="89" spans="2:5" ht="20" customHeight="1" x14ac:dyDescent="0.2">
      <c r="B89" s="62" t="s">
        <v>18</v>
      </c>
      <c r="C89" s="63" t="s">
        <v>19</v>
      </c>
      <c r="D89" s="63" t="s">
        <v>20</v>
      </c>
      <c r="E89" s="63" t="s">
        <v>21</v>
      </c>
    </row>
    <row r="90" spans="2:5" ht="20" customHeight="1" x14ac:dyDescent="0.2">
      <c r="B90" s="568" t="s">
        <v>3229</v>
      </c>
      <c r="C90" s="569"/>
      <c r="D90" s="569"/>
      <c r="E90" s="570"/>
    </row>
    <row r="91" spans="2:5" ht="20" customHeight="1" x14ac:dyDescent="0.2">
      <c r="B91" s="4" t="s">
        <v>82</v>
      </c>
      <c r="C91" s="65" t="s">
        <v>3230</v>
      </c>
      <c r="D91" s="66"/>
      <c r="E91" s="8"/>
    </row>
    <row r="92" spans="2:5" ht="20" customHeight="1" x14ac:dyDescent="0.2">
      <c r="B92" s="568" t="s">
        <v>82</v>
      </c>
      <c r="C92" s="569"/>
      <c r="D92" s="569"/>
      <c r="E92" s="570"/>
    </row>
    <row r="93" spans="2:5" ht="20" customHeight="1" x14ac:dyDescent="0.2">
      <c r="B93" s="4" t="s">
        <v>82</v>
      </c>
      <c r="C93" s="65" t="s">
        <v>83</v>
      </c>
      <c r="D93" s="8" t="str">
        <f>mgmt_vns_chosen</f>
        <v>Exclude</v>
      </c>
      <c r="E93" s="8" t="str">
        <f>IF(mgmt_vns_result="Excluded","Inputs are masked out and only required if NSX Network Connectivity for MGMT Domain is chosen from the Post-Deployment Option",
IF(mgmt_vns_chosen="Distributed Connectivity","Suitable for environments that require a streamlined network configuration with limited NSX networking services","Suitable for environments that require full-scale NSX networking services."))</f>
        <v>Inputs are masked out and only required if NSX Network Connectivity for MGMT Domain is chosen from the Post-Deployment Option</v>
      </c>
    </row>
    <row r="94" spans="2:5" ht="20" customHeight="1" x14ac:dyDescent="0.2">
      <c r="B94" s="568" t="s">
        <v>88</v>
      </c>
      <c r="C94" s="569"/>
      <c r="D94" s="569"/>
      <c r="E94" s="570"/>
    </row>
    <row r="95" spans="2:5" ht="20" customHeight="1" x14ac:dyDescent="0.2">
      <c r="B95" s="4" t="s">
        <v>89</v>
      </c>
      <c r="C95" s="65" t="str">
        <f>CONCATENATE(this_instance,"-m01-ec01")</f>
        <v>sfo-m01-ec01</v>
      </c>
      <c r="D95" s="66"/>
      <c r="E95" s="4"/>
    </row>
    <row r="96" spans="2:5" ht="20" customHeight="1" x14ac:dyDescent="0.2">
      <c r="B96" s="4" t="s">
        <v>90</v>
      </c>
      <c r="C96" s="65">
        <v>1700</v>
      </c>
      <c r="D96" s="114"/>
      <c r="E96" s="8" t="s">
        <v>3059</v>
      </c>
    </row>
    <row r="97" spans="2:5" ht="20" customHeight="1" x14ac:dyDescent="0.2">
      <c r="B97" s="4" t="s">
        <v>91</v>
      </c>
      <c r="C97" s="65" t="s">
        <v>92</v>
      </c>
      <c r="D97" s="114" t="s">
        <v>92</v>
      </c>
      <c r="E97" s="4"/>
    </row>
    <row r="98" spans="2:5" ht="20" customHeight="1" x14ac:dyDescent="0.2">
      <c r="B98" s="521" t="s">
        <v>93</v>
      </c>
      <c r="C98" s="522"/>
      <c r="D98" s="522"/>
      <c r="E98" s="523"/>
    </row>
    <row r="99" spans="2:5" ht="20" customHeight="1" x14ac:dyDescent="0.2">
      <c r="B99" s="4" t="s">
        <v>94</v>
      </c>
      <c r="C99" s="109" t="str">
        <f>CONCATENATE(this_instance,"-m01-en01",".",sample_child_dns_zone)</f>
        <v>sfo-m01-en01.sfo.rainpole.io</v>
      </c>
      <c r="D99" s="66"/>
      <c r="E99" s="4"/>
    </row>
    <row r="100" spans="2:5" ht="20" customHeight="1" x14ac:dyDescent="0.2">
      <c r="B100" s="4" t="s">
        <v>95</v>
      </c>
      <c r="C100" s="65" t="str">
        <f>sample_mgmt_cl01_cluster</f>
        <v>sfo-m01-cl01</v>
      </c>
      <c r="D100" s="134" t="str">
        <f>mgmt_cl01_cluster</f>
        <v>Value Missing</v>
      </c>
      <c r="E100" s="66" t="s">
        <v>96</v>
      </c>
    </row>
    <row r="101" spans="2:5" ht="20" customHeight="1" x14ac:dyDescent="0.2">
      <c r="B101" s="4" t="s">
        <v>97</v>
      </c>
      <c r="C101" s="65" t="str">
        <f>CONCATENATE(this_instance,"-m01-cl01-rp-ec01")</f>
        <v>sfo-m01-cl01-rp-ec01</v>
      </c>
      <c r="D101" s="114"/>
      <c r="E101" s="8" t="s">
        <v>98</v>
      </c>
    </row>
    <row r="102" spans="2:5" ht="20" customHeight="1" x14ac:dyDescent="0.2">
      <c r="B102" s="4" t="s">
        <v>99</v>
      </c>
      <c r="C102" s="65" t="s">
        <v>100</v>
      </c>
      <c r="D102" s="114" t="s">
        <v>100</v>
      </c>
      <c r="E102" s="8"/>
    </row>
    <row r="103" spans="2:5" ht="20" customHeight="1" x14ac:dyDescent="0.2">
      <c r="B103" s="4" t="s">
        <v>101</v>
      </c>
      <c r="C103" s="65" t="str">
        <f>CONCATENATE(this_instance,"-m01","-host-group-affinity-rule-ec01-en01")</f>
        <v>sfo-m01-host-group-affinity-rule-ec01-en01</v>
      </c>
      <c r="D103" s="114"/>
      <c r="E103" s="8" t="str">
        <f>IF(mgmt_ec01_host_group_affinity_rule_chosen="No","Inputs are masked out and only required if Host Groups Affiity are required","Host Group is optional and must be precreated in vCenter Prior to Starting this workflow" )</f>
        <v>Inputs are masked out and only required if Host Groups Affiity are required</v>
      </c>
    </row>
    <row r="104" spans="2:5" ht="20" customHeight="1" x14ac:dyDescent="0.2">
      <c r="B104" s="4" t="s">
        <v>102</v>
      </c>
      <c r="C104" s="65" t="str">
        <f>sample_mgmt_cl01_vsan_datastore</f>
        <v>sfo-m01-cl01-ds-vsan01</v>
      </c>
      <c r="D104" s="134" t="str">
        <f>mgmt_cl01_vsan_datastore</f>
        <v>Value Missing</v>
      </c>
      <c r="E104" s="66" t="s">
        <v>103</v>
      </c>
    </row>
    <row r="105" spans="2:5" ht="20" customHeight="1" x14ac:dyDescent="0.2">
      <c r="B105" s="4" t="s">
        <v>3237</v>
      </c>
      <c r="C105" s="103" t="s">
        <v>3238</v>
      </c>
      <c r="D105" s="114" t="s">
        <v>3238</v>
      </c>
      <c r="E105" s="8"/>
    </row>
    <row r="106" spans="2:5" ht="20" customHeight="1" x14ac:dyDescent="0.2">
      <c r="B106" s="4" t="s">
        <v>104</v>
      </c>
      <c r="C106" s="109" t="s">
        <v>105</v>
      </c>
      <c r="D106" s="114" t="s">
        <v>105</v>
      </c>
      <c r="E106" s="8"/>
    </row>
    <row r="107" spans="2:5" ht="20" customHeight="1" x14ac:dyDescent="0.2">
      <c r="B107" s="4" t="s">
        <v>108</v>
      </c>
      <c r="C107" s="109" t="str">
        <f>IF(mgmt_dpg_reuse_result="Excluded",CONCATENATE(prefix_mgmt_az1_cidr,"11.75","/",INT(RIGHT(sample_mgmt_az1_mgmt_vm_gateway_cidr,LEN(sample_mgmt_az1_mgmt_vm_gateway_cidr)-FIND("/",sample_mgmt_az1_mgmt_vm_gateway_cidr)))),CONCATENATE(prefix_mgmt_az1_cidr,"10.75","/",INT(RIGHT(sample_mgmt_az1_mgmt_vm_gateway_cidr,LEN(sample_mgmt_az1_mgmt_vm_gateway_cidr)-FIND("/",sample_mgmt_az1_mgmt_vm_gateway_cidr)))))</f>
        <v>10.11.10.75/24</v>
      </c>
      <c r="D107" s="114"/>
      <c r="E107" s="8" t="str">
        <f>IF(mgmt_az1_en1_ip_allocation_chosen="DHCP","Inputs are masked out and only required if Static IP Allocation is selected","")</f>
        <v/>
      </c>
    </row>
    <row r="108" spans="2:5" ht="20" customHeight="1" x14ac:dyDescent="0.2">
      <c r="B108" s="4" t="s">
        <v>109</v>
      </c>
      <c r="C108" s="65" t="str">
        <f>IF(mgmt_dpg_reuse_result="Excluded",CONCATENATE(prefix_mgmt_az1_cidr,"11.1"),CONCATENATE(prefix_mgmt_az1_cidr,"10.1"))</f>
        <v>10.11.10.1</v>
      </c>
      <c r="D108" s="134" t="str">
        <f>mgmt_az1_mgmt_vm_gateway_ip</f>
        <v>Value Missing</v>
      </c>
      <c r="E108" s="66"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09" spans="2:5" ht="20" customHeight="1" x14ac:dyDescent="0.2">
      <c r="B109" s="4" t="s">
        <v>106</v>
      </c>
      <c r="C109" s="109" t="str">
        <f>sample_mgmt_cl01_az1_mgmt_vm_pg</f>
        <v>sfo-m01-cl01-vds01-pg-vm-mgmt</v>
      </c>
      <c r="D109" s="134" t="str">
        <f>mgmt_cl01_az1_mgmt_vm_pg</f>
        <v>Value Missing</v>
      </c>
      <c r="E109" s="66" t="s">
        <v>107</v>
      </c>
    </row>
    <row r="110" spans="2:5" ht="20" customHeight="1" x14ac:dyDescent="0.2">
      <c r="B110" s="4" t="s">
        <v>110</v>
      </c>
      <c r="C110" s="65" t="s">
        <v>111</v>
      </c>
      <c r="D110" s="114" t="s">
        <v>111</v>
      </c>
      <c r="E110" s="4"/>
    </row>
    <row r="111" spans="2:5" ht="20" customHeight="1" x14ac:dyDescent="0.2">
      <c r="B111" s="521" t="s">
        <v>112</v>
      </c>
      <c r="C111" s="522"/>
      <c r="D111" s="522"/>
      <c r="E111" s="523"/>
    </row>
    <row r="112" spans="2:5" ht="20" customHeight="1" x14ac:dyDescent="0.2">
      <c r="B112" s="4" t="s">
        <v>113</v>
      </c>
      <c r="C112" s="65" t="str">
        <f>IF(mgmt_cl01_vds_profile_chosen="Storage Traffic and NSX Traffic Separation","vmnic4",IF(mgmt_cl01_vds_profile_chosen="NSX Traffic Separation","vmnic2","vmnic0"))</f>
        <v>vmnic4</v>
      </c>
      <c r="D112" s="114"/>
      <c r="E112" s="8" t="s">
        <v>114</v>
      </c>
    </row>
    <row r="113" spans="2:5" ht="20" customHeight="1" x14ac:dyDescent="0.2">
      <c r="B113" s="23" t="s">
        <v>113</v>
      </c>
      <c r="C113" s="65" t="str">
        <f>IF(mgmt_cl01_vds_profile_chosen="Storage Traffic and NSX Traffic Separation","vmnic5",IF(mgmt_cl01_vds_profile_chosen="NSX Traffic Separation","vmnic3","vmnic1"))</f>
        <v>vmnic5</v>
      </c>
      <c r="D113" s="114"/>
      <c r="E113" s="8" t="s">
        <v>835</v>
      </c>
    </row>
    <row r="114" spans="2:5" ht="20" customHeight="1" x14ac:dyDescent="0.2">
      <c r="B114" s="23" t="s">
        <v>115</v>
      </c>
      <c r="C114" s="65" t="str">
        <f>IF(mgmt_cl01_vds_profile_chosen="Storage Traffic and NSX Traffic Separation","vmnic5",IF(mgmt_cl01_vds_profile_chosen="NSX Traffic Separation","vmnic3","vmnic1"))</f>
        <v>vmnic5</v>
      </c>
      <c r="D114" s="114"/>
      <c r="E114" s="8" t="s">
        <v>114</v>
      </c>
    </row>
    <row r="115" spans="2:5" ht="20" customHeight="1" x14ac:dyDescent="0.2">
      <c r="B115" s="30" t="s">
        <v>115</v>
      </c>
      <c r="C115" s="65" t="str">
        <f>IF(mgmt_cl01_vds_profile_chosen="Storage Traffic and NSX Traffic Separation","vmnic4",IF(mgmt_cl01_vds_profile_chosen="NSX Traffic Separation","vmnic2","vmnic0"))</f>
        <v>vmnic4</v>
      </c>
      <c r="D115" s="114"/>
      <c r="E115" s="8" t="s">
        <v>835</v>
      </c>
    </row>
    <row r="116" spans="2:5" ht="20" customHeight="1" x14ac:dyDescent="0.2">
      <c r="B116" s="4" t="s">
        <v>116</v>
      </c>
      <c r="C116" s="103" t="str">
        <f>CONCATENATE(prefix_mgmt_az1_vlan,"19")</f>
        <v>1119</v>
      </c>
      <c r="D116" s="66"/>
      <c r="E116" s="8" t="str">
        <f>IF(mgmt_ec01_use_host_overlay_chosen="Selected","Inputs are masked out as host overlay network and edge overlay networks will share the same network configuration","")</f>
        <v/>
      </c>
    </row>
    <row r="117" spans="2:5" ht="20" customHeight="1" x14ac:dyDescent="0.2">
      <c r="B117" s="4" t="s">
        <v>3239</v>
      </c>
      <c r="C117" s="103" t="s">
        <v>3119</v>
      </c>
      <c r="D117" s="114" t="s">
        <v>3119</v>
      </c>
      <c r="E117" s="8" t="str">
        <f>IF(mgmt_az1_en1_uplink_ip_assignment_chosen="IPV6","NSX does not support EVPN, Multicast Routing, Service Insertion and Federation functionalities when you use IPv6 as the IP Address Type ","")</f>
        <v/>
      </c>
    </row>
    <row r="118" spans="2:5" ht="20" customHeight="1" x14ac:dyDescent="0.2">
      <c r="B118" s="4" t="s">
        <v>117</v>
      </c>
      <c r="C118" s="65" t="s">
        <v>118</v>
      </c>
      <c r="D118" s="114" t="s">
        <v>2871</v>
      </c>
      <c r="E118" s="4"/>
    </row>
    <row r="119" spans="2:5" ht="20" customHeight="1" x14ac:dyDescent="0.2">
      <c r="B119" s="4" t="s">
        <v>119</v>
      </c>
      <c r="C119" s="109" t="str">
        <f>CONCATENATE(sample_mgmt_sddc_domain,"-ip-pool02-edge")</f>
        <v>sfo-m01-ip-pool02-edge</v>
      </c>
      <c r="D119" s="114"/>
      <c r="E119" s="8" t="str">
        <f>IF(mgmt_az1_en1_edge_overlay_network_ip_allocation_chosen&lt;&gt;"IP Pool","Inputs are masked out and only required if IP Pools are required","")</f>
        <v/>
      </c>
    </row>
    <row r="120" spans="2:5" ht="20" customHeight="1" x14ac:dyDescent="0.2">
      <c r="B120" s="4" t="s">
        <v>120</v>
      </c>
      <c r="C120" s="109" t="str">
        <f>CONCATENATE(prefix_mgmt_az1_cidr,"19.2")</f>
        <v>10.11.19.2</v>
      </c>
      <c r="D120" s="114"/>
      <c r="E120" s="8" t="str">
        <f>IF(mgmt_az1_en1_edge_overlay_network_ip_allocation_chosen&lt;&gt;"IP Pool","Inputs are masked out and only required if IP Pools are required","")</f>
        <v/>
      </c>
    </row>
    <row r="121" spans="2:5" ht="20" customHeight="1" x14ac:dyDescent="0.2">
      <c r="B121" s="4" t="s">
        <v>121</v>
      </c>
      <c r="C121" s="109" t="str">
        <f>CONCATENATE(prefix_mgmt_az1_cidr,"19.5")</f>
        <v>10.11.19.5</v>
      </c>
      <c r="D121" s="114"/>
      <c r="E121" s="8" t="str">
        <f>IF(mgmt_az1_en1_edge_overlay_network_ip_allocation_chosen&lt;&gt;"IP Pool","Inputs are masked out and only required if IP Pools are required","")</f>
        <v/>
      </c>
    </row>
    <row r="122" spans="2:5" ht="20" customHeight="1" x14ac:dyDescent="0.2">
      <c r="B122" s="4" t="s">
        <v>122</v>
      </c>
      <c r="C122" s="109" t="str">
        <f>CONCATENATE(prefix_mgmt_az1_cidr,"19.2")</f>
        <v>10.11.19.2</v>
      </c>
      <c r="D122" s="66"/>
      <c r="E122" s="8" t="str">
        <f>IF(mgmt_az1_en1_edge_overlay_network_ip_allocation_chosen&lt;&gt;"Static IP List","Inputs are masked out and only required if Static IP List are required",IF(mgmt_ec01_use_host_overlay_chosen="Selected","","Overlay IP Address #01 for Edge Node 1"))</f>
        <v>Inputs are masked out and only required if Static IP List are required</v>
      </c>
    </row>
    <row r="123" spans="2:5" ht="20" customHeight="1" x14ac:dyDescent="0.2">
      <c r="B123" s="4" t="s">
        <v>123</v>
      </c>
      <c r="C123" s="109" t="str">
        <f>CONCATENATE(prefix_mgmt_az1_cidr,"19.3")</f>
        <v>10.11.19.3</v>
      </c>
      <c r="D123" s="66"/>
      <c r="E123" s="8" t="str">
        <f>IF(mgmt_az1_en1_edge_overlay_network_ip_allocation_chosen&lt;&gt;"Static IP List","Inputs are masked out and only required if Static IP List are required",IF(mgmt_ec01_use_host_overlay_chosen="Selected","","Overlay IP Address #02 for Edge Node 1"))</f>
        <v>Inputs are masked out and only required if Static IP List are required</v>
      </c>
    </row>
    <row r="124" spans="2:5" ht="20" customHeight="1" x14ac:dyDescent="0.2">
      <c r="B124" s="4" t="s">
        <v>447</v>
      </c>
      <c r="C124" s="103" t="str">
        <f>CONCATENATE(prefix_mgmt_az1_cidr,"19.0/24")</f>
        <v>10.11.19.0/24</v>
      </c>
      <c r="D124" s="66"/>
      <c r="E124" s="8"/>
    </row>
    <row r="125" spans="2:5" ht="20" customHeight="1" x14ac:dyDescent="0.2">
      <c r="B125" s="4" t="s">
        <v>124</v>
      </c>
      <c r="C125" s="103" t="str">
        <f>CONCATENATE(prefix_mgmt_az1_cidr,"19.1")</f>
        <v>10.11.19.1</v>
      </c>
      <c r="D125" s="66"/>
      <c r="E125" s="4"/>
    </row>
    <row r="126" spans="2:5" ht="20" customHeight="1" x14ac:dyDescent="0.2">
      <c r="B126" s="4" t="s">
        <v>125</v>
      </c>
      <c r="C126" s="65" t="s">
        <v>126</v>
      </c>
      <c r="D126" s="114"/>
      <c r="E126" s="4"/>
    </row>
    <row r="127" spans="2:5" ht="20" customHeight="1" x14ac:dyDescent="0.2">
      <c r="B127" s="521" t="s">
        <v>127</v>
      </c>
      <c r="C127" s="522"/>
      <c r="D127" s="522"/>
      <c r="E127" s="523"/>
    </row>
    <row r="128" spans="2:5" ht="20" customHeight="1" x14ac:dyDescent="0.2">
      <c r="B128" s="4" t="s">
        <v>128</v>
      </c>
      <c r="C128" s="153" t="str">
        <f>CONCATENATE(this_instance,"-m01-en02",".",sample_child_dns_zone)</f>
        <v>sfo-m01-en02.sfo.rainpole.io</v>
      </c>
      <c r="D128" s="66"/>
      <c r="E128" s="4"/>
    </row>
    <row r="129" spans="2:5" ht="20" customHeight="1" x14ac:dyDescent="0.2">
      <c r="B129" s="4" t="s">
        <v>95</v>
      </c>
      <c r="C129" s="65" t="str">
        <f>sample_mgmt_cl01_cluster</f>
        <v>sfo-m01-cl01</v>
      </c>
      <c r="D129" s="134" t="str">
        <f>mgmt_cl01_cluster</f>
        <v>Value Missing</v>
      </c>
      <c r="E129" s="66" t="s">
        <v>96</v>
      </c>
    </row>
    <row r="130" spans="2:5" ht="20" customHeight="1" x14ac:dyDescent="0.2">
      <c r="B130" s="4" t="s">
        <v>97</v>
      </c>
      <c r="C130" s="65" t="str">
        <f>sample_mgmt_ec_rp_name</f>
        <v>sfo-m01-cl01-rp-ec01</v>
      </c>
      <c r="D130" s="134" t="str">
        <f>mgmt_ec_rp_name</f>
        <v>Value Missing</v>
      </c>
      <c r="E130" s="8" t="str">
        <f>IF(input_mgmt_ec_rp_name="","Input is masked out based on based Resource Pool value for Edge node 1","")</f>
        <v>Input is masked out based on based Resource Pool value for Edge node 1</v>
      </c>
    </row>
    <row r="131" spans="2:5" ht="20" customHeight="1" x14ac:dyDescent="0.2">
      <c r="B131" s="4" t="s">
        <v>99</v>
      </c>
      <c r="C131" s="65" t="s">
        <v>100</v>
      </c>
      <c r="D131" s="134" t="str">
        <f>_xlfn.SINGLE(mgmt_ec01_host_group_affinity_rule_chosen)</f>
        <v>No</v>
      </c>
      <c r="E131" s="8" t="s">
        <v>129</v>
      </c>
    </row>
    <row r="132" spans="2:5" ht="20" customHeight="1" x14ac:dyDescent="0.2">
      <c r="B132" s="4" t="s">
        <v>101</v>
      </c>
      <c r="C132" s="65" t="str">
        <f>CONCATENATE(this_instance,"-m01","-host-group-affinity-rule-ec01-en02")</f>
        <v>sfo-m01-host-group-affinity-rule-ec01-en02</v>
      </c>
      <c r="D132" s="114"/>
      <c r="E132" s="8"/>
    </row>
    <row r="133" spans="2:5" ht="20" customHeight="1" x14ac:dyDescent="0.2">
      <c r="B133" s="4" t="s">
        <v>102</v>
      </c>
      <c r="C133" s="65" t="str">
        <f>sample_mgmt_cl01_vsan_datastore</f>
        <v>sfo-m01-cl01-ds-vsan01</v>
      </c>
      <c r="D133" s="134" t="str">
        <f>mgmt_cl01_vsan_datastore</f>
        <v>Value Missing</v>
      </c>
      <c r="E133" s="66" t="s">
        <v>103</v>
      </c>
    </row>
    <row r="134" spans="2:5" ht="20" customHeight="1" x14ac:dyDescent="0.2">
      <c r="B134" s="4" t="s">
        <v>104</v>
      </c>
      <c r="C134" s="109" t="s">
        <v>105</v>
      </c>
      <c r="D134" s="8" t="str">
        <f>mgmt_az1_en1_ip_allocation_chosen</f>
        <v>Static</v>
      </c>
      <c r="E134" s="8" t="s">
        <v>130</v>
      </c>
    </row>
    <row r="135" spans="2:5" ht="20" customHeight="1" x14ac:dyDescent="0.2">
      <c r="B135" s="4" t="s">
        <v>131</v>
      </c>
      <c r="C135" s="109" t="str">
        <f>IF(mgmt_dpg_reuse_result="Excluded",CONCATENATE(prefix_mgmt_az1_cidr,"11.76","/",INT(RIGHT(sample_mgmt_az1_mgmt_vm_gateway_cidr,LEN(sample_mgmt_az1_mgmt_vm_gateway_cidr)-FIND("/",sample_mgmt_az1_mgmt_vm_gateway_cidr)))),CONCATENATE(prefix_mgmt_az1_cidr,"10.76","/",INT(RIGHT(sample_mgmt_az1_mgmt_vm_gateway_cidr,LEN(sample_mgmt_az1_mgmt_vm_gateway_cidr)-FIND("/",sample_mgmt_az1_mgmt_vm_gateway_cidr)))))</f>
        <v>10.11.10.76/24</v>
      </c>
      <c r="D135" s="66"/>
      <c r="E135" s="8" t="str">
        <f>IF(mgmt_az1_en1_ip_allocation_chosen="DHCP","Inputs are masked out and only required if Static IP Allocation is selected","")</f>
        <v/>
      </c>
    </row>
    <row r="136" spans="2:5" ht="20" customHeight="1" x14ac:dyDescent="0.2">
      <c r="B136" s="4" t="s">
        <v>132</v>
      </c>
      <c r="C136" s="65" t="str">
        <f>IF(mgmt_dpg_reuse_result="Excluded",CONCATENATE(prefix_mgmt_az1_cidr,"11.1"),CONCATENATE(prefix_mgmt_az1_cidr,"10.1"))</f>
        <v>10.11.10.1</v>
      </c>
      <c r="D136" s="134" t="str">
        <f>mgmt_az1_mgmt_vm_gateway_ip</f>
        <v>Value Missing</v>
      </c>
      <c r="E136" s="66"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37" spans="2:5" ht="20" customHeight="1" x14ac:dyDescent="0.2">
      <c r="B137" s="4" t="s">
        <v>106</v>
      </c>
      <c r="C137" s="109" t="str">
        <f>sample_mgmt_cl01_az1_mgmt_vm_pg</f>
        <v>sfo-m01-cl01-vds01-pg-vm-mgmt</v>
      </c>
      <c r="D137" s="8" t="str">
        <f>mgmt_cl01_az1_mgmt_vm_pg</f>
        <v>Value Missing</v>
      </c>
      <c r="E137" s="66" t="s">
        <v>107</v>
      </c>
    </row>
    <row r="138" spans="2:5" ht="20" customHeight="1" x14ac:dyDescent="0.2">
      <c r="B138" s="4" t="s">
        <v>110</v>
      </c>
      <c r="C138" s="65" t="s">
        <v>111</v>
      </c>
      <c r="D138" s="134" t="str">
        <f>mgmt_ec01_use_host_overlay_chosen</f>
        <v xml:space="preserve">Unselected </v>
      </c>
      <c r="E138" s="8" t="s">
        <v>133</v>
      </c>
    </row>
    <row r="139" spans="2:5" ht="20" customHeight="1" x14ac:dyDescent="0.2">
      <c r="B139" s="521" t="s">
        <v>134</v>
      </c>
      <c r="C139" s="522"/>
      <c r="D139" s="522"/>
      <c r="E139" s="523"/>
    </row>
    <row r="140" spans="2:5" ht="20" customHeight="1" x14ac:dyDescent="0.2">
      <c r="B140" s="4" t="s">
        <v>113</v>
      </c>
      <c r="C140" s="65" t="str">
        <f>IF(mgmt_cl01_vds_profile_chosen="Storage Traffic and NSX Traffic Separation","vmnic4",IF(mgmt_cl01_vds_profile_chosen="NSX Traffic Separation","vmnic2","vmnic0"))</f>
        <v>vmnic4</v>
      </c>
      <c r="D140" s="114"/>
      <c r="E140" s="8" t="s">
        <v>114</v>
      </c>
    </row>
    <row r="141" spans="2:5" ht="20" customHeight="1" x14ac:dyDescent="0.2">
      <c r="B141" s="23" t="s">
        <v>113</v>
      </c>
      <c r="C141" s="65" t="str">
        <f>IF(mgmt_cl01_vds_profile_chosen="Storage Traffic and NSX Traffic Separation","vmnic5",IF(mgmt_cl01_vds_profile_chosen="NSX Traffic Separation","vmnic3","vmnic1"))</f>
        <v>vmnic5</v>
      </c>
      <c r="D141" s="114"/>
      <c r="E141" s="8" t="s">
        <v>835</v>
      </c>
    </row>
    <row r="142" spans="2:5" ht="20" customHeight="1" x14ac:dyDescent="0.2">
      <c r="B142" s="23" t="s">
        <v>115</v>
      </c>
      <c r="C142" s="65" t="str">
        <f>IF(mgmt_cl01_vds_profile_chosen="Storage Traffic and NSX Traffic Separation","vmnic5",IF(mgmt_cl01_vds_profile_chosen="NSX Traffic Separation","vmnic3","vmnic1"))</f>
        <v>vmnic5</v>
      </c>
      <c r="D142" s="114"/>
      <c r="E142" s="8" t="s">
        <v>114</v>
      </c>
    </row>
    <row r="143" spans="2:5" ht="20" customHeight="1" x14ac:dyDescent="0.2">
      <c r="B143" s="30" t="s">
        <v>115</v>
      </c>
      <c r="C143" s="65" t="str">
        <f>IF(mgmt_cl01_vds_profile_chosen="Storage Traffic and NSX Traffic Separation","vmnic4",IF(mgmt_cl01_vds_profile_chosen="NSX Traffic Separation","vmnic2","vmnic0"))</f>
        <v>vmnic4</v>
      </c>
      <c r="D143" s="114"/>
      <c r="E143" s="8" t="s">
        <v>835</v>
      </c>
    </row>
    <row r="144" spans="2:5" ht="20" customHeight="1" x14ac:dyDescent="0.2">
      <c r="B144" s="4" t="s">
        <v>116</v>
      </c>
      <c r="C144" s="103" t="str">
        <f>sample_mgmt_az1_edge_overlay_vlan</f>
        <v>1119</v>
      </c>
      <c r="D144" s="8" t="str">
        <f>mgmt_az1_edge_overlay_vlan</f>
        <v>Value Missing</v>
      </c>
      <c r="E144" s="8" t="str">
        <f>IF(mgmt_ec01_use_host_overlay_chosen="Selected","Inputs are masked out as host overlay network and edge overlay networks will share the same network configuration","Value is set based on VLAN  for Edge node 1 ")</f>
        <v xml:space="preserve">Value is set based on VLAN  for Edge node 1 </v>
      </c>
    </row>
    <row r="145" spans="2:5" ht="20" customHeight="1" x14ac:dyDescent="0.2">
      <c r="B145" s="4" t="s">
        <v>117</v>
      </c>
      <c r="C145" s="65" t="s">
        <v>118</v>
      </c>
      <c r="D145" s="134" t="str">
        <f>mgmt_az1_en1_edge_overlay_network_ip_allocation_chosen</f>
        <v>IP Pool</v>
      </c>
      <c r="E145" s="183" t="s">
        <v>834</v>
      </c>
    </row>
    <row r="146" spans="2:5" ht="20" customHeight="1" x14ac:dyDescent="0.2">
      <c r="B146" s="4" t="s">
        <v>119</v>
      </c>
      <c r="C146" s="65" t="str">
        <f>sample_mgmt_az1_edge_overlay_network_pool_name</f>
        <v>sfo-m01-ip-pool02-edge</v>
      </c>
      <c r="D146" s="134" t="str">
        <f>mgmt_az1_edge_overlay_network_pool_name</f>
        <v>Value Missing</v>
      </c>
      <c r="E146" s="8" t="str">
        <f>IF(mgmt_az1_en1_edge_overlay_network_ip_allocation_chosen&lt;&gt;"IP Pool","Inputs are masked out and only required if IP Pools are required","Value is set based on IP Pool Name for Edge node 1 ")</f>
        <v xml:space="preserve">Value is set based on IP Pool Name for Edge node 1 </v>
      </c>
    </row>
    <row r="147" spans="2:5" ht="20" customHeight="1" x14ac:dyDescent="0.2">
      <c r="B147" s="4" t="s">
        <v>3575</v>
      </c>
      <c r="C147" s="109" t="str">
        <f>CONCATENATE(prefix_mgmt_az1_cidr,"19.4")</f>
        <v>10.11.19.4</v>
      </c>
      <c r="D147" s="66"/>
      <c r="E147" s="8" t="str">
        <f>IF(mgmt_az1_en1_edge_overlay_network_ip_allocation_chosen&lt;&gt;"Static IP List","Inputs are masked out and only required if Static IP List are required",IF(mgmt_ec01_use_host_overlay_chosen="Selected","","Overlay IP Address #01 for Edge Node 2"))</f>
        <v>Inputs are masked out and only required if Static IP List are required</v>
      </c>
    </row>
    <row r="148" spans="2:5" ht="20" customHeight="1" x14ac:dyDescent="0.2">
      <c r="B148" s="4" t="s">
        <v>3576</v>
      </c>
      <c r="C148" s="109" t="str">
        <f>CONCATENATE(prefix_mgmt_az1_cidr,"19.5")</f>
        <v>10.11.19.5</v>
      </c>
      <c r="D148" s="66"/>
      <c r="E148" s="8" t="str">
        <f>IF(mgmt_az1_en1_edge_overlay_network_ip_allocation_chosen&lt;&gt;"Static IP List","Inputs are masked out and only required if Static IP List are required",IF(mgmt_ec01_use_host_overlay_chosen="Selected","","Overlay IP Address #02 for Edge Node 2"))</f>
        <v>Inputs are masked out and only required if Static IP List are required</v>
      </c>
    </row>
    <row r="149" spans="2:5" ht="20" customHeight="1" x14ac:dyDescent="0.2">
      <c r="B149" s="4" t="s">
        <v>124</v>
      </c>
      <c r="C149" s="65" t="str">
        <f>sample_mgmt_az1_edge_overlay_gateway_ip</f>
        <v>10.11.19.1</v>
      </c>
      <c r="D149" s="8" t="str">
        <f>mgmt_az1_edge_overlay_gateway_ip</f>
        <v>Value Missing</v>
      </c>
      <c r="E149" s="8" t="str">
        <f>IF(mgmt_az1_en1_edge_overlay_network_ip_allocation_chosen&lt;&gt;"Static IP List","Inputs are masked out and only required if Static IP List are required","")</f>
        <v>Inputs are masked out and only required if Static IP List are required</v>
      </c>
    </row>
    <row r="150" spans="2:5" ht="20" customHeight="1" x14ac:dyDescent="0.2">
      <c r="B150" s="4" t="s">
        <v>125</v>
      </c>
      <c r="C150" s="65" t="str">
        <f>sample_mgmt_az1_edge_overlay_mask</f>
        <v>255.255.255.0</v>
      </c>
      <c r="D150" s="134" t="str">
        <f>mgmt_az1_edge_overlay_mask</f>
        <v>Value Missing</v>
      </c>
      <c r="E150" s="8" t="str">
        <f>IF(mgmt_az1_en1_edge_overlay_network_ip_allocation_chosen&lt;&gt;"Static IP List","Inputs are masked out and only required if Static IP List are required","Value is set based on Subnet Mask Value for Edge node 1")</f>
        <v>Inputs are masked out and only required if Static IP List are required</v>
      </c>
    </row>
    <row r="151" spans="2:5" ht="20" customHeight="1" x14ac:dyDescent="0.2">
      <c r="B151" s="521" t="s">
        <v>3252</v>
      </c>
      <c r="C151" s="522"/>
      <c r="D151" s="522"/>
      <c r="E151" s="523"/>
    </row>
    <row r="152" spans="2:5" ht="20" customHeight="1" x14ac:dyDescent="0.2">
      <c r="B152" s="4" t="s">
        <v>135</v>
      </c>
      <c r="C152" s="65" t="s">
        <v>111</v>
      </c>
      <c r="D152" s="114" t="s">
        <v>154</v>
      </c>
      <c r="E152" s="4"/>
    </row>
    <row r="153" spans="2:5" ht="20" customHeight="1" x14ac:dyDescent="0.2">
      <c r="B153" s="4" t="s">
        <v>136</v>
      </c>
      <c r="C153" s="65" t="s">
        <v>137</v>
      </c>
      <c r="D153" s="66"/>
      <c r="E153" s="8" t="str">
        <f>IF(mgmt_az1_ec01_password_creation_chosen="Selected","Inputs are masked out as you have opted to deploy with system generated passwords","Minimum 15 Characters, 1 Uppercase, 1 Special")</f>
        <v>Inputs are masked out as you have opted to deploy with system generated passwords</v>
      </c>
    </row>
    <row r="154" spans="2:5" ht="20" customHeight="1" x14ac:dyDescent="0.2">
      <c r="B154" s="4" t="s">
        <v>138</v>
      </c>
      <c r="C154" s="65" t="s">
        <v>137</v>
      </c>
      <c r="D154" s="66"/>
      <c r="E154" s="8" t="str">
        <f>IF(mgmt_az1_ec01_password_creation_chosen="Selected","Inputs are masked out as you have opted to deploy with system generated passwords","Minimum 15 Characters, 1 Uppercase, 1 Special")</f>
        <v>Inputs are masked out as you have opted to deploy with system generated passwords</v>
      </c>
    </row>
    <row r="155" spans="2:5" ht="20" customHeight="1" x14ac:dyDescent="0.2">
      <c r="B155" s="521" t="s">
        <v>139</v>
      </c>
      <c r="C155" s="522"/>
      <c r="D155" s="522"/>
      <c r="E155" s="523"/>
    </row>
    <row r="156" spans="2:5" ht="20" customHeight="1" x14ac:dyDescent="0.2">
      <c r="B156" s="4" t="s">
        <v>141</v>
      </c>
      <c r="C156" s="65" t="str">
        <f>CONCATENATE(this_instance,"-m01-ec01-t0-gw01")</f>
        <v>sfo-m01-ec01-t0-gw01</v>
      </c>
      <c r="D156" s="66"/>
      <c r="E156" s="4"/>
    </row>
    <row r="157" spans="2:5" ht="20" customHeight="1" x14ac:dyDescent="0.2">
      <c r="B157" s="4" t="s">
        <v>142</v>
      </c>
      <c r="C157" s="65" t="s">
        <v>143</v>
      </c>
      <c r="D157" s="114" t="s">
        <v>840</v>
      </c>
      <c r="E157" s="4"/>
    </row>
    <row r="158" spans="2:5" ht="20" customHeight="1" x14ac:dyDescent="0.2">
      <c r="B158" s="4" t="s">
        <v>144</v>
      </c>
      <c r="C158" s="65" t="s">
        <v>145</v>
      </c>
      <c r="D158" s="114" t="s">
        <v>145</v>
      </c>
      <c r="E158" s="4"/>
    </row>
    <row r="159" spans="2:5" ht="20" customHeight="1" x14ac:dyDescent="0.2">
      <c r="B159" s="4" t="s">
        <v>146</v>
      </c>
      <c r="C159" s="103" t="str">
        <f>IF(mgmt_domain_chosen="First Instance","65101","65201")</f>
        <v>65101</v>
      </c>
      <c r="D159" s="66"/>
      <c r="E159" s="4"/>
    </row>
    <row r="160" spans="2:5" ht="20" customHeight="1" x14ac:dyDescent="0.2">
      <c r="B160" s="521" t="s">
        <v>147</v>
      </c>
      <c r="C160" s="522"/>
      <c r="D160" s="522"/>
      <c r="E160" s="523"/>
    </row>
    <row r="161" spans="2:5" ht="20" customHeight="1" x14ac:dyDescent="0.2">
      <c r="B161" s="67" t="s">
        <v>148</v>
      </c>
      <c r="C161" s="103" t="str">
        <f>CONCATENATE(prefix_mgmt_az1_vlan,"17")</f>
        <v>1117</v>
      </c>
      <c r="D161" s="66"/>
      <c r="E161" s="8" t="s">
        <v>149</v>
      </c>
    </row>
    <row r="162" spans="2:5" ht="20" customHeight="1" x14ac:dyDescent="0.2">
      <c r="B162" s="67" t="s">
        <v>3647</v>
      </c>
      <c r="C162" s="109" t="str">
        <f>CONCATENATE(prefix_mgmt_az1_cidr,"17.2","/",INT(RIGHT(sample_mgmt_az1_uplink01_cidr,LEN(sample_mgmt_az1_uplink01_cidr)-FIND("/",sample_mgmt_az1_uplink01_cidr))))</f>
        <v>10.11.17.2/24</v>
      </c>
      <c r="D162" s="66"/>
      <c r="E162" s="8" t="s">
        <v>151</v>
      </c>
    </row>
    <row r="163" spans="2:5" ht="20" customHeight="1" x14ac:dyDescent="0.2">
      <c r="B163" s="67" t="s">
        <v>152</v>
      </c>
      <c r="C163" s="103" t="str">
        <f>CONCATENATE(prefix_mgmt_az1_cidr,"17.10")</f>
        <v>10.11.17.10</v>
      </c>
      <c r="D163" s="66"/>
      <c r="E163" s="8" t="str">
        <f>IF(mgmt_gateway_routing_type_chosen="STATIC","Value is masked out due to Gateway Routing Type. Value is only requied if BGP is selected", "Top of Rack 1 - IP Address")</f>
        <v>Top of Rack 1 - IP Address</v>
      </c>
    </row>
    <row r="164" spans="2:5" ht="20" customHeight="1" x14ac:dyDescent="0.2">
      <c r="B164" s="67" t="s">
        <v>155</v>
      </c>
      <c r="C164" s="65">
        <v>9000</v>
      </c>
      <c r="D164" s="66"/>
      <c r="E164" s="8"/>
    </row>
    <row r="165" spans="2:5" ht="20" customHeight="1" x14ac:dyDescent="0.2">
      <c r="B165" s="67" t="s">
        <v>153</v>
      </c>
      <c r="C165" s="65" t="s">
        <v>154</v>
      </c>
      <c r="D165" s="66" t="s">
        <v>154</v>
      </c>
      <c r="E165" s="8"/>
    </row>
    <row r="166" spans="2:5" ht="20" customHeight="1" x14ac:dyDescent="0.2">
      <c r="B166" s="67" t="s">
        <v>156</v>
      </c>
      <c r="C166" s="103" t="str">
        <f>IF(wld_domain_chosen="First Domain",CONCATENATE(asn_start,asn_instance,asn_mgmt_az1,1),IF(wld_nsxt_federation_result="Included",CONCATENATE(asn_start,asn_instance,asn_mgmt_az1,1),CONCATENATE(asn_start,asn_instance,asn_mgmt_az1,1)))</f>
        <v>65111</v>
      </c>
      <c r="D166" s="66"/>
      <c r="E166" s="290" t="str">
        <f>IF(mgmt_gateway_routing_type_chosen="STATIC","Value is masked out due to Gateway Routing Type. Value is only requied if BGP is selected", "Top of Rack 1 - Autonomous System ID")</f>
        <v>Top of Rack 1 - Autonomous System ID</v>
      </c>
    </row>
    <row r="167" spans="2:5" ht="20" customHeight="1" x14ac:dyDescent="0.2">
      <c r="B167" s="67" t="s">
        <v>157</v>
      </c>
      <c r="C167" s="103" t="s">
        <v>31</v>
      </c>
      <c r="D167" s="66"/>
      <c r="E167" s="290" t="str">
        <f>IF(mgmt_gateway_routing_type_chosen="STATIC","Value is masked out due to Gateway Routing Type. Value is only requied if BGP is selected", "Top of Rack 1 - BGP Neighbor Password")</f>
        <v>Top of Rack 1 - BGP Neighbor Password</v>
      </c>
    </row>
    <row r="168" spans="2:5" ht="20" customHeight="1" x14ac:dyDescent="0.2">
      <c r="B168" s="67" t="s">
        <v>158</v>
      </c>
      <c r="C168" s="103" t="str">
        <f>CONCATENATE(prefix_mgmt_az1_vlan,"18")</f>
        <v>1118</v>
      </c>
      <c r="D168" s="66"/>
      <c r="E168" s="290" t="s">
        <v>159</v>
      </c>
    </row>
    <row r="169" spans="2:5" ht="20" customHeight="1" x14ac:dyDescent="0.2">
      <c r="B169" s="67" t="s">
        <v>150</v>
      </c>
      <c r="C169" s="109" t="str">
        <f>CONCATENATE(prefix_mgmt_az1_cidr,"18.2","/",INT(RIGHT(sample_mgmt_az1_uplink02_cidr,LEN(sample_mgmt_az1_uplink02_cidr)-FIND("/",sample_mgmt_az1_uplink02_cidr))))</f>
        <v>10.11.18.2/24</v>
      </c>
      <c r="D169" s="66"/>
      <c r="E169" s="290" t="s">
        <v>160</v>
      </c>
    </row>
    <row r="170" spans="2:5" ht="20" customHeight="1" x14ac:dyDescent="0.2">
      <c r="B170" s="67" t="s">
        <v>152</v>
      </c>
      <c r="C170" s="103" t="str">
        <f>CONCATENATE(prefix_mgmt_az1_cidr,"18.10")</f>
        <v>10.11.18.10</v>
      </c>
      <c r="D170" s="66"/>
      <c r="E170" s="290" t="str">
        <f>IF(mgmt_gateway_routing_type_chosen="STATIC","Value is masked out due to Gateway Routing Type. Value is only requied if BGP is selected", "Top of Rack 2 - IP Address")</f>
        <v>Top of Rack 2 - IP Address</v>
      </c>
    </row>
    <row r="171" spans="2:5" ht="20" customHeight="1" x14ac:dyDescent="0.2">
      <c r="B171" s="67" t="s">
        <v>155</v>
      </c>
      <c r="C171" s="103">
        <v>9000</v>
      </c>
      <c r="D171" s="66"/>
      <c r="E171" s="290"/>
    </row>
    <row r="172" spans="2:5" ht="20" customHeight="1" x14ac:dyDescent="0.2">
      <c r="B172" s="67" t="s">
        <v>153</v>
      </c>
      <c r="C172" s="65" t="s">
        <v>154</v>
      </c>
      <c r="D172" s="8" t="str">
        <f>mgmt_en01_bfd_chosen</f>
        <v>Selected</v>
      </c>
      <c r="E172" s="290"/>
    </row>
    <row r="173" spans="2:5" ht="20" customHeight="1" x14ac:dyDescent="0.2">
      <c r="B173" s="67" t="s">
        <v>156</v>
      </c>
      <c r="C173" s="103" t="str">
        <f>IF(wld_domain_chosen="First Domain",CONCATENATE(asn_start,asn_instance,asn_mgmt_az1,1),IF(wld_nsxt_federation_result="Included",CONCATENATE(asn_start,asn_instance,asn_mgmt_az1,1),CONCATENATE(asn_start,asn_instance,asn_mgmt_az1,1)))</f>
        <v>65111</v>
      </c>
      <c r="D173" s="66"/>
      <c r="E173" s="8" t="str">
        <f>IF(mgmt_gateway_routing_type_chosen="STATIC","Value is masked out due to Gateway Routing Type. Value is only requied if BGP is selected", "Top of Rack 2 - Autonomous System ID")</f>
        <v>Top of Rack 2 - Autonomous System ID</v>
      </c>
    </row>
    <row r="174" spans="2:5" ht="20" customHeight="1" x14ac:dyDescent="0.2">
      <c r="B174" s="67" t="s">
        <v>157</v>
      </c>
      <c r="C174" s="103" t="s">
        <v>31</v>
      </c>
      <c r="D174" s="66"/>
      <c r="E174" s="8" t="str">
        <f>IF(mgmt_gateway_routing_type_chosen="STATIC","Value is masked out due to Gateway Routing Type. Value is only requied if BGP is selected", "Top of Rack 2 - BGP Neighbor Password")</f>
        <v>Top of Rack 2 - BGP Neighbor Password</v>
      </c>
    </row>
    <row r="175" spans="2:5" ht="20" customHeight="1" x14ac:dyDescent="0.2">
      <c r="B175" s="521" t="s">
        <v>161</v>
      </c>
      <c r="C175" s="522"/>
      <c r="D175" s="522"/>
      <c r="E175" s="523"/>
    </row>
    <row r="176" spans="2:5" ht="20" customHeight="1" x14ac:dyDescent="0.2">
      <c r="B176" s="23" t="s">
        <v>148</v>
      </c>
      <c r="C176" s="65" t="str">
        <f>sample_mgmt_az1_uplink01_vlan</f>
        <v>1117</v>
      </c>
      <c r="D176" s="134" t="str">
        <f>mgmt_az1_uplink01_vlan</f>
        <v>Value Missing</v>
      </c>
      <c r="E176" s="183" t="s">
        <v>149</v>
      </c>
    </row>
    <row r="177" spans="2:5" ht="20" customHeight="1" x14ac:dyDescent="0.2">
      <c r="B177" s="23" t="s">
        <v>3647</v>
      </c>
      <c r="C177" s="109" t="str">
        <f>CONCATENATE(prefix_mgmt_az1_cidr,"17.3","/",INT(RIGHT(sample_mgmt_az1_uplink01_cidr,LEN(sample_mgmt_az1_uplink01_cidr)-FIND("/",sample_mgmt_az1_uplink01_cidr))))</f>
        <v>10.11.17.3/24</v>
      </c>
      <c r="D177" s="66"/>
      <c r="E177" s="8" t="s">
        <v>162</v>
      </c>
    </row>
    <row r="178" spans="2:5" ht="20" customHeight="1" x14ac:dyDescent="0.2">
      <c r="B178" s="23" t="s">
        <v>152</v>
      </c>
      <c r="C178" s="65" t="str">
        <f>sample_mgmt_az1_tor1_peer_ip</f>
        <v>10.11.17.10</v>
      </c>
      <c r="D178" s="134" t="str">
        <f>mgmt_az1_tor1_peer_ip</f>
        <v>Value Missing</v>
      </c>
      <c r="E178" s="8" t="s">
        <v>163</v>
      </c>
    </row>
    <row r="179" spans="2:5" ht="20" customHeight="1" x14ac:dyDescent="0.2">
      <c r="B179" s="23" t="s">
        <v>153</v>
      </c>
      <c r="C179" s="65" t="s">
        <v>154</v>
      </c>
      <c r="D179" s="66" t="s">
        <v>154</v>
      </c>
      <c r="E179" s="309"/>
    </row>
    <row r="180" spans="2:5" ht="20" customHeight="1" x14ac:dyDescent="0.2">
      <c r="B180" s="23" t="s">
        <v>155</v>
      </c>
      <c r="C180" s="65">
        <v>9000</v>
      </c>
      <c r="D180" s="8" t="str">
        <f>mgmt_az1_uplink01_mtu</f>
        <v>Value Missing</v>
      </c>
      <c r="E180" s="290"/>
    </row>
    <row r="181" spans="2:5" ht="20" customHeight="1" x14ac:dyDescent="0.2">
      <c r="B181" s="23" t="s">
        <v>156</v>
      </c>
      <c r="C181" s="65" t="str">
        <f>sample_mgmt_az1_tor1_peer_asn</f>
        <v>65111</v>
      </c>
      <c r="D181" s="134" t="str">
        <f>mgmt_az1_tor1_peer_asn</f>
        <v>Value Missing</v>
      </c>
      <c r="E181" s="8" t="s">
        <v>164</v>
      </c>
    </row>
    <row r="182" spans="2:5" ht="20" customHeight="1" x14ac:dyDescent="0.2">
      <c r="B182" s="23" t="s">
        <v>157</v>
      </c>
      <c r="C182" s="65" t="str">
        <f>sample_mgmt_az1_tor1_peer_bgp_password</f>
        <v>VMw@re1!</v>
      </c>
      <c r="D182" s="134" t="str">
        <f>mgmt_az1_tor1_peer_bgp_password</f>
        <v>Value Missing</v>
      </c>
      <c r="E182" s="8" t="s">
        <v>165</v>
      </c>
    </row>
    <row r="183" spans="2:5" ht="20" customHeight="1" x14ac:dyDescent="0.2">
      <c r="B183" s="23" t="s">
        <v>158</v>
      </c>
      <c r="C183" s="65" t="str">
        <f>sample_mgmt_az1_uplink02_vlan</f>
        <v>1118</v>
      </c>
      <c r="D183" s="134" t="str">
        <f>mgmt_az1_uplink02_vlan</f>
        <v>Value Missing</v>
      </c>
      <c r="E183" s="8" t="s">
        <v>159</v>
      </c>
    </row>
    <row r="184" spans="2:5" ht="20" customHeight="1" x14ac:dyDescent="0.2">
      <c r="B184" s="23" t="s">
        <v>150</v>
      </c>
      <c r="C184" s="109" t="str">
        <f>CONCATENATE(prefix_mgmt_az1_cidr,"18.3","/",INT(RIGHT(sample_mgmt_az1_uplink02_cidr,LEN(sample_mgmt_az1_uplink02_cidr)-FIND("/",sample_mgmt_az1_uplink02_cidr))))</f>
        <v>10.11.18.3/24</v>
      </c>
      <c r="D184" s="66"/>
      <c r="E184" s="8" t="s">
        <v>160</v>
      </c>
    </row>
    <row r="185" spans="2:5" ht="20" customHeight="1" x14ac:dyDescent="0.2">
      <c r="B185" s="23" t="s">
        <v>152</v>
      </c>
      <c r="C185" s="65" t="str">
        <f>sample_mgmt_az1_tor2_peer_ip</f>
        <v>10.11.18.10</v>
      </c>
      <c r="D185" s="134" t="str">
        <f>mgmt_az1_tor2_peer_ip</f>
        <v>Value Missing</v>
      </c>
      <c r="E185" s="8" t="s">
        <v>166</v>
      </c>
    </row>
    <row r="186" spans="2:5" ht="20" customHeight="1" x14ac:dyDescent="0.2">
      <c r="B186" s="23" t="s">
        <v>153</v>
      </c>
      <c r="C186" s="65" t="s">
        <v>154</v>
      </c>
      <c r="D186" s="8" t="str">
        <f>mgmt_en02_bfd_chosen</f>
        <v>Selected</v>
      </c>
      <c r="E186" s="290" t="s">
        <v>3231</v>
      </c>
    </row>
    <row r="187" spans="2:5" ht="20" customHeight="1" x14ac:dyDescent="0.2">
      <c r="B187" s="23" t="s">
        <v>155</v>
      </c>
      <c r="C187" s="65">
        <v>9000</v>
      </c>
      <c r="D187" s="8" t="str">
        <f>mgmt_az1_uplink02_mtu</f>
        <v>Value Missing</v>
      </c>
      <c r="E187" s="290"/>
    </row>
    <row r="188" spans="2:5" ht="20" customHeight="1" x14ac:dyDescent="0.2">
      <c r="B188" s="23" t="s">
        <v>156</v>
      </c>
      <c r="C188" s="65" t="str">
        <f>sample_mgmt_az1_tor2_peer_asn</f>
        <v>65111</v>
      </c>
      <c r="D188" s="134" t="str">
        <f>mgmt_az1_tor2_peer_asn</f>
        <v>Value Missing</v>
      </c>
      <c r="E188" s="8" t="s">
        <v>167</v>
      </c>
    </row>
    <row r="189" spans="2:5" ht="20" customHeight="1" x14ac:dyDescent="0.2">
      <c r="B189" s="23" t="s">
        <v>157</v>
      </c>
      <c r="C189" s="65" t="str">
        <f>sample_mgmt_az1_tor2_peer_bgp_password</f>
        <v>VMw@re1!</v>
      </c>
      <c r="D189" s="134" t="str">
        <f>mgmt_az1_tor2_peer_bgp_password</f>
        <v>Value Missing</v>
      </c>
      <c r="E189" s="8" t="s">
        <v>168</v>
      </c>
    </row>
    <row r="190" spans="2:5" ht="20" customHeight="1" x14ac:dyDescent="0.2">
      <c r="B190" s="568" t="s">
        <v>84</v>
      </c>
      <c r="C190" s="569"/>
      <c r="D190" s="569"/>
      <c r="E190" s="570"/>
    </row>
    <row r="191" spans="2:5" ht="20" customHeight="1" x14ac:dyDescent="0.2">
      <c r="B191" s="67" t="s">
        <v>85</v>
      </c>
      <c r="C191" s="65" t="str">
        <f>CONCATENATE(prefix_mgmt_az1_vlan,"98")</f>
        <v>1198</v>
      </c>
      <c r="D191" s="66"/>
      <c r="E191" s="8" t="str">
        <f>IF(mgmt_vns_chosen="Centralized Connectivity","Inputs are masked out and only required if Distributed Connectivity Gateway Type is chosen from the Post-Deployment Option","Needs to be a routable network is customers envoirnment" )</f>
        <v>Needs to be a routable network is customers envoirnment</v>
      </c>
    </row>
    <row r="192" spans="2:5" ht="20" customHeight="1" x14ac:dyDescent="0.2">
      <c r="B192" s="67" t="s">
        <v>86</v>
      </c>
      <c r="C192" s="65" t="str">
        <f>CONCATENATE(prefix_mgmt_az1_cidr,"98.1/24")</f>
        <v>10.11.98.1/24</v>
      </c>
      <c r="D192" s="66"/>
      <c r="E192" s="4"/>
    </row>
    <row r="193" spans="2:5" ht="20" customHeight="1" x14ac:dyDescent="0.2">
      <c r="B193" s="537" t="s">
        <v>169</v>
      </c>
      <c r="C193" s="549"/>
      <c r="D193" s="538"/>
      <c r="E193" s="539"/>
    </row>
    <row r="194" spans="2:5" ht="20" customHeight="1" x14ac:dyDescent="0.2">
      <c r="B194" s="4" t="s">
        <v>3294</v>
      </c>
      <c r="C194" s="65" t="str">
        <f>CONCATENATE(this_instance,"-m01-vpc01-ext-ip-block")</f>
        <v>sfo-m01-vpc01-ext-ip-block</v>
      </c>
      <c r="D194" s="114"/>
      <c r="E194" s="8" t="s">
        <v>170</v>
      </c>
    </row>
    <row r="195" spans="2:5" ht="20" customHeight="1" x14ac:dyDescent="0.2">
      <c r="B195" s="4" t="s">
        <v>3253</v>
      </c>
      <c r="C195" s="65" t="s">
        <v>3254</v>
      </c>
      <c r="D195" s="114"/>
      <c r="E195" s="8" t="s">
        <v>172</v>
      </c>
    </row>
    <row r="196" spans="2:5" ht="20" customHeight="1" x14ac:dyDescent="0.2">
      <c r="B196" s="4" t="s">
        <v>170</v>
      </c>
      <c r="C196" s="65" t="str">
        <f>IF(mgmt_vns_chosen="Distributed Connectivity",CONCATENATE(prefix_mgmt_az1_cidr,"98.0/24"),IF(mgmt_domain_chosen="First Instance","192.168.21.0/24","192.168.31.0/24"))</f>
        <v>192.168.21.0/24</v>
      </c>
      <c r="D196" s="114"/>
      <c r="E196" s="8" t="s">
        <v>171</v>
      </c>
    </row>
    <row r="197" spans="2:5" ht="20" customHeight="1" x14ac:dyDescent="0.2">
      <c r="B197" s="4" t="s">
        <v>3255</v>
      </c>
      <c r="C197" s="65" t="s">
        <v>3293</v>
      </c>
      <c r="D197" s="114"/>
      <c r="E197" s="8"/>
    </row>
    <row r="198" spans="2:5" ht="20" customHeight="1" x14ac:dyDescent="0.2">
      <c r="B198" s="4" t="s">
        <v>3256</v>
      </c>
      <c r="C198" s="65" t="s">
        <v>100</v>
      </c>
      <c r="D198" s="114"/>
      <c r="E198" s="8"/>
    </row>
    <row r="199" spans="2:5" ht="20" customHeight="1" x14ac:dyDescent="0.2">
      <c r="B199" s="4" t="s">
        <v>3295</v>
      </c>
      <c r="C199" s="65" t="str">
        <f>CONCATENATE(this_instance,"-m01-vpc01-priv-ip-block")</f>
        <v>sfo-m01-vpc01-priv-ip-block</v>
      </c>
      <c r="D199" s="114"/>
      <c r="E199" s="8"/>
    </row>
    <row r="200" spans="2:5" ht="20" customHeight="1" x14ac:dyDescent="0.2">
      <c r="B200" s="4" t="s">
        <v>3253</v>
      </c>
      <c r="C200" s="65" t="s">
        <v>3292</v>
      </c>
      <c r="D200" s="114"/>
      <c r="E200" s="8"/>
    </row>
    <row r="201" spans="2:5" ht="20" customHeight="1" x14ac:dyDescent="0.2">
      <c r="B201" s="4" t="s">
        <v>172</v>
      </c>
      <c r="C201" s="65" t="s">
        <v>3297</v>
      </c>
      <c r="D201" s="114"/>
      <c r="E201" s="8" t="s">
        <v>173</v>
      </c>
    </row>
    <row r="202" spans="2:5" ht="20" customHeight="1" x14ac:dyDescent="0.2">
      <c r="B202" s="4" t="s">
        <v>3255</v>
      </c>
      <c r="C202" s="65" t="s">
        <v>3293</v>
      </c>
      <c r="D202" s="114"/>
      <c r="E202" s="8"/>
    </row>
    <row r="203" spans="2:5" ht="20" customHeight="1" x14ac:dyDescent="0.2">
      <c r="B203" s="4" t="s">
        <v>3256</v>
      </c>
      <c r="C203" s="65" t="s">
        <v>100</v>
      </c>
      <c r="D203" s="114"/>
      <c r="E203" s="8"/>
    </row>
    <row r="204" spans="2:5" ht="20" customHeight="1" x14ac:dyDescent="0.2">
      <c r="B204" s="537" t="s">
        <v>3288</v>
      </c>
      <c r="C204" s="549"/>
      <c r="D204" s="538"/>
      <c r="E204" s="539"/>
    </row>
    <row r="205" spans="2:5" ht="20" customHeight="1" x14ac:dyDescent="0.2">
      <c r="B205" s="4" t="s">
        <v>200</v>
      </c>
      <c r="C205" s="65" t="str">
        <f>CONCATENATE(this_instance,"-m0",wld_domain_number_chosen,"-vnac01")</f>
        <v>sfo-m01-vnac01</v>
      </c>
      <c r="D205" s="66"/>
      <c r="E205" s="8" t="s">
        <v>3296</v>
      </c>
    </row>
    <row r="206" spans="2:5" ht="20" customHeight="1" x14ac:dyDescent="0.2">
      <c r="B206" s="4" t="s">
        <v>3283</v>
      </c>
      <c r="C206" s="65" t="s">
        <v>92</v>
      </c>
      <c r="D206" s="66" t="s">
        <v>92</v>
      </c>
      <c r="E206" s="8"/>
    </row>
    <row r="207" spans="2:5" ht="20" customHeight="1" x14ac:dyDescent="0.2">
      <c r="B207" s="537" t="s">
        <v>3290</v>
      </c>
      <c r="C207" s="549"/>
      <c r="D207" s="538"/>
      <c r="E207" s="539"/>
    </row>
    <row r="208" spans="2:5" ht="20" customHeight="1" x14ac:dyDescent="0.2">
      <c r="B208" s="4" t="s">
        <v>3284</v>
      </c>
      <c r="C208" s="65" t="str">
        <f>CONCATENATE(this_instance,"-m0",wld_domain_number_chosen,"-vna01",".",sample_child_dns_zone)</f>
        <v>sfo-m01-vna01.sfo.rainpole.io</v>
      </c>
      <c r="D208" s="66"/>
      <c r="E208" s="8"/>
    </row>
    <row r="209" spans="2:5" ht="20" customHeight="1" x14ac:dyDescent="0.2">
      <c r="B209" s="4" t="s">
        <v>3285</v>
      </c>
      <c r="C209" s="65" t="str">
        <f>CONCATENATE(this_instance,"-m01-cl01")</f>
        <v>sfo-m01-cl01</v>
      </c>
      <c r="D209" s="8" t="str">
        <f>mgmt_cl01_cluster</f>
        <v>Value Missing</v>
      </c>
      <c r="E209" s="66" t="s">
        <v>96</v>
      </c>
    </row>
    <row r="210" spans="2:5" ht="20" customHeight="1" x14ac:dyDescent="0.2">
      <c r="B210" s="4" t="s">
        <v>97</v>
      </c>
      <c r="C210" s="65" t="str">
        <f>CONCATENATE(this_instance,"-m01-cl01-rp-vna01")</f>
        <v>sfo-m01-cl01-rp-vna01</v>
      </c>
      <c r="D210" s="66"/>
      <c r="E210" s="8" t="s">
        <v>98</v>
      </c>
    </row>
    <row r="211" spans="2:5" ht="20" customHeight="1" x14ac:dyDescent="0.2">
      <c r="B211" s="4" t="s">
        <v>823</v>
      </c>
      <c r="C211" s="65" t="str">
        <f>IF(mgmt_principal_storage_chosen="VMFS on Fibre Channel (FC)",CONCATENATE(this_instance,"-m01-cl01-ds-vmfs01"),IF(mgmt_principal_storage_chosen="NFSv3",CONCATENATE(this_instance,"-m01-cl01-ds-nfs01"),CONCATENATE(this_instance,"-m01-cl01-ds-vsan01")))</f>
        <v>sfo-m01-cl01-ds-vsan01</v>
      </c>
      <c r="D211" s="8" t="str">
        <f>mgmt_cl01_vsan_datastore</f>
        <v>Value Missing</v>
      </c>
      <c r="E211" s="66" t="s">
        <v>103</v>
      </c>
    </row>
    <row r="212" spans="2:5" ht="20" customHeight="1" x14ac:dyDescent="0.2">
      <c r="B212" s="4" t="s">
        <v>3286</v>
      </c>
      <c r="C212" s="65" t="s">
        <v>3119</v>
      </c>
      <c r="D212" s="66" t="s">
        <v>3119</v>
      </c>
      <c r="E212" s="8"/>
    </row>
    <row r="213" spans="2:5" ht="20" customHeight="1" x14ac:dyDescent="0.2">
      <c r="B213" s="4" t="s">
        <v>3237</v>
      </c>
      <c r="C213" s="65" t="s">
        <v>105</v>
      </c>
      <c r="D213" s="66" t="s">
        <v>105</v>
      </c>
      <c r="E213" s="8"/>
    </row>
    <row r="214" spans="2:5" ht="20" customHeight="1" x14ac:dyDescent="0.2">
      <c r="B214" s="4" t="s">
        <v>3287</v>
      </c>
      <c r="C214" s="65" t="str">
        <f>IF(mgmt_dpg_reuse_result="Excluded",CONCATENATE(prefix_mgmt_az1_cidr,"11.77/24"),CONCATENATE(prefix_mgmt_az1_cidr,"10.77/24"))</f>
        <v>10.11.10.77/24</v>
      </c>
      <c r="D214" s="66"/>
      <c r="E214" s="8"/>
    </row>
    <row r="215" spans="2:5" ht="20" customHeight="1" x14ac:dyDescent="0.2">
      <c r="B215" s="4" t="s">
        <v>243</v>
      </c>
      <c r="C215" s="65" t="str">
        <f>IF(mgmt_dpg_reuse_result="Excluded",CONCATENATE(prefix_mgmt_az1_cidr,"11.1"),CONCATENATE(prefix_mgmt_az1_cidr,"10.1"))</f>
        <v>10.11.10.1</v>
      </c>
      <c r="D215" s="8" t="str">
        <f>mgmt_az1_mgmt_vm_gateway_ip</f>
        <v>Value Missing</v>
      </c>
      <c r="E215" s="66"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216" spans="2:5" ht="20" customHeight="1" x14ac:dyDescent="0.2">
      <c r="B216" s="4" t="s">
        <v>106</v>
      </c>
      <c r="C216" s="65" t="str">
        <f>CONCATENATE(this_instance,"-m01-cl01-vds01-pg-vm-mgmt")</f>
        <v>sfo-m01-cl01-vds01-pg-vm-mgmt</v>
      </c>
      <c r="D216" s="8" t="str">
        <f>mgmt_cl01_az1_mgmt_vm_pg</f>
        <v>Value Missing</v>
      </c>
      <c r="E216" s="66" t="s">
        <v>107</v>
      </c>
    </row>
    <row r="217" spans="2:5" ht="20" customHeight="1" x14ac:dyDescent="0.2">
      <c r="B217" s="537" t="s">
        <v>3289</v>
      </c>
      <c r="C217" s="549"/>
      <c r="D217" s="538"/>
      <c r="E217" s="539"/>
    </row>
    <row r="218" spans="2:5" ht="20" customHeight="1" x14ac:dyDescent="0.2">
      <c r="B218" s="4" t="s">
        <v>3284</v>
      </c>
      <c r="C218" s="65" t="str">
        <f>CONCATENATE(this_instance,"-m0",wld_domain_number_chosen,"-vna02",".",sample_child_dns_zone)</f>
        <v>sfo-m01-vna02.sfo.rainpole.io</v>
      </c>
      <c r="D218" s="66"/>
      <c r="E218" s="8"/>
    </row>
    <row r="219" spans="2:5" ht="20" customHeight="1" x14ac:dyDescent="0.2">
      <c r="B219" s="4" t="s">
        <v>3285</v>
      </c>
      <c r="C219" s="65" t="str">
        <f>CONCATENATE(this_instance,"-m01-cl01")</f>
        <v>sfo-m01-cl01</v>
      </c>
      <c r="D219" s="8" t="str">
        <f>mgmt_cl01_cluster</f>
        <v>Value Missing</v>
      </c>
      <c r="E219" s="66" t="s">
        <v>96</v>
      </c>
    </row>
    <row r="220" spans="2:5" ht="20" customHeight="1" x14ac:dyDescent="0.2">
      <c r="B220" s="4" t="s">
        <v>97</v>
      </c>
      <c r="C220" s="65" t="str">
        <f>CONCATENATE(this_instance,"-m01-cl01-rp-vna01")</f>
        <v>sfo-m01-cl01-rp-vna01</v>
      </c>
      <c r="D220" s="8" t="str" cm="1">
        <f t="array" ref="D220">mgmt_vna_rp_name</f>
        <v>Value Missing</v>
      </c>
      <c r="E220" s="8" t="s">
        <v>98</v>
      </c>
    </row>
    <row r="221" spans="2:5" ht="20" customHeight="1" x14ac:dyDescent="0.2">
      <c r="B221" s="4" t="s">
        <v>823</v>
      </c>
      <c r="C221" s="65" t="str">
        <f>IF(mgmt_principal_storage_chosen="VMFS on Fibre Channel (FC)",CONCATENATE(this_instance,"-m01-cl01-ds-vmfs01"),IF(mgmt_principal_storage_chosen="NFSv3",CONCATENATE(this_instance,"-m01-cl01-ds-nfs01"),CONCATENATE(this_instance,"-m01-cl01-ds-vsan01")))</f>
        <v>sfo-m01-cl01-ds-vsan01</v>
      </c>
      <c r="D221" s="8" t="str">
        <f>mgmt_cl01_vsan_datastore</f>
        <v>Value Missing</v>
      </c>
      <c r="E221" s="66" t="s">
        <v>103</v>
      </c>
    </row>
    <row r="222" spans="2:5" ht="20" customHeight="1" x14ac:dyDescent="0.2">
      <c r="B222" s="4" t="s">
        <v>3286</v>
      </c>
      <c r="C222" s="65" t="s">
        <v>3119</v>
      </c>
      <c r="D222" s="8" t="str">
        <f>mgmt_vna_ip_assignment_address_type_chosen</f>
        <v>IPv4</v>
      </c>
      <c r="E222" s="8"/>
    </row>
    <row r="223" spans="2:5" ht="20" customHeight="1" x14ac:dyDescent="0.2">
      <c r="B223" s="4" t="s">
        <v>3237</v>
      </c>
      <c r="C223" s="65" t="s">
        <v>105</v>
      </c>
      <c r="D223" s="8" t="str" cm="1">
        <f t="array" ref="D223">mgmt_vna_ip_assignment_chosen</f>
        <v>Static</v>
      </c>
      <c r="E223" s="8"/>
    </row>
    <row r="224" spans="2:5" ht="20" customHeight="1" x14ac:dyDescent="0.2">
      <c r="B224" s="4" t="s">
        <v>3287</v>
      </c>
      <c r="C224" s="65" t="str">
        <f>IF(mgmt_dpg_reuse_result="Excluded",CONCATENATE(prefix_mgmt_az1_cidr,"11.78/24"),CONCATENATE(prefix_mgmt_az1_cidr,"10.78/24"))</f>
        <v>10.11.10.78/24</v>
      </c>
      <c r="D224" s="66"/>
      <c r="E224" s="8"/>
    </row>
    <row r="225" spans="2:5" ht="20" customHeight="1" x14ac:dyDescent="0.2">
      <c r="B225" s="4" t="s">
        <v>243</v>
      </c>
      <c r="C225" s="65" t="str">
        <f>IF(mgmt_dpg_reuse_result="Excluded",CONCATENATE(prefix_mgmt_az1_cidr,"11.1"),CONCATENATE(prefix_mgmt_az1_cidr,"10.1"))</f>
        <v>10.11.10.1</v>
      </c>
      <c r="D225" s="8" t="str">
        <f>mgmt_az1_mgmt_vm_gateway_ip</f>
        <v>Value Missing</v>
      </c>
      <c r="E225" s="66"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226" spans="2:5" ht="20" customHeight="1" x14ac:dyDescent="0.2">
      <c r="B226" s="4" t="s">
        <v>106</v>
      </c>
      <c r="C226" s="65" t="str">
        <f>CONCATENATE(this_instance,"-m01-cl01-vds01-pg-vm-mgmt")</f>
        <v>sfo-m01-cl01-vds01-pg-vm-mgmt</v>
      </c>
      <c r="D226" s="8" t="str">
        <f>mgmt_cl01_az1_mgmt_vm_pg</f>
        <v>Value Missing</v>
      </c>
      <c r="E226" s="66" t="s">
        <v>107</v>
      </c>
    </row>
    <row r="227" spans="2:5" ht="20" customHeight="1" x14ac:dyDescent="0.2">
      <c r="B227" s="537" t="s">
        <v>174</v>
      </c>
      <c r="C227" s="538"/>
      <c r="D227" s="538"/>
      <c r="E227" s="539"/>
    </row>
    <row r="228" spans="2:5" ht="20" customHeight="1" x14ac:dyDescent="0.2">
      <c r="B228" s="4" t="s">
        <v>175</v>
      </c>
      <c r="C228" s="103" t="s">
        <v>176</v>
      </c>
      <c r="D228" s="116" t="s">
        <v>13</v>
      </c>
      <c r="E228" s="4" t="str">
        <f>IF(mgmt_ec_api_chosen="Exclude","","Use the JSON Generator to create the JSON Spec ")</f>
        <v/>
      </c>
    </row>
    <row r="229" spans="2:5" ht="20" customHeight="1" x14ac:dyDescent="0.2">
      <c r="B229" s="521" t="s">
        <v>177</v>
      </c>
      <c r="C229" s="522"/>
      <c r="D229" s="522"/>
      <c r="E229" s="523"/>
    </row>
    <row r="230" spans="2:5" ht="20" customHeight="1" x14ac:dyDescent="0.2">
      <c r="B230" s="4" t="s">
        <v>178</v>
      </c>
      <c r="C230" s="103" t="str">
        <f>CONCATENATE(this_instance,"-m01-cl01-vds01-pg-uplink01")</f>
        <v>sfo-m01-cl01-vds01-pg-uplink01</v>
      </c>
      <c r="D230" s="114"/>
      <c r="E230" s="43" t="s">
        <v>179</v>
      </c>
    </row>
    <row r="231" spans="2:5" ht="20" customHeight="1" x14ac:dyDescent="0.2">
      <c r="B231" s="4" t="s">
        <v>180</v>
      </c>
      <c r="C231" s="103" t="str">
        <f>CONCATENATE(prefix_mgmt_az1_cidr,"17.1")</f>
        <v>10.11.17.1</v>
      </c>
      <c r="D231" s="114"/>
      <c r="E231" s="42"/>
    </row>
    <row r="232" spans="2:5" ht="20" customHeight="1" x14ac:dyDescent="0.2">
      <c r="B232" s="4" t="s">
        <v>181</v>
      </c>
      <c r="C232" s="103" t="str">
        <f>CONCATENATE(prefix_mgmt_az1_cidr,"17.0/24")</f>
        <v>10.11.17.0/24</v>
      </c>
      <c r="D232" s="114"/>
      <c r="E232" s="42"/>
    </row>
    <row r="233" spans="2:5" ht="20" customHeight="1" x14ac:dyDescent="0.2">
      <c r="B233" s="521" t="s">
        <v>182</v>
      </c>
      <c r="C233" s="522"/>
      <c r="D233" s="522"/>
      <c r="E233" s="523"/>
    </row>
    <row r="234" spans="2:5" ht="20" customHeight="1" x14ac:dyDescent="0.2">
      <c r="B234" s="4" t="s">
        <v>178</v>
      </c>
      <c r="C234" s="103" t="str">
        <f>CONCATENATE(this_instance,"-m01-cl01-vds01-pg-uplink02")</f>
        <v>sfo-m01-cl01-vds01-pg-uplink02</v>
      </c>
      <c r="D234" s="114"/>
      <c r="E234" s="43" t="s">
        <v>179</v>
      </c>
    </row>
    <row r="235" spans="2:5" ht="20" customHeight="1" x14ac:dyDescent="0.2">
      <c r="B235" s="4" t="s">
        <v>180</v>
      </c>
      <c r="C235" s="103" t="str">
        <f>CONCATENATE(prefix_mgmt_az1_cidr,"18.1")</f>
        <v>10.11.18.1</v>
      </c>
      <c r="D235" s="114"/>
      <c r="E235" s="42"/>
    </row>
    <row r="236" spans="2:5" ht="20" customHeight="1" x14ac:dyDescent="0.2">
      <c r="B236" s="4" t="s">
        <v>181</v>
      </c>
      <c r="C236" s="103" t="str">
        <f>CONCATENATE(prefix_mgmt_az1_cidr,"18.0/24")</f>
        <v>10.11.18.0/24</v>
      </c>
      <c r="D236" s="114"/>
      <c r="E236" s="42"/>
    </row>
    <row r="237" spans="2:5" ht="20" customHeight="1" x14ac:dyDescent="0.2">
      <c r="B237" s="521" t="s">
        <v>183</v>
      </c>
      <c r="C237" s="522"/>
      <c r="D237" s="522"/>
      <c r="E237" s="523"/>
    </row>
    <row r="238" spans="2:5" ht="20" customHeight="1" x14ac:dyDescent="0.2">
      <c r="B238" s="4" t="s">
        <v>155</v>
      </c>
      <c r="C238" s="103">
        <v>9000</v>
      </c>
      <c r="D238" s="114"/>
      <c r="E238" s="42"/>
    </row>
    <row r="239" spans="2:5" ht="16" customHeight="1" thickBot="1" x14ac:dyDescent="0.25"/>
    <row r="240" spans="2:5" ht="34" customHeight="1" thickBot="1" x14ac:dyDescent="0.25">
      <c r="B240" s="562" t="s">
        <v>3298</v>
      </c>
      <c r="C240" s="563"/>
      <c r="D240" s="563"/>
      <c r="E240" s="564"/>
    </row>
    <row r="241" spans="2:5" ht="20" customHeight="1" x14ac:dyDescent="0.2">
      <c r="B241" s="537" t="s">
        <v>3309</v>
      </c>
      <c r="C241" s="538"/>
      <c r="D241" s="538"/>
      <c r="E241" s="539"/>
    </row>
    <row r="242" spans="2:5" ht="20" customHeight="1" x14ac:dyDescent="0.2">
      <c r="B242" s="4" t="s">
        <v>3299</v>
      </c>
      <c r="C242" s="103" t="s">
        <v>3303</v>
      </c>
      <c r="D242" s="116" t="s">
        <v>3325</v>
      </c>
      <c r="E242" s="42"/>
    </row>
    <row r="243" spans="2:5" ht="20" customHeight="1" x14ac:dyDescent="0.2">
      <c r="B243" s="537" t="s">
        <v>3300</v>
      </c>
      <c r="C243" s="538"/>
      <c r="D243" s="538"/>
      <c r="E243" s="539"/>
    </row>
    <row r="244" spans="2:5" ht="20" customHeight="1" x14ac:dyDescent="0.2">
      <c r="B244" s="4" t="s">
        <v>3300</v>
      </c>
      <c r="C244" s="103" t="s">
        <v>3301</v>
      </c>
      <c r="D244" s="116" t="s">
        <v>3624</v>
      </c>
      <c r="E244" s="42"/>
    </row>
    <row r="245" spans="2:5" ht="20" customHeight="1" x14ac:dyDescent="0.2">
      <c r="B245" s="4" t="s">
        <v>3302</v>
      </c>
      <c r="C245" s="103" t="str">
        <f>CONCATENATE(this_instance,"-m01-sn01")</f>
        <v>sfo-m01-sn01</v>
      </c>
      <c r="D245" s="116"/>
      <c r="E245" s="42"/>
    </row>
    <row r="246" spans="2:5" ht="20" customHeight="1" x14ac:dyDescent="0.2">
      <c r="B246" s="4" t="s">
        <v>3304</v>
      </c>
      <c r="C246" s="103" t="s">
        <v>154</v>
      </c>
      <c r="D246" s="116" t="s">
        <v>154</v>
      </c>
      <c r="E246" s="42"/>
    </row>
    <row r="247" spans="2:5" ht="20" customHeight="1" x14ac:dyDescent="0.2">
      <c r="B247" s="4" t="s">
        <v>1635</v>
      </c>
      <c r="C247" s="103" t="str">
        <f>CONCATENATE(this_instance,"-m01-cl01")</f>
        <v>sfo-m01-cl01</v>
      </c>
      <c r="D247" s="116" t="str">
        <f>mgmt_cl01_cluster</f>
        <v>Value Missing</v>
      </c>
      <c r="E247" s="42"/>
    </row>
    <row r="248" spans="2:5" ht="20" customHeight="1" x14ac:dyDescent="0.2">
      <c r="B248" s="4" t="s">
        <v>3305</v>
      </c>
      <c r="C248" s="103" t="str">
        <f>CONCATENATE(this_instance,"-m01-zn01")</f>
        <v>sfo-m01-zn01</v>
      </c>
      <c r="D248" s="116"/>
      <c r="E248" s="42"/>
    </row>
    <row r="249" spans="2:5" ht="20" customHeight="1" x14ac:dyDescent="0.2">
      <c r="B249" s="537" t="s">
        <v>708</v>
      </c>
      <c r="C249" s="538"/>
      <c r="D249" s="538"/>
      <c r="E249" s="539"/>
    </row>
    <row r="250" spans="2:5" ht="20" customHeight="1" x14ac:dyDescent="0.2">
      <c r="B250" s="4" t="s">
        <v>3306</v>
      </c>
      <c r="C250" s="103" t="str">
        <f>CONCATENATE(this_instance,"-m01-cl01 - Optimal Datastore Default Policy - AutoRAID")</f>
        <v>sfo-m01-cl01 - Optimal Datastore Default Policy - AutoRAID</v>
      </c>
      <c r="D250" s="116"/>
      <c r="E250" s="42"/>
    </row>
    <row r="251" spans="2:5" ht="20" customHeight="1" x14ac:dyDescent="0.2">
      <c r="B251" s="4" t="s">
        <v>3307</v>
      </c>
      <c r="C251" s="103" t="str">
        <f>CONCATENATE(this_instance,"-m01-cl01 - Optimal Datastore Default Policy - AutoRAID")</f>
        <v>sfo-m01-cl01 - Optimal Datastore Default Policy - AutoRAID</v>
      </c>
      <c r="D251" s="116"/>
      <c r="E251" s="42"/>
    </row>
    <row r="252" spans="2:5" ht="20" customHeight="1" x14ac:dyDescent="0.2">
      <c r="B252" s="4" t="s">
        <v>3308</v>
      </c>
      <c r="C252" s="103" t="str">
        <f>CONCATENATE(this_instance,"-m01-cl01 - Optimal Datastore Default Policy - AutoRAID")</f>
        <v>sfo-m01-cl01 - Optimal Datastore Default Policy - AutoRAID</v>
      </c>
      <c r="D252" s="116"/>
      <c r="E252" s="42"/>
    </row>
    <row r="253" spans="2:5" ht="20" customHeight="1" x14ac:dyDescent="0.2">
      <c r="B253" s="537" t="s">
        <v>269</v>
      </c>
      <c r="C253" s="538"/>
      <c r="D253" s="538"/>
      <c r="E253" s="539"/>
    </row>
    <row r="254" spans="2:5" ht="20" customHeight="1" x14ac:dyDescent="0.2">
      <c r="B254" s="4" t="s">
        <v>3310</v>
      </c>
      <c r="C254" s="103" t="s">
        <v>105</v>
      </c>
      <c r="D254" s="116" t="s">
        <v>105</v>
      </c>
      <c r="E254" s="42"/>
    </row>
    <row r="255" spans="2:5" ht="20" customHeight="1" x14ac:dyDescent="0.2">
      <c r="B255" s="4" t="s">
        <v>241</v>
      </c>
      <c r="C255" s="103" t="str">
        <f>CONCATENATE(this_instance,"-m01-cl01-vds01-pg-vm-mgmt")</f>
        <v>sfo-m01-cl01-vds01-pg-vm-mgmt</v>
      </c>
      <c r="D255" s="116" t="str">
        <f>mgmt_cl01_az1_mgmt_vm_pg</f>
        <v>Value Missing</v>
      </c>
      <c r="E255" s="42"/>
    </row>
    <row r="256" spans="2:5" ht="20" customHeight="1" x14ac:dyDescent="0.2">
      <c r="B256" s="4" t="s">
        <v>3311</v>
      </c>
      <c r="C256" s="103" t="str">
        <f>IF(mgmt_dpg_reuse_result="Excluded",CONCATENATE(prefix_mgmt_az1_cidr,"11.201"," - ",prefix_mgmt_az1_cidr,"11.205"),CONCATENATE(prefix_mgmt_az1_cidr,"10.201"," - ",prefix_mgmt_az1_cidr,"10.205"))</f>
        <v>10.11.10.201 - 10.11.10.205</v>
      </c>
      <c r="D256" s="116"/>
      <c r="E256" s="42"/>
    </row>
    <row r="257" spans="2:5" ht="20" customHeight="1" x14ac:dyDescent="0.2">
      <c r="B257" s="4" t="s">
        <v>242</v>
      </c>
      <c r="C257" s="103" t="s">
        <v>126</v>
      </c>
      <c r="D257" s="116" t="str">
        <f>mgmt_az1_mgmt_vm_mask</f>
        <v>Value Missing</v>
      </c>
      <c r="E257" s="42"/>
    </row>
    <row r="258" spans="2:5" ht="20" customHeight="1" x14ac:dyDescent="0.2">
      <c r="B258" s="4" t="s">
        <v>180</v>
      </c>
      <c r="C258" s="103" t="str">
        <f>IF(mgmt_dpg_reuse_result="Excluded",CONCATENATE(prefix_mgmt_az1_cidr,"11.1"),CONCATENATE(prefix_mgmt_az1_cidr,"10.1"))</f>
        <v>10.11.10.1</v>
      </c>
      <c r="D258" s="116" t="str">
        <f>mgmt_az1_mgmt_vm_gateway_ip</f>
        <v>Value Missing</v>
      </c>
    </row>
    <row r="259" spans="2:5" ht="20" customHeight="1" x14ac:dyDescent="0.2">
      <c r="B259" s="4" t="s">
        <v>555</v>
      </c>
      <c r="C259" s="103" t="str">
        <f>IF(mgmt_dpg_reuse_result="Included",CONCATENATE(prefix_mgmt_az1_cidr,"10.4",",",,prefix_mgmt_az1_cidr,"10.5"),CONCATENATE(prefix_mgmt_az1_cidr,"11.4",",",,prefix_mgmt_az1_cidr,"11.5"))</f>
        <v>10.11.10.4,10.11.10.5</v>
      </c>
      <c r="D259" s="116"/>
      <c r="E259" s="42"/>
    </row>
    <row r="260" spans="2:5" ht="20" customHeight="1" x14ac:dyDescent="0.2">
      <c r="B260" s="4" t="s">
        <v>3312</v>
      </c>
      <c r="C260" s="103" t="str">
        <f>CONCATENATE(this_instance,".rainpole.io",",","rainpole.io")</f>
        <v>sfo.rainpole.io,rainpole.io</v>
      </c>
      <c r="D260" s="116"/>
      <c r="E260" s="42"/>
    </row>
    <row r="261" spans="2:5" ht="20" customHeight="1" x14ac:dyDescent="0.2">
      <c r="B261" s="4" t="s">
        <v>3313</v>
      </c>
      <c r="C261" s="103" t="str">
        <f>CONCATENATE("ntp0.",this_instance,".rainpole.io",",","ntp1.",this_instance,".rainpole.io")</f>
        <v>ntp0.sfo.rainpole.io,ntp1.sfo.rainpole.io</v>
      </c>
      <c r="D261" s="116"/>
      <c r="E261" s="42"/>
    </row>
    <row r="262" spans="2:5" ht="20" customHeight="1" x14ac:dyDescent="0.2">
      <c r="B262" s="537" t="s">
        <v>3314</v>
      </c>
      <c r="C262" s="538"/>
      <c r="D262" s="538"/>
      <c r="E262" s="539"/>
    </row>
    <row r="263" spans="2:5" ht="20" customHeight="1" x14ac:dyDescent="0.2">
      <c r="B263" s="4" t="s">
        <v>780</v>
      </c>
      <c r="C263" s="103" t="s">
        <v>724</v>
      </c>
      <c r="D263" s="116"/>
      <c r="E263" s="42"/>
    </row>
    <row r="264" spans="2:5" ht="20" customHeight="1" x14ac:dyDescent="0.2">
      <c r="B264" s="4" t="s">
        <v>781</v>
      </c>
      <c r="C264" s="103" t="s">
        <v>3320</v>
      </c>
      <c r="D264" s="116"/>
      <c r="E264" s="42"/>
    </row>
    <row r="265" spans="2:5" ht="20" customHeight="1" x14ac:dyDescent="0.2">
      <c r="B265" s="4" t="s">
        <v>3315</v>
      </c>
      <c r="C265" s="65" t="str">
        <f>CONCATENATE(this_instance,"-m01-vpc01-ext-ip-block")</f>
        <v>sfo-m01-vpc01-ext-ip-block</v>
      </c>
      <c r="D265" s="116"/>
      <c r="E265" s="42"/>
    </row>
    <row r="266" spans="2:5" ht="20" customHeight="1" x14ac:dyDescent="0.2">
      <c r="B266" s="4" t="s">
        <v>3316</v>
      </c>
      <c r="C266" s="65" t="str">
        <f>CONCATENATE(this_instance,"-m01-vpc01-priv-ip-block")</f>
        <v>sfo-m01-vpc01-priv-ip-block</v>
      </c>
      <c r="D266" s="116"/>
      <c r="E266" s="42"/>
    </row>
    <row r="267" spans="2:5" ht="20" customHeight="1" x14ac:dyDescent="0.2">
      <c r="B267" s="4" t="s">
        <v>3317</v>
      </c>
      <c r="C267" s="103" t="s">
        <v>3326</v>
      </c>
      <c r="D267" s="116"/>
      <c r="E267" s="42"/>
    </row>
    <row r="268" spans="2:5" ht="20" customHeight="1" x14ac:dyDescent="0.2">
      <c r="B268" s="4" t="s">
        <v>776</v>
      </c>
      <c r="C268" s="103" t="s">
        <v>3327</v>
      </c>
      <c r="D268" s="116"/>
      <c r="E268" s="42"/>
    </row>
    <row r="269" spans="2:5" ht="20" customHeight="1" x14ac:dyDescent="0.2">
      <c r="B269" s="4" t="s">
        <v>3318</v>
      </c>
      <c r="C269" s="103" t="str">
        <f>IF(mgmt_dpg_reuse_result="Included",CONCATENATE(prefix_mgmt_az1_cidr,"10.4",",",,prefix_mgmt_az1_cidr,"10.5"),CONCATENATE(prefix_mgmt_az1_cidr,"11.4",",",,prefix_mgmt_az1_cidr,"11.5"))</f>
        <v>10.11.10.4,10.11.10.5</v>
      </c>
      <c r="D269" s="116"/>
      <c r="E269" s="42"/>
    </row>
    <row r="270" spans="2:5" ht="20" customHeight="1" x14ac:dyDescent="0.2">
      <c r="B270" s="4" t="s">
        <v>3319</v>
      </c>
      <c r="C270" s="103" t="str">
        <f>CONCATENATE("ntp0.",this_instance,".rainpole.io"," , ","ntp0.",this_instance,".rainpole.io")</f>
        <v>ntp0.sfo.rainpole.io , ntp0.sfo.rainpole.io</v>
      </c>
      <c r="D270" s="116"/>
      <c r="E270" s="42"/>
    </row>
    <row r="271" spans="2:5" ht="20" customHeight="1" x14ac:dyDescent="0.2">
      <c r="B271" s="537" t="s">
        <v>3321</v>
      </c>
      <c r="C271" s="538"/>
      <c r="D271" s="538"/>
      <c r="E271" s="539"/>
    </row>
    <row r="272" spans="2:5" ht="20" customHeight="1" x14ac:dyDescent="0.2">
      <c r="B272" s="4" t="s">
        <v>3322</v>
      </c>
      <c r="C272" s="103" t="s">
        <v>529</v>
      </c>
      <c r="D272" s="116" t="s">
        <v>529</v>
      </c>
      <c r="E272" s="42"/>
    </row>
    <row r="273" spans="2:7" ht="20" customHeight="1" x14ac:dyDescent="0.2">
      <c r="B273" s="4" t="s">
        <v>3323</v>
      </c>
      <c r="C273" s="103" t="str">
        <f>CONCATENATE(this_instance,"-m01-supervisor.",sample_child_dns_zone)</f>
        <v>sfo-m01-supervisor.sfo.rainpole.io</v>
      </c>
      <c r="D273" s="116"/>
      <c r="E273" s="42"/>
    </row>
    <row r="274" spans="2:7" ht="16" customHeight="1" thickBot="1" x14ac:dyDescent="0.25"/>
    <row r="275" spans="2:7" ht="34" customHeight="1" x14ac:dyDescent="0.2">
      <c r="B275" s="562" t="s">
        <v>3714</v>
      </c>
      <c r="C275" s="563"/>
      <c r="D275" s="563"/>
      <c r="E275" s="564"/>
      <c r="G275" s="36"/>
    </row>
    <row r="276" spans="2:7" ht="20" customHeight="1" x14ac:dyDescent="0.2">
      <c r="B276" s="537" t="s">
        <v>184</v>
      </c>
      <c r="C276" s="538"/>
      <c r="D276" s="538"/>
      <c r="E276" s="539"/>
    </row>
    <row r="277" spans="2:7" ht="20" customHeight="1" x14ac:dyDescent="0.2">
      <c r="B277" s="62" t="s">
        <v>18</v>
      </c>
      <c r="C277" s="63" t="s">
        <v>19</v>
      </c>
      <c r="D277" s="63" t="s">
        <v>20</v>
      </c>
      <c r="E277" s="63" t="s">
        <v>21</v>
      </c>
    </row>
    <row r="278" spans="2:7" ht="20" customHeight="1" x14ac:dyDescent="0.2">
      <c r="B278" s="537" t="s">
        <v>185</v>
      </c>
      <c r="C278" s="538"/>
      <c r="D278" s="538"/>
      <c r="E278" s="539"/>
      <c r="G278" s="36"/>
    </row>
    <row r="279" spans="2:7" ht="20" customHeight="1" x14ac:dyDescent="0.2">
      <c r="B279" s="4" t="s">
        <v>186</v>
      </c>
      <c r="C279" s="65" t="s">
        <v>3706</v>
      </c>
      <c r="D279" s="66" t="s">
        <v>3706</v>
      </c>
      <c r="E279" s="4"/>
    </row>
    <row r="280" spans="2:7" ht="20" customHeight="1" x14ac:dyDescent="0.2">
      <c r="B280" s="537" t="s">
        <v>187</v>
      </c>
      <c r="C280" s="549"/>
      <c r="D280" s="538"/>
      <c r="E280" s="539"/>
    </row>
    <row r="281" spans="2:7" ht="20" customHeight="1" x14ac:dyDescent="0.2">
      <c r="B281" s="4" t="s">
        <v>3715</v>
      </c>
      <c r="C281" s="65" t="s">
        <v>639</v>
      </c>
      <c r="D281" s="66" t="s">
        <v>639</v>
      </c>
      <c r="E281" s="4"/>
    </row>
    <row r="282" spans="2:7" ht="20" customHeight="1" x14ac:dyDescent="0.2">
      <c r="B282" s="537" t="s">
        <v>188</v>
      </c>
      <c r="C282" s="549"/>
      <c r="D282" s="538"/>
      <c r="E282" s="539"/>
    </row>
    <row r="283" spans="2:7" ht="20" customHeight="1" x14ac:dyDescent="0.2">
      <c r="B283" s="4" t="s">
        <v>189</v>
      </c>
      <c r="C283" s="65" t="s">
        <v>137</v>
      </c>
      <c r="D283" s="66"/>
      <c r="E283" s="8" t="s">
        <v>190</v>
      </c>
      <c r="G283" s="36"/>
    </row>
    <row r="284" spans="2:7" ht="20" customHeight="1" x14ac:dyDescent="0.2">
      <c r="B284" s="4" t="s">
        <v>3716</v>
      </c>
      <c r="C284" s="65" t="s">
        <v>137</v>
      </c>
      <c r="D284" s="66"/>
      <c r="E284" s="8"/>
      <c r="G284" s="36"/>
    </row>
    <row r="285" spans="2:7" ht="20" customHeight="1" x14ac:dyDescent="0.2">
      <c r="B285" s="4" t="s">
        <v>665</v>
      </c>
      <c r="C285" s="65" t="s">
        <v>3215</v>
      </c>
      <c r="D285" s="66" t="s">
        <v>3215</v>
      </c>
      <c r="E285" s="8"/>
      <c r="G285" s="36"/>
    </row>
    <row r="286" spans="2:7" ht="20" customHeight="1" x14ac:dyDescent="0.2">
      <c r="B286" s="4" t="s">
        <v>191</v>
      </c>
      <c r="C286" s="109" t="str">
        <f>IF(mgmt_dpg_reuse_result="Included",CONCATENATE(prefix_mgmt_az1_cidr,"10.92"),CONCATENATE(prefix_mgmt_az1_cidr,"11.92"))</f>
        <v>10.11.10.92</v>
      </c>
      <c r="D286" s="156"/>
      <c r="E286" s="8" t="s">
        <v>192</v>
      </c>
    </row>
    <row r="287" spans="2:7" ht="20" customHeight="1" x14ac:dyDescent="0.2">
      <c r="B287" s="4" t="s">
        <v>193</v>
      </c>
      <c r="C287" s="109" t="str">
        <f>IF(mgmt_dpg_reuse_result="Included",CONCATENATE(prefix_mgmt_az1_cidr,"10.93"),CONCATENATE(prefix_mgmt_az1_cidr,"11.93"))</f>
        <v>10.11.10.93</v>
      </c>
      <c r="D287" s="156"/>
      <c r="E287" s="8" t="s">
        <v>194</v>
      </c>
    </row>
    <row r="288" spans="2:7" ht="20" customHeight="1" x14ac:dyDescent="0.2">
      <c r="B288" s="4" t="s">
        <v>195</v>
      </c>
      <c r="C288" s="109" t="str">
        <f>IF(mgmt_dpg_reuse_result="Included",CONCATENATE(prefix_mgmt_az1_cidr,"10.94"),CONCATENATE(prefix_mgmt_az1_cidr,"11.94"))</f>
        <v>10.11.10.94</v>
      </c>
      <c r="D288" s="156"/>
      <c r="E288" s="8" t="s">
        <v>196</v>
      </c>
    </row>
    <row r="289" spans="2:7" ht="20" customHeight="1" x14ac:dyDescent="0.2">
      <c r="B289" s="4" t="s">
        <v>197</v>
      </c>
      <c r="C289" s="109" t="str">
        <f>IF(mgmt_dpg_reuse_result="Included",CONCATENATE(prefix_mgmt_az1_cidr,"10.91"),CONCATENATE(prefix_mgmt_az1_cidr,"11.91"))</f>
        <v>10.11.10.91</v>
      </c>
      <c r="D289" s="156"/>
      <c r="E289" s="8" t="s">
        <v>198</v>
      </c>
    </row>
    <row r="290" spans="2:7" ht="20" customHeight="1" x14ac:dyDescent="0.2">
      <c r="B290" s="4" t="s">
        <v>199</v>
      </c>
      <c r="C290" s="65" t="str">
        <f>CONCATENATE(this_instance,"-m01-avilb01",".",sample_child_dns_zone)</f>
        <v>sfo-m01-avilb01.sfo.rainpole.io</v>
      </c>
      <c r="D290" s="66"/>
      <c r="E290" s="4"/>
    </row>
    <row r="291" spans="2:7" ht="20" customHeight="1" x14ac:dyDescent="0.2">
      <c r="B291" s="4" t="s">
        <v>200</v>
      </c>
      <c r="C291" s="65" t="str">
        <f>CONCATENATE(this_instance,"-m01-cl01-avilb01")</f>
        <v>sfo-m01-cl01-avilb01</v>
      </c>
      <c r="D291" s="66"/>
      <c r="E291" s="4"/>
    </row>
    <row r="292" spans="2:7" ht="16" customHeight="1" x14ac:dyDescent="0.2"/>
    <row r="293" spans="2:7" ht="34" customHeight="1" x14ac:dyDescent="0.2">
      <c r="B293" s="562" t="s">
        <v>3060</v>
      </c>
      <c r="C293" s="563"/>
      <c r="D293" s="563"/>
      <c r="E293" s="564"/>
      <c r="G293" s="36"/>
    </row>
    <row r="294" spans="2:7" ht="16" customHeight="1" x14ac:dyDescent="0.2">
      <c r="G294" s="36"/>
    </row>
    <row r="295" spans="2:7" ht="34" customHeight="1" x14ac:dyDescent="0.2">
      <c r="B295" s="559" t="s">
        <v>201</v>
      </c>
      <c r="C295" s="560"/>
      <c r="D295" s="560"/>
      <c r="E295" s="561"/>
    </row>
    <row r="296" spans="2:7" ht="20" customHeight="1" x14ac:dyDescent="0.2">
      <c r="B296" s="62" t="s">
        <v>18</v>
      </c>
      <c r="C296" s="63" t="s">
        <v>19</v>
      </c>
      <c r="D296" s="63" t="s">
        <v>20</v>
      </c>
      <c r="E296" s="63" t="s">
        <v>21</v>
      </c>
    </row>
    <row r="297" spans="2:7" ht="20" customHeight="1" x14ac:dyDescent="0.2">
      <c r="B297" s="521" t="s">
        <v>202</v>
      </c>
      <c r="C297" s="522"/>
      <c r="D297" s="522"/>
      <c r="E297" s="523"/>
    </row>
    <row r="298" spans="2:7" ht="20" customHeight="1" x14ac:dyDescent="0.2">
      <c r="B298" s="4" t="s">
        <v>85</v>
      </c>
      <c r="C298" s="103" t="str">
        <f>CONCATENATE(prefix_mgmt_az2_vlan,"11")</f>
        <v>1211</v>
      </c>
      <c r="D298" s="66"/>
      <c r="E298" s="113"/>
    </row>
    <row r="299" spans="2:7" ht="20" customHeight="1" x14ac:dyDescent="0.2">
      <c r="B299" s="4" t="s">
        <v>180</v>
      </c>
      <c r="C299" s="103" t="str">
        <f>CONCATENATE(prefix_mgmt_az2_cidr,"11.1")</f>
        <v>10.12.11.1</v>
      </c>
      <c r="D299" s="66"/>
      <c r="E299" s="42"/>
    </row>
    <row r="300" spans="2:7" ht="20" customHeight="1" x14ac:dyDescent="0.2">
      <c r="B300" s="4" t="s">
        <v>181</v>
      </c>
      <c r="C300" s="103" t="str">
        <f>CONCATENATE(prefix_mgmt_az2_cidr,"11.0/24")</f>
        <v>10.12.11.0/24</v>
      </c>
      <c r="D300" s="66"/>
      <c r="E300" s="42"/>
    </row>
    <row r="301" spans="2:7" ht="20" customHeight="1" x14ac:dyDescent="0.2">
      <c r="B301" s="4" t="s">
        <v>155</v>
      </c>
      <c r="C301" s="103">
        <v>1500</v>
      </c>
      <c r="D301" s="66"/>
      <c r="E301" s="42"/>
    </row>
    <row r="302" spans="2:7" ht="20" customHeight="1" x14ac:dyDescent="0.2">
      <c r="B302" s="546" t="s">
        <v>203</v>
      </c>
      <c r="C302" s="547"/>
      <c r="D302" s="547"/>
      <c r="E302" s="548"/>
    </row>
    <row r="303" spans="2:7" ht="20" customHeight="1" x14ac:dyDescent="0.2">
      <c r="B303" s="23" t="s">
        <v>204</v>
      </c>
      <c r="C303" s="161" t="str">
        <f>CONCATENATE(prefix_mgmt_az2_cidr,"11.101")</f>
        <v>10.12.11.101</v>
      </c>
      <c r="D303" s="66"/>
      <c r="E303" s="162" t="s">
        <v>205</v>
      </c>
    </row>
    <row r="304" spans="2:7" ht="20" customHeight="1" x14ac:dyDescent="0.2">
      <c r="B304" s="23" t="s">
        <v>206</v>
      </c>
      <c r="C304" s="161" t="str">
        <f>CONCATENATE(prefix_mgmt_az2_cidr,"11.102")</f>
        <v>10.12.11.102</v>
      </c>
      <c r="D304" s="66"/>
      <c r="E304" s="162" t="s">
        <v>207</v>
      </c>
    </row>
    <row r="305" spans="2:7" ht="20" customHeight="1" x14ac:dyDescent="0.2">
      <c r="B305" s="23" t="s">
        <v>208</v>
      </c>
      <c r="C305" s="161" t="str">
        <f>CONCATENATE(prefix_mgmt_az2_cidr,"11.103")</f>
        <v>10.12.11.103</v>
      </c>
      <c r="D305" s="66"/>
      <c r="E305" s="162" t="s">
        <v>209</v>
      </c>
    </row>
    <row r="306" spans="2:7" ht="20" customHeight="1" x14ac:dyDescent="0.2">
      <c r="B306" s="23" t="s">
        <v>210</v>
      </c>
      <c r="C306" s="161" t="str">
        <f>CONCATENATE(prefix_mgmt_az2_cidr,"11.104")</f>
        <v>10.12.11.104</v>
      </c>
      <c r="D306" s="66"/>
      <c r="E306" s="162" t="s">
        <v>211</v>
      </c>
    </row>
    <row r="307" spans="2:7" ht="20" customHeight="1" x14ac:dyDescent="0.2">
      <c r="B307" s="23" t="s">
        <v>212</v>
      </c>
      <c r="C307" s="161" t="str">
        <f>CONCATENATE(prefix_mgmt_az2_cidr,"11.105")</f>
        <v>10.12.11.105</v>
      </c>
      <c r="D307" s="66"/>
      <c r="E307" s="162" t="s">
        <v>213</v>
      </c>
    </row>
    <row r="308" spans="2:7" ht="20" customHeight="1" x14ac:dyDescent="0.2">
      <c r="B308" s="23" t="s">
        <v>214</v>
      </c>
      <c r="C308" s="161" t="str">
        <f>CONCATENATE(prefix_mgmt_az2_cidr,"11.106")</f>
        <v>10.12.11.106</v>
      </c>
      <c r="D308" s="66"/>
      <c r="E308" s="162" t="s">
        <v>215</v>
      </c>
    </row>
    <row r="309" spans="2:7" ht="20" customHeight="1" x14ac:dyDescent="0.2">
      <c r="B309" s="23" t="s">
        <v>216</v>
      </c>
      <c r="C309" s="161" t="str">
        <f>CONCATENATE(prefix_mgmt_az2_cidr,"11.107")</f>
        <v>10.12.11.107</v>
      </c>
      <c r="D309" s="66"/>
      <c r="E309" s="162" t="s">
        <v>217</v>
      </c>
    </row>
    <row r="310" spans="2:7" ht="20" customHeight="1" x14ac:dyDescent="0.2">
      <c r="B310" s="23" t="s">
        <v>218</v>
      </c>
      <c r="C310" s="161" t="str">
        <f>CONCATENATE(prefix_mgmt_az2_cidr,"11.108")</f>
        <v>10.12.11.108</v>
      </c>
      <c r="D310" s="66"/>
      <c r="E310" s="162" t="s">
        <v>219</v>
      </c>
    </row>
    <row r="311" spans="2:7" ht="20" customHeight="1" x14ac:dyDescent="0.2">
      <c r="B311" s="23" t="s">
        <v>220</v>
      </c>
      <c r="C311" s="161" t="str">
        <f>CONCATENATE(prefix_mgmt_az2_cidr,"11.109")</f>
        <v>10.12.11.109</v>
      </c>
      <c r="D311" s="66"/>
      <c r="E311" s="162" t="s">
        <v>221</v>
      </c>
    </row>
    <row r="312" spans="2:7" ht="20" customHeight="1" x14ac:dyDescent="0.2">
      <c r="B312" s="23" t="s">
        <v>222</v>
      </c>
      <c r="C312" s="161" t="str">
        <f>CONCATENATE(prefix_mgmt_az2_cidr,"11.110")</f>
        <v>10.12.11.110</v>
      </c>
      <c r="D312" s="66"/>
      <c r="E312" s="162" t="s">
        <v>223</v>
      </c>
    </row>
    <row r="313" spans="2:7" ht="20" customHeight="1" x14ac:dyDescent="0.2">
      <c r="B313" s="23" t="s">
        <v>224</v>
      </c>
      <c r="C313" s="161" t="str">
        <f>CONCATENATE(prefix_mgmt_az2_cidr,"11.111")</f>
        <v>10.12.11.111</v>
      </c>
      <c r="D313" s="66"/>
      <c r="E313" s="162" t="s">
        <v>225</v>
      </c>
    </row>
    <row r="314" spans="2:7" ht="20" customHeight="1" x14ac:dyDescent="0.2">
      <c r="B314" s="23" t="s">
        <v>226</v>
      </c>
      <c r="C314" s="161" t="str">
        <f>CONCATENATE(prefix_mgmt_az2_cidr,"11.112")</f>
        <v>10.12.11.112</v>
      </c>
      <c r="D314" s="66"/>
      <c r="E314" s="162" t="s">
        <v>227</v>
      </c>
    </row>
    <row r="315" spans="2:7" ht="20" customHeight="1" x14ac:dyDescent="0.2">
      <c r="B315" s="23" t="s">
        <v>228</v>
      </c>
      <c r="C315" s="161" t="str">
        <f>CONCATENATE(prefix_mgmt_az2_cidr,"11.113")</f>
        <v>10.12.11.113</v>
      </c>
      <c r="D315" s="66"/>
      <c r="E315" s="162" t="s">
        <v>229</v>
      </c>
    </row>
    <row r="316" spans="2:7" ht="20" customHeight="1" x14ac:dyDescent="0.2">
      <c r="B316" s="23" t="s">
        <v>230</v>
      </c>
      <c r="C316" s="161" t="str">
        <f>CONCATENATE(prefix_mgmt_az2_cidr,"11.114")</f>
        <v>10.12.11.114</v>
      </c>
      <c r="D316" s="66"/>
      <c r="E316" s="162" t="s">
        <v>231</v>
      </c>
    </row>
    <row r="317" spans="2:7" ht="20" customHeight="1" x14ac:dyDescent="0.2">
      <c r="B317" s="23" t="s">
        <v>232</v>
      </c>
      <c r="C317" s="161" t="str">
        <f>CONCATENATE(prefix_mgmt_az2_cidr,"11.115")</f>
        <v>10.12.11.115</v>
      </c>
      <c r="D317" s="66"/>
      <c r="E317" s="162" t="s">
        <v>233</v>
      </c>
    </row>
    <row r="318" spans="2:7" ht="20" customHeight="1" x14ac:dyDescent="0.2">
      <c r="B318" s="23" t="s">
        <v>234</v>
      </c>
      <c r="C318" s="161" t="str">
        <f>CONCATENATE(prefix_mgmt_az2_cidr,"11.116")</f>
        <v>10.12.11.116</v>
      </c>
      <c r="D318" s="66"/>
      <c r="E318" s="162" t="s">
        <v>235</v>
      </c>
    </row>
    <row r="319" spans="2:7" ht="16" customHeight="1" x14ac:dyDescent="0.2">
      <c r="G319" s="36"/>
    </row>
    <row r="320" spans="2:7" ht="34" customHeight="1" x14ac:dyDescent="0.2">
      <c r="B320" s="559" t="s">
        <v>236</v>
      </c>
      <c r="C320" s="560"/>
      <c r="D320" s="560"/>
      <c r="E320" s="561"/>
    </row>
    <row r="321" spans="2:5" ht="20" customHeight="1" x14ac:dyDescent="0.2">
      <c r="B321" s="62" t="s">
        <v>18</v>
      </c>
      <c r="C321" s="63" t="s">
        <v>19</v>
      </c>
      <c r="D321" s="63" t="s">
        <v>20</v>
      </c>
      <c r="E321" s="63" t="s">
        <v>21</v>
      </c>
    </row>
    <row r="322" spans="2:5" ht="20" customHeight="1" x14ac:dyDescent="0.2">
      <c r="B322" s="4" t="s">
        <v>237</v>
      </c>
      <c r="C322" s="65" t="s">
        <v>238</v>
      </c>
      <c r="D322" s="154" t="s">
        <v>238</v>
      </c>
      <c r="E322" s="8" t="str">
        <f>IF(mgmt_az2_reuse_vcf_networkpool_chosen="Re-use an existing VCF Network Pool","An exisiting VCF Network Pool will be reused","A new VCF Network Pool will be created")</f>
        <v>A new VCF Network Pool will be created</v>
      </c>
    </row>
    <row r="323" spans="2:5" ht="20" customHeight="1" x14ac:dyDescent="0.2">
      <c r="B323" s="23" t="s">
        <v>239</v>
      </c>
      <c r="C323" s="163" t="str">
        <f>CONCATENATE(this_instance,"02-m01-r01-network-pool-01")</f>
        <v>sfo02-m01-r01-network-pool-01</v>
      </c>
      <c r="D323" s="164"/>
      <c r="E323" s="42"/>
    </row>
    <row r="324" spans="2:5" ht="20" customHeight="1" x14ac:dyDescent="0.2">
      <c r="B324" s="521" t="s">
        <v>240</v>
      </c>
      <c r="C324" s="522"/>
      <c r="D324" s="522"/>
      <c r="E324" s="523"/>
    </row>
    <row r="325" spans="2:5" ht="20" customHeight="1" x14ac:dyDescent="0.2">
      <c r="B325" s="4" t="s">
        <v>85</v>
      </c>
      <c r="C325" s="103" t="str">
        <f>CONCATENATE(prefix_mgmt_az2_vlan,"12")</f>
        <v>1212</v>
      </c>
      <c r="D325" s="66"/>
      <c r="E325" s="173" t="str">
        <f>IF(mgmt_az2_reuse_vcf_networkpool_chosen="Re-use an existing VCF Network Pool", "Inputs are masked out as existing VCF Network Pool will be used","")</f>
        <v/>
      </c>
    </row>
    <row r="326" spans="2:5" ht="20" customHeight="1" x14ac:dyDescent="0.2">
      <c r="B326" s="4" t="s">
        <v>155</v>
      </c>
      <c r="C326" s="103">
        <v>9000</v>
      </c>
      <c r="D326" s="66"/>
      <c r="E326" s="42"/>
    </row>
    <row r="327" spans="2:5" ht="20" customHeight="1" x14ac:dyDescent="0.2">
      <c r="B327" s="4" t="s">
        <v>241</v>
      </c>
      <c r="C327" s="103" t="str">
        <f>CONCATENATE(prefix_mgmt_az2_cidr,"12.0")</f>
        <v>10.12.12.0</v>
      </c>
      <c r="D327" s="66"/>
      <c r="E327" s="42"/>
    </row>
    <row r="328" spans="2:5" ht="20" customHeight="1" x14ac:dyDescent="0.2">
      <c r="B328" s="4" t="s">
        <v>242</v>
      </c>
      <c r="C328" s="103" t="s">
        <v>126</v>
      </c>
      <c r="D328" s="66"/>
      <c r="E328" s="42"/>
    </row>
    <row r="329" spans="2:5" ht="20" customHeight="1" x14ac:dyDescent="0.2">
      <c r="B329" s="4" t="s">
        <v>243</v>
      </c>
      <c r="C329" s="103" t="str">
        <f>CONCATENATE(prefix_mgmt_az2_cidr,"12.1")</f>
        <v>10.12.12.1</v>
      </c>
      <c r="D329" s="66"/>
      <c r="E329" s="42"/>
    </row>
    <row r="330" spans="2:5" ht="20" customHeight="1" x14ac:dyDescent="0.2">
      <c r="B330" s="23" t="s">
        <v>244</v>
      </c>
      <c r="C330" s="103" t="str">
        <f>CONCATENATE(prefix_mgmt_az2_cidr,"12.101")</f>
        <v>10.12.12.101</v>
      </c>
      <c r="D330" s="66"/>
      <c r="E330" s="42"/>
    </row>
    <row r="331" spans="2:5" ht="20" customHeight="1" x14ac:dyDescent="0.2">
      <c r="B331" s="23" t="s">
        <v>245</v>
      </c>
      <c r="C331" s="103" t="str">
        <f>CONCATENATE(prefix_mgmt_az2_cidr,"12.116")</f>
        <v>10.12.12.116</v>
      </c>
      <c r="D331" s="66"/>
      <c r="E331" s="42"/>
    </row>
    <row r="332" spans="2:5" ht="20" customHeight="1" x14ac:dyDescent="0.2">
      <c r="B332" s="521" t="s">
        <v>246</v>
      </c>
      <c r="C332" s="522"/>
      <c r="D332" s="522"/>
      <c r="E332" s="523"/>
    </row>
    <row r="333" spans="2:5" ht="20" customHeight="1" x14ac:dyDescent="0.2">
      <c r="B333" s="4" t="s">
        <v>85</v>
      </c>
      <c r="C333" s="103" t="str">
        <f>CONCATENATE(prefix_mgmt_az2_vlan,"13")</f>
        <v>1213</v>
      </c>
      <c r="D333" s="66"/>
      <c r="E333" s="43" t="str">
        <f>IF(mgmt_az2_reuse_vcf_networkpool_chosen="Re-use an existing VCF Network Pool", "Inputs are masked out as existing VCF Network Pool will be used","")</f>
        <v/>
      </c>
    </row>
    <row r="334" spans="2:5" ht="20" customHeight="1" x14ac:dyDescent="0.2">
      <c r="B334" s="4" t="s">
        <v>155</v>
      </c>
      <c r="C334" s="103">
        <v>9000</v>
      </c>
      <c r="D334" s="66"/>
      <c r="E334" s="42"/>
    </row>
    <row r="335" spans="2:5" ht="20" customHeight="1" x14ac:dyDescent="0.2">
      <c r="B335" s="4" t="s">
        <v>241</v>
      </c>
      <c r="C335" s="103" t="str">
        <f>CONCATENATE(prefix_mgmt_az2_cidr,"13.0")</f>
        <v>10.12.13.0</v>
      </c>
      <c r="D335" s="66"/>
      <c r="E335" s="80"/>
    </row>
    <row r="336" spans="2:5" ht="20" customHeight="1" x14ac:dyDescent="0.2">
      <c r="B336" s="4" t="s">
        <v>242</v>
      </c>
      <c r="C336" s="103" t="s">
        <v>126</v>
      </c>
      <c r="D336" s="66"/>
      <c r="E336" s="80"/>
    </row>
    <row r="337" spans="2:5" ht="20" customHeight="1" x14ac:dyDescent="0.2">
      <c r="B337" s="4" t="s">
        <v>243</v>
      </c>
      <c r="C337" s="103" t="str">
        <f>CONCATENATE(prefix_mgmt_az2_cidr,"13.1")</f>
        <v>10.12.13.1</v>
      </c>
      <c r="D337" s="66"/>
      <c r="E337" s="42" t="str">
        <f>IF(AND(mgmt_stretched_cluster_result="Included",mgmt_dpg_reuse_result="Excluded"),"Stretched L2","")</f>
        <v/>
      </c>
    </row>
    <row r="338" spans="2:5" ht="20" customHeight="1" x14ac:dyDescent="0.2">
      <c r="B338" s="23" t="s">
        <v>244</v>
      </c>
      <c r="C338" s="103" t="str">
        <f>CONCATENATE(prefix_mgmt_az2_cidr,"13.101")</f>
        <v>10.12.13.101</v>
      </c>
      <c r="D338" s="66"/>
      <c r="E338" s="80"/>
    </row>
    <row r="339" spans="2:5" ht="20" customHeight="1" x14ac:dyDescent="0.2">
      <c r="B339" s="23" t="s">
        <v>245</v>
      </c>
      <c r="C339" s="103" t="str">
        <f>CONCATENATE(prefix_mgmt_az2_cidr,"13.116")</f>
        <v>10.12.13.116</v>
      </c>
      <c r="D339" s="66"/>
      <c r="E339" s="80"/>
    </row>
    <row r="340" spans="2:5" ht="20" customHeight="1" x14ac:dyDescent="0.2">
      <c r="B340" s="521" t="s">
        <v>247</v>
      </c>
      <c r="C340" s="522"/>
      <c r="D340" s="522"/>
      <c r="E340" s="523"/>
    </row>
    <row r="341" spans="2:5" ht="20" customHeight="1" x14ac:dyDescent="0.2">
      <c r="B341" s="4" t="s">
        <v>85</v>
      </c>
      <c r="C341" s="165" t="str">
        <f>CONCATENATE(prefix_mgmt_az2_vlan,"15")</f>
        <v>1215</v>
      </c>
      <c r="D341" s="66"/>
      <c r="E341" s="43" t="str">
        <f>IF(mgmt_az2_reuse_vcf_networkpool_chosen="Re-use an existing VCF Network Pool", "Inputs are masked out as existing VCF Network Pool will be used",IF(mgmt_principal_storage_chosen&lt;&gt;"NFSv3","Input is masked out and only required if configuring NFS Storage",""))</f>
        <v>Input is masked out and only required if configuring NFS Storage</v>
      </c>
    </row>
    <row r="342" spans="2:5" ht="20" customHeight="1" x14ac:dyDescent="0.2">
      <c r="B342" s="4" t="s">
        <v>155</v>
      </c>
      <c r="C342" s="166">
        <v>9000</v>
      </c>
      <c r="D342" s="66"/>
      <c r="E342" s="42"/>
    </row>
    <row r="343" spans="2:5" ht="20" customHeight="1" x14ac:dyDescent="0.2">
      <c r="B343" s="4" t="s">
        <v>241</v>
      </c>
      <c r="C343" s="166" t="str">
        <f>CONCATENATE(prefix_mgmt_az2_cidr,"15.0")</f>
        <v>10.12.15.0</v>
      </c>
      <c r="D343" s="66"/>
      <c r="E343" s="80"/>
    </row>
    <row r="344" spans="2:5" ht="20" customHeight="1" x14ac:dyDescent="0.2">
      <c r="B344" s="4" t="s">
        <v>242</v>
      </c>
      <c r="C344" s="166" t="s">
        <v>126</v>
      </c>
      <c r="D344" s="66"/>
      <c r="E344" s="80"/>
    </row>
    <row r="345" spans="2:5" ht="20" customHeight="1" x14ac:dyDescent="0.2">
      <c r="B345" s="4" t="s">
        <v>243</v>
      </c>
      <c r="C345" s="166" t="str">
        <f>CONCATENATE(prefix_mgmt_az2_cidr,"15.1")</f>
        <v>10.12.15.1</v>
      </c>
      <c r="D345" s="66"/>
      <c r="E345" s="42" t="str">
        <f>IF(AND(mgmt_stretched_cluster_result="Included",mgmt_dpg_reuse_result="Excluded"),"Stretched L2","")</f>
        <v/>
      </c>
    </row>
    <row r="346" spans="2:5" ht="20" customHeight="1" x14ac:dyDescent="0.2">
      <c r="B346" s="23" t="s">
        <v>244</v>
      </c>
      <c r="C346" s="166" t="str">
        <f>CONCATENATE(prefix_mgmt_az2_cidr,"15.101")</f>
        <v>10.12.15.101</v>
      </c>
      <c r="D346" s="66"/>
      <c r="E346" s="80"/>
    </row>
    <row r="347" spans="2:5" ht="20" customHeight="1" x14ac:dyDescent="0.2">
      <c r="B347" s="23" t="s">
        <v>245</v>
      </c>
      <c r="C347" s="166" t="str">
        <f>CONCATENATE(prefix_mgmt_az2_cidr,"15.116")</f>
        <v>10.12.15.116</v>
      </c>
      <c r="D347" s="66"/>
      <c r="E347" s="80"/>
    </row>
    <row r="348" spans="2:5" ht="16" customHeight="1" x14ac:dyDescent="0.2"/>
    <row r="349" spans="2:5" ht="34" customHeight="1" x14ac:dyDescent="0.2">
      <c r="B349" s="559" t="s">
        <v>248</v>
      </c>
      <c r="C349" s="560"/>
      <c r="D349" s="560"/>
      <c r="E349" s="561"/>
    </row>
    <row r="350" spans="2:5" ht="20" customHeight="1" x14ac:dyDescent="0.2">
      <c r="B350" s="553" t="s">
        <v>249</v>
      </c>
      <c r="C350" s="554"/>
      <c r="D350" s="554"/>
      <c r="E350" s="555"/>
    </row>
    <row r="351" spans="2:5" ht="20" customHeight="1" x14ac:dyDescent="0.2">
      <c r="B351" s="62" t="s">
        <v>250</v>
      </c>
      <c r="C351" s="62" t="s">
        <v>251</v>
      </c>
      <c r="D351" s="160" t="s">
        <v>20</v>
      </c>
      <c r="E351" s="62" t="s">
        <v>252</v>
      </c>
    </row>
    <row r="352" spans="2:5" ht="20" customHeight="1" x14ac:dyDescent="0.2">
      <c r="B352" s="23" t="s">
        <v>204</v>
      </c>
      <c r="C352" s="109" t="str">
        <f>CONCATENATE(this_instance,"02-m01-r01-esx01",".",sample_child_dns_zone)</f>
        <v>sfo02-m01-r01-esx01.sfo.rainpole.io</v>
      </c>
      <c r="D352" s="66"/>
      <c r="E352" s="42"/>
    </row>
    <row r="353" spans="2:5" ht="20" customHeight="1" x14ac:dyDescent="0.2">
      <c r="B353" s="23" t="s">
        <v>206</v>
      </c>
      <c r="C353" s="109" t="str">
        <f>CONCATENATE(this_instance,"02-m01-r01-esx02",".",sample_child_dns_zone)</f>
        <v>sfo02-m01-r01-esx02.sfo.rainpole.io</v>
      </c>
      <c r="D353" s="66"/>
      <c r="E353" s="42"/>
    </row>
    <row r="354" spans="2:5" ht="20" customHeight="1" x14ac:dyDescent="0.2">
      <c r="B354" s="23" t="s">
        <v>208</v>
      </c>
      <c r="C354" s="109" t="str">
        <f>CONCATENATE(this_instance,"02-m01-r01-esx03",".",sample_child_dns_zone)</f>
        <v>sfo02-m01-r01-esx03.sfo.rainpole.io</v>
      </c>
      <c r="D354" s="66"/>
      <c r="E354" s="42"/>
    </row>
    <row r="355" spans="2:5" ht="20" customHeight="1" x14ac:dyDescent="0.2">
      <c r="B355" s="23" t="s">
        <v>210</v>
      </c>
      <c r="C355" s="109" t="str">
        <f>CONCATENATE(this_instance,"02-m01-r01-esx04",".",sample_child_dns_zone)</f>
        <v>sfo02-m01-r01-esx04.sfo.rainpole.io</v>
      </c>
      <c r="D355" s="66"/>
      <c r="E355" s="42"/>
    </row>
    <row r="356" spans="2:5" ht="20" customHeight="1" x14ac:dyDescent="0.2">
      <c r="B356" s="23" t="s">
        <v>212</v>
      </c>
      <c r="C356" s="109" t="str">
        <f>CONCATENATE(this_instance,"02-m01-r01-esx05",".",sample_child_dns_zone)</f>
        <v>sfo02-m01-r01-esx05.sfo.rainpole.io</v>
      </c>
      <c r="D356" s="66"/>
      <c r="E356" s="42"/>
    </row>
    <row r="357" spans="2:5" ht="20" customHeight="1" x14ac:dyDescent="0.2">
      <c r="B357" s="23" t="s">
        <v>214</v>
      </c>
      <c r="C357" s="109" t="str">
        <f>CONCATENATE(this_instance,"02-m01-r01-esx06",".",sample_child_dns_zone)</f>
        <v>sfo02-m01-r01-esx06.sfo.rainpole.io</v>
      </c>
      <c r="D357" s="66"/>
      <c r="E357" s="42"/>
    </row>
    <row r="358" spans="2:5" ht="20" customHeight="1" x14ac:dyDescent="0.2">
      <c r="B358" s="23" t="s">
        <v>216</v>
      </c>
      <c r="C358" s="109" t="str">
        <f>CONCATENATE(this_instance,"02-m01-r01-esx07",".",sample_child_dns_zone)</f>
        <v>sfo02-m01-r01-esx07.sfo.rainpole.io</v>
      </c>
      <c r="D358" s="66"/>
      <c r="E358" s="42"/>
    </row>
    <row r="359" spans="2:5" ht="20" customHeight="1" x14ac:dyDescent="0.2">
      <c r="B359" s="23" t="s">
        <v>218</v>
      </c>
      <c r="C359" s="109" t="str">
        <f>CONCATENATE(this_instance,"02-m01-r01-esx08",".",sample_child_dns_zone)</f>
        <v>sfo02-m01-r01-esx08.sfo.rainpole.io</v>
      </c>
      <c r="D359" s="66"/>
      <c r="E359" s="42"/>
    </row>
    <row r="360" spans="2:5" ht="20" customHeight="1" x14ac:dyDescent="0.2">
      <c r="B360" s="23" t="s">
        <v>220</v>
      </c>
      <c r="C360" s="109" t="str">
        <f>CONCATENATE(this_instance,"02-m01-r01-esx09",".",sample_child_dns_zone)</f>
        <v>sfo02-m01-r01-esx09.sfo.rainpole.io</v>
      </c>
      <c r="D360" s="66"/>
      <c r="E360" s="42"/>
    </row>
    <row r="361" spans="2:5" ht="20" customHeight="1" x14ac:dyDescent="0.2">
      <c r="B361" s="23" t="s">
        <v>222</v>
      </c>
      <c r="C361" s="109" t="str">
        <f>CONCATENATE(this_instance,"02-m01-r01-esx10",".",sample_child_dns_zone)</f>
        <v>sfo02-m01-r01-esx10.sfo.rainpole.io</v>
      </c>
      <c r="D361" s="66"/>
      <c r="E361" s="42"/>
    </row>
    <row r="362" spans="2:5" ht="20" customHeight="1" x14ac:dyDescent="0.2">
      <c r="B362" s="23" t="s">
        <v>224</v>
      </c>
      <c r="C362" s="109" t="str">
        <f>CONCATENATE(this_instance,"02-m01-r01-esx11",".",sample_child_dns_zone)</f>
        <v>sfo02-m01-r01-esx11.sfo.rainpole.io</v>
      </c>
      <c r="D362" s="66"/>
      <c r="E362" s="42"/>
    </row>
    <row r="363" spans="2:5" ht="20" customHeight="1" x14ac:dyDescent="0.2">
      <c r="B363" s="23" t="s">
        <v>226</v>
      </c>
      <c r="C363" s="109" t="str">
        <f>CONCATENATE(this_instance,"02-m01-r01-esx12",".",sample_child_dns_zone)</f>
        <v>sfo02-m01-r01-esx12.sfo.rainpole.io</v>
      </c>
      <c r="D363" s="66"/>
      <c r="E363" s="42"/>
    </row>
    <row r="364" spans="2:5" ht="20" customHeight="1" x14ac:dyDescent="0.2">
      <c r="B364" s="23" t="s">
        <v>228</v>
      </c>
      <c r="C364" s="109" t="str">
        <f>CONCATENATE(this_instance,"02-m01-r01-esx13",".",sample_child_dns_zone)</f>
        <v>sfo02-m01-r01-esx13.sfo.rainpole.io</v>
      </c>
      <c r="D364" s="66"/>
      <c r="E364" s="42"/>
    </row>
    <row r="365" spans="2:5" ht="20" customHeight="1" x14ac:dyDescent="0.2">
      <c r="B365" s="23" t="s">
        <v>230</v>
      </c>
      <c r="C365" s="109" t="str">
        <f>CONCATENATE(this_instance,"02-m01-r01-esx14",".",sample_child_dns_zone)</f>
        <v>sfo02-m01-r01-esx14.sfo.rainpole.io</v>
      </c>
      <c r="D365" s="66"/>
      <c r="E365" s="42"/>
    </row>
    <row r="366" spans="2:5" ht="20" customHeight="1" x14ac:dyDescent="0.2">
      <c r="B366" s="23" t="s">
        <v>232</v>
      </c>
      <c r="C366" s="109" t="str">
        <f>CONCATENATE(this_instance,"02-m01-r01-esx15",".",sample_child_dns_zone)</f>
        <v>sfo02-m01-r01-esx15.sfo.rainpole.io</v>
      </c>
      <c r="D366" s="66"/>
      <c r="E366" s="42"/>
    </row>
    <row r="367" spans="2:5" ht="20" customHeight="1" x14ac:dyDescent="0.2">
      <c r="B367" s="23" t="s">
        <v>234</v>
      </c>
      <c r="C367" s="109" t="str">
        <f>CONCATENATE(this_instance,"02-m01-r01-esx16",".",sample_child_dns_zone)</f>
        <v>sfo02-m01-r01-esx16.sfo.rainpole.io</v>
      </c>
      <c r="D367" s="66"/>
      <c r="E367" s="42"/>
    </row>
    <row r="368" spans="2:5" ht="20" customHeight="1" x14ac:dyDescent="0.2">
      <c r="B368" s="23" t="s">
        <v>253</v>
      </c>
      <c r="C368" s="100" t="s">
        <v>254</v>
      </c>
      <c r="D368" s="8" t="s">
        <v>254</v>
      </c>
      <c r="E368" s="42"/>
    </row>
    <row r="369" spans="2:5" ht="20" customHeight="1" x14ac:dyDescent="0.2">
      <c r="B369" s="23" t="s">
        <v>1786</v>
      </c>
      <c r="C369" s="100" t="s">
        <v>256</v>
      </c>
      <c r="D369" s="66" t="s">
        <v>256</v>
      </c>
      <c r="E369" s="42"/>
    </row>
    <row r="370" spans="2:5" ht="20" customHeight="1" x14ac:dyDescent="0.2">
      <c r="B370" s="23" t="s">
        <v>257</v>
      </c>
      <c r="C370" s="100" t="s">
        <v>154</v>
      </c>
      <c r="D370" s="8" t="str">
        <f>IF(mgmt_principal_storage_chosen="vSAN-ESA","Selected","Unselected")</f>
        <v>Selected</v>
      </c>
      <c r="E370" s="42"/>
    </row>
    <row r="371" spans="2:5" ht="20" customHeight="1" x14ac:dyDescent="0.2">
      <c r="B371" s="23" t="s">
        <v>239</v>
      </c>
      <c r="C371" s="100" t="str">
        <f>sample_mgmt_az2_pool_name</f>
        <v>sfo02-m01-r01-network-pool-01</v>
      </c>
      <c r="D371" s="8" t="str">
        <f>mgmt_az2_pool_name</f>
        <v>Value Missing</v>
      </c>
      <c r="E371" s="42"/>
    </row>
    <row r="372" spans="2:5" ht="20" customHeight="1" x14ac:dyDescent="0.2">
      <c r="B372" s="23" t="s">
        <v>47</v>
      </c>
      <c r="C372" s="100" t="s">
        <v>258</v>
      </c>
      <c r="D372" s="66"/>
      <c r="E372" s="42"/>
    </row>
    <row r="373" spans="2:5" ht="20" customHeight="1" x14ac:dyDescent="0.2">
      <c r="B373" s="23" t="s">
        <v>30</v>
      </c>
      <c r="C373" s="100" t="s">
        <v>31</v>
      </c>
      <c r="D373" s="66"/>
      <c r="E373" s="42"/>
    </row>
    <row r="374" spans="2:5" ht="16" customHeight="1" x14ac:dyDescent="0.2"/>
    <row r="375" spans="2:5" ht="34" customHeight="1" x14ac:dyDescent="0.2">
      <c r="B375" s="559" t="s">
        <v>259</v>
      </c>
      <c r="C375" s="560"/>
      <c r="D375" s="560"/>
      <c r="E375" s="561"/>
    </row>
    <row r="376" spans="2:5" ht="20" customHeight="1" x14ac:dyDescent="0.2">
      <c r="B376" s="521" t="s">
        <v>260</v>
      </c>
      <c r="C376" s="522"/>
      <c r="D376" s="522"/>
      <c r="E376" s="523"/>
    </row>
    <row r="377" spans="2:5" ht="20" customHeight="1" x14ac:dyDescent="0.2">
      <c r="B377" s="62" t="s">
        <v>250</v>
      </c>
      <c r="C377" s="62" t="s">
        <v>251</v>
      </c>
      <c r="D377" s="160" t="s">
        <v>20</v>
      </c>
      <c r="E377" s="62" t="s">
        <v>252</v>
      </c>
    </row>
    <row r="378" spans="2:5" ht="20" customHeight="1" x14ac:dyDescent="0.2">
      <c r="B378" s="4" t="s">
        <v>85</v>
      </c>
      <c r="C378" s="103" t="str">
        <f>IF(mgmt_dpg_reuse_result="Included",CONCATENATE(prefix_mgmt_witness_vlan,"10"),CONCATENATE(prefix_mgmt_witness_vlan,"11"))</f>
        <v>2110</v>
      </c>
      <c r="D378" s="66"/>
      <c r="E378" s="42"/>
    </row>
    <row r="379" spans="2:5" ht="20" customHeight="1" x14ac:dyDescent="0.2">
      <c r="B379" s="4" t="s">
        <v>180</v>
      </c>
      <c r="C379" s="65" t="str">
        <f>IF(mgmt_dpg_reuse_result="Included",CONCATENATE(prefix_mgmt_witness_cidr,"10.1"),CONCATENATE(prefix_mgmt_witness_cidr,"11.1"))</f>
        <v>10.21.10.1</v>
      </c>
      <c r="D379" s="66"/>
      <c r="E379" s="42" t="str">
        <f>IF(AND(mgmt_stretched_cluster_result="Included",mgmt_dpg_reuse_result="Excluded"),"Stretched L2","")</f>
        <v/>
      </c>
    </row>
    <row r="380" spans="2:5" ht="20" customHeight="1" x14ac:dyDescent="0.2">
      <c r="B380" s="4" t="s">
        <v>181</v>
      </c>
      <c r="C380" s="65" t="str">
        <f>IF(mgmt_dpg_reuse_result="Included",CONCATENATE(prefix_mgmt_witness_cidr,"10.0/24"),CONCATENATE(prefix_mgmt_witness_cidr,"11.0/24"))</f>
        <v>10.21.10.0/24</v>
      </c>
      <c r="D380" s="66"/>
      <c r="E380" s="42"/>
    </row>
    <row r="381" spans="2:5" ht="20" customHeight="1" x14ac:dyDescent="0.2">
      <c r="B381" s="4" t="s">
        <v>155</v>
      </c>
      <c r="C381" s="103">
        <v>1500</v>
      </c>
      <c r="D381" s="66"/>
      <c r="E381" s="42"/>
    </row>
    <row r="382" spans="2:5" ht="20" customHeight="1" x14ac:dyDescent="0.2">
      <c r="B382" s="553" t="s">
        <v>261</v>
      </c>
      <c r="C382" s="554"/>
      <c r="D382" s="554"/>
      <c r="E382" s="555"/>
    </row>
    <row r="383" spans="2:5" ht="20" customHeight="1" x14ac:dyDescent="0.2">
      <c r="B383" s="4" t="s">
        <v>262</v>
      </c>
      <c r="C383" s="153" t="str">
        <f>CONCATENATE(other_instance,"-m01-vc01.",other_instance,".rainpole.io")</f>
        <v>lax-m01-vc01.lax.rainpole.io</v>
      </c>
      <c r="D383" s="156"/>
      <c r="E383" s="8" t="s">
        <v>263</v>
      </c>
    </row>
    <row r="384" spans="2:5" ht="20" customHeight="1" x14ac:dyDescent="0.2">
      <c r="B384" s="4" t="s">
        <v>264</v>
      </c>
      <c r="C384" s="214" t="str">
        <f>IF(mgmt_dpg_reuse_result="Included",CONCATENATE(prefix_other_region_az1_cidr,"10.70"),CONCATENATE(prefix_other_region_az1_cidr,"11.70"))</f>
        <v>10.21.10.70</v>
      </c>
      <c r="D384" s="370"/>
      <c r="E384" s="4"/>
    </row>
    <row r="385" spans="2:7" ht="20" customHeight="1" x14ac:dyDescent="0.2">
      <c r="B385" s="4" t="s">
        <v>265</v>
      </c>
      <c r="C385" s="153" t="str">
        <f>CONCATENATE(this_instance,"-m01-cl01-vsw01")</f>
        <v>sfo-m01-cl01-vsw01</v>
      </c>
      <c r="D385" s="156"/>
      <c r="E385" s="4"/>
    </row>
    <row r="386" spans="2:7" ht="20" customHeight="1" x14ac:dyDescent="0.2">
      <c r="B386" s="4" t="s">
        <v>266</v>
      </c>
      <c r="C386" s="65" t="str">
        <f>CONCATENATE(other_instance,"-m01-cl01")</f>
        <v>lax-m01-cl01</v>
      </c>
      <c r="D386" s="156"/>
      <c r="E386" s="4"/>
    </row>
    <row r="387" spans="2:7" ht="20" customHeight="1" x14ac:dyDescent="0.2">
      <c r="B387" s="4" t="s">
        <v>267</v>
      </c>
      <c r="C387" s="65" t="str">
        <f>CONCATENATE(other_instance,"-m01","-fd-mgmt")</f>
        <v>lax-m01-fd-mgmt</v>
      </c>
      <c r="D387" s="156"/>
      <c r="E387" s="4"/>
    </row>
    <row r="388" spans="2:7" ht="20" customHeight="1" x14ac:dyDescent="0.2">
      <c r="B388" s="4" t="s">
        <v>268</v>
      </c>
      <c r="C388" s="65" t="str">
        <f>CONCATENATE(other_instance,"-m01-cl01-ds-vsan01")</f>
        <v>lax-m01-cl01-ds-vsan01</v>
      </c>
      <c r="D388" s="156"/>
      <c r="E388" s="4"/>
    </row>
    <row r="389" spans="2:7" ht="20" customHeight="1" x14ac:dyDescent="0.2">
      <c r="B389" s="4" t="s">
        <v>269</v>
      </c>
      <c r="C389" s="65" t="str">
        <f>CONCATENATE(other_instance,"01-m01-cl01-vds01-pg-mgmt")</f>
        <v>lax01-m01-cl01-vds01-pg-mgmt</v>
      </c>
      <c r="D389" s="156"/>
      <c r="E389" s="4"/>
    </row>
    <row r="390" spans="2:7" ht="20" customHeight="1" x14ac:dyDescent="0.2">
      <c r="B390" s="4" t="s">
        <v>270</v>
      </c>
      <c r="C390" s="65" t="str">
        <f>sample_mgmt_witness_mgmt_pg</f>
        <v>lax01-m01-cl01-vds01-pg-mgmt</v>
      </c>
      <c r="D390" s="10" t="str">
        <f>mgmt_witness_mgmt_pg</f>
        <v>Value Missing</v>
      </c>
      <c r="E390" s="4"/>
    </row>
    <row r="391" spans="2:7" ht="20" customHeight="1" x14ac:dyDescent="0.2">
      <c r="B391" s="4" t="s">
        <v>271</v>
      </c>
      <c r="C391" s="65" t="s">
        <v>31</v>
      </c>
      <c r="D391" s="156"/>
      <c r="E391" s="4"/>
    </row>
    <row r="392" spans="2:7" ht="20" customHeight="1" x14ac:dyDescent="0.2">
      <c r="B392" s="4" t="s">
        <v>272</v>
      </c>
      <c r="C392" s="153" t="str">
        <f>IF(mgmt_dpg_reuse_result="Included",CONCATENATE(prefix_other_region_az1_cidr,"10.218"),CONCATENATE(prefix_other_region_az1_cidr,"11.219"))</f>
        <v>10.21.10.218</v>
      </c>
      <c r="D392" s="156"/>
      <c r="E392" s="8" t="s">
        <v>273</v>
      </c>
    </row>
    <row r="393" spans="2:7" ht="20" customHeight="1" x14ac:dyDescent="0.2">
      <c r="B393" s="4" t="s">
        <v>274</v>
      </c>
      <c r="C393" s="65" t="s">
        <v>126</v>
      </c>
      <c r="D393" s="10" t="str" cm="1">
        <f t="array" ref="D393">mgmt_witnessaz_mgmt_mask</f>
        <v>Value Missing</v>
      </c>
      <c r="E393" s="4"/>
    </row>
    <row r="394" spans="2:7" ht="20" customHeight="1" x14ac:dyDescent="0.2">
      <c r="B394" s="4" t="s">
        <v>180</v>
      </c>
      <c r="C394" s="65" t="str">
        <f>sample_mgmt_witnessaz_mgmt_gateway_ip</f>
        <v>10.21.10.1</v>
      </c>
      <c r="D394" s="10" t="str">
        <f>mgmt_witnessaz_mgmt_gateway_ip</f>
        <v>Value Missing</v>
      </c>
      <c r="E394" s="4"/>
    </row>
    <row r="395" spans="2:7" ht="20" customHeight="1" x14ac:dyDescent="0.2">
      <c r="B395" s="4" t="s">
        <v>275</v>
      </c>
      <c r="C395" s="65" t="str">
        <f>sample_child_dns_zone</f>
        <v>sfo.rainpole.io</v>
      </c>
      <c r="D395" s="10"/>
      <c r="E395" s="4"/>
    </row>
    <row r="396" spans="2:7" ht="20" customHeight="1" x14ac:dyDescent="0.2">
      <c r="B396" s="4" t="s">
        <v>276</v>
      </c>
      <c r="C396" s="65" t="str">
        <f>CONCATENATE(this_instance,"-m01-cl01-vsw01")</f>
        <v>sfo-m01-cl01-vsw01</v>
      </c>
      <c r="D396" s="10" t="str">
        <f>mgmt_witness_hostname</f>
        <v>Value Missing</v>
      </c>
      <c r="E396" s="4"/>
    </row>
    <row r="397" spans="2:7" ht="20" customHeight="1" x14ac:dyDescent="0.2">
      <c r="B397" s="4" t="s">
        <v>277</v>
      </c>
      <c r="C397" s="103" t="str">
        <f>IF(mgmt_dpg_reuse_result="Included",CONCATENATE(prefix_other_region_az1_cidr,"10.4"),CONCATENATE(prefix_other_region_az1_cidr,"11.4"))</f>
        <v>10.21.10.4</v>
      </c>
      <c r="D397" s="156"/>
      <c r="E397" s="8" t="s">
        <v>278</v>
      </c>
    </row>
    <row r="398" spans="2:7" ht="20" customHeight="1" x14ac:dyDescent="0.2">
      <c r="B398" s="4" t="s">
        <v>279</v>
      </c>
      <c r="C398" s="103" t="str">
        <f>IF(mgmt_dpg_reuse_result="Included",CONCATENATE(prefix_other_region_az1_cidr,"10.5"),CONCATENATE(prefix_other_region_az1_cidr,"11.5"))</f>
        <v>10.21.10.5</v>
      </c>
      <c r="D398" s="156"/>
      <c r="E398" s="8" t="s">
        <v>280</v>
      </c>
    </row>
    <row r="399" spans="2:7" ht="20" customHeight="1" x14ac:dyDescent="0.2">
      <c r="B399" s="4" t="s">
        <v>281</v>
      </c>
      <c r="C399" s="105" t="str">
        <f>CONCATENATE("ntp0.",this_instance,".rainpole.io")</f>
        <v>ntp0.sfo.rainpole.io</v>
      </c>
      <c r="D399" s="156"/>
      <c r="E399" s="8"/>
    </row>
    <row r="400" spans="2:7" ht="20" customHeight="1" x14ac:dyDescent="0.2">
      <c r="B400" s="4" t="s">
        <v>282</v>
      </c>
      <c r="C400" s="167" t="str">
        <f>CONCATENATE("ntp1.",this_instance,".rainpole.io")</f>
        <v>ntp1.sfo.rainpole.io</v>
      </c>
      <c r="D400" s="156"/>
      <c r="E400" s="4"/>
      <c r="G400" s="36"/>
    </row>
    <row r="401" spans="2:7" ht="20" customHeight="1" x14ac:dyDescent="0.2">
      <c r="B401" s="553" t="s">
        <v>283</v>
      </c>
      <c r="C401" s="554"/>
      <c r="D401" s="554"/>
      <c r="E401" s="555"/>
    </row>
    <row r="402" spans="2:7" ht="20" customHeight="1" x14ac:dyDescent="0.2">
      <c r="B402" s="4" t="s">
        <v>262</v>
      </c>
      <c r="C402" s="65" t="str">
        <f>sample_mgmt_vc_fqdn</f>
        <v>sfo-m01-vc01.sfo.rainpole.io</v>
      </c>
      <c r="D402" s="134" t="str">
        <f>mgmt_vc_fqdn</f>
        <v>Value Missing</v>
      </c>
      <c r="E402" s="4"/>
      <c r="G402" s="36"/>
    </row>
    <row r="403" spans="2:7" ht="20" customHeight="1" x14ac:dyDescent="0.2">
      <c r="B403" s="4" t="s">
        <v>284</v>
      </c>
      <c r="C403" s="65" t="str">
        <f>sample_mgmt_datacenter</f>
        <v>sfo-m01-dc01</v>
      </c>
      <c r="D403" s="134" t="str">
        <f>mgmt_datacenter</f>
        <v>Value Missing</v>
      </c>
      <c r="E403" s="4"/>
    </row>
    <row r="404" spans="2:7" ht="20" customHeight="1" x14ac:dyDescent="0.2">
      <c r="B404" s="4" t="s">
        <v>39</v>
      </c>
      <c r="C404" s="65" t="str">
        <f>sample_mgmt_witness_hostname</f>
        <v>sfo-m01-cl01-vsw01</v>
      </c>
      <c r="D404" s="134" t="str">
        <f>mgmt_witness_hostname</f>
        <v>Value Missing</v>
      </c>
      <c r="E404" s="4"/>
    </row>
    <row r="405" spans="2:7" ht="20" customHeight="1" x14ac:dyDescent="0.2">
      <c r="B405" s="4" t="s">
        <v>285</v>
      </c>
      <c r="C405" s="65" t="str">
        <f>sample_mgmt_witness_root_password</f>
        <v>VMw@re1!</v>
      </c>
      <c r="D405" s="134" t="str">
        <f>mgmt_witness_root_password</f>
        <v>Value Missing</v>
      </c>
      <c r="E405" s="4"/>
    </row>
    <row r="406" spans="2:7" ht="20" customHeight="1" x14ac:dyDescent="0.2">
      <c r="B406" s="553" t="s">
        <v>286</v>
      </c>
      <c r="C406" s="554"/>
      <c r="D406" s="554"/>
      <c r="E406" s="555"/>
    </row>
    <row r="407" spans="2:7" ht="20" customHeight="1" x14ac:dyDescent="0.2">
      <c r="B407" s="4" t="s">
        <v>262</v>
      </c>
      <c r="C407" s="65" t="str">
        <f>sample_mgmt_vc_fqdn</f>
        <v>sfo-m01-vc01.sfo.rainpole.io</v>
      </c>
      <c r="D407" s="134" t="str">
        <f>mgmt_vc_fqdn</f>
        <v>Value Missing</v>
      </c>
      <c r="E407" s="4"/>
    </row>
    <row r="408" spans="2:7" ht="20" customHeight="1" x14ac:dyDescent="0.2">
      <c r="B408" s="4" t="s">
        <v>287</v>
      </c>
      <c r="C408" s="65" t="str">
        <f>CONCATENATE(this_instance,"-m01-cl01-vsw01")</f>
        <v>sfo-m01-cl01-vsw01</v>
      </c>
      <c r="D408" s="134" t="str">
        <f>mgmt_witness_hostname</f>
        <v>Value Missing</v>
      </c>
      <c r="E408" s="4"/>
    </row>
    <row r="409" spans="2:7" ht="20" customHeight="1" x14ac:dyDescent="0.2">
      <c r="B409" s="4" t="s">
        <v>288</v>
      </c>
      <c r="C409" s="65" t="str">
        <f>CONCATENATE(sample_mgmt_witness_ntp1_server,",",sample_mgmt_witness_ntp2_server)</f>
        <v>ntp0.sfo.rainpole.io,ntp1.sfo.rainpole.io</v>
      </c>
      <c r="D409" s="134" t="str">
        <f>IF(AND((NOT(ISBLANK(witness_ntp2_server))),(witness_ntp2_server&lt;&gt;"n/a"),(witness_ntp2_server&lt;&gt;"")),CONCATENATE(witness_ntp1_server,",",witness_ntp2_server))</f>
        <v>Value Missing,Value Missing</v>
      </c>
      <c r="E409" s="42"/>
      <c r="G409" s="36"/>
    </row>
    <row r="410" spans="2:7" ht="20" customHeight="1" x14ac:dyDescent="0.2">
      <c r="B410" s="553" t="s">
        <v>289</v>
      </c>
      <c r="C410" s="554"/>
      <c r="D410" s="554"/>
      <c r="E410" s="555"/>
    </row>
    <row r="411" spans="2:7" ht="20" customHeight="1" x14ac:dyDescent="0.2">
      <c r="B411" s="4" t="s">
        <v>262</v>
      </c>
      <c r="C411" s="65" t="str">
        <f>sample_mgmt_vc_fqdn</f>
        <v>sfo-m01-vc01.sfo.rainpole.io</v>
      </c>
      <c r="D411" s="134" t="str">
        <f>mgmt_vc_fqdn</f>
        <v>Value Missing</v>
      </c>
      <c r="E411" s="4"/>
    </row>
    <row r="412" spans="2:7" ht="20" customHeight="1" x14ac:dyDescent="0.2">
      <c r="B412" s="4" t="s">
        <v>290</v>
      </c>
      <c r="C412" s="65" t="str">
        <f>sample_mgmt_datacenter</f>
        <v>sfo-m01-dc01</v>
      </c>
      <c r="D412" s="134" t="str">
        <f>mgmt_datacenter</f>
        <v>Value Missing</v>
      </c>
      <c r="E412" s="4"/>
    </row>
    <row r="413" spans="2:7" ht="20" customHeight="1" x14ac:dyDescent="0.2">
      <c r="B413" s="4" t="s">
        <v>291</v>
      </c>
      <c r="C413" s="65" t="str">
        <f>sample_mgmt_witness_hostname</f>
        <v>sfo-m01-cl01-vsw01</v>
      </c>
      <c r="D413" s="134" t="str">
        <f>mgmt_witness_hostname</f>
        <v>Value Missing</v>
      </c>
      <c r="E413" s="4"/>
    </row>
    <row r="414" spans="2:7" ht="16" customHeight="1" x14ac:dyDescent="0.2"/>
    <row r="415" spans="2:7" ht="34" customHeight="1" x14ac:dyDescent="0.2">
      <c r="B415" s="556" t="s">
        <v>2964</v>
      </c>
      <c r="C415" s="557"/>
      <c r="D415" s="557"/>
      <c r="E415" s="558"/>
    </row>
    <row r="416" spans="2:7" ht="20" customHeight="1" x14ac:dyDescent="0.2">
      <c r="B416" s="62" t="s">
        <v>250</v>
      </c>
      <c r="C416" s="62" t="s">
        <v>251</v>
      </c>
      <c r="D416" s="160" t="s">
        <v>20</v>
      </c>
      <c r="E416" s="62" t="s">
        <v>252</v>
      </c>
    </row>
    <row r="417" spans="2:7" ht="20" customHeight="1" x14ac:dyDescent="0.2">
      <c r="B417" s="553" t="s">
        <v>292</v>
      </c>
      <c r="C417" s="554"/>
      <c r="D417" s="554"/>
      <c r="E417" s="555"/>
    </row>
    <row r="418" spans="2:7" ht="20" customHeight="1" x14ac:dyDescent="0.2">
      <c r="B418" s="4" t="str">
        <f t="array" ref="B418:B433">mgmt_az2_host_fqdns</f>
        <v>Value Missing</v>
      </c>
      <c r="C418" s="65" t="s">
        <v>293</v>
      </c>
      <c r="D418" s="114"/>
      <c r="E418" s="321" t="s">
        <v>294</v>
      </c>
    </row>
    <row r="419" spans="2:7" ht="20" customHeight="1" x14ac:dyDescent="0.2">
      <c r="B419" s="4" t="str">
        <v>Value Missing</v>
      </c>
      <c r="C419" s="65" t="s">
        <v>295</v>
      </c>
      <c r="D419" s="114"/>
      <c r="E419" s="322" t="s">
        <v>296</v>
      </c>
    </row>
    <row r="420" spans="2:7" ht="20" customHeight="1" x14ac:dyDescent="0.2">
      <c r="B420" s="4" t="str">
        <v>Value Missing</v>
      </c>
      <c r="C420" s="65" t="s">
        <v>297</v>
      </c>
      <c r="D420" s="114"/>
      <c r="E420" s="322" t="s">
        <v>298</v>
      </c>
    </row>
    <row r="421" spans="2:7" ht="20" customHeight="1" x14ac:dyDescent="0.2">
      <c r="B421" s="4" t="str">
        <v>Value Missing</v>
      </c>
      <c r="C421" s="65" t="s">
        <v>299</v>
      </c>
      <c r="D421" s="114"/>
      <c r="E421" s="322" t="s">
        <v>300</v>
      </c>
    </row>
    <row r="422" spans="2:7" ht="20" customHeight="1" x14ac:dyDescent="0.2">
      <c r="B422" s="4" t="str">
        <v>Value Missing</v>
      </c>
      <c r="C422" s="168" t="s">
        <v>301</v>
      </c>
      <c r="D422" s="114"/>
      <c r="E422" s="322" t="s">
        <v>302</v>
      </c>
    </row>
    <row r="423" spans="2:7" ht="20" customHeight="1" x14ac:dyDescent="0.2">
      <c r="B423" s="4" t="str">
        <v>Value Missing</v>
      </c>
      <c r="C423" s="168" t="s">
        <v>303</v>
      </c>
      <c r="D423" s="114"/>
      <c r="E423" s="322" t="s">
        <v>304</v>
      </c>
    </row>
    <row r="424" spans="2:7" ht="20" customHeight="1" x14ac:dyDescent="0.2">
      <c r="B424" s="4" t="str">
        <v>Value Missing</v>
      </c>
      <c r="C424" s="168" t="s">
        <v>305</v>
      </c>
      <c r="D424" s="114"/>
      <c r="E424" s="322" t="s">
        <v>306</v>
      </c>
    </row>
    <row r="425" spans="2:7" ht="20" customHeight="1" x14ac:dyDescent="0.2">
      <c r="B425" s="4" t="str">
        <v>Value Missing</v>
      </c>
      <c r="C425" s="168" t="s">
        <v>307</v>
      </c>
      <c r="D425" s="114"/>
      <c r="E425" s="322" t="s">
        <v>308</v>
      </c>
    </row>
    <row r="426" spans="2:7" ht="20" customHeight="1" x14ac:dyDescent="0.2">
      <c r="B426" s="4" t="str">
        <v>Value Missing</v>
      </c>
      <c r="C426" s="168" t="s">
        <v>309</v>
      </c>
      <c r="D426" s="114"/>
      <c r="E426" s="322" t="s">
        <v>310</v>
      </c>
    </row>
    <row r="427" spans="2:7" ht="20" customHeight="1" x14ac:dyDescent="0.2">
      <c r="B427" s="4" t="str">
        <v>Value Missing</v>
      </c>
      <c r="C427" s="168" t="s">
        <v>311</v>
      </c>
      <c r="D427" s="114"/>
      <c r="E427" s="322" t="s">
        <v>312</v>
      </c>
    </row>
    <row r="428" spans="2:7" ht="20" customHeight="1" x14ac:dyDescent="0.2">
      <c r="B428" s="4" t="str">
        <v>Value Missing</v>
      </c>
      <c r="C428" s="168" t="s">
        <v>313</v>
      </c>
      <c r="D428" s="114"/>
      <c r="E428" s="322" t="s">
        <v>314</v>
      </c>
      <c r="G428" s="36"/>
    </row>
    <row r="429" spans="2:7" ht="20" customHeight="1" x14ac:dyDescent="0.2">
      <c r="B429" s="4" t="str">
        <v>Value Missing</v>
      </c>
      <c r="C429" s="168" t="s">
        <v>315</v>
      </c>
      <c r="D429" s="114"/>
      <c r="E429" s="322" t="s">
        <v>316</v>
      </c>
      <c r="G429" s="36"/>
    </row>
    <row r="430" spans="2:7" ht="20" customHeight="1" x14ac:dyDescent="0.2">
      <c r="B430" s="4" t="str">
        <v>Value Missing</v>
      </c>
      <c r="C430" s="168" t="s">
        <v>317</v>
      </c>
      <c r="D430" s="114"/>
      <c r="E430" s="322" t="s">
        <v>318</v>
      </c>
      <c r="G430" s="36"/>
    </row>
    <row r="431" spans="2:7" ht="20" customHeight="1" x14ac:dyDescent="0.2">
      <c r="B431" s="4" t="str">
        <v>Value Missing</v>
      </c>
      <c r="C431" s="168" t="s">
        <v>319</v>
      </c>
      <c r="D431" s="114"/>
      <c r="E431" s="322" t="s">
        <v>320</v>
      </c>
      <c r="G431" s="36"/>
    </row>
    <row r="432" spans="2:7" ht="20" customHeight="1" x14ac:dyDescent="0.2">
      <c r="B432" s="4" t="str">
        <v>Value Missing</v>
      </c>
      <c r="C432" s="168" t="s">
        <v>321</v>
      </c>
      <c r="D432" s="114"/>
      <c r="E432" s="322" t="s">
        <v>322</v>
      </c>
      <c r="G432" s="36"/>
    </row>
    <row r="433" spans="2:7" ht="20" customHeight="1" x14ac:dyDescent="0.2">
      <c r="B433" s="4" t="str">
        <v>Value Missing</v>
      </c>
      <c r="C433" s="168" t="s">
        <v>323</v>
      </c>
      <c r="D433" s="114"/>
      <c r="E433" s="322" t="s">
        <v>324</v>
      </c>
      <c r="G433" s="36"/>
    </row>
    <row r="434" spans="2:7" ht="20" customHeight="1" x14ac:dyDescent="0.2">
      <c r="B434" s="4" t="s">
        <v>325</v>
      </c>
      <c r="C434" s="169" t="str">
        <f>CONCATENATE(this_instance,"02-",sample_mgmt_cl01_cluster,"-r01-network-profile")</f>
        <v>sfo02-sfo-m01-cl01-r01-network-profile</v>
      </c>
      <c r="D434" s="164"/>
      <c r="E434" s="8"/>
      <c r="G434" s="36"/>
    </row>
    <row r="435" spans="2:7" ht="20" customHeight="1" x14ac:dyDescent="0.2">
      <c r="B435" s="4" t="s">
        <v>326</v>
      </c>
      <c r="C435" s="65" t="s">
        <v>327</v>
      </c>
      <c r="D435" s="164" t="s">
        <v>327</v>
      </c>
      <c r="E435" s="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436" spans="2:7" ht="20" customHeight="1" x14ac:dyDescent="0.2">
      <c r="B436" s="4" t="s">
        <v>328</v>
      </c>
      <c r="C436" s="169" t="str">
        <f>CONCATENATE(this_instance,"02-m01","-r01-ip-pool01-host")</f>
        <v>sfo02-m01-r01-ip-pool01-host</v>
      </c>
      <c r="D436" s="164"/>
      <c r="E436" s="4"/>
      <c r="G436" s="36"/>
    </row>
    <row r="437" spans="2:7" ht="20" customHeight="1" x14ac:dyDescent="0.2">
      <c r="B437" s="4" t="s">
        <v>329</v>
      </c>
      <c r="C437" s="169" t="str">
        <f>CONCATENATE(this_instance,"02-m01","-r01-uplink-profile01")</f>
        <v>sfo02-m01-r01-uplink-profile01</v>
      </c>
      <c r="D437" s="164"/>
      <c r="E437" s="4"/>
      <c r="G437" s="36"/>
    </row>
    <row r="438" spans="2:7" ht="20" customHeight="1" x14ac:dyDescent="0.2">
      <c r="B438" s="23" t="s">
        <v>330</v>
      </c>
      <c r="C438" s="103" t="str">
        <f>CONCATENATE(prefix_mgmt_az2_vlan,"14")</f>
        <v>1214</v>
      </c>
      <c r="D438" s="164"/>
      <c r="E438" s="23"/>
      <c r="G438" s="36"/>
    </row>
    <row r="439" spans="2:7" ht="20" customHeight="1" x14ac:dyDescent="0.2">
      <c r="B439" s="4" t="s">
        <v>331</v>
      </c>
      <c r="C439" s="103" t="str">
        <f>CONCATENATE(prefix_mgmt_az2_cidr,"14.1")</f>
        <v>10.12.14.1</v>
      </c>
      <c r="D439" s="164"/>
      <c r="E439" s="30"/>
      <c r="G439" s="36"/>
    </row>
    <row r="440" spans="2:7" ht="20" customHeight="1" x14ac:dyDescent="0.2">
      <c r="B440" s="4" t="s">
        <v>332</v>
      </c>
      <c r="C440" s="103" t="str">
        <f>CONCATENATE(prefix_mgmt_az2_cidr,"14.0/24")</f>
        <v>10.12.14.0/24</v>
      </c>
      <c r="D440" s="164"/>
      <c r="E440" s="30"/>
      <c r="G440" s="36"/>
    </row>
    <row r="441" spans="2:7" ht="20" customHeight="1" x14ac:dyDescent="0.2">
      <c r="B441" s="4" t="s">
        <v>333</v>
      </c>
      <c r="C441" s="103">
        <f>9000</f>
        <v>9000</v>
      </c>
      <c r="D441" s="164"/>
      <c r="E441" s="30"/>
      <c r="G441" s="36"/>
    </row>
    <row r="442" spans="2:7" ht="20" customHeight="1" x14ac:dyDescent="0.2">
      <c r="B442" s="23" t="s">
        <v>244</v>
      </c>
      <c r="C442" s="103" t="str">
        <f>CONCATENATE(prefix_mgmt_az2_cidr,"14.101")</f>
        <v>10.12.14.101</v>
      </c>
      <c r="D442" s="164"/>
      <c r="E442" s="30"/>
      <c r="G442" s="36"/>
    </row>
    <row r="443" spans="2:7" ht="20" customHeight="1" x14ac:dyDescent="0.2">
      <c r="B443" s="23" t="s">
        <v>245</v>
      </c>
      <c r="C443" s="103" t="str">
        <f>CONCATENATE(prefix_mgmt_az2_cidr,"14.132")</f>
        <v>10.12.14.132</v>
      </c>
      <c r="D443" s="164"/>
      <c r="E443" s="30"/>
      <c r="G443" s="36"/>
    </row>
    <row r="444" spans="2:7" ht="20" customHeight="1" x14ac:dyDescent="0.2">
      <c r="B444" s="4" t="s">
        <v>334</v>
      </c>
      <c r="C444" s="65" t="str">
        <f>CONCATENATE(this_instance,"-m01-cl01-vsw01.",sample_child_dns_zone)</f>
        <v>sfo-m01-cl01-vsw01.sfo.rainpole.io</v>
      </c>
      <c r="D444" s="164"/>
      <c r="E444" s="8"/>
      <c r="G444" s="36"/>
    </row>
    <row r="445" spans="2:7" ht="20" customHeight="1" x14ac:dyDescent="0.2">
      <c r="B445" s="4" t="s">
        <v>335</v>
      </c>
      <c r="C445" s="65" t="str">
        <f>sample_mgmt_witnessaz_mgmt_cidr</f>
        <v>10.21.10.0/24</v>
      </c>
      <c r="D445" s="285" t="str">
        <f>mgmt_witnessaz_mgmt_cidr</f>
        <v>Value Missing</v>
      </c>
      <c r="E445" s="8" t="s">
        <v>336</v>
      </c>
      <c r="G445" s="36"/>
    </row>
    <row r="446" spans="2:7" ht="20" customHeight="1" x14ac:dyDescent="0.2">
      <c r="B446" s="4" t="s">
        <v>337</v>
      </c>
      <c r="C446" s="109" t="str">
        <f>sample_mgmt_witness_ip</f>
        <v>10.21.10.218</v>
      </c>
      <c r="D446" s="285" t="str">
        <f>mgmt_witness_mgmt_ip</f>
        <v>Value Missing</v>
      </c>
      <c r="E446" s="8" t="s">
        <v>338</v>
      </c>
      <c r="G446" s="36"/>
    </row>
    <row r="447" spans="2:7" ht="20" customHeight="1" x14ac:dyDescent="0.2">
      <c r="B447" s="4" t="s">
        <v>339</v>
      </c>
      <c r="C447" s="65" t="s">
        <v>340</v>
      </c>
      <c r="D447" s="164"/>
      <c r="E447" s="8" t="s">
        <v>341</v>
      </c>
    </row>
    <row r="448" spans="2:7" ht="20" customHeight="1" x14ac:dyDescent="0.2">
      <c r="B448" s="468"/>
      <c r="C448" s="468"/>
      <c r="D448" s="468"/>
      <c r="E448" s="468"/>
    </row>
    <row r="449" spans="2:5" ht="34" customHeight="1" x14ac:dyDescent="0.2">
      <c r="B449" s="556" t="s">
        <v>2963</v>
      </c>
      <c r="C449" s="557"/>
      <c r="D449" s="557"/>
      <c r="E449" s="558"/>
    </row>
    <row r="450" spans="2:5" ht="20" customHeight="1" x14ac:dyDescent="0.2">
      <c r="B450" s="553" t="s">
        <v>342</v>
      </c>
      <c r="C450" s="554"/>
      <c r="D450" s="554"/>
      <c r="E450" s="555"/>
    </row>
    <row r="451" spans="2:5" ht="20" customHeight="1" x14ac:dyDescent="0.2">
      <c r="B451" s="4" t="s">
        <v>343</v>
      </c>
      <c r="C451" s="65" t="str">
        <f>sample_mgmt_nsxt_vip_fqdn</f>
        <v>sfo-m01-nsx01.sfo.rainpole.io</v>
      </c>
      <c r="D451" s="8" t="str">
        <f>mgmt_nsxt_vip_fqdn</f>
        <v>Value Missing</v>
      </c>
      <c r="E451" s="8" t="str">
        <f>IF(mgmt_vns_chosen&lt;&gt;"Centralized Connectivity", "These sections are masked out as NSX connectivity has not be configured or selected in Post-Deployment Options" )</f>
        <v>These sections are masked out as NSX connectivity has not be configured or selected in Post-Deployment Options</v>
      </c>
    </row>
    <row r="452" spans="2:5" ht="20" customHeight="1" x14ac:dyDescent="0.2">
      <c r="B452" s="553" t="s">
        <v>344</v>
      </c>
      <c r="C452" s="554"/>
      <c r="D452" s="554"/>
      <c r="E452" s="555"/>
    </row>
    <row r="453" spans="2:5" ht="20" customHeight="1" x14ac:dyDescent="0.2">
      <c r="B453" s="4" t="s">
        <v>343</v>
      </c>
      <c r="C453" s="65" t="str">
        <f>sample_mgmt_nsxt_vip_fqdn</f>
        <v>sfo-m01-nsx01.sfo.rainpole.io</v>
      </c>
      <c r="D453" s="134" t="str">
        <f>mgmt_nsxt_vip_fqdn</f>
        <v>Value Missing</v>
      </c>
      <c r="E453" s="4"/>
    </row>
    <row r="454" spans="2:5" ht="20" customHeight="1" x14ac:dyDescent="0.2">
      <c r="B454" s="4" t="s">
        <v>345</v>
      </c>
      <c r="C454" s="65" t="str">
        <f>sample_mgmt_en_asn</f>
        <v>65101</v>
      </c>
      <c r="D454" s="134" t="str">
        <f>mgmt_en_asn</f>
        <v>Value Missing</v>
      </c>
      <c r="E454" s="4"/>
    </row>
    <row r="455" spans="2:5" ht="20" customHeight="1" x14ac:dyDescent="0.2">
      <c r="B455" s="553" t="s">
        <v>346</v>
      </c>
      <c r="C455" s="554"/>
      <c r="D455" s="554"/>
      <c r="E455" s="555"/>
    </row>
    <row r="456" spans="2:5" ht="20" customHeight="1" x14ac:dyDescent="0.2">
      <c r="B456" s="4" t="s">
        <v>343</v>
      </c>
      <c r="C456" s="65" t="str">
        <f>sample_mgmt_nsxt_vip_fqdn</f>
        <v>sfo-m01-nsx01.sfo.rainpole.io</v>
      </c>
      <c r="D456" s="134" t="str">
        <f>mgmt_nsxt_vip_fqdn</f>
        <v>Value Missing</v>
      </c>
      <c r="E456" s="8"/>
    </row>
    <row r="457" spans="2:5" ht="20" customHeight="1" x14ac:dyDescent="0.2">
      <c r="B457" s="4" t="s">
        <v>347</v>
      </c>
      <c r="C457" s="65" t="str">
        <f>CONCATENATE(prefix_mgmt_az1_cidr,"17.11")</f>
        <v>10.11.17.11</v>
      </c>
      <c r="D457" s="66"/>
      <c r="E457" s="8" t="s">
        <v>163</v>
      </c>
    </row>
    <row r="458" spans="2:5" ht="20" customHeight="1" x14ac:dyDescent="0.2">
      <c r="B458" s="4" t="s">
        <v>348</v>
      </c>
      <c r="C458" s="65" t="str">
        <f>IF(wld_domain_chosen="First Domain",CONCATENATE(asn_start,asn_instance,asn_mgmt_az2,1),IF(wld_nsxt_federation_result="Included",CONCATENATE(asn_start,asn_instance,asn_mgmt_az2,1),CONCATENATE(asn_start,asn_instance,asn_mgmt_az2,1)))</f>
        <v>65121</v>
      </c>
      <c r="D458" s="66"/>
      <c r="E458" s="8" t="s">
        <v>164</v>
      </c>
    </row>
    <row r="459" spans="2:5" ht="20" customHeight="1" x14ac:dyDescent="0.2">
      <c r="B459" s="4" t="s">
        <v>349</v>
      </c>
      <c r="C459" s="65" t="str">
        <f>sample_mgmt_az1_en1_uplink01_interface_cidr</f>
        <v>10.11.17.2/24</v>
      </c>
      <c r="D459" s="134" t="str">
        <f>mgmt_az1_en1_uplink01_interface_cidr</f>
        <v>Value Missing</v>
      </c>
      <c r="E459" s="8"/>
    </row>
    <row r="460" spans="2:5" ht="20" customHeight="1" x14ac:dyDescent="0.2">
      <c r="B460" s="4" t="s">
        <v>350</v>
      </c>
      <c r="C460" s="65" t="str">
        <f>sample_mgmt_az1_en2_uplink01_interface_cidr</f>
        <v>10.11.17.3/24</v>
      </c>
      <c r="D460" s="134" t="str">
        <f>mgmt_az1_en2_uplink01_interface_cidr</f>
        <v>Value Missing</v>
      </c>
      <c r="E460" s="8"/>
    </row>
    <row r="461" spans="2:5" ht="20" customHeight="1" x14ac:dyDescent="0.2">
      <c r="B461" s="4" t="s">
        <v>351</v>
      </c>
      <c r="C461" s="65" t="s">
        <v>31</v>
      </c>
      <c r="D461" s="66"/>
      <c r="E461" s="8" t="s">
        <v>165</v>
      </c>
    </row>
    <row r="462" spans="2:5" ht="20" customHeight="1" x14ac:dyDescent="0.2">
      <c r="B462" s="4" t="s">
        <v>352</v>
      </c>
      <c r="C462" s="65" t="str">
        <f>CONCATENATE(prefix_mgmt_az1_cidr,"18.11")</f>
        <v>10.11.18.11</v>
      </c>
      <c r="D462" s="66"/>
      <c r="E462" s="8" t="s">
        <v>166</v>
      </c>
    </row>
    <row r="463" spans="2:5" ht="20" customHeight="1" x14ac:dyDescent="0.2">
      <c r="B463" s="4" t="s">
        <v>349</v>
      </c>
      <c r="C463" s="65" t="str">
        <f>sample_mgmt_az1_en1_uplink02_interface_cidr</f>
        <v>10.11.18.2/24</v>
      </c>
      <c r="D463" s="134" t="str">
        <f>mgmt_az1_en1_uplink02_interface_cidr</f>
        <v>Value Missing</v>
      </c>
      <c r="E463" s="8"/>
    </row>
    <row r="464" spans="2:5" ht="20" customHeight="1" x14ac:dyDescent="0.2">
      <c r="B464" s="4" t="s">
        <v>350</v>
      </c>
      <c r="C464" s="65" t="str">
        <f>sample_mgmt_az1_en2_uplink02_interface_cidr</f>
        <v>10.11.18.3/24</v>
      </c>
      <c r="D464" s="134" t="str">
        <f>mgmt_az1_en2_uplink02_interface_cidr</f>
        <v>Value Missing</v>
      </c>
      <c r="E464" s="8"/>
    </row>
    <row r="465" spans="2:5" ht="20" customHeight="1" x14ac:dyDescent="0.2">
      <c r="B465" s="4" t="s">
        <v>353</v>
      </c>
      <c r="C465" s="65" t="str">
        <f>IF(wld_domain_chosen="First Domain",CONCATENATE(asn_start,asn_instance,asn_mgmt_az2,1),IF(wld_nsxt_federation_result="Included",CONCATENATE(asn_start,asn_instance,asn_mgmt_az2,1),CONCATENATE(asn_start,asn_instance,asn_mgmt_az2,1)))</f>
        <v>65121</v>
      </c>
      <c r="D465" s="66"/>
      <c r="E465" s="8" t="s">
        <v>167</v>
      </c>
    </row>
    <row r="466" spans="2:5" ht="20" customHeight="1" x14ac:dyDescent="0.2">
      <c r="B466" s="4" t="s">
        <v>351</v>
      </c>
      <c r="C466" s="65" t="s">
        <v>31</v>
      </c>
      <c r="D466" s="66"/>
      <c r="E466" s="8" t="s">
        <v>168</v>
      </c>
    </row>
    <row r="467" spans="2:5" ht="16" customHeight="1" x14ac:dyDescent="0.2"/>
    <row r="468" spans="2:5" ht="34" customHeight="1" x14ac:dyDescent="0.2">
      <c r="B468" s="550" t="s">
        <v>7</v>
      </c>
      <c r="C468" s="551"/>
      <c r="D468" s="551"/>
      <c r="E468" s="552"/>
    </row>
    <row r="469" spans="2:5" ht="20" customHeight="1" x14ac:dyDescent="0.2">
      <c r="B469" s="553" t="s">
        <v>354</v>
      </c>
      <c r="C469" s="554"/>
      <c r="D469" s="554"/>
      <c r="E469" s="555"/>
    </row>
    <row r="470" spans="2:5" ht="20" customHeight="1" x14ac:dyDescent="0.2">
      <c r="B470" s="62" t="s">
        <v>250</v>
      </c>
      <c r="C470" s="62" t="s">
        <v>251</v>
      </c>
      <c r="D470" s="160" t="s">
        <v>20</v>
      </c>
      <c r="E470" s="62" t="s">
        <v>252</v>
      </c>
    </row>
    <row r="471" spans="2:5" ht="20" customHeight="1" x14ac:dyDescent="0.2">
      <c r="B471" s="4" t="s">
        <v>355</v>
      </c>
      <c r="C471" s="106" t="str">
        <f>sample_mgmt_vc_fqdn</f>
        <v>sfo-m01-vc01.sfo.rainpole.io</v>
      </c>
      <c r="D471" s="8" t="str">
        <f>mgmt_vc_fqdn</f>
        <v>Value Missing</v>
      </c>
      <c r="E471" s="4"/>
    </row>
    <row r="472" spans="2:5" ht="20" customHeight="1" x14ac:dyDescent="0.2">
      <c r="B472" s="553" t="s">
        <v>356</v>
      </c>
      <c r="C472" s="554"/>
      <c r="D472" s="554"/>
      <c r="E472" s="555"/>
    </row>
    <row r="473" spans="2:5" ht="20" customHeight="1" x14ac:dyDescent="0.2">
      <c r="B473" s="4" t="s">
        <v>357</v>
      </c>
      <c r="C473" s="171" t="str">
        <f>CONCATENATE(this_instance,"-m01-nsx-gm01a")</f>
        <v>sfo-m01-nsx-gm01a</v>
      </c>
      <c r="D473" s="156"/>
      <c r="E473" s="4"/>
    </row>
    <row r="474" spans="2:5" ht="20" customHeight="1" x14ac:dyDescent="0.2">
      <c r="B474" s="4" t="s">
        <v>358</v>
      </c>
      <c r="C474" s="106" t="str">
        <f>sample_mgmt_datacenter</f>
        <v>sfo-m01-dc01</v>
      </c>
      <c r="D474" s="8" t="str">
        <f>mgmt_datacenter</f>
        <v>Value Missing</v>
      </c>
      <c r="E474" s="4"/>
    </row>
    <row r="475" spans="2:5" ht="20" customHeight="1" x14ac:dyDescent="0.2">
      <c r="B475" s="4" t="s">
        <v>359</v>
      </c>
      <c r="C475" s="106" t="str">
        <f>sample_mgmt_cl01_cluster</f>
        <v>sfo-m01-cl01</v>
      </c>
      <c r="D475" s="8" t="str">
        <f>mgmt_cl01_cluster</f>
        <v>Value Missing</v>
      </c>
      <c r="E475" s="4"/>
    </row>
    <row r="476" spans="2:5" ht="20" customHeight="1" x14ac:dyDescent="0.2">
      <c r="B476" s="4" t="s">
        <v>360</v>
      </c>
      <c r="C476" s="106" t="s">
        <v>92</v>
      </c>
      <c r="D476" s="66" t="s">
        <v>92</v>
      </c>
      <c r="E476" s="4"/>
    </row>
    <row r="477" spans="2:5" ht="20" customHeight="1" x14ac:dyDescent="0.2">
      <c r="B477" s="4" t="s">
        <v>361</v>
      </c>
      <c r="C477" s="106" t="str">
        <f>sample_mgmt_cl01_vsan_datastore</f>
        <v>sfo-m01-cl01-ds-vsan01</v>
      </c>
      <c r="D477" s="8" t="str">
        <f>mgmt_cl01_vsan_datastore</f>
        <v>Value Missing</v>
      </c>
      <c r="E477" s="4"/>
    </row>
    <row r="478" spans="2:5" ht="20" customHeight="1" x14ac:dyDescent="0.2">
      <c r="B478" s="4" t="s">
        <v>362</v>
      </c>
      <c r="C478" s="172" t="str">
        <f>sample_mgmt_cl01_az1_mgmt_vm_pg</f>
        <v>sfo-m01-cl01-vds01-pg-vm-mgmt</v>
      </c>
      <c r="D478" s="8" t="str">
        <f>mgmt_cl01_az1_mgmt_vm_pg</f>
        <v>Value Missing</v>
      </c>
      <c r="E478" s="4"/>
    </row>
    <row r="479" spans="2:5" ht="20" customHeight="1" x14ac:dyDescent="0.2">
      <c r="B479" s="4" t="s">
        <v>363</v>
      </c>
      <c r="C479" s="106" t="s">
        <v>137</v>
      </c>
      <c r="D479" s="66"/>
      <c r="E479" s="4"/>
    </row>
    <row r="480" spans="2:5" ht="20" customHeight="1" x14ac:dyDescent="0.2">
      <c r="B480" s="4" t="s">
        <v>364</v>
      </c>
      <c r="C480" s="106" t="s">
        <v>137</v>
      </c>
      <c r="D480" s="66"/>
      <c r="E480" s="4"/>
    </row>
    <row r="481" spans="2:7" ht="20" customHeight="1" x14ac:dyDescent="0.2">
      <c r="B481" s="4" t="s">
        <v>365</v>
      </c>
      <c r="C481" s="106" t="s">
        <v>137</v>
      </c>
      <c r="D481" s="66"/>
      <c r="E481" s="4"/>
    </row>
    <row r="482" spans="2:7" ht="20" customHeight="1" x14ac:dyDescent="0.2">
      <c r="B482" s="4" t="s">
        <v>366</v>
      </c>
      <c r="C482" s="106" t="str">
        <f>CONCATENATE(sample_mgmt_nsxt_global_mgra_hostname,".",sample_child_dns_zone)</f>
        <v>sfo-m01-nsx-gm01a.sfo.rainpole.io</v>
      </c>
      <c r="D482" s="66"/>
      <c r="E482" s="8" t="s">
        <v>367</v>
      </c>
    </row>
    <row r="483" spans="2:7" ht="20" customHeight="1" x14ac:dyDescent="0.2">
      <c r="B483" s="4" t="s">
        <v>368</v>
      </c>
      <c r="C483" s="171" t="str">
        <f>IF(mgmt_dpg_reuse_result="Included",CONCATENATE(prefix_mgmt_az1_cidr,"10.82"),CONCATENATE(prefix_mgmt_az1_cidr,"11.82"))</f>
        <v>10.11.10.82</v>
      </c>
      <c r="D483" s="156"/>
      <c r="E483" s="4"/>
    </row>
    <row r="484" spans="2:7" ht="20" customHeight="1" x14ac:dyDescent="0.2">
      <c r="B484" s="4" t="s">
        <v>369</v>
      </c>
      <c r="C484" s="106" t="s">
        <v>126</v>
      </c>
      <c r="D484" s="8" t="str">
        <f>mgmt_az1_mgmt_vm_mask</f>
        <v>Value Missing</v>
      </c>
      <c r="E484" s="4"/>
    </row>
    <row r="485" spans="2:7" ht="20" customHeight="1" x14ac:dyDescent="0.2">
      <c r="B485" s="4" t="s">
        <v>370</v>
      </c>
      <c r="C485" s="106" t="str">
        <f>sample_mgmt_az1_mgmt_vm_gateway_cidr</f>
        <v>10.11.10.1/24</v>
      </c>
      <c r="D485" s="8" t="str">
        <f>mgmt_az1_mgmt_vm_gateway_ip</f>
        <v>Value Missing</v>
      </c>
      <c r="E485" s="4"/>
    </row>
    <row r="486" spans="2:7" ht="20" customHeight="1" x14ac:dyDescent="0.2">
      <c r="B486" s="4" t="s">
        <v>371</v>
      </c>
      <c r="C486" s="106" t="str">
        <f>CONCATENATE(sample_mgmt_witness_dns1_ip,",",sample_mgmt_witness_dns2_ip)</f>
        <v>10.21.10.4,10.21.10.5</v>
      </c>
      <c r="D486" s="8" t="str">
        <f>IF(ISBLANK(input_region_dns1_ip),"Value Missing",CONCATENATE(region_dns1_ip,",",IF(ISBLANK(input_region_dns2_ip),"Value Missing",region_dns2_ip)))</f>
        <v>Value Missing</v>
      </c>
      <c r="E486" s="4"/>
    </row>
    <row r="487" spans="2:7" ht="20" customHeight="1" x14ac:dyDescent="0.2">
      <c r="B487" s="4" t="s">
        <v>372</v>
      </c>
      <c r="C487" s="106" t="str">
        <f>CONCATENATE(sample_child_dns_zone,",",sample_parent_dns_zone)</f>
        <v>sfo.rainpole.io,rainpole.io</v>
      </c>
      <c r="D487" s="8"/>
      <c r="E487" s="4"/>
      <c r="G487" s="36"/>
    </row>
    <row r="488" spans="2:7" ht="20" customHeight="1" x14ac:dyDescent="0.2">
      <c r="B488" s="4" t="s">
        <v>373</v>
      </c>
      <c r="C488" s="106" t="str">
        <f>IF(AND((NOT(ISBLANK(sample_region_ntp2_server))),(sample_region_ntp2_server &lt;&gt; "n/a")),CONCATENATE(sample_region_ntp1_server,",",sample_region_ntp2_server),sample_region_ntp1_server)</f>
        <v>ntp0.sfo.rainpole.io,ntp1.sfo.rainpole.io</v>
      </c>
      <c r="D488" s="8" t="str">
        <f>IF(AND((NOT(ISBLANK(region_ntp2_server))),(region_ntp2_server&lt;&gt;"n/a"),(region_ntp2_server&lt;&gt;"")),CONCATENATE(region_ntp1_server,",",region_ntp2_server,region_ntp1_server))</f>
        <v>Value Missing,Value MissingValue Missing</v>
      </c>
      <c r="E488" s="4"/>
    </row>
    <row r="489" spans="2:7" ht="20" customHeight="1" x14ac:dyDescent="0.2">
      <c r="B489" s="553" t="s">
        <v>374</v>
      </c>
      <c r="C489" s="554"/>
      <c r="D489" s="554"/>
      <c r="E489" s="555"/>
    </row>
    <row r="490" spans="2:7" ht="20" customHeight="1" x14ac:dyDescent="0.2">
      <c r="B490" s="4" t="s">
        <v>375</v>
      </c>
      <c r="C490" s="171" t="str">
        <f>CONCATENATE(this_instance,"-m01-nsx-gm01b")</f>
        <v>sfo-m01-nsx-gm01b</v>
      </c>
      <c r="D490" s="156"/>
      <c r="E490" s="4"/>
    </row>
    <row r="491" spans="2:7" ht="20" customHeight="1" x14ac:dyDescent="0.2">
      <c r="B491" s="4" t="s">
        <v>376</v>
      </c>
      <c r="C491" s="106" t="str">
        <f>sample_mgmt_datacenter</f>
        <v>sfo-m01-dc01</v>
      </c>
      <c r="D491" s="8" t="str">
        <f>mgmt_datacenter</f>
        <v>Value Missing</v>
      </c>
      <c r="E491" s="4"/>
    </row>
    <row r="492" spans="2:7" ht="20" customHeight="1" x14ac:dyDescent="0.2">
      <c r="B492" s="4" t="s">
        <v>377</v>
      </c>
      <c r="C492" s="106" t="str">
        <f>sample_mgmt_cl01_cluster</f>
        <v>sfo-m01-cl01</v>
      </c>
      <c r="D492" s="8" t="str">
        <f>mgmt_cl01_cluster</f>
        <v>Value Missing</v>
      </c>
      <c r="E492" s="4"/>
    </row>
    <row r="493" spans="2:7" ht="20" customHeight="1" x14ac:dyDescent="0.2">
      <c r="B493" s="4" t="s">
        <v>378</v>
      </c>
      <c r="C493" s="106" t="s">
        <v>92</v>
      </c>
      <c r="D493" s="8" t="str">
        <f>D476</f>
        <v>Medium</v>
      </c>
      <c r="E493" s="4"/>
    </row>
    <row r="494" spans="2:7" ht="20" customHeight="1" x14ac:dyDescent="0.2">
      <c r="B494" s="4" t="s">
        <v>379</v>
      </c>
      <c r="C494" s="106" t="str">
        <f>sample_mgmt_cl01_vsan_datastore</f>
        <v>sfo-m01-cl01-ds-vsan01</v>
      </c>
      <c r="D494" s="8" t="str">
        <f>mgmt_cl01_vsan_datastore</f>
        <v>Value Missing</v>
      </c>
      <c r="E494" s="4"/>
    </row>
    <row r="495" spans="2:7" ht="20" customHeight="1" x14ac:dyDescent="0.2">
      <c r="B495" s="4" t="s">
        <v>380</v>
      </c>
      <c r="C495" s="172" t="str">
        <f>sample_mgmt_cl01_az1_mgmt_vm_pg</f>
        <v>sfo-m01-cl01-vds01-pg-vm-mgmt</v>
      </c>
      <c r="D495" s="8" t="str">
        <f>mgmt_cl01_az1_mgmt_vm_pg</f>
        <v>Value Missing</v>
      </c>
      <c r="E495" s="4"/>
    </row>
    <row r="496" spans="2:7" ht="20" customHeight="1" x14ac:dyDescent="0.2">
      <c r="B496" s="4" t="s">
        <v>381</v>
      </c>
      <c r="C496" s="106" t="str">
        <f>sample_nsxt_gm_root_password</f>
        <v>VMw@re1!VMw@re1!</v>
      </c>
      <c r="D496" s="8" t="str">
        <f>nsxt_gm_root_password</f>
        <v>Value Missing</v>
      </c>
      <c r="E496" s="4"/>
    </row>
    <row r="497" spans="2:7" ht="20" customHeight="1" x14ac:dyDescent="0.2">
      <c r="B497" s="4" t="s">
        <v>382</v>
      </c>
      <c r="C497" s="106" t="str">
        <f>sample_nsxt_gm_audit_password</f>
        <v>VMw@re1!VMw@re1!</v>
      </c>
      <c r="D497" s="8" t="str">
        <f>nsxt_gm_admin_password</f>
        <v>Value Missing</v>
      </c>
      <c r="E497" s="4"/>
    </row>
    <row r="498" spans="2:7" ht="20" customHeight="1" x14ac:dyDescent="0.2">
      <c r="B498" s="4" t="s">
        <v>383</v>
      </c>
      <c r="C498" s="106" t="str">
        <f>sample_nsxt_gm_audit_password</f>
        <v>VMw@re1!VMw@re1!</v>
      </c>
      <c r="D498" s="8" t="str">
        <f>nsxt_gm_audit_password</f>
        <v>Value Missing</v>
      </c>
      <c r="E498" s="4"/>
    </row>
    <row r="499" spans="2:7" ht="20" customHeight="1" x14ac:dyDescent="0.2">
      <c r="B499" s="4" t="s">
        <v>384</v>
      </c>
      <c r="C499" s="106" t="str">
        <f>CONCATENATE(sample_mgmt_nsxt_global_mgrb_hostname,".",sample_child_dns_zone)</f>
        <v>sfo-m01-nsx-gm01b.sfo.rainpole.io</v>
      </c>
      <c r="D499" s="66"/>
      <c r="E499" s="4"/>
    </row>
    <row r="500" spans="2:7" ht="20" customHeight="1" x14ac:dyDescent="0.2">
      <c r="B500" s="4" t="s">
        <v>385</v>
      </c>
      <c r="C500" s="171" t="str">
        <f>IF(mgmt_dpg_reuse_result="Included",CONCATENATE(prefix_mgmt_az1_cidr,"10.83"),CONCATENATE(prefix_mgmt_az1_cidr,"11.83"))</f>
        <v>10.11.10.83</v>
      </c>
      <c r="D500" s="156"/>
      <c r="E500" s="4"/>
    </row>
    <row r="501" spans="2:7" ht="20" customHeight="1" x14ac:dyDescent="0.2">
      <c r="B501" s="4" t="s">
        <v>386</v>
      </c>
      <c r="C501" s="106" t="s">
        <v>126</v>
      </c>
      <c r="D501" s="8" t="str">
        <f>mgmt_az1_mgmt_vm_mask</f>
        <v>Value Missing</v>
      </c>
      <c r="E501" s="4"/>
    </row>
    <row r="502" spans="2:7" ht="20" customHeight="1" x14ac:dyDescent="0.2">
      <c r="B502" s="4" t="s">
        <v>387</v>
      </c>
      <c r="C502" s="106" t="str">
        <f>sample_mgmt_az1_mgmt_vm_gateway_cidr</f>
        <v>10.11.10.1/24</v>
      </c>
      <c r="D502" s="8" t="str">
        <f>mgmt_az1_mgmt_vm_gateway_ip</f>
        <v>Value Missing</v>
      </c>
      <c r="E502" s="4"/>
    </row>
    <row r="503" spans="2:7" ht="20" customHeight="1" x14ac:dyDescent="0.2">
      <c r="B503" s="4" t="s">
        <v>388</v>
      </c>
      <c r="C503" s="106" t="str">
        <f>CONCATENATE(sample_mgmt_witness_dns1_ip,",",sample_mgmt_witness_dns2_ip)</f>
        <v>10.21.10.4,10.21.10.5</v>
      </c>
      <c r="D503" s="8" t="str">
        <f>IF(ISBLANK(input_region_dns1_ip),"Value Missing",CONCATENATE(region_dns1_ip,",",IF(ISBLANK(input_region_dns2_ip),"Value Missing",region_dns2_ip)))</f>
        <v>Value Missing</v>
      </c>
      <c r="E503" s="4"/>
    </row>
    <row r="504" spans="2:7" ht="20" customHeight="1" x14ac:dyDescent="0.2">
      <c r="B504" s="4" t="s">
        <v>389</v>
      </c>
      <c r="C504" s="106" t="str">
        <f>CONCATENATE(sample_child_dns_zone,",",sample_parent_dns_zone)</f>
        <v>sfo.rainpole.io,rainpole.io</v>
      </c>
      <c r="D504" s="8"/>
      <c r="E504" s="4"/>
    </row>
    <row r="505" spans="2:7" ht="20" customHeight="1" x14ac:dyDescent="0.2">
      <c r="B505" s="4" t="s">
        <v>390</v>
      </c>
      <c r="C505" s="106" t="str">
        <f>IF(AND((NOT(ISBLANK(sample_region_ntp2_server))),(sample_region_ntp2_server &lt;&gt; "n/a")),CONCATENATE(sample_region_ntp1_server,",",sample_region_ntp2_server),sample_region_ntp1_server)</f>
        <v>ntp0.sfo.rainpole.io,ntp1.sfo.rainpole.io</v>
      </c>
      <c r="D505" s="8" t="str">
        <f>IF(AND((NOT(ISBLANK(region_ntp2_server))),(region_ntp2_server &lt;&gt; "n/a")),CONCATENATE(region_ntp1_server,",",region_ntp2_server),region_ntp1_server)</f>
        <v>Value Missing,Value Missing</v>
      </c>
      <c r="E505" s="4"/>
    </row>
    <row r="506" spans="2:7" ht="20" customHeight="1" x14ac:dyDescent="0.2">
      <c r="B506" s="553" t="s">
        <v>391</v>
      </c>
      <c r="C506" s="554"/>
      <c r="D506" s="554"/>
      <c r="E506" s="555"/>
    </row>
    <row r="507" spans="2:7" ht="20" customHeight="1" x14ac:dyDescent="0.2">
      <c r="B507" s="4" t="s">
        <v>392</v>
      </c>
      <c r="C507" s="171" t="str">
        <f>CONCATENATE(this_instance,"-m01-nsx-gm01c")</f>
        <v>sfo-m01-nsx-gm01c</v>
      </c>
      <c r="D507" s="156"/>
      <c r="E507" s="4"/>
      <c r="G507" s="36"/>
    </row>
    <row r="508" spans="2:7" ht="20" customHeight="1" x14ac:dyDescent="0.2">
      <c r="B508" s="4" t="s">
        <v>393</v>
      </c>
      <c r="C508" s="106" t="str">
        <f>sample_mgmt_datacenter</f>
        <v>sfo-m01-dc01</v>
      </c>
      <c r="D508" s="8" t="str">
        <f>mgmt_datacenter</f>
        <v>Value Missing</v>
      </c>
      <c r="E508" s="4"/>
    </row>
    <row r="509" spans="2:7" ht="20" customHeight="1" x14ac:dyDescent="0.2">
      <c r="B509" s="4" t="s">
        <v>394</v>
      </c>
      <c r="C509" s="106" t="str">
        <f>sample_mgmt_cl01_cluster</f>
        <v>sfo-m01-cl01</v>
      </c>
      <c r="D509" s="8" t="str">
        <f>mgmt_cl01_cluster</f>
        <v>Value Missing</v>
      </c>
      <c r="E509" s="4"/>
    </row>
    <row r="510" spans="2:7" ht="20" customHeight="1" x14ac:dyDescent="0.2">
      <c r="B510" s="4" t="s">
        <v>395</v>
      </c>
      <c r="C510" s="106" t="s">
        <v>92</v>
      </c>
      <c r="D510" s="8" t="str">
        <f>D493</f>
        <v>Medium</v>
      </c>
      <c r="E510" s="4"/>
    </row>
    <row r="511" spans="2:7" ht="20" customHeight="1" x14ac:dyDescent="0.2">
      <c r="B511" s="4" t="s">
        <v>396</v>
      </c>
      <c r="C511" s="106" t="str">
        <f>sample_mgmt_cl01_vsan_datastore</f>
        <v>sfo-m01-cl01-ds-vsan01</v>
      </c>
      <c r="D511" s="8" t="str">
        <f>mgmt_cl01_vsan_datastore</f>
        <v>Value Missing</v>
      </c>
      <c r="E511" s="4"/>
    </row>
    <row r="512" spans="2:7" ht="20" customHeight="1" x14ac:dyDescent="0.2">
      <c r="B512" s="4" t="s">
        <v>397</v>
      </c>
      <c r="C512" s="172" t="str">
        <f>sample_mgmt_cl01_az1_mgmt_vm_pg</f>
        <v>sfo-m01-cl01-vds01-pg-vm-mgmt</v>
      </c>
      <c r="D512" s="8" t="str">
        <f>mgmt_cl01_az1_mgmt_vm_pg</f>
        <v>Value Missing</v>
      </c>
      <c r="E512" s="4"/>
    </row>
    <row r="513" spans="2:7" ht="20" customHeight="1" x14ac:dyDescent="0.2">
      <c r="B513" s="4" t="s">
        <v>398</v>
      </c>
      <c r="C513" s="106" t="str">
        <f>sample_nsxt_gm_root_password</f>
        <v>VMw@re1!VMw@re1!</v>
      </c>
      <c r="D513" s="8" t="str">
        <f>nsxt_gm_root_password</f>
        <v>Value Missing</v>
      </c>
      <c r="E513" s="4"/>
    </row>
    <row r="514" spans="2:7" ht="20" customHeight="1" x14ac:dyDescent="0.2">
      <c r="B514" s="4" t="s">
        <v>399</v>
      </c>
      <c r="C514" s="106" t="str">
        <f>sample_nsxt_gm_admin_password</f>
        <v>VMw@re1!VMw@re1!</v>
      </c>
      <c r="D514" s="8" t="str">
        <f>nsxt_gm_admin_password</f>
        <v>Value Missing</v>
      </c>
      <c r="E514" s="4"/>
    </row>
    <row r="515" spans="2:7" ht="20" customHeight="1" x14ac:dyDescent="0.2">
      <c r="B515" s="4" t="s">
        <v>400</v>
      </c>
      <c r="C515" s="106" t="str">
        <f>sample_nsxt_gm_audit_password</f>
        <v>VMw@re1!VMw@re1!</v>
      </c>
      <c r="D515" s="8" t="str">
        <f>nsxt_gm_audit_password</f>
        <v>Value Missing</v>
      </c>
      <c r="E515" s="4"/>
      <c r="G515" s="36"/>
    </row>
    <row r="516" spans="2:7" ht="20" customHeight="1" x14ac:dyDescent="0.2">
      <c r="B516" s="4" t="s">
        <v>401</v>
      </c>
      <c r="C516" s="106" t="str">
        <f>CONCATENATE(sample_mgmt_nsxt_global_mgrc_hostname,".",sample_child_dns_zone)</f>
        <v>sfo-m01-nsx-gm01c.sfo.rainpole.io</v>
      </c>
      <c r="D516" s="66"/>
      <c r="E516" s="4"/>
    </row>
    <row r="517" spans="2:7" ht="20" customHeight="1" x14ac:dyDescent="0.2">
      <c r="B517" s="4" t="s">
        <v>402</v>
      </c>
      <c r="C517" s="171" t="str">
        <f>IF(mgmt_dpg_reuse_result="Included",CONCATENATE(prefix_mgmt_az1_cidr,"10.84"),CONCATENATE(prefix_mgmt_az1_cidr,"11.84"))</f>
        <v>10.11.10.84</v>
      </c>
      <c r="D517" s="156"/>
      <c r="E517" s="4"/>
    </row>
    <row r="518" spans="2:7" ht="20" customHeight="1" x14ac:dyDescent="0.2">
      <c r="B518" s="4" t="s">
        <v>403</v>
      </c>
      <c r="C518" s="106" t="s">
        <v>126</v>
      </c>
      <c r="D518" s="8" t="str">
        <f>mgmt_az1_mgmt_vm_mask</f>
        <v>Value Missing</v>
      </c>
      <c r="E518" s="4"/>
    </row>
    <row r="519" spans="2:7" ht="20" customHeight="1" x14ac:dyDescent="0.2">
      <c r="B519" s="4" t="s">
        <v>404</v>
      </c>
      <c r="C519" s="106" t="str">
        <f>sample_mgmt_az1_mgmt_vm_gateway_cidr</f>
        <v>10.11.10.1/24</v>
      </c>
      <c r="D519" s="8" t="str">
        <f>mgmt_az1_mgmt_vm_gateway_ip</f>
        <v>Value Missing</v>
      </c>
      <c r="E519" s="4"/>
    </row>
    <row r="520" spans="2:7" ht="20" customHeight="1" x14ac:dyDescent="0.2">
      <c r="B520" s="4" t="s">
        <v>405</v>
      </c>
      <c r="C520" s="106" t="str">
        <f>CONCATENATE(sample_mgmt_witness_dns1_ip,",",sample_mgmt_witness_dns2_ip)</f>
        <v>10.21.10.4,10.21.10.5</v>
      </c>
      <c r="D520" s="8" t="str">
        <f>IF(ISBLANK(input_region_dns1_ip),"Value Missing",CONCATENATE(region_dns1_ip,",",IF(ISBLANK(input_region_dns2_ip),"Value Missing",region_dns2_ip)))</f>
        <v>Value Missing</v>
      </c>
      <c r="E520" s="4"/>
    </row>
    <row r="521" spans="2:7" ht="20" customHeight="1" x14ac:dyDescent="0.2">
      <c r="B521" s="4" t="s">
        <v>406</v>
      </c>
      <c r="C521" s="106" t="str">
        <f>CONCATENATE(sample_child_dns_zone,",",sample_parent_dns_zone)</f>
        <v>sfo.rainpole.io,rainpole.io</v>
      </c>
      <c r="D521" s="8" t="str">
        <f>CONCATENATE(child_dns_zone,",",parent_dns_zone)</f>
        <v>Value Missing,Value Missing</v>
      </c>
      <c r="E521" s="4"/>
      <c r="G521" s="36"/>
    </row>
    <row r="522" spans="2:7" ht="20" customHeight="1" x14ac:dyDescent="0.2">
      <c r="B522" s="4" t="s">
        <v>407</v>
      </c>
      <c r="C522" s="106" t="str">
        <f>IF(AND((NOT(ISBLANK(sample_region_ntp2_server))),(sample_region_ntp2_server &lt;&gt; "n/a")),CONCATENATE(sample_region_ntp1_server,",",sample_region_ntp2_server),sample_region_ntp1_server)</f>
        <v>ntp0.sfo.rainpole.io,ntp1.sfo.rainpole.io</v>
      </c>
      <c r="D522" s="8" t="str">
        <f>IF(AND((NOT(ISBLANK(region_ntp2_server))),(region_ntp2_server &lt;&gt; "n/a")),CONCATENATE(region_ntp1_server,",",region_ntp2_server),region_ntp1_server)</f>
        <v>Value Missing,Value Missing</v>
      </c>
      <c r="E522" s="4"/>
    </row>
    <row r="523" spans="2:7" ht="20" customHeight="1" x14ac:dyDescent="0.2">
      <c r="B523" s="4" t="s">
        <v>408</v>
      </c>
      <c r="C523" s="171" t="str">
        <f>CONCATENATE(this_instance,"-m01-nsx-gm01",".",sample_child_dns_zone)</f>
        <v>sfo-m01-nsx-gm01.sfo.rainpole.io</v>
      </c>
      <c r="D523" s="156"/>
      <c r="E523" s="4"/>
    </row>
    <row r="524" spans="2:7" ht="20" customHeight="1" x14ac:dyDescent="0.2">
      <c r="B524" s="553" t="s">
        <v>409</v>
      </c>
      <c r="C524" s="554"/>
      <c r="D524" s="554"/>
      <c r="E524" s="555"/>
      <c r="G524" s="36"/>
    </row>
    <row r="525" spans="2:7" ht="20" customHeight="1" x14ac:dyDescent="0.2">
      <c r="B525" s="23" t="s">
        <v>355</v>
      </c>
      <c r="C525" s="65" t="str">
        <f>sample_mgmt_vc_fqdn</f>
        <v>sfo-m01-vc01.sfo.rainpole.io</v>
      </c>
      <c r="D525" s="134" t="str">
        <f>mgmt_vc_fqdn</f>
        <v>Value Missing</v>
      </c>
      <c r="E525" s="4"/>
    </row>
    <row r="526" spans="2:7" ht="20" customHeight="1" x14ac:dyDescent="0.2">
      <c r="B526" s="23" t="s">
        <v>410</v>
      </c>
      <c r="C526" s="106" t="s">
        <v>411</v>
      </c>
      <c r="D526" s="66"/>
      <c r="E526" s="87"/>
    </row>
    <row r="527" spans="2:7" ht="20" customHeight="1" x14ac:dyDescent="0.2">
      <c r="B527" s="23" t="s">
        <v>412</v>
      </c>
      <c r="C527" s="106" t="s">
        <v>413</v>
      </c>
      <c r="D527" s="66"/>
      <c r="E527" s="87"/>
    </row>
    <row r="528" spans="2:7" ht="20" customHeight="1" x14ac:dyDescent="0.2">
      <c r="B528" s="23" t="s">
        <v>414</v>
      </c>
      <c r="C528" s="65" t="str">
        <f>sample_mgmt_nsxt_global_mgrb_hostname</f>
        <v>sfo-m01-nsx-gm01b</v>
      </c>
      <c r="D528" s="134" t="str">
        <f>mgmt_nsxt_global_mgrb_fqdn</f>
        <v>Value Missing</v>
      </c>
      <c r="E528" s="87"/>
    </row>
    <row r="529" spans="2:7" ht="20" customHeight="1" x14ac:dyDescent="0.2">
      <c r="B529" s="23" t="s">
        <v>415</v>
      </c>
      <c r="C529" s="65" t="str">
        <f>sample_mgmt_nsxt_global_mgra_ip</f>
        <v>10.11.10.82</v>
      </c>
      <c r="D529" s="134" t="str">
        <f>mgmt_nsxt_global_mgra_ip</f>
        <v>Value Missing</v>
      </c>
      <c r="E529" s="87"/>
    </row>
    <row r="530" spans="2:7" ht="20" customHeight="1" x14ac:dyDescent="0.2">
      <c r="B530" s="23" t="s">
        <v>416</v>
      </c>
      <c r="C530" s="65" t="str">
        <f>sample_mgmt_nsxt_global_mgr_cluster_id</f>
        <v>ca3bd7dc-aa06-4f2d-a9e1-0c4999354c9b</v>
      </c>
      <c r="D530" s="134" t="str">
        <f>mgmt_nsxt_global_mgr_cluster_id</f>
        <v>Value Missing</v>
      </c>
      <c r="E530" s="87"/>
      <c r="G530" s="36"/>
    </row>
    <row r="531" spans="2:7" ht="20" customHeight="1" x14ac:dyDescent="0.2">
      <c r="B531" s="23" t="s">
        <v>417</v>
      </c>
      <c r="C531" s="65" t="s">
        <v>418</v>
      </c>
      <c r="D531" s="114"/>
      <c r="E531" s="87"/>
    </row>
    <row r="532" spans="2:7" ht="20" customHeight="1" x14ac:dyDescent="0.2">
      <c r="B532" s="23" t="s">
        <v>419</v>
      </c>
      <c r="C532" s="65" t="str">
        <f>sample_nsxt_gm_admin_password</f>
        <v>VMw@re1!VMw@re1!</v>
      </c>
      <c r="D532" s="134" t="str">
        <f>nsxt_gm_admin_password</f>
        <v>Value Missing</v>
      </c>
      <c r="E532" s="87"/>
    </row>
    <row r="533" spans="2:7" ht="20" customHeight="1" x14ac:dyDescent="0.2">
      <c r="B533" s="23" t="s">
        <v>420</v>
      </c>
      <c r="C533" s="65" t="str">
        <f>sample_mgmt_nsxt_global_mgr_vmca_signed_thumbprint</f>
        <v>c7a6264cd8f74033e851944a205110afdeb046386af42ce47240939c417acb93</v>
      </c>
      <c r="D533" s="134" t="str">
        <f>mgmt_nsxt_global_mgr_vmca_signed_thumbprint</f>
        <v>Value Missing</v>
      </c>
      <c r="E533" s="87"/>
    </row>
    <row r="534" spans="2:7" ht="20" customHeight="1" x14ac:dyDescent="0.2">
      <c r="B534" s="23" t="s">
        <v>421</v>
      </c>
      <c r="C534" s="65" t="str">
        <f>sample_mgmt_nsxt_global_mgrc_hostname</f>
        <v>sfo-m01-nsx-gm01c</v>
      </c>
      <c r="D534" s="134" t="str">
        <f>mgmt_nsxt_global_mgrc_fqdn</f>
        <v>Value Missing</v>
      </c>
      <c r="E534" s="87"/>
    </row>
    <row r="535" spans="2:7" ht="20" customHeight="1" x14ac:dyDescent="0.2">
      <c r="B535" s="23" t="s">
        <v>422</v>
      </c>
      <c r="C535" s="65" t="str">
        <f>sample_mgmt_nsxt_global_mgra_ip</f>
        <v>10.11.10.82</v>
      </c>
      <c r="D535" s="134" t="str">
        <f>mgmt_nsxt_global_mgra_ip</f>
        <v>Value Missing</v>
      </c>
      <c r="E535" s="87"/>
    </row>
    <row r="536" spans="2:7" ht="20" customHeight="1" x14ac:dyDescent="0.2">
      <c r="B536" s="23" t="s">
        <v>423</v>
      </c>
      <c r="C536" s="65" t="str">
        <f>sample_mgmt_nsxt_global_mgr_cluster_id</f>
        <v>ca3bd7dc-aa06-4f2d-a9e1-0c4999354c9b</v>
      </c>
      <c r="D536" s="134" t="str">
        <f>mgmt_nsxt_global_mgr_cluster_id</f>
        <v>Value Missing</v>
      </c>
      <c r="E536" s="87"/>
    </row>
    <row r="537" spans="2:7" ht="20" customHeight="1" x14ac:dyDescent="0.2">
      <c r="B537" s="23" t="s">
        <v>424</v>
      </c>
      <c r="C537" s="65" t="s">
        <v>418</v>
      </c>
      <c r="D537" s="114"/>
      <c r="E537" s="87"/>
      <c r="G537" s="36"/>
    </row>
    <row r="538" spans="2:7" ht="20" customHeight="1" x14ac:dyDescent="0.2">
      <c r="B538" s="23" t="s">
        <v>425</v>
      </c>
      <c r="C538" s="65" t="str">
        <f>sample_nsxt_gm_admin_password</f>
        <v>VMw@re1!VMw@re1!</v>
      </c>
      <c r="D538" s="134" t="str">
        <f>nsxt_gm_admin_password</f>
        <v>Value Missing</v>
      </c>
      <c r="E538" s="87"/>
    </row>
    <row r="539" spans="2:7" ht="20" customHeight="1" x14ac:dyDescent="0.2">
      <c r="B539" s="23" t="s">
        <v>426</v>
      </c>
      <c r="C539" s="65" t="str">
        <f>sample_mgmt_nsxt_global_mgr_vmca_signed_thumbprint</f>
        <v>c7a6264cd8f74033e851944a205110afdeb046386af42ce47240939c417acb93</v>
      </c>
      <c r="D539" s="134" t="str">
        <f>mgmt_nsxt_global_mgr_vmca_signed_thumbprint</f>
        <v>Value Missing</v>
      </c>
      <c r="E539" s="87"/>
    </row>
    <row r="540" spans="2:7" ht="20" customHeight="1" x14ac:dyDescent="0.2">
      <c r="B540" s="553" t="s">
        <v>427</v>
      </c>
      <c r="C540" s="554"/>
      <c r="D540" s="554"/>
      <c r="E540" s="555"/>
    </row>
    <row r="541" spans="2:7" ht="20" customHeight="1" x14ac:dyDescent="0.2">
      <c r="B541" s="4" t="s">
        <v>355</v>
      </c>
      <c r="C541" s="65" t="str">
        <f>sample_mgmt_vc_fqdn</f>
        <v>sfo-m01-vc01.sfo.rainpole.io</v>
      </c>
      <c r="D541" s="8" t="str">
        <f>mgmt_vc_fqdn</f>
        <v>Value Missing</v>
      </c>
      <c r="E541" s="4"/>
    </row>
    <row r="542" spans="2:7" ht="20" customHeight="1" x14ac:dyDescent="0.2">
      <c r="B542" s="4" t="s">
        <v>250</v>
      </c>
      <c r="C542" s="65" t="str">
        <f>CONCATENATE(sample_mgmt_sddc_domain,"-anti-affinity-rule-nsx-global-managers")</f>
        <v>sfo-m01-anti-affinity-rule-nsx-global-managers</v>
      </c>
      <c r="D542" s="66"/>
      <c r="E542" s="4"/>
    </row>
    <row r="543" spans="2:7" ht="20" customHeight="1" x14ac:dyDescent="0.2">
      <c r="B543" s="4" t="s">
        <v>428</v>
      </c>
      <c r="C543" s="65" t="str">
        <f>sample_mgmt_nsxt_global_mgra_hostname</f>
        <v>sfo-m01-nsx-gm01a</v>
      </c>
      <c r="D543" s="8" t="str">
        <f>mgmt_nsxt_global_mgra_hostname</f>
        <v>Value Missing</v>
      </c>
      <c r="E543" s="4"/>
    </row>
    <row r="544" spans="2:7" ht="20" customHeight="1" x14ac:dyDescent="0.2">
      <c r="B544" s="4" t="s">
        <v>429</v>
      </c>
      <c r="C544" s="65" t="str">
        <f>sample_mgmt_nsxt_global_mgrb_hostname</f>
        <v>sfo-m01-nsx-gm01b</v>
      </c>
      <c r="D544" s="8" t="str">
        <f>mgmt_nsxt_global_mgrb_hostname</f>
        <v>Value Missing</v>
      </c>
      <c r="E544" s="4"/>
      <c r="G544" s="36"/>
    </row>
    <row r="545" spans="2:7" ht="20" customHeight="1" x14ac:dyDescent="0.2">
      <c r="B545" s="4" t="s">
        <v>430</v>
      </c>
      <c r="C545" s="65" t="str">
        <f>sample_mgmt_nsxt_global_mgrc_hostname</f>
        <v>sfo-m01-nsx-gm01c</v>
      </c>
      <c r="D545" s="8" t="str">
        <f>mgmt_nsxt_global_mgrc_hostname</f>
        <v>Value Missing</v>
      </c>
      <c r="E545" s="4"/>
    </row>
    <row r="546" spans="2:7" ht="20" customHeight="1" x14ac:dyDescent="0.2">
      <c r="B546" s="553" t="s">
        <v>431</v>
      </c>
      <c r="C546" s="554"/>
      <c r="D546" s="554"/>
      <c r="E546" s="555"/>
    </row>
    <row r="547" spans="2:7" ht="20" customHeight="1" x14ac:dyDescent="0.2">
      <c r="B547" s="4" t="s">
        <v>432</v>
      </c>
      <c r="C547" s="65" t="str">
        <f>sample_mgmt_nsxt_global_mgra_fqdn</f>
        <v>sfo-m01-nsx-gm01a.sfo.rainpole.io</v>
      </c>
      <c r="D547" s="134" t="str">
        <f>mgmt_nsxt_global_mgra_fqdn</f>
        <v>Value Missing</v>
      </c>
      <c r="E547" s="4"/>
      <c r="G547" s="36"/>
    </row>
    <row r="548" spans="2:7" ht="20" customHeight="1" x14ac:dyDescent="0.2">
      <c r="B548" s="4" t="s">
        <v>433</v>
      </c>
      <c r="C548" s="109" t="str">
        <f>IF(mgmt_dpg_reuse_result="Included",CONCATENATE(prefix_mgmt_az1_cidr,"10.81"),CONCATENATE(prefix_mgmt_az1_cidr,"11.81"))</f>
        <v>10.11.10.81</v>
      </c>
      <c r="D548" s="156"/>
      <c r="E548" s="4"/>
    </row>
    <row r="549" spans="2:7" ht="20" customHeight="1" x14ac:dyDescent="0.2">
      <c r="B549" s="4" t="s">
        <v>434</v>
      </c>
      <c r="C549" s="65" t="str">
        <f>sample_mgmt_nsxt_gm_vip_fqdn</f>
        <v>sfo-m01-nsx-gm01.sfo.rainpole.io</v>
      </c>
      <c r="D549" s="134" t="str">
        <f>mgmt_nsxt_gm_vip_fqdn</f>
        <v>Value Missing</v>
      </c>
      <c r="E549" s="87"/>
    </row>
    <row r="550" spans="2:7" ht="20" customHeight="1" x14ac:dyDescent="0.2">
      <c r="B550" s="553" t="s">
        <v>435</v>
      </c>
      <c r="C550" s="554"/>
      <c r="D550" s="554"/>
      <c r="E550" s="555"/>
    </row>
    <row r="551" spans="2:7" ht="20" customHeight="1" x14ac:dyDescent="0.2">
      <c r="B551" s="4" t="s">
        <v>434</v>
      </c>
      <c r="C551" s="65" t="str">
        <f>sample_mgmt_nsxt_gm_vip_fqdn</f>
        <v>sfo-m01-nsx-gm01.sfo.rainpole.io</v>
      </c>
      <c r="D551" s="134" t="str">
        <f>mgmt_nsxt_gm_vip_fqdn</f>
        <v>Value Missing</v>
      </c>
      <c r="E551" s="87"/>
    </row>
    <row r="552" spans="2:7" ht="20" customHeight="1" x14ac:dyDescent="0.2">
      <c r="B552" s="553" t="s">
        <v>436</v>
      </c>
      <c r="C552" s="554"/>
      <c r="D552" s="554"/>
      <c r="E552" s="555"/>
    </row>
    <row r="553" spans="2:7" ht="20" customHeight="1" x14ac:dyDescent="0.2">
      <c r="B553" s="4" t="s">
        <v>434</v>
      </c>
      <c r="C553" s="65" t="str">
        <f>sample_mgmt_nsxt_gm_vip_fqdn</f>
        <v>sfo-m01-nsx-gm01.sfo.rainpole.io</v>
      </c>
      <c r="D553" s="134" t="str">
        <f>mgmt_nsxt_gm_vip_fqdn</f>
        <v>Value Missing</v>
      </c>
      <c r="E553" s="87"/>
    </row>
    <row r="554" spans="2:7" ht="20" customHeight="1" x14ac:dyDescent="0.2">
      <c r="B554" s="4" t="s">
        <v>437</v>
      </c>
      <c r="C554" s="65" t="s">
        <v>438</v>
      </c>
      <c r="D554" s="114"/>
      <c r="E554" s="87"/>
      <c r="G554" s="36"/>
    </row>
    <row r="555" spans="2:7" ht="20" customHeight="1" x14ac:dyDescent="0.2">
      <c r="B555" s="4" t="s">
        <v>432</v>
      </c>
      <c r="C555" s="65" t="str">
        <f>sample_mgmt_nsxt_global_mgra_fqdn</f>
        <v>sfo-m01-nsx-gm01a.sfo.rainpole.io</v>
      </c>
      <c r="D555" s="134" t="str">
        <f>mgmt_nsxt_global_mgra_fqdn</f>
        <v>Value Missing</v>
      </c>
      <c r="E555" s="4"/>
    </row>
    <row r="556" spans="2:7" ht="20" customHeight="1" x14ac:dyDescent="0.2">
      <c r="B556" s="4" t="s">
        <v>439</v>
      </c>
      <c r="C556" s="65" t="str">
        <f>sample_mgmt_nsxt_global_mgr_certificate_id</f>
        <v>a900065b-aeb5-457e-aca6-4612b17d06d9</v>
      </c>
      <c r="D556" s="134" t="str">
        <f>mgmt_nsxt_global_mgr_certificate_id</f>
        <v>Value Missing</v>
      </c>
      <c r="E556" s="87"/>
    </row>
    <row r="557" spans="2:7" ht="20" customHeight="1" x14ac:dyDescent="0.2">
      <c r="B557" s="553" t="s">
        <v>440</v>
      </c>
      <c r="C557" s="554"/>
      <c r="D557" s="554"/>
      <c r="E557" s="555"/>
    </row>
    <row r="558" spans="2:7" ht="20" customHeight="1" x14ac:dyDescent="0.2">
      <c r="B558" s="4" t="s">
        <v>434</v>
      </c>
      <c r="C558" s="65" t="str">
        <f>sample_mgmt_nsxt_gm_vip_fqdn</f>
        <v>sfo-m01-nsx-gm01.sfo.rainpole.io</v>
      </c>
      <c r="D558" s="134" t="str">
        <f>mgmt_nsxt_gm_vip_fqdn</f>
        <v>Value Missing</v>
      </c>
      <c r="E558" s="87"/>
    </row>
    <row r="559" spans="2:7" ht="20" customHeight="1" x14ac:dyDescent="0.2">
      <c r="B559" s="4" t="s">
        <v>441</v>
      </c>
      <c r="C559" s="65" t="str">
        <f>sample_mgmt_nsxt_global_mgrb_hostname</f>
        <v>sfo-m01-nsx-gm01b</v>
      </c>
      <c r="D559" s="134" t="str">
        <f>mgmt_nsxt_global_mgrb_fqdn</f>
        <v>Value Missing</v>
      </c>
      <c r="E559" s="4"/>
    </row>
    <row r="560" spans="2:7" ht="20" customHeight="1" x14ac:dyDescent="0.2">
      <c r="B560" s="4" t="s">
        <v>442</v>
      </c>
      <c r="C560" s="65" t="str">
        <f>sample_mgmt_nsxt_global_mgrc_hostname</f>
        <v>sfo-m01-nsx-gm01c</v>
      </c>
      <c r="D560" s="134" t="str">
        <f>mgmt_nsxt_global_mgrc_fqdn</f>
        <v>Value Missing</v>
      </c>
      <c r="E560" s="4"/>
    </row>
    <row r="561" spans="2:7" ht="20" customHeight="1" x14ac:dyDescent="0.2">
      <c r="B561" s="4" t="s">
        <v>439</v>
      </c>
      <c r="C561" s="65" t="str">
        <f>sample_mgmt_nsxt_global_mgr_certificate_id</f>
        <v>a900065b-aeb5-457e-aca6-4612b17d06d9</v>
      </c>
      <c r="D561" s="134" t="str">
        <f>mgmt_nsxt_global_mgr_certificate_id</f>
        <v>Value Missing</v>
      </c>
      <c r="E561" s="87"/>
    </row>
    <row r="562" spans="2:7" ht="20" customHeight="1" x14ac:dyDescent="0.2">
      <c r="B562" s="553" t="s">
        <v>443</v>
      </c>
      <c r="C562" s="554"/>
      <c r="D562" s="554"/>
      <c r="E562" s="555"/>
    </row>
    <row r="563" spans="2:7" ht="20" customHeight="1" x14ac:dyDescent="0.2">
      <c r="B563" s="4" t="s">
        <v>444</v>
      </c>
      <c r="C563" s="65" t="str">
        <f>sample_mgmt_nsxt_vip_fqdn</f>
        <v>sfo-m01-nsx01.sfo.rainpole.io</v>
      </c>
      <c r="D563" s="134" t="str">
        <f>mgmt_nsxt_vip_fqdn</f>
        <v>Value Missing</v>
      </c>
      <c r="E563" s="4"/>
    </row>
    <row r="564" spans="2:7" ht="20" customHeight="1" x14ac:dyDescent="0.2">
      <c r="B564" s="4" t="s">
        <v>250</v>
      </c>
      <c r="C564" s="103" t="str">
        <f>CONCATENATE(this_instance,"-m01-r01-ip-pool-rtep")</f>
        <v>sfo-m01-r01-ip-pool-rtep</v>
      </c>
      <c r="D564" s="114"/>
      <c r="E564" s="4"/>
    </row>
    <row r="565" spans="2:7" ht="20" customHeight="1" x14ac:dyDescent="0.2">
      <c r="B565" s="4" t="s">
        <v>445</v>
      </c>
      <c r="C565" s="103" t="str">
        <f>CONCATENATE(prefix_mgmt_az1_cidr,"20.101")</f>
        <v>10.11.20.101</v>
      </c>
      <c r="D565" s="66"/>
      <c r="E565" s="4"/>
      <c r="G565" s="36"/>
    </row>
    <row r="566" spans="2:7" ht="20" customHeight="1" x14ac:dyDescent="0.2">
      <c r="B566" s="4" t="s">
        <v>446</v>
      </c>
      <c r="C566" s="103" t="str">
        <f>IF(mgmt_stretched_cluster_result="Excluded",CONCATENATE(prefix_mgmt_az1_cidr,"20.116"),CONCATENATE(prefix_mgmt_az1_cidr,"20.132"))</f>
        <v>10.11.20.116</v>
      </c>
      <c r="D566" s="66"/>
      <c r="E566" s="4"/>
      <c r="G566" s="36"/>
    </row>
    <row r="567" spans="2:7" ht="20" customHeight="1" x14ac:dyDescent="0.2">
      <c r="B567" s="4" t="s">
        <v>447</v>
      </c>
      <c r="C567" s="103" t="str">
        <f>CONCATENATE(prefix_mgmt_az1_cidr,"20.0/24")</f>
        <v>10.11.20.0/24</v>
      </c>
      <c r="D567" s="66"/>
      <c r="E567" s="4"/>
    </row>
    <row r="568" spans="2:7" ht="20" customHeight="1" x14ac:dyDescent="0.2">
      <c r="B568" s="4" t="s">
        <v>448</v>
      </c>
      <c r="C568" s="103" t="str">
        <f>CONCATENATE(prefix_mgmt_az1_cidr,"20.1")</f>
        <v>10.11.20.1</v>
      </c>
      <c r="D568" s="66"/>
      <c r="E568" s="4"/>
    </row>
    <row r="569" spans="2:7" ht="20" customHeight="1" x14ac:dyDescent="0.2">
      <c r="B569" s="553" t="s">
        <v>449</v>
      </c>
      <c r="C569" s="554"/>
      <c r="D569" s="554"/>
      <c r="E569" s="555"/>
    </row>
    <row r="570" spans="2:7" ht="20" customHeight="1" x14ac:dyDescent="0.2">
      <c r="B570" s="4" t="s">
        <v>450</v>
      </c>
      <c r="C570" s="65" t="str">
        <f>sample_mgmt_nsxt_gm_vip_fqdn</f>
        <v>sfo-m01-nsx-gm01.sfo.rainpole.io</v>
      </c>
      <c r="D570" s="134" t="str">
        <f>mgmt_nsxt_gm_vip_fqdn</f>
        <v>Value Missing</v>
      </c>
      <c r="E570" s="87"/>
    </row>
    <row r="571" spans="2:7" ht="20" customHeight="1" x14ac:dyDescent="0.2">
      <c r="B571" s="4" t="s">
        <v>451</v>
      </c>
      <c r="C571" s="106" t="str">
        <f>CONCATENATE(this_instance,"-m01-nsx-gm01")</f>
        <v>sfo-m01-nsx-gm01</v>
      </c>
      <c r="D571" s="66"/>
      <c r="E571" s="87"/>
      <c r="G571" s="36"/>
    </row>
    <row r="572" spans="2:7" ht="20" customHeight="1" x14ac:dyDescent="0.2">
      <c r="B572" s="553" t="s">
        <v>452</v>
      </c>
      <c r="C572" s="554"/>
      <c r="D572" s="554"/>
      <c r="E572" s="555"/>
    </row>
    <row r="573" spans="2:7" ht="20" customHeight="1" x14ac:dyDescent="0.2">
      <c r="B573" s="4" t="s">
        <v>453</v>
      </c>
      <c r="C573" s="65" t="str">
        <f>sample_mgmt_nsxt_gm_vip_fqdn</f>
        <v>sfo-m01-nsx-gm01.sfo.rainpole.io</v>
      </c>
      <c r="D573" s="134" t="str">
        <f>mgmt_nsxt_gm_vip_fqdn</f>
        <v>Value Missing</v>
      </c>
      <c r="E573" s="87"/>
    </row>
    <row r="574" spans="2:7" ht="20" customHeight="1" x14ac:dyDescent="0.2">
      <c r="B574" s="4" t="s">
        <v>454</v>
      </c>
      <c r="C574" s="65" t="s">
        <v>455</v>
      </c>
      <c r="D574" s="66"/>
      <c r="E574" s="87"/>
    </row>
    <row r="575" spans="2:7" ht="20" customHeight="1" x14ac:dyDescent="0.2">
      <c r="B575" s="4" t="s">
        <v>456</v>
      </c>
      <c r="C575" s="65" t="str">
        <f t="array" ref="C575">IF(mgmt_domain_chosen="First Instance",sample_mgmt_nsxt_gm_vip_fqdn,sample_mgmt_existing_active_nsx_gm)</f>
        <v>sfo-m01-nsx-gm01.sfo.rainpole.io</v>
      </c>
      <c r="D575" s="134" t="str">
        <f t="array" ref="D575">IF(mgmt_domain_chosen="First Instance",mgmt_nsxt_gm_vip_fqdn,mgmt_existing_active_nsx_gm)</f>
        <v>Value Missing</v>
      </c>
      <c r="E575" s="87"/>
      <c r="G575" s="36"/>
    </row>
    <row r="576" spans="2:7" ht="20" customHeight="1" x14ac:dyDescent="0.2">
      <c r="B576" s="4" t="s">
        <v>457</v>
      </c>
      <c r="C576" s="65" t="str">
        <f>sample_mgmt_nsxt_federation_global_manager_name</f>
        <v>sfo-m01-nsx-gm01</v>
      </c>
      <c r="D576" s="134" t="str">
        <f>mgmt_nsxt_federation_global_manager_name</f>
        <v>Value Missing</v>
      </c>
      <c r="E576" s="87"/>
    </row>
    <row r="577" spans="2:5" ht="20" customHeight="1" x14ac:dyDescent="0.2">
      <c r="B577" s="4" t="s">
        <v>458</v>
      </c>
      <c r="C577" s="65" t="str">
        <f>sample_mgmt_nsxt_gm_vip_fqdn</f>
        <v>sfo-m01-nsx-gm01.sfo.rainpole.io</v>
      </c>
      <c r="D577" s="134" t="str">
        <f>mgmt_nsxt_gm_vip_fqdn</f>
        <v>Value Missing</v>
      </c>
      <c r="E577" s="87"/>
    </row>
    <row r="578" spans="2:5" ht="20" customHeight="1" x14ac:dyDescent="0.2">
      <c r="B578" s="4" t="s">
        <v>28</v>
      </c>
      <c r="C578" s="65" t="s">
        <v>418</v>
      </c>
      <c r="D578" s="134"/>
      <c r="E578" s="87"/>
    </row>
    <row r="579" spans="2:5" ht="20" customHeight="1" x14ac:dyDescent="0.2">
      <c r="B579" s="4" t="s">
        <v>30</v>
      </c>
      <c r="C579" s="65" t="str">
        <f>sample_nsxt_gm_admin_password</f>
        <v>VMw@re1!VMw@re1!</v>
      </c>
      <c r="D579" s="134" t="str">
        <f>nsxt_gm_admin_password</f>
        <v>Value Missing</v>
      </c>
      <c r="E579" s="87"/>
    </row>
    <row r="580" spans="2:5" ht="20" customHeight="1" x14ac:dyDescent="0.2">
      <c r="B580" s="4" t="s">
        <v>454</v>
      </c>
      <c r="C580" s="65" t="str">
        <f>sample_mgmt_nsxt_gm_fingerprint</f>
        <v>0d472de0d92da89f2b469d4d10ab23505ad4edb90cd7e68f84497008f6c89ff1</v>
      </c>
      <c r="D580" s="134" t="str">
        <f>mgmt_nsxt_gm_fingerprint</f>
        <v>Value Missing</v>
      </c>
      <c r="E580" s="87"/>
    </row>
    <row r="581" spans="2:5" ht="20" customHeight="1" x14ac:dyDescent="0.2">
      <c r="B581" s="553" t="s">
        <v>459</v>
      </c>
      <c r="C581" s="554"/>
      <c r="D581" s="554"/>
      <c r="E581" s="555"/>
    </row>
    <row r="582" spans="2:5" ht="20" customHeight="1" x14ac:dyDescent="0.2">
      <c r="B582" s="4" t="s">
        <v>444</v>
      </c>
      <c r="C582" s="65" t="str">
        <f>sample_mgmt_nsxt_vip_fqdn</f>
        <v>sfo-m01-nsx01.sfo.rainpole.io</v>
      </c>
      <c r="D582" s="134" t="str">
        <f>mgmt_nsxt_vip_fqdn</f>
        <v>Value Missing</v>
      </c>
      <c r="E582" s="4"/>
    </row>
    <row r="583" spans="2:5" ht="20" customHeight="1" x14ac:dyDescent="0.2">
      <c r="B583" s="4" t="s">
        <v>454</v>
      </c>
      <c r="C583" s="65" t="s">
        <v>460</v>
      </c>
      <c r="D583" s="66"/>
      <c r="E583" s="87"/>
    </row>
    <row r="584" spans="2:5" ht="20" customHeight="1" x14ac:dyDescent="0.2">
      <c r="B584" s="4" t="s">
        <v>456</v>
      </c>
      <c r="C584" s="65" t="str">
        <f t="array" ref="C584">IF(mgmt_domain_chosen="First Instance",sample_mgmt_nsxt_gm_vip_fqdn,sample_mgmt_existing_active_nsx_gm)</f>
        <v>sfo-m01-nsx-gm01.sfo.rainpole.io</v>
      </c>
      <c r="D584" s="134" t="str">
        <f t="array" ref="D584">IF(mgmt_domain_chosen="First Instance",mgmt_nsxt_gm_vip_fqdn,mgmt_existing_active_nsx_gm)</f>
        <v>Value Missing</v>
      </c>
      <c r="E584" s="87"/>
    </row>
    <row r="585" spans="2:5" ht="20" customHeight="1" x14ac:dyDescent="0.2">
      <c r="B585" s="4" t="s">
        <v>461</v>
      </c>
      <c r="C585" s="65" t="str">
        <f>CONCATENATE(this_instance,"-m01")</f>
        <v>sfo-m01</v>
      </c>
      <c r="D585" s="66"/>
      <c r="E585" s="87"/>
    </row>
    <row r="586" spans="2:5" ht="20" customHeight="1" x14ac:dyDescent="0.2">
      <c r="B586" s="4" t="s">
        <v>458</v>
      </c>
      <c r="C586" s="65" t="str">
        <f>sample_mgmt_nsxt_vip_fqdn</f>
        <v>sfo-m01-nsx01.sfo.rainpole.io</v>
      </c>
      <c r="D586" s="134" t="str">
        <f>mgmt_nsxt_vip_fqdn</f>
        <v>Value Missing</v>
      </c>
      <c r="E586" s="87"/>
    </row>
    <row r="587" spans="2:5" ht="20" customHeight="1" x14ac:dyDescent="0.2">
      <c r="B587" s="4" t="s">
        <v>28</v>
      </c>
      <c r="C587" s="65" t="s">
        <v>418</v>
      </c>
      <c r="D587" s="114"/>
      <c r="E587" s="87"/>
    </row>
    <row r="588" spans="2:5" ht="20" customHeight="1" x14ac:dyDescent="0.2">
      <c r="B588" s="4" t="s">
        <v>30</v>
      </c>
      <c r="C588" s="65" t="str">
        <f>sample_nsxt_lm_admin_password</f>
        <v>VMw@re1!VMw@re1!</v>
      </c>
      <c r="D588" s="134" t="str">
        <f>nsxt_lm_admin_password</f>
        <v>Value Missing</v>
      </c>
      <c r="E588" s="87"/>
    </row>
    <row r="589" spans="2:5" ht="20" customHeight="1" x14ac:dyDescent="0.2">
      <c r="B589" s="4" t="s">
        <v>454</v>
      </c>
      <c r="C589" s="65" t="str">
        <f>sample_mgmt_nsxt_lm_fingerprint</f>
        <v>676edbc9b8c639d9311aaea32a357c7c81226856ad4f8c73a68dd760652d6b5d</v>
      </c>
      <c r="D589" s="134" t="str">
        <f>mgmt_nsxt_lm_fingerprint</f>
        <v>Value Missing</v>
      </c>
      <c r="E589" s="87"/>
    </row>
    <row r="590" spans="2:5" ht="20" customHeight="1" x14ac:dyDescent="0.2">
      <c r="B590" s="4" t="s">
        <v>462</v>
      </c>
      <c r="C590" s="65" t="s">
        <v>463</v>
      </c>
      <c r="D590" s="134" t="s">
        <v>463</v>
      </c>
      <c r="E590" s="173"/>
    </row>
    <row r="591" spans="2:5" ht="20" customHeight="1" x14ac:dyDescent="0.2">
      <c r="B591" s="4" t="s">
        <v>464</v>
      </c>
      <c r="C591" s="65" t="str">
        <f>CONCATENATE(prefix_mgmt_az1_vlan,"20")</f>
        <v>1120</v>
      </c>
      <c r="D591" s="66"/>
      <c r="E591" s="87"/>
    </row>
    <row r="592" spans="2:5" ht="20" customHeight="1" x14ac:dyDescent="0.2">
      <c r="B592" s="4" t="s">
        <v>465</v>
      </c>
      <c r="C592" s="65" t="str">
        <f>sample_mgmt_az1_rtep_ip_pool_name</f>
        <v>sfo-m01-r01-ip-pool-rtep</v>
      </c>
      <c r="D592" s="134" t="str">
        <f>mgmt_az1_rtep_ip_pool_name</f>
        <v>Value Missing</v>
      </c>
      <c r="E592" s="87"/>
    </row>
    <row r="593" spans="2:5" ht="20" customHeight="1" x14ac:dyDescent="0.2">
      <c r="B593" s="553" t="s">
        <v>466</v>
      </c>
      <c r="C593" s="554"/>
      <c r="D593" s="554"/>
      <c r="E593" s="555"/>
    </row>
    <row r="594" spans="2:5" ht="20" customHeight="1" x14ac:dyDescent="0.2">
      <c r="B594" s="4" t="s">
        <v>434</v>
      </c>
      <c r="C594" s="65" t="str">
        <f>sample_mgmt_nsxt_gm_vip_fqdn</f>
        <v>sfo-m01-nsx-gm01.sfo.rainpole.io</v>
      </c>
      <c r="D594" s="134" t="str">
        <f>mgmt_nsxt_gm_vip_fqdn</f>
        <v>Value Missing</v>
      </c>
      <c r="E594" s="87"/>
    </row>
    <row r="595" spans="2:5" ht="20" customHeight="1" x14ac:dyDescent="0.2">
      <c r="B595" s="4" t="s">
        <v>467</v>
      </c>
      <c r="C595" s="106" t="str">
        <f>CONCATENATE(prefix_portable_component,"-m01-ec01-t1-gw01")</f>
        <v>flt-m01-ec01-t1-gw01</v>
      </c>
      <c r="D595" s="66"/>
      <c r="E595" s="87"/>
    </row>
    <row r="596" spans="2:5" ht="20" customHeight="1" x14ac:dyDescent="0.2">
      <c r="B596" s="4" t="s">
        <v>468</v>
      </c>
      <c r="C596" s="100" t="str">
        <f>CONCATENATE(this_instance,"-m01-ec01-t0-gw01")</f>
        <v>sfo-m01-ec01-t0-gw01</v>
      </c>
      <c r="D596" s="114"/>
      <c r="E596" s="87"/>
    </row>
    <row r="597" spans="2:5" ht="20" customHeight="1" x14ac:dyDescent="0.2">
      <c r="B597" s="307" t="s">
        <v>469</v>
      </c>
      <c r="C597" s="65" t="str">
        <f>sample_mgmt_nsxt_federation_location_name</f>
        <v>sfo-m01</v>
      </c>
      <c r="D597" s="8" t="str">
        <f>mgmt_nsxt_federation_location_name</f>
        <v>Value Missing</v>
      </c>
      <c r="E597" s="34"/>
    </row>
    <row r="598" spans="2:5" ht="20" customHeight="1" x14ac:dyDescent="0.2">
      <c r="B598" s="4" t="s">
        <v>88</v>
      </c>
      <c r="C598" s="65" t="str">
        <f>sample_mgmt_ec_name</f>
        <v>sfo-m01-ec01</v>
      </c>
      <c r="D598" s="134" t="str">
        <f>mgmt_ec_name</f>
        <v>Value Missing</v>
      </c>
      <c r="E598" s="87"/>
    </row>
    <row r="599" spans="2:5" ht="20" customHeight="1" x14ac:dyDescent="0.2">
      <c r="B599" s="553" t="s">
        <v>470</v>
      </c>
      <c r="C599" s="554"/>
      <c r="D599" s="554"/>
      <c r="E599" s="555"/>
    </row>
    <row r="600" spans="2:5" ht="20" customHeight="1" x14ac:dyDescent="0.2">
      <c r="B600" s="4" t="s">
        <v>434</v>
      </c>
      <c r="C600" s="65" t="str">
        <f>sample_mgmt_nsxt_gm_vip_fqdn</f>
        <v>sfo-m01-nsx-gm01.sfo.rainpole.io</v>
      </c>
      <c r="D600" s="134" t="str">
        <f>mgmt_nsxt_gm_vip_fqdn</f>
        <v>Value Missing</v>
      </c>
      <c r="E600" s="87"/>
    </row>
    <row r="601" spans="2:5" ht="20" customHeight="1" x14ac:dyDescent="0.2">
      <c r="B601" s="4" t="s">
        <v>471</v>
      </c>
      <c r="C601" s="65"/>
      <c r="D601" s="8"/>
      <c r="E601" s="87"/>
    </row>
    <row r="602" spans="2:5" ht="20" customHeight="1" x14ac:dyDescent="0.2">
      <c r="B602" s="4" t="s">
        <v>472</v>
      </c>
      <c r="C602" s="65" t="str">
        <f>sample_mgmt_nsxt_xreg_t1_name</f>
        <v>flt-m01-ec01-t1-gw01</v>
      </c>
      <c r="D602" s="134" t="str">
        <f>mgmt_nsxt_xreg_t1_name</f>
        <v>Value Missing</v>
      </c>
      <c r="E602" s="87"/>
    </row>
    <row r="603" spans="2:5" ht="20" customHeight="1" x14ac:dyDescent="0.2">
      <c r="B603" s="553" t="s">
        <v>473</v>
      </c>
      <c r="C603" s="554"/>
      <c r="D603" s="554"/>
      <c r="E603" s="555"/>
    </row>
    <row r="604" spans="2:5" ht="20" customHeight="1" x14ac:dyDescent="0.2">
      <c r="B604" s="4" t="s">
        <v>456</v>
      </c>
      <c r="C604" s="65" t="str">
        <f>IF(mgmt_domain_chosen="First Instance",CONCATENATE(this_instance,"-m01-nsx-gm01.",this_instance,".",sample_parent_dns_zone),CONCATENATE(other_instance,"-m01-nsx-gm01.",other_instance,".",sample_parent_dns_zone))</f>
        <v>sfo-m01-nsx-gm01.sfo.rainpole.io</v>
      </c>
      <c r="D604" s="114"/>
      <c r="E604" s="87"/>
    </row>
    <row r="605" spans="2:5" ht="20" customHeight="1" x14ac:dyDescent="0.2">
      <c r="B605" s="4" t="s">
        <v>474</v>
      </c>
      <c r="C605" s="100" t="str">
        <f>CONCATENATE(this_instance,"-m01-ec01-t0-gw01")</f>
        <v>sfo-m01-ec01-t0-gw01</v>
      </c>
      <c r="D605" s="114"/>
      <c r="E605" s="87"/>
    </row>
    <row r="606" spans="2:5" ht="20" customHeight="1" x14ac:dyDescent="0.2">
      <c r="B606" s="4" t="s">
        <v>469</v>
      </c>
      <c r="C606" s="100" t="str">
        <f>sample_mgmt_nsxt_federation_location_name</f>
        <v>sfo-m01</v>
      </c>
      <c r="D606" s="134" t="str">
        <f>mgmt_nsxt_federation_location_name</f>
        <v>Value Missing</v>
      </c>
      <c r="E606" s="34"/>
    </row>
    <row r="607" spans="2:5" ht="20" customHeight="1" x14ac:dyDescent="0.2">
      <c r="B607" s="4" t="s">
        <v>88</v>
      </c>
      <c r="C607" s="100" t="s">
        <v>475</v>
      </c>
      <c r="D607" s="134" t="str">
        <f>mgmt_ec_name</f>
        <v>Value Missing</v>
      </c>
      <c r="E607" s="87"/>
    </row>
    <row r="608" spans="2:5" ht="20" customHeight="1" x14ac:dyDescent="0.2">
      <c r="B608" s="4" t="s">
        <v>476</v>
      </c>
      <c r="C608" s="65" t="str">
        <f>CONCATENATE(sample_mgmt_az1_en1_hostname,"_VCF-edge_",sample_mgmt_ec_name,"_segment_",sample_mgmt_az1_uplink01_vlan,"_",sample_mgmt_az1_en1_uplink01_interface_cidr)</f>
        <v>sfo-m01-en1_VCF-edge_sfo-m01-ec01_segment_1117_10.11.17.2/24</v>
      </c>
      <c r="D608" s="134" t="str">
        <f>CONCATENATE(mgmt_az1_en1_hostname,"_VCF-edge_",mgmt_ec_name,"_segment_",mgmt_az1_uplink01_vlan,"_",mgmt_az1_en1_uplink01_interface_cidr)</f>
        <v>Value Missing_VCF-edge_Value Missing_segment_Value Missing_Value Missing</v>
      </c>
      <c r="E608" s="87"/>
    </row>
    <row r="609" spans="2:7" ht="20" customHeight="1" x14ac:dyDescent="0.2">
      <c r="B609" s="4" t="s">
        <v>477</v>
      </c>
      <c r="C609" s="65" t="str">
        <f>sample_mgmt_nsxt_federation_location_name</f>
        <v>sfo-m01</v>
      </c>
      <c r="D609" s="134" t="str">
        <f>mgmt_nsxt_federation_location_name</f>
        <v>Value Missing</v>
      </c>
      <c r="E609" s="87"/>
      <c r="G609" s="36"/>
    </row>
    <row r="610" spans="2:7" ht="20" customHeight="1" x14ac:dyDescent="0.2">
      <c r="B610" s="4" t="s">
        <v>478</v>
      </c>
      <c r="C610" s="65" t="str">
        <f>sample_mgmt_az1_en1_uplink01_interface_cidr</f>
        <v>10.11.17.2/24</v>
      </c>
      <c r="D610" s="134" t="str">
        <f>mgmt_az1_en1_uplink01_interface_cidr</f>
        <v>Value Missing</v>
      </c>
      <c r="E610" s="87"/>
    </row>
    <row r="611" spans="2:7" ht="20" customHeight="1" x14ac:dyDescent="0.2">
      <c r="B611" s="4" t="s">
        <v>479</v>
      </c>
      <c r="C611" s="65" t="str">
        <f>CONCATENATE("VCF-edge_",sample_mgmt_ec_name,"_segment_uplink1_",sample_mgmt_az1_uplink01_vlan)</f>
        <v>VCF-edge_sfo-m01-ec01_segment_uplink1_1117</v>
      </c>
      <c r="D611" s="134" t="str">
        <f>CONCATENATE("VCF-edge_",mgmt_ec_name,"_segment_uplink1_",mgmt_az1_uplink01_vlan)</f>
        <v>VCF-edge_Value Missing_segment_uplink1_Value Missing</v>
      </c>
      <c r="E611" s="87"/>
    </row>
    <row r="612" spans="2:7" ht="20" customHeight="1" x14ac:dyDescent="0.2">
      <c r="B612" s="4" t="s">
        <v>480</v>
      </c>
      <c r="C612" s="65" t="s">
        <v>481</v>
      </c>
      <c r="D612" s="134" t="str">
        <f>mgmt_az1_en1_hostname</f>
        <v>Value Missing</v>
      </c>
      <c r="E612" s="87"/>
    </row>
    <row r="613" spans="2:7" ht="20" customHeight="1" x14ac:dyDescent="0.2">
      <c r="B613" s="4" t="s">
        <v>482</v>
      </c>
      <c r="C613" s="65">
        <f>sample_mgmt_az1_uplink01_mtu</f>
        <v>9000</v>
      </c>
      <c r="D613" s="134" t="str">
        <f>mgmt_az1_uplink01_mtu</f>
        <v>Value Missing</v>
      </c>
      <c r="E613" s="87"/>
    </row>
    <row r="614" spans="2:7" ht="20" customHeight="1" x14ac:dyDescent="0.2">
      <c r="B614" s="4" t="s">
        <v>483</v>
      </c>
      <c r="C614" s="65" t="str">
        <f>CONCATENATE(sample_mgmt_az1_en1_hostname,"_VCF-edge_",sample_mgmt_ec_name,"_segment_",sample_mgmt_az1_uplink02_vlan,"_",sample_mgmt_az1_en1_uplink02_interface_cidr)</f>
        <v>sfo-m01-en1_VCF-edge_sfo-m01-ec01_segment_1118_10.11.18.2/24</v>
      </c>
      <c r="D614" s="134" t="str">
        <f>CONCATENATE(mgmt_az1_en1_hostname,"_VCF-edge_",mgmt_ec_name,"_segment_",mgmt_az1_uplink02_vlan,"_",mgmt_az1_en1_uplink02_interface_cidr)</f>
        <v>Value Missing_VCF-edge_Value Missing_segment_Value Missing_Value Missing</v>
      </c>
      <c r="E614" s="87"/>
    </row>
    <row r="615" spans="2:7" ht="20" customHeight="1" x14ac:dyDescent="0.2">
      <c r="B615" s="4" t="s">
        <v>484</v>
      </c>
      <c r="C615" s="100" t="str">
        <f>sample_mgmt_nsxt_federation_location_name</f>
        <v>sfo-m01</v>
      </c>
      <c r="D615" s="134" t="str">
        <f>mgmt_nsxt_federation_location_name</f>
        <v>Value Missing</v>
      </c>
      <c r="E615" s="87"/>
      <c r="G615" s="36"/>
    </row>
    <row r="616" spans="2:7" ht="20" customHeight="1" x14ac:dyDescent="0.2">
      <c r="B616" s="4" t="s">
        <v>485</v>
      </c>
      <c r="C616" s="65" t="str">
        <f>sample_mgmt_az1_en1_uplink02_interface_cidr</f>
        <v>10.11.18.2/24</v>
      </c>
      <c r="D616" s="134" t="str">
        <f>mgmt_az1_en1_uplink02_interface_cidr</f>
        <v>Value Missing</v>
      </c>
      <c r="E616" s="87"/>
    </row>
    <row r="617" spans="2:7" ht="20" customHeight="1" x14ac:dyDescent="0.2">
      <c r="B617" s="23" t="s">
        <v>486</v>
      </c>
      <c r="C617" s="65" t="str">
        <f>CONCATENATE("VCF-edge_",sample_mgmt_ec_name,"_segment_uplink2_",sample_mgmt_az1_uplink02_vlan)</f>
        <v>VCF-edge_sfo-m01-ec01_segment_uplink2_1118</v>
      </c>
      <c r="D617" s="134" t="str">
        <f>CONCATENATE("VCF-edge_",mgmt_ec_name,"_segment_uplink2_",mgmt_az1_uplink02_vlan)</f>
        <v>VCF-edge_Value Missing_segment_uplink2_Value Missing</v>
      </c>
      <c r="E617" s="87"/>
    </row>
    <row r="618" spans="2:7" ht="20" customHeight="1" x14ac:dyDescent="0.2">
      <c r="B618" s="4" t="s">
        <v>487</v>
      </c>
      <c r="C618" s="65" t="s">
        <v>488</v>
      </c>
      <c r="D618" s="134" t="str">
        <f>mgmt_az1_en1_hostname</f>
        <v>Value Missing</v>
      </c>
      <c r="E618" s="87"/>
    </row>
    <row r="619" spans="2:7" ht="20" customHeight="1" x14ac:dyDescent="0.2">
      <c r="B619" s="4" t="s">
        <v>489</v>
      </c>
      <c r="C619" s="65">
        <f>sample_mgmt_az1_uplink02_mtu</f>
        <v>9000</v>
      </c>
      <c r="D619" s="134" t="str">
        <f>mgmt_az1_uplink02_mtu</f>
        <v>Value Missing</v>
      </c>
      <c r="E619" s="87"/>
    </row>
    <row r="620" spans="2:7" ht="20" customHeight="1" x14ac:dyDescent="0.2">
      <c r="B620" s="4" t="s">
        <v>490</v>
      </c>
      <c r="C620" s="65" t="str">
        <f>CONCATENATE(sample_mgmt_az1_en2_hostname,"_VCF-edge_",sample_mgmt_ec_name,"_segment_",sample_mgmt_az1_uplink01_vlan,"_",sample_mgmt_az1_en2_uplink01_interface_cidr)</f>
        <v>sfo-m01-en2_VCF-edge_sfo-m01-ec01_segment_1117_10.11.17.3/24</v>
      </c>
      <c r="D620" s="134" t="str">
        <f>CONCATENATE(mgmt_az1_en2_hostname,"_VCF-edge_",mgmt_ec_name,"_segment_",mgmt_az1_uplink01_vlan,"_",mgmt_az1_en2_uplink01_interface_cidr)</f>
        <v>Value Missing_VCF-edge_Value Missing_segment_Value Missing_Value Missing</v>
      </c>
      <c r="E620" s="87"/>
    </row>
    <row r="621" spans="2:7" ht="20" customHeight="1" x14ac:dyDescent="0.2">
      <c r="B621" s="4" t="s">
        <v>491</v>
      </c>
      <c r="C621" s="65" t="str">
        <f>sample_mgmt_nsxt_federation_location_name</f>
        <v>sfo-m01</v>
      </c>
      <c r="D621" s="134" t="str">
        <f>mgmt_nsxt_federation_location_name</f>
        <v>Value Missing</v>
      </c>
      <c r="E621" s="87"/>
    </row>
    <row r="622" spans="2:7" ht="20" customHeight="1" x14ac:dyDescent="0.2">
      <c r="B622" s="4" t="s">
        <v>492</v>
      </c>
      <c r="C622" s="65" t="str">
        <f>sample_mgmt_az1_en2_uplink01_interface_cidr</f>
        <v>10.11.17.3/24</v>
      </c>
      <c r="D622" s="134" t="str">
        <f>mgmt_az1_en2_uplink01_interface_cidr</f>
        <v>Value Missing</v>
      </c>
      <c r="E622" s="87"/>
    </row>
    <row r="623" spans="2:7" ht="20" customHeight="1" x14ac:dyDescent="0.2">
      <c r="B623" s="23" t="s">
        <v>493</v>
      </c>
      <c r="C623" s="65" t="str">
        <f>CONCATENATE("VCF-edge_",sample_mgmt_ec_name,"_segment_uplink1_",sample_mgmt_az1_uplink01_vlan)</f>
        <v>VCF-edge_sfo-m01-ec01_segment_uplink1_1117</v>
      </c>
      <c r="D623" s="134" t="str">
        <f>CONCATENATE("VCF-edge_",mgmt_ec_name,"_segment_uplink1_",mgmt_az1_uplink01_vlan)</f>
        <v>VCF-edge_Value Missing_segment_uplink1_Value Missing</v>
      </c>
      <c r="E623" s="87"/>
    </row>
    <row r="624" spans="2:7" ht="20" customHeight="1" x14ac:dyDescent="0.2">
      <c r="B624" s="4" t="s">
        <v>494</v>
      </c>
      <c r="C624" s="65" t="str">
        <f>sample_mgmt_az1_en1_hostname</f>
        <v>sfo-m01-en1</v>
      </c>
      <c r="D624" s="134" t="str">
        <f>mgmt_az1_en2_hostname</f>
        <v>Value Missing</v>
      </c>
      <c r="E624" s="87"/>
    </row>
    <row r="625" spans="2:5" ht="20" customHeight="1" x14ac:dyDescent="0.2">
      <c r="B625" s="4" t="s">
        <v>495</v>
      </c>
      <c r="C625" s="65">
        <f>sample_mgmt_az1_uplink01_mtu</f>
        <v>9000</v>
      </c>
      <c r="D625" s="134" t="str">
        <f>mgmt_az1_uplink01_mtu</f>
        <v>Value Missing</v>
      </c>
      <c r="E625" s="87"/>
    </row>
    <row r="626" spans="2:5" ht="20" customHeight="1" x14ac:dyDescent="0.2">
      <c r="B626" s="4" t="s">
        <v>496</v>
      </c>
      <c r="C626" s="65" t="str">
        <f>CONCATENATE(sample_mgmt_az1_en2_hostname,"_VCF-edge_",sample_mgmt_ec_name,"_segment_",sample_mgmt_az1_uplink02_vlan,"_",sample_mgmt_az1_en2_uplink02_interface_cidr)</f>
        <v>sfo-m01-en2_VCF-edge_sfo-m01-ec01_segment_1118_10.11.18.3/24</v>
      </c>
      <c r="D626" s="134" t="str">
        <f>CONCATENATE(mgmt_az1_en2_hostname,"_VCF-edge_",mgmt_ec_name,"_segment_",mgmt_az1_uplink02_vlan,"_",mgmt_az1_en2_uplink02_interface_cidr)</f>
        <v>Value Missing_VCF-edge_Value Missing_segment_Value Missing_Value Missing</v>
      </c>
      <c r="E626" s="87"/>
    </row>
    <row r="627" spans="2:5" ht="20" customHeight="1" x14ac:dyDescent="0.2">
      <c r="B627" s="4" t="s">
        <v>497</v>
      </c>
      <c r="C627" s="65" t="str">
        <f>sample_mgmt_nsxt_federation_location_name</f>
        <v>sfo-m01</v>
      </c>
      <c r="D627" s="134" t="str">
        <f>mgmt_nsxt_federation_location_name</f>
        <v>Value Missing</v>
      </c>
      <c r="E627" s="87"/>
    </row>
    <row r="628" spans="2:5" ht="20" customHeight="1" x14ac:dyDescent="0.2">
      <c r="B628" s="4" t="s">
        <v>498</v>
      </c>
      <c r="C628" s="65" t="str">
        <f>sample_mgmt_az1_en2_uplink02_interface_cidr</f>
        <v>10.11.18.3/24</v>
      </c>
      <c r="D628" s="134" t="str">
        <f>mgmt_az1_en2_uplink02_interface_cidr</f>
        <v>Value Missing</v>
      </c>
      <c r="E628" s="87"/>
    </row>
    <row r="629" spans="2:5" ht="20" customHeight="1" x14ac:dyDescent="0.2">
      <c r="B629" s="23" t="s">
        <v>499</v>
      </c>
      <c r="C629" s="65" t="str">
        <f>CONCATENATE("VCF-edge_",sample_mgmt_ec_name,"_segment_uplink2_",sample_mgmt_az1_uplink02_vlan)</f>
        <v>VCF-edge_sfo-m01-ec01_segment_uplink2_1118</v>
      </c>
      <c r="D629" s="134" t="str">
        <f>CONCATENATE("VCF-edge_",mgmt_ec_name,"_segment_uplink2_",mgmt_az1_uplink02_vlan)</f>
        <v>VCF-edge_Value Missing_segment_uplink2_Value Missing</v>
      </c>
      <c r="E629" s="87"/>
    </row>
    <row r="630" spans="2:5" ht="20" customHeight="1" x14ac:dyDescent="0.2">
      <c r="B630" s="4" t="s">
        <v>500</v>
      </c>
      <c r="C630" s="65" t="str">
        <f t="array" ref="C630">sample_mgmt_az1_en2_hostname</f>
        <v>sfo-m01-en2</v>
      </c>
      <c r="D630" s="134" t="str">
        <f>mgmt_az1_en2_hostname</f>
        <v>Value Missing</v>
      </c>
      <c r="E630" s="87"/>
    </row>
    <row r="631" spans="2:5" ht="20" customHeight="1" x14ac:dyDescent="0.2">
      <c r="B631" s="4" t="s">
        <v>501</v>
      </c>
      <c r="C631" s="65">
        <f>sample_mgmt_az1_uplink02_mtu</f>
        <v>9000</v>
      </c>
      <c r="D631" s="134" t="str">
        <f>mgmt_az1_uplink02_mtu</f>
        <v>Value Missing</v>
      </c>
      <c r="E631" s="87"/>
    </row>
    <row r="632" spans="2:5" ht="20" customHeight="1" x14ac:dyDescent="0.2">
      <c r="B632" s="4" t="s">
        <v>502</v>
      </c>
      <c r="C632" s="65" t="str">
        <f>sample_mgmt_az1_tor1_peer_ip</f>
        <v>10.11.17.10</v>
      </c>
      <c r="D632" s="134" t="str">
        <f>mgmt_az1_tor1_peer_ip</f>
        <v>Value Missing</v>
      </c>
      <c r="E632" s="87"/>
    </row>
    <row r="633" spans="2:5" ht="20" customHeight="1" x14ac:dyDescent="0.2">
      <c r="B633" s="4" t="s">
        <v>503</v>
      </c>
      <c r="C633" s="65" t="str">
        <f>sample_mgmt_nsxt_federation_location_name</f>
        <v>sfo-m01</v>
      </c>
      <c r="D633" s="134" t="str">
        <f>mgmt_nsxt_federation_location_name</f>
        <v>Value Missing</v>
      </c>
      <c r="E633" s="87"/>
    </row>
    <row r="634" spans="2:5" ht="20" customHeight="1" x14ac:dyDescent="0.2">
      <c r="B634" s="4" t="s">
        <v>504</v>
      </c>
      <c r="C634" s="65" t="str">
        <f>sample_mgmt_az1_tor1_peer_asn</f>
        <v>65111</v>
      </c>
      <c r="D634" s="134" t="str">
        <f>mgmt_az1_tor1_peer_asn</f>
        <v>Value Missing</v>
      </c>
      <c r="E634" s="87"/>
    </row>
    <row r="635" spans="2:5" ht="20" customHeight="1" x14ac:dyDescent="0.2">
      <c r="B635" s="4" t="s">
        <v>505</v>
      </c>
      <c r="C635" s="65" t="str">
        <f>sample_mgmt_az1_en1_uplink01_interface_cidr</f>
        <v>10.11.17.2/24</v>
      </c>
      <c r="D635" s="134" t="str">
        <f>mgmt_az1_en1_uplink01_interface_cidr</f>
        <v>Value Missing</v>
      </c>
      <c r="E635" s="87"/>
    </row>
    <row r="636" spans="2:5" ht="20" customHeight="1" x14ac:dyDescent="0.2">
      <c r="B636" s="4" t="s">
        <v>506</v>
      </c>
      <c r="C636" s="65" t="str">
        <f>sample_mgmt_az1_en2_uplink01_interface_cidr</f>
        <v>10.11.17.3/24</v>
      </c>
      <c r="D636" s="134" t="str">
        <f>mgmt_az1_en2_uplink01_interface_cidr</f>
        <v>Value Missing</v>
      </c>
      <c r="E636" s="87"/>
    </row>
    <row r="637" spans="2:5" ht="20" customHeight="1" x14ac:dyDescent="0.2">
      <c r="B637" s="4" t="s">
        <v>507</v>
      </c>
      <c r="C637" s="65" t="str">
        <f>sample_mgmt_az1_tor1_peer_bgp_password</f>
        <v>VMw@re1!</v>
      </c>
      <c r="D637" s="134" t="str">
        <f>mgmt_az1_tor1_peer_bgp_password</f>
        <v>Value Missing</v>
      </c>
      <c r="E637" s="87"/>
    </row>
    <row r="638" spans="2:5" ht="20" customHeight="1" x14ac:dyDescent="0.2">
      <c r="B638" s="4" t="s">
        <v>508</v>
      </c>
      <c r="C638" s="65" t="str">
        <f>sample_mgmt_az1_tor2_peer_ip</f>
        <v>10.11.18.10</v>
      </c>
      <c r="D638" s="134" t="str">
        <f>mgmt_az1_tor2_peer_ip</f>
        <v>Value Missing</v>
      </c>
      <c r="E638" s="87"/>
    </row>
    <row r="639" spans="2:5" ht="20" customHeight="1" x14ac:dyDescent="0.2">
      <c r="B639" s="4" t="s">
        <v>509</v>
      </c>
      <c r="C639" s="65" t="str">
        <f>sample_mgmt_nsxt_federation_location_name</f>
        <v>sfo-m01</v>
      </c>
      <c r="D639" s="134" t="str">
        <f>mgmt_nsxt_federation_location_name</f>
        <v>Value Missing</v>
      </c>
      <c r="E639" s="87"/>
    </row>
    <row r="640" spans="2:5" ht="20" customHeight="1" x14ac:dyDescent="0.2">
      <c r="B640" s="4" t="s">
        <v>510</v>
      </c>
      <c r="C640" s="65" t="str">
        <f>sample_mgmt_az1_tor1_peer_asn</f>
        <v>65111</v>
      </c>
      <c r="D640" s="134" t="str">
        <f>mgmt_az1_tor1_peer_asn</f>
        <v>Value Missing</v>
      </c>
      <c r="E640" s="87"/>
    </row>
    <row r="641" spans="2:5" ht="20" customHeight="1" x14ac:dyDescent="0.2">
      <c r="B641" s="4" t="s">
        <v>511</v>
      </c>
      <c r="C641" s="65" t="str">
        <f>sample_mgmt_az1_en1_uplink02_interface_cidr</f>
        <v>10.11.18.2/24</v>
      </c>
      <c r="D641" s="134" t="str">
        <f>mgmt_az1_en1_uplink02_interface_cidr</f>
        <v>Value Missing</v>
      </c>
      <c r="E641" s="87"/>
    </row>
    <row r="642" spans="2:5" ht="20" customHeight="1" x14ac:dyDescent="0.2">
      <c r="B642" s="4" t="s">
        <v>512</v>
      </c>
      <c r="C642" s="65" t="str">
        <f>sample_mgmt_az1_en2_uplink02_interface_cidr</f>
        <v>10.11.18.3/24</v>
      </c>
      <c r="D642" s="134" t="str">
        <f>mgmt_az1_en2_uplink02_interface_cidr</f>
        <v>Value Missing</v>
      </c>
      <c r="E642" s="87"/>
    </row>
    <row r="643" spans="2:5" ht="20" customHeight="1" x14ac:dyDescent="0.2">
      <c r="B643" s="4" t="s">
        <v>513</v>
      </c>
      <c r="C643" s="65" t="str">
        <f>sample_mgmt_az1_tor2_peer_bgp_password</f>
        <v>VMw@re1!</v>
      </c>
      <c r="D643" s="134" t="str">
        <f>mgmt_az1_tor2_peer_bgp_password</f>
        <v>Value Missing</v>
      </c>
      <c r="E643" s="87"/>
    </row>
    <row r="644" spans="2:5" ht="20" customHeight="1" x14ac:dyDescent="0.2">
      <c r="B644" s="553" t="s">
        <v>514</v>
      </c>
      <c r="C644" s="554"/>
      <c r="D644" s="554"/>
      <c r="E644" s="555"/>
    </row>
    <row r="645" spans="2:5" ht="20" customHeight="1" x14ac:dyDescent="0.2">
      <c r="B645" s="4" t="s">
        <v>456</v>
      </c>
      <c r="C645" s="65" t="str">
        <f t="array" ref="C645">IF(mgmt_domain_chosen="First Instance",sample_mgmt_nsxt_gm_vip_fqdn,sample_mgmt_existing_active_nsx_gm)</f>
        <v>sfo-m01-nsx-gm01.sfo.rainpole.io</v>
      </c>
      <c r="D645" s="134" t="str">
        <f>IF(mgmt_domain_chosen="First Instance",mgmt_nsxt_gm_vip_fqdn,mgmt_existing_active_nsx_gm)</f>
        <v>Value Missing</v>
      </c>
      <c r="E645" s="87"/>
    </row>
    <row r="646" spans="2:5" ht="20" customHeight="1" x14ac:dyDescent="0.2">
      <c r="B646" s="4" t="s">
        <v>472</v>
      </c>
      <c r="C646" s="65" t="str">
        <f>sample_mgmt_nsxt_xreg_t1_name</f>
        <v>flt-m01-ec01-t1-gw01</v>
      </c>
      <c r="D646" s="134" t="str">
        <f>mgmt_nsxt_xreg_t1_name</f>
        <v>Value Missing</v>
      </c>
      <c r="E646" s="87"/>
    </row>
    <row r="647" spans="2:5" ht="20" customHeight="1" x14ac:dyDescent="0.2">
      <c r="B647" s="4" t="s">
        <v>469</v>
      </c>
      <c r="C647" s="65" t="str">
        <f>sample_mgmt_nsxt_federation_location_name</f>
        <v>sfo-m01</v>
      </c>
      <c r="D647" s="134" t="str">
        <f>mgmt_nsxt_federation_location_name</f>
        <v>Value Missing</v>
      </c>
      <c r="E647" s="34"/>
    </row>
    <row r="648" spans="2:5" ht="20" customHeight="1" x14ac:dyDescent="0.2">
      <c r="B648" s="4" t="s">
        <v>88</v>
      </c>
      <c r="C648" s="65" t="str">
        <f>sample_mgmt_ec_name</f>
        <v>sfo-m01-ec01</v>
      </c>
      <c r="D648" s="134" t="str">
        <f>mgmt_ec_name</f>
        <v>Value Missing</v>
      </c>
      <c r="E648" s="87"/>
    </row>
  </sheetData>
  <sheetProtection algorithmName="SHA-512" hashValue="2AFNXe5yTHsQyR86RmA4uQjMVJ1lEJKwm/JwyAprm1sOAZqJwryRhhtYVwMgJzG6dlWKDmG602d3vXCyF+pKqg==" saltValue="jwpC6EGSUHeaj4I+tSHJHw==" spinCount="100000" sheet="1" selectLockedCells="1"/>
  <dataConsolidate/>
  <mergeCells count="89">
    <mergeCell ref="B249:E249"/>
    <mergeCell ref="B243:E243"/>
    <mergeCell ref="B253:E253"/>
    <mergeCell ref="B262:E262"/>
    <mergeCell ref="B271:E271"/>
    <mergeCell ref="B204:E204"/>
    <mergeCell ref="B217:E217"/>
    <mergeCell ref="B207:E207"/>
    <mergeCell ref="B240:E240"/>
    <mergeCell ref="B241:E241"/>
    <mergeCell ref="B151:E151"/>
    <mergeCell ref="B603:E603"/>
    <mergeCell ref="B644:E644"/>
    <mergeCell ref="B562:E562"/>
    <mergeCell ref="B599:E599"/>
    <mergeCell ref="B581:E581"/>
    <mergeCell ref="B572:E572"/>
    <mergeCell ref="B569:E569"/>
    <mergeCell ref="B593:E593"/>
    <mergeCell ref="B557:E557"/>
    <mergeCell ref="B546:E546"/>
    <mergeCell ref="B469:E469"/>
    <mergeCell ref="B550:E550"/>
    <mergeCell ref="B472:E472"/>
    <mergeCell ref="B524:E524"/>
    <mergeCell ref="B489:E489"/>
    <mergeCell ref="B506:E506"/>
    <mergeCell ref="B552:E552"/>
    <mergeCell ref="B540:E540"/>
    <mergeCell ref="B37:E37"/>
    <mergeCell ref="B19:E19"/>
    <mergeCell ref="B32:E32"/>
    <mergeCell ref="B155:E155"/>
    <mergeCell ref="B94:E94"/>
    <mergeCell ref="B87:E87"/>
    <mergeCell ref="B92:E92"/>
    <mergeCell ref="B139:E139"/>
    <mergeCell ref="B88:E88"/>
    <mergeCell ref="B98:E98"/>
    <mergeCell ref="B190:E190"/>
    <mergeCell ref="B111:E111"/>
    <mergeCell ref="B42:E42"/>
    <mergeCell ref="B75:E75"/>
    <mergeCell ref="B58:E58"/>
    <mergeCell ref="B90:E90"/>
    <mergeCell ref="B2:E2"/>
    <mergeCell ref="B410:E410"/>
    <mergeCell ref="B20:E20"/>
    <mergeCell ref="B297:E297"/>
    <mergeCell ref="B324:E324"/>
    <mergeCell ref="B193:E193"/>
    <mergeCell ref="B332:E332"/>
    <mergeCell ref="B67:E67"/>
    <mergeCell ref="B47:E47"/>
    <mergeCell ref="B127:E127"/>
    <mergeCell ref="B3:E3"/>
    <mergeCell ref="B31:E31"/>
    <mergeCell ref="B160:E160"/>
    <mergeCell ref="B175:E175"/>
    <mergeCell ref="B227:E227"/>
    <mergeCell ref="B52:E52"/>
    <mergeCell ref="B382:E382"/>
    <mergeCell ref="B349:E349"/>
    <mergeCell ref="B376:E376"/>
    <mergeCell ref="B280:E280"/>
    <mergeCell ref="B229:E229"/>
    <mergeCell ref="B233:E233"/>
    <mergeCell ref="B237:E237"/>
    <mergeCell ref="B340:E340"/>
    <mergeCell ref="B278:E278"/>
    <mergeCell ref="B293:E293"/>
    <mergeCell ref="B275:E275"/>
    <mergeCell ref="B320:E320"/>
    <mergeCell ref="B295:E295"/>
    <mergeCell ref="B302:E302"/>
    <mergeCell ref="B282:E282"/>
    <mergeCell ref="B276:E276"/>
    <mergeCell ref="B468:E468"/>
    <mergeCell ref="B452:E452"/>
    <mergeCell ref="B417:E417"/>
    <mergeCell ref="B401:E401"/>
    <mergeCell ref="B455:E455"/>
    <mergeCell ref="B415:E415"/>
    <mergeCell ref="B406:E406"/>
    <mergeCell ref="B450:E450"/>
    <mergeCell ref="B350:E350"/>
    <mergeCell ref="B375:E375"/>
    <mergeCell ref="B448:E448"/>
    <mergeCell ref="B449:E449"/>
  </mergeCells>
  <conditionalFormatting sqref="B12">
    <cfRule type="expression" dxfId="1582" priority="964">
      <formula>(mgmt_signed_certs_result="Excluded")</formula>
    </cfRule>
    <cfRule type="expression" dxfId="1581" priority="965">
      <formula>(mgmt_signed_certs_result="Included")</formula>
    </cfRule>
  </conditionalFormatting>
  <conditionalFormatting sqref="B13 D13:E13">
    <cfRule type="expression" dxfId="1580" priority="286">
      <formula>AND((mgmt_vns_chosen&lt;&gt;"Exclude"),(mgmt_vns_result="Excluded"))</formula>
    </cfRule>
  </conditionalFormatting>
  <conditionalFormatting sqref="B13">
    <cfRule type="expression" dxfId="1579" priority="969">
      <formula>(mgmt_vns_result="Excluded")</formula>
    </cfRule>
    <cfRule type="expression" dxfId="1578" priority="970">
      <formula>(mgmt_vns_chosen&lt;&gt;"Include")</formula>
    </cfRule>
  </conditionalFormatting>
  <conditionalFormatting sqref="B14 D14:E14">
    <cfRule type="expression" dxfId="1577" priority="10">
      <formula>AND((mgmt_supervisor_chosen&lt;&gt;"Exclude"),(mgmt_vns_chosen="Exclude"))</formula>
    </cfRule>
    <cfRule type="expression" dxfId="1576" priority="12">
      <formula>(mgmt_supervisor_result="Excluded")</formula>
    </cfRule>
    <cfRule type="expression" dxfId="1575" priority="13">
      <formula>AND((mgmt_supervisor_chosen&lt;&gt;"Exclude"),(mgmt_supervisor_result="Included"))</formula>
    </cfRule>
  </conditionalFormatting>
  <conditionalFormatting sqref="B15 D15:E15">
    <cfRule type="expression" dxfId="1574" priority="953">
      <formula>AND((mgmt_avi_loadbalancer_chosen ="Exclude"),(mgmt_avi_loadbalancer_result="Excluded"))</formula>
    </cfRule>
    <cfRule type="expression" dxfId="1573" priority="954">
      <formula>AND((mgmt_avi_loadbalancer_chosen="Include"),(mgmt_avi_loadbalancer_result="Included"))</formula>
    </cfRule>
    <cfRule type="expression" dxfId="1572" priority="955">
      <formula>AND((mgmt_avi_loadbalancer_chosen="Include"),(mgmt_avi_loadbalancer_result="Excluded"))</formula>
    </cfRule>
  </conditionalFormatting>
  <conditionalFormatting sqref="B16 D16:E16">
    <cfRule type="expression" dxfId="1571" priority="971">
      <formula>AND((mgmt_stretched_cluster_chosen="Include"),(mgmt_stretched_cluster_result="Excluded"))</formula>
    </cfRule>
  </conditionalFormatting>
  <conditionalFormatting sqref="B16">
    <cfRule type="expression" dxfId="1570" priority="973">
      <formula>(mgmt_stretched_cluster_chosen="Exclude")</formula>
    </cfRule>
    <cfRule type="expression" dxfId="1569" priority="975">
      <formula>AND((mgmt_stretched_cluster_chosen="Include"),(mgmt_stretched_cluster_result="Included"))</formula>
    </cfRule>
  </conditionalFormatting>
  <conditionalFormatting sqref="B17 D17:E17">
    <cfRule type="expression" dxfId="1568" priority="951">
      <formula>AND((mgmt_nsxt_federation_chosen&lt;&gt;"Exclude"),(mgmt_nsxt_federation_result="Excluded"))</formula>
    </cfRule>
    <cfRule type="expression" dxfId="1567" priority="956" stopIfTrue="1">
      <formula>AND((mgmt_nsxt_federation_chosen&lt;&gt;"Exclude"),(mgmt_nsxt_federation_result="Included"))</formula>
    </cfRule>
  </conditionalFormatting>
  <conditionalFormatting sqref="B17">
    <cfRule type="expression" dxfId="1566" priority="966">
      <formula>(mgmt_nsxt_federation_chosen="Exclude")</formula>
    </cfRule>
  </conditionalFormatting>
  <conditionalFormatting sqref="C278:D278 C280:D280 C282:D282">
    <cfRule type="expression" dxfId="1565" priority="986">
      <formula>mgmt_avi_loadbalancer_result="Excluded"</formula>
    </cfRule>
  </conditionalFormatting>
  <conditionalFormatting sqref="D22:D29">
    <cfRule type="expression" dxfId="1564" priority="698">
      <formula>mgmt_domain_result="Excluded"</formula>
    </cfRule>
    <cfRule type="containsBlanks" dxfId="1563" priority="699">
      <formula>LEN(TRIM(D22))=0</formula>
    </cfRule>
    <cfRule type="notContainsBlanks" dxfId="1562" priority="700">
      <formula>LEN(TRIM(D22))&gt;0</formula>
    </cfRule>
  </conditionalFormatting>
  <conditionalFormatting sqref="D34:D36 D38:D41 D43:D46 D48:D51 D53:D57 D59:D66 D68:D74 D76:D85 D93 D95:D97 D99:D110 D112:D126 D128:D138 D140:D150 D152:D154 D156:D159 D161:D174 D176:D192 D194:D203 D205:D206 D208:D216 D218:D226 D228 D230:D232 D234:D236 D238 D279 D281 D283:D291 D298:D301 D303:D318 D322:D323 D325:D331 D333:D339 D341:D347 D352:D373 D378:D381 D383:D400 D402:D405 D407:D409 D411:D413 D418:D447 D451 D453:D454 D456:D466 D471 D473:D488 D490:D505 D507:D523 D525:D539 D541:D545 D547:D549 D551 D553:D556 D558:D561 D563:D568 D570:D571 D573:D580 D582:D592 D594:D598 D600:D602 D604:D643 D645:D648">
    <cfRule type="containsBlanks" dxfId="1560" priority="940">
      <formula>LEN(TRIM(D34))=0</formula>
    </cfRule>
    <cfRule type="notContainsBlanks" dxfId="1559" priority="1002">
      <formula>LEN(TRIM(D34))&gt;0</formula>
    </cfRule>
  </conditionalFormatting>
  <conditionalFormatting sqref="D34:D36 D38:D41 D43:D46 D48:D51 D53:D57 D59:D66">
    <cfRule type="expression" dxfId="1558" priority="846" stopIfTrue="1">
      <formula>OR((mgmt_signed_certs_result="Excluded"),(mgmt_signed_certs_chosen&lt;&gt;"Microsoft CA"))</formula>
    </cfRule>
  </conditionalFormatting>
  <conditionalFormatting sqref="D46 D51 D59:D66">
    <cfRule type="expression" dxfId="1557" priority="922">
      <formula>mgmt_domain_result="Excluded"</formula>
    </cfRule>
  </conditionalFormatting>
  <conditionalFormatting sqref="D46 D59:D66 C31:D31">
    <cfRule type="expression" dxfId="1556" priority="930">
      <formula>mgmt_signed_certs_result="Excluded"</formula>
    </cfRule>
  </conditionalFormatting>
  <conditionalFormatting sqref="D57">
    <cfRule type="expression" dxfId="1555" priority="851">
      <formula>OR((mgmt_signed_certs_result="Excluded"),(mgmt_signed_certs_chosen&lt;&gt;"Microsoft CA"))</formula>
    </cfRule>
  </conditionalFormatting>
  <conditionalFormatting sqref="D68:D74 D76:D85">
    <cfRule type="expression" dxfId="1554" priority="530">
      <formula>OR((mgmt_signed_certs_result="Excluded"),(mgmt_signed_certs_chosen&lt;&gt;"OpenSSL CA"))</formula>
    </cfRule>
  </conditionalFormatting>
  <conditionalFormatting sqref="D91">
    <cfRule type="expression" dxfId="1553" priority="43">
      <formula>mgmt_vns_result="Excluded"</formula>
    </cfRule>
    <cfRule type="containsBlanks" dxfId="1551" priority="46">
      <formula>LEN(TRIM(D91))=0</formula>
    </cfRule>
    <cfRule type="notContainsBlanks" dxfId="1550" priority="47">
      <formula>LEN(TRIM(D91))&gt;0</formula>
    </cfRule>
  </conditionalFormatting>
  <conditionalFormatting sqref="D103 D132">
    <cfRule type="expression" dxfId="1549" priority="519">
      <formula>mgmt_ec01_host_group_affinity_rule_chosen="No"</formula>
    </cfRule>
  </conditionalFormatting>
  <conditionalFormatting sqref="D106">
    <cfRule type="expression" dxfId="1548" priority="6">
      <formula>mgmt_ec_ip_assignment_chosen&lt;&gt;"IPv4 Only"</formula>
    </cfRule>
  </conditionalFormatting>
  <conditionalFormatting sqref="D107:D109 D135:D137">
    <cfRule type="expression" dxfId="1547" priority="520">
      <formula>mgmt_az1_en1_ip_allocation_chosen="DHCP"</formula>
    </cfRule>
  </conditionalFormatting>
  <conditionalFormatting sqref="D109 D134:D135 D137 D122:D124 D147:D148 D105:D106 D177 D184 D99 D128 D169">
    <cfRule type="expression" dxfId="1546" priority="844">
      <formula>mgmt_vns_result="Excluded"</formula>
    </cfRule>
  </conditionalFormatting>
  <conditionalFormatting sqref="D116:D126 D105 D144:D150">
    <cfRule type="expression" dxfId="1545" priority="456">
      <formula>mgmt_ec01_use_host_overlay_chosen="Selected"</formula>
    </cfRule>
  </conditionalFormatting>
  <conditionalFormatting sqref="D119:D121">
    <cfRule type="expression" dxfId="1544" priority="521">
      <formula>mgmt_az1_en1_edge_overlay_network_ip_allocation_chosen&lt;&gt;"IP Pool"</formula>
    </cfRule>
  </conditionalFormatting>
  <conditionalFormatting sqref="D122:D123 D126">
    <cfRule type="expression" dxfId="1543" priority="518">
      <formula>mgmt_az1_en1_edge_overlay_network_ip_allocation_chosen&lt;&gt;"Static IP List"</formula>
    </cfRule>
  </conditionalFormatting>
  <conditionalFormatting sqref="D124">
    <cfRule type="expression" dxfId="1542" priority="5">
      <formula>mgmt_az1_en1_edge_overlay_network_ip_allocation_chosen&lt;&gt;"IP Pool"</formula>
    </cfRule>
  </conditionalFormatting>
  <conditionalFormatting sqref="D125">
    <cfRule type="expression" dxfId="1541" priority="280">
      <formula>input_mgmt_az1_edge_overlay_gateway_ip="DHCP"</formula>
    </cfRule>
  </conditionalFormatting>
  <conditionalFormatting sqref="D128:D138 D99:D110 D112:D126 D95:D97 D140:D150 D152:D154 D156:D159 D161:D174 D176:D189">
    <cfRule type="expression" dxfId="1540" priority="246">
      <formula>mgmt_vns_chosen="Distributed Connectivity"</formula>
    </cfRule>
  </conditionalFormatting>
  <conditionalFormatting sqref="D130">
    <cfRule type="expression" dxfId="1539" priority="50">
      <formula>$D$130="Value Missing"</formula>
    </cfRule>
  </conditionalFormatting>
  <conditionalFormatting sqref="D132">
    <cfRule type="expression" dxfId="1538" priority="526">
      <formula>input_mgmt_ec01_host_group_affinity_rule_chosen="No"</formula>
    </cfRule>
  </conditionalFormatting>
  <conditionalFormatting sqref="D146">
    <cfRule type="expression" dxfId="1537" priority="525">
      <formula>mgmt_az1_en1_edge_overlay_network_ip_allocation_chosen&lt;&gt;"IP Pool"</formula>
    </cfRule>
  </conditionalFormatting>
  <conditionalFormatting sqref="D147:D150">
    <cfRule type="expression" dxfId="1536" priority="492">
      <formula>mgmt_az1_en1_edge_overlay_network_ip_allocation_chosen&lt;&gt;"Static IP List"</formula>
    </cfRule>
  </conditionalFormatting>
  <conditionalFormatting sqref="D153:D154">
    <cfRule type="expression" dxfId="1535" priority="458">
      <formula>mgmt_az1_ec01_password_creation_chosen="Selected"</formula>
    </cfRule>
  </conditionalFormatting>
  <conditionalFormatting sqref="D156:D159">
    <cfRule type="expression" dxfId="1534" priority="83">
      <formula>OR((mgmt_nsxt_federation_chosen="Standby Global Manager"),(mgmt_nsxt_federation_chosen="Connect Instance"))</formula>
    </cfRule>
  </conditionalFormatting>
  <conditionalFormatting sqref="D159 D163:D167 D170:D174 D178:D183 D186:D189">
    <cfRule type="expression" dxfId="1533" priority="282">
      <formula>mgmt_gateway_routing_type_chosen="STATIC"</formula>
    </cfRule>
  </conditionalFormatting>
  <conditionalFormatting sqref="D176:D192">
    <cfRule type="expression" dxfId="1532" priority="292">
      <formula>OR((mgmt_domain_result="Excluded"),(mgmt_vns_result="Excluded"))</formula>
    </cfRule>
  </conditionalFormatting>
  <conditionalFormatting sqref="D191:D192">
    <cfRule type="expression" dxfId="1531" priority="4">
      <formula>mgmt_vns_chosen="Centralized Connectivity"</formula>
    </cfRule>
  </conditionalFormatting>
  <conditionalFormatting sqref="D208:D216 D218:D226 D205:D206">
    <cfRule type="expression" dxfId="1530" priority="281">
      <formula>mgmt_vns_chosen="Centralized Connectivity"</formula>
    </cfRule>
  </conditionalFormatting>
  <conditionalFormatting sqref="D208:D216 D218:D226 D228 D99:D110 D112:D126 D176:D192 D93 D95:D97 D128:D138 D140:D150 D152:D154 D156:D159 D161:D174 D194:D203 D205:D206">
    <cfRule type="expression" dxfId="1529" priority="49">
      <formula>mgmt_vns_result="Excluded"</formula>
    </cfRule>
  </conditionalFormatting>
  <conditionalFormatting sqref="D213 D223">
    <cfRule type="expression" dxfId="1528" priority="8">
      <formula>mgmt_vna_ip_assignment_address_type_chosen&lt;&gt;"IPv4"</formula>
    </cfRule>
  </conditionalFormatting>
  <conditionalFormatting sqref="D228 D230 D234">
    <cfRule type="expression" dxfId="1527" priority="51">
      <formula>mgmt_ec_api_chosen="Exclude"</formula>
    </cfRule>
  </conditionalFormatting>
  <conditionalFormatting sqref="D228">
    <cfRule type="expression" dxfId="1526" priority="7">
      <formula>mgmt_vns_chosen&lt;&gt;"Centralized Connectivity"</formula>
    </cfRule>
    <cfRule type="expression" dxfId="1525" priority="53">
      <formula>mgmt_ec_api_chosen="Include"</formula>
    </cfRule>
  </conditionalFormatting>
  <conditionalFormatting sqref="D230:D232 D238">
    <cfRule type="expression" dxfId="1524" priority="74">
      <formula>mgmt_vns_result="Excluded"</formula>
    </cfRule>
    <cfRule type="expression" dxfId="1523" priority="75">
      <formula>OR((mgmt_nsxt_federation_chosen="Standby Global Manager"),(mgmt_nsxt_federation_chosen="Connect Instance"))</formula>
    </cfRule>
    <cfRule type="expression" dxfId="1522" priority="76">
      <formula>mgmt_vns_chosen="Distributed Connectivity"</formula>
    </cfRule>
    <cfRule type="expression" dxfId="1521" priority="81">
      <formula>mgmt_gateway_routing_type_chosen="STATIC"</formula>
    </cfRule>
    <cfRule type="expression" dxfId="1520" priority="82">
      <formula>OR((mgmt_domain_result="Excluded"),(mgmt_vns_result="Excluded"))</formula>
    </cfRule>
  </conditionalFormatting>
  <conditionalFormatting sqref="D234:D236">
    <cfRule type="expression" dxfId="1519" priority="65">
      <formula>mgmt_vns_result="Excluded"</formula>
    </cfRule>
    <cfRule type="expression" dxfId="1518" priority="66">
      <formula>OR((mgmt_nsxt_federation_chosen="Standby Global Manager"),(mgmt_nsxt_federation_chosen="Connect Instance"))</formula>
    </cfRule>
    <cfRule type="expression" dxfId="1517" priority="67">
      <formula>mgmt_vns_chosen="Distributed Connectivity"</formula>
    </cfRule>
    <cfRule type="expression" dxfId="1516" priority="72">
      <formula>mgmt_gateway_routing_type_chosen="STATIC"</formula>
    </cfRule>
    <cfRule type="expression" dxfId="1515" priority="73">
      <formula>OR((mgmt_domain_result="Excluded"),(mgmt_vns_result="Excluded"))</formula>
    </cfRule>
  </conditionalFormatting>
  <conditionalFormatting sqref="D237">
    <cfRule type="expression" dxfId="1514" priority="263">
      <formula>input_mgmt_principal_storage_chosen="VMFS on Fibre Channel (FC)"</formula>
    </cfRule>
    <cfRule type="expression" dxfId="1513" priority="264">
      <formula>mgmt_domain_existing_vcenter_chosen="Selected"</formula>
    </cfRule>
    <cfRule type="notContainsBlanks" dxfId="1511" priority="266">
      <formula>LEN(TRIM(D237))&gt;0</formula>
    </cfRule>
    <cfRule type="containsBlanks" dxfId="1510" priority="267">
      <formula>LEN(TRIM(D237))=0</formula>
    </cfRule>
  </conditionalFormatting>
  <conditionalFormatting sqref="D242 D244:D248 D250:D252 D254:D261 D263:D270 D272:D273">
    <cfRule type="expression" dxfId="1509" priority="9">
      <formula>mgmt_supervisor_result="Excluded"</formula>
    </cfRule>
  </conditionalFormatting>
  <conditionalFormatting sqref="D242">
    <cfRule type="containsBlanks" dxfId="1507" priority="33">
      <formula>LEN(TRIM(D242))=0</formula>
    </cfRule>
    <cfRule type="notContainsBlanks" dxfId="1506" priority="34">
      <formula>LEN(TRIM(D242))&gt;0</formula>
    </cfRule>
  </conditionalFormatting>
  <conditionalFormatting sqref="D244:D248">
    <cfRule type="containsBlanks" dxfId="1504" priority="27">
      <formula>LEN(TRIM(D244))=0</formula>
    </cfRule>
    <cfRule type="notContainsBlanks" dxfId="1503" priority="28">
      <formula>LEN(TRIM(D244))&gt;0</formula>
    </cfRule>
  </conditionalFormatting>
  <conditionalFormatting sqref="D247">
    <cfRule type="expression" dxfId="1502" priority="3">
      <formula>mgmt_supvr_location_chosen="vSphere Zone Deployment"</formula>
    </cfRule>
  </conditionalFormatting>
  <conditionalFormatting sqref="D248">
    <cfRule type="expression" dxfId="1501" priority="2">
      <formula>mgmt_supvr_location_chosen="Cluster Deployment"</formula>
    </cfRule>
  </conditionalFormatting>
  <conditionalFormatting sqref="D250:D252">
    <cfRule type="containsBlanks" dxfId="1499" priority="24">
      <formula>LEN(TRIM(D250))=0</formula>
    </cfRule>
    <cfRule type="notContainsBlanks" dxfId="1498" priority="25">
      <formula>LEN(TRIM(D250))&gt;0</formula>
    </cfRule>
  </conditionalFormatting>
  <conditionalFormatting sqref="D254:D261">
    <cfRule type="containsBlanks" dxfId="1496" priority="21">
      <formula>LEN(TRIM(D254))=0</formula>
    </cfRule>
    <cfRule type="notContainsBlanks" dxfId="1495" priority="22">
      <formula>LEN(TRIM(D254))&gt;0</formula>
    </cfRule>
  </conditionalFormatting>
  <conditionalFormatting sqref="D263:D270">
    <cfRule type="containsBlanks" dxfId="1493" priority="18">
      <formula>LEN(TRIM(D263))=0</formula>
    </cfRule>
    <cfRule type="notContainsBlanks" dxfId="1492" priority="19">
      <formula>LEN(TRIM(D263))&gt;0</formula>
    </cfRule>
  </conditionalFormatting>
  <conditionalFormatting sqref="D272:D273">
    <cfRule type="containsBlanks" dxfId="1490" priority="15">
      <formula>LEN(TRIM(D272))=0</formula>
    </cfRule>
    <cfRule type="notContainsBlanks" dxfId="1489" priority="16">
      <formula>LEN(TRIM(D272))&gt;0</formula>
    </cfRule>
  </conditionalFormatting>
  <conditionalFormatting sqref="D279">
    <cfRule type="expression" dxfId="1488" priority="754">
      <formula>mgmt_avi_loadbalancer_result="Excluded"</formula>
    </cfRule>
    <cfRule type="expression" dxfId="1487" priority="757">
      <formula>mgmt_domain_result="Excluded"</formula>
    </cfRule>
  </conditionalFormatting>
  <conditionalFormatting sqref="D281">
    <cfRule type="expression" dxfId="1486" priority="529">
      <formula>mgmt_avi_loadbalancer_result="Excluded"</formula>
    </cfRule>
  </conditionalFormatting>
  <conditionalFormatting sqref="D283:D291">
    <cfRule type="expression" dxfId="1485" priority="758">
      <formula>mgmt_avi_loadbalancer_result="Excluded"</formula>
    </cfRule>
  </conditionalFormatting>
  <conditionalFormatting sqref="D287:D288">
    <cfRule type="expression" dxfId="1484" priority="1">
      <formula>mgmt_avilb_ha_chosen="Simple"</formula>
    </cfRule>
  </conditionalFormatting>
  <conditionalFormatting sqref="D298:D301">
    <cfRule type="expression" dxfId="1483" priority="368">
      <formula>mgmt_stretched_cluster_result="Excluded"</formula>
    </cfRule>
  </conditionalFormatting>
  <conditionalFormatting sqref="D303:D318">
    <cfRule type="expression" dxfId="1482" priority="367">
      <formula>mgmt_stretched_cluster_result="Excluded"</formula>
    </cfRule>
  </conditionalFormatting>
  <conditionalFormatting sqref="D322">
    <cfRule type="expression" dxfId="1481" priority="110">
      <formula>OR((mgmt_domain_result="Excluded"),(mgmt_stretched_cluster_result="Excluded"))</formula>
    </cfRule>
  </conditionalFormatting>
  <conditionalFormatting sqref="D323">
    <cfRule type="expression" dxfId="1480" priority="407">
      <formula>OR((mgmt_domain_result="Excluded"),(mgmt_stretched_cluster_result="Excluded"))</formula>
    </cfRule>
  </conditionalFormatting>
  <conditionalFormatting sqref="D325:D331 D333:D339 D341:D347">
    <cfRule type="expression" dxfId="1479" priority="107">
      <formula>mgmt_az2_reuse_vcf_networkpool_chosen="Re-use an existing VCF Network Pool"</formula>
    </cfRule>
  </conditionalFormatting>
  <conditionalFormatting sqref="D332">
    <cfRule type="expression" dxfId="1478" priority="510">
      <formula>input_mgmt_principal_storage_chosen="VMFS on Fibre Channel (FC)"</formula>
    </cfRule>
    <cfRule type="expression" dxfId="1477" priority="511">
      <formula>mgmt_domain_existing_vcenter_chosen="Selected"</formula>
    </cfRule>
    <cfRule type="containsBlanks" dxfId="1475" priority="513">
      <formula>LEN(TRIM(D332))=0</formula>
    </cfRule>
    <cfRule type="notContainsBlanks" dxfId="1474" priority="514">
      <formula>LEN(TRIM(D332))&gt;0</formula>
    </cfRule>
  </conditionalFormatting>
  <conditionalFormatting sqref="D341:D347 D325:D331 D333:D339">
    <cfRule type="expression" dxfId="1473" priority="293">
      <formula>mgmt_stretched_cluster_result="Excluded"</formula>
    </cfRule>
  </conditionalFormatting>
  <conditionalFormatting sqref="D341:D347">
    <cfRule type="expression" dxfId="1472" priority="233">
      <formula>mgmt_principal_storage_chosen&lt;&gt;"NFSv3"</formula>
    </cfRule>
  </conditionalFormatting>
  <conditionalFormatting sqref="D352:D373">
    <cfRule type="expression" dxfId="1471" priority="420">
      <formula>mgmt_stretched_cluster_result="Excluded"</formula>
    </cfRule>
  </conditionalFormatting>
  <conditionalFormatting sqref="D376">
    <cfRule type="expression" dxfId="1470" priority="413">
      <formula>mgmt_domain_existing_vcenter_chosen="Selected"</formula>
    </cfRule>
  </conditionalFormatting>
  <conditionalFormatting sqref="D378:D381">
    <cfRule type="expression" dxfId="1469" priority="356">
      <formula>mgmt_stretched_cluster_result="Excluded"</formula>
    </cfRule>
  </conditionalFormatting>
  <conditionalFormatting sqref="D383:D400 D418:D447">
    <cfRule type="expression" dxfId="1468" priority="111" stopIfTrue="1">
      <formula>mgmt_stretched_cluster_result="Excluded"</formula>
    </cfRule>
  </conditionalFormatting>
  <conditionalFormatting sqref="D400">
    <cfRule type="expression" dxfId="1467" priority="527">
      <formula>AND((mgmt_stretched_cluster_result="Excluded"),(wld_stretched_cluster_result="Excluded"))</formula>
    </cfRule>
  </conditionalFormatting>
  <conditionalFormatting sqref="D402:D405 D407:D409 D411:D413 D451 D453:D454 D456:D466">
    <cfRule type="expression" dxfId="1466" priority="294" stopIfTrue="1">
      <formula>mgmt_stretched_cluster_result="Excluded"</formula>
    </cfRule>
  </conditionalFormatting>
  <conditionalFormatting sqref="D451 D453:D454 D456:D466">
    <cfRule type="expression" dxfId="1465" priority="441">
      <formula>OR((mgmt_stretched_cluster_result="Excluded"),(mgmt_vns_chosen&lt;&gt;"Centralized Connectivity"))</formula>
    </cfRule>
  </conditionalFormatting>
  <conditionalFormatting sqref="D471 D473:D488 D490:D505 D507:D523 D525:D539 D547:D549">
    <cfRule type="expression" dxfId="1464" priority="84">
      <formula>OR((mgmt_nsxt_federation_result="Excluded"),(mgmt_nsxt_federation_chosen="Connect Instance"))</formula>
    </cfRule>
  </conditionalFormatting>
  <conditionalFormatting sqref="D526:D527">
    <cfRule type="expression" dxfId="1463" priority="752">
      <formula>OR((mgmt_domain_result="Excluded"),(mgmt_nsxt_federation_result="Excluded"))</formula>
    </cfRule>
    <cfRule type="expression" dxfId="1462" priority="753">
      <formula>mgmt_domain_result="Excluded"</formula>
    </cfRule>
  </conditionalFormatting>
  <conditionalFormatting sqref="D541:D545">
    <cfRule type="expression" dxfId="1461" priority="749">
      <formula>OR((mgmt_nsxt_federation_result="Excluded"),(mgmt_nsxt_federation_chosen="Connect Instance"))</formula>
    </cfRule>
  </conditionalFormatting>
  <conditionalFormatting sqref="D542">
    <cfRule type="expression" dxfId="1460" priority="748">
      <formula>mgmt_domain_result="Excluded"</formula>
    </cfRule>
  </conditionalFormatting>
  <conditionalFormatting sqref="D548">
    <cfRule type="expression" dxfId="1459" priority="739">
      <formula>mgmt_nsxt_federation_result="Excluded"</formula>
    </cfRule>
  </conditionalFormatting>
  <conditionalFormatting sqref="D551">
    <cfRule type="expression" dxfId="1458" priority="106">
      <formula>OR((mgmt_nsxt_federation_result="Excluded"),(mgmt_nsxt_federation_chosen="Connect Instance"),(mgmt_signed_certs_result="Excluded"))</formula>
    </cfRule>
  </conditionalFormatting>
  <conditionalFormatting sqref="D553:D556">
    <cfRule type="expression" dxfId="1457" priority="105">
      <formula>OR((mgmt_nsxt_federation_result="Excluded"),(mgmt_nsxt_federation_chosen="Connect Instance"),(mgmt_signed_certs_result="Excluded"))</formula>
    </cfRule>
  </conditionalFormatting>
  <conditionalFormatting sqref="D554">
    <cfRule type="expression" dxfId="1456" priority="723">
      <formula>mgmt_domain_result="Excluded"</formula>
    </cfRule>
    <cfRule type="expression" dxfId="1455" priority="730">
      <formula>OR((mgmt_nsxt_federation_result="Excluded"),(mgmt_nsxt_federation_chosen="Connect Instance"))</formula>
    </cfRule>
  </conditionalFormatting>
  <conditionalFormatting sqref="D558:D561">
    <cfRule type="expression" dxfId="1454" priority="93">
      <formula>OR((mgmt_nsxt_federation_result="Excluded"),(mgmt_nsxt_federation_chosen="Connect Instance"),(mgmt_signed_certs_result="Excluded"))</formula>
    </cfRule>
  </conditionalFormatting>
  <conditionalFormatting sqref="D559">
    <cfRule type="expression" dxfId="1453" priority="101">
      <formula>mgmt_domain_result="Excluded"</formula>
    </cfRule>
    <cfRule type="expression" dxfId="1452" priority="104">
      <formula>OR((mgmt_nsxt_federation_result="Excluded"),(mgmt_nsxt_federation_chosen="Connect Instance"))</formula>
    </cfRule>
  </conditionalFormatting>
  <conditionalFormatting sqref="D563:D564 D582:D592">
    <cfRule type="expression" dxfId="1451" priority="554">
      <formula>mgmt_nsxt_federation_result="Excluded"</formula>
    </cfRule>
  </conditionalFormatting>
  <conditionalFormatting sqref="D565:D566">
    <cfRule type="expression" dxfId="1450" priority="719">
      <formula>mgmt_nsxt_federation_result="Excluded"</formula>
    </cfRule>
  </conditionalFormatting>
  <conditionalFormatting sqref="D567:D568">
    <cfRule type="expression" dxfId="1449" priority="722" stopIfTrue="1">
      <formula>mgmt_nsxt_federation_result="Excluded"</formula>
    </cfRule>
  </conditionalFormatting>
  <conditionalFormatting sqref="D570:D571">
    <cfRule type="expression" dxfId="1448" priority="92">
      <formula>OR((mgmt_nsxt_federation_result="Excluded"),(mgmt_nsxt_federation_chosen&lt;&gt;"Active Global Manager"))</formula>
    </cfRule>
  </conditionalFormatting>
  <conditionalFormatting sqref="D573 D575:D580">
    <cfRule type="expression" dxfId="1447" priority="932">
      <formula>OR((mgmt_nsxt_federation_result="Excluded"),(mgmt_nsxt_federation_chosen&lt;&gt;"Standby Global Manager"))</formula>
    </cfRule>
  </conditionalFormatting>
  <conditionalFormatting sqref="D574">
    <cfRule type="expression" dxfId="1445" priority="708">
      <formula>OR((mgmt_nsxt_federation_result="Excluded"),(mgmt_nsxt_federation_chosen="Active Global Manager"),(mgmt_nsxt_federation_chosen="Connect Instance"))</formula>
    </cfRule>
    <cfRule type="expression" dxfId="1444" priority="718">
      <formula>mgmt_domain_result="Excluded"</formula>
    </cfRule>
  </conditionalFormatting>
  <conditionalFormatting sqref="D583">
    <cfRule type="expression" dxfId="1443" priority="581">
      <formula>OR((mgmt_domain_result="Excluded"),(mgmt_nsxt_federation_result="Excluded"))</formula>
    </cfRule>
    <cfRule type="expression" dxfId="1442" priority="703">
      <formula>mgmt_domain_result="Excluded"</formula>
    </cfRule>
  </conditionalFormatting>
  <conditionalFormatting sqref="D594:D598">
    <cfRule type="expression" dxfId="1441" priority="90">
      <formula>OR((mgmt_nsxt_federation_result="Excluded"),(mgmt_nsxt_federation_chosen&lt;&gt;"Active Global Manager"))</formula>
    </cfRule>
  </conditionalFormatting>
  <conditionalFormatting sqref="D596 D604:D643 D645:D648">
    <cfRule type="expression" dxfId="1440" priority="417">
      <formula>OR((mgmt_nsxt_federation_result="Excluded"),(mgmt_nsxt_federation_chosen="Active Global Manager"))</formula>
    </cfRule>
  </conditionalFormatting>
  <conditionalFormatting sqref="D600:D602">
    <cfRule type="expression" dxfId="1439" priority="85">
      <formula>OR((mgmt_nsxt_federation_result="Excluded"),(mgmt_nsxt_federation_chosen&lt;&gt;"Active Global Manager"))</formula>
    </cfRule>
  </conditionalFormatting>
  <conditionalFormatting sqref="D12:E12 B12">
    <cfRule type="expression" dxfId="1438" priority="285">
      <formula>AND((mgmt_signed_certs_chosen&lt;&gt;"Exclude"),(mgmt_signed_certs_result="Excluded"))</formula>
    </cfRule>
  </conditionalFormatting>
  <conditionalFormatting sqref="D12:E12">
    <cfRule type="expression" dxfId="1437" priority="959">
      <formula>(mgmt_signed_certs_result="Excluded")</formula>
    </cfRule>
    <cfRule type="expression" dxfId="1436" priority="960">
      <formula>(mgmt_signed_certs_chosen&lt;&gt;"Exclude")</formula>
    </cfRule>
  </conditionalFormatting>
  <conditionalFormatting sqref="D13:E13">
    <cfRule type="expression" dxfId="1435" priority="961">
      <formula>(mgmt_vns_result="Excluded")</formula>
    </cfRule>
    <cfRule type="expression" dxfId="1434" priority="962">
      <formula>(mgmt_vns_result="Included")</formula>
    </cfRule>
  </conditionalFormatting>
  <conditionalFormatting sqref="D16:E16">
    <cfRule type="expression" dxfId="1433" priority="972">
      <formula>(mgmt_stretched_cluster_result="Excluded")</formula>
    </cfRule>
    <cfRule type="expression" dxfId="1432" priority="974">
      <formula>AND((mgmt_stretched_cluster_chosen="Include"),(mgmt_stretched_cluster_result="Included"))</formula>
    </cfRule>
  </conditionalFormatting>
  <conditionalFormatting sqref="D17:E17">
    <cfRule type="expression" dxfId="1431" priority="957">
      <formula>AND((vcf_granular_option_chosen&lt;&gt;"Deploy a VCF Instance in an existing VCF fleet"),(vcf_granular_option_chosen&lt;&gt;"Deploy a new VCF fleet"),(vcf_granular_option_chosen&lt;&gt;"Cluster"),(vcf_granular_option_chosen&lt;&gt;"One or More VVDs"))</formula>
    </cfRule>
    <cfRule type="expression" dxfId="1430" priority="958">
      <formula>(mgmt_nsxt_federation_chosen="Exclude")</formula>
    </cfRule>
    <cfRule type="expression" dxfId="1429" priority="968">
      <formula>AND((mgmt_nsxt_federation_chosen&lt;&gt;"Exclude"),(mgmt_nsxt_federation_result="Excluded"))</formula>
    </cfRule>
  </conditionalFormatting>
  <conditionalFormatting sqref="E16">
    <cfRule type="containsText" dxfId="1427" priority="963" operator="containsText" text="Note:">
      <formula>NOT(ISERROR(SEARCH("Note:",E16)))</formula>
    </cfRule>
  </conditionalFormatting>
  <dataValidations count="28">
    <dataValidation type="list" allowBlank="1" showInputMessage="1" showErrorMessage="1" sqref="B17" xr:uid="{4C87AA03-6454-D94F-9467-431FFA208D54}">
      <formula1>"Exclude, Active Global Manager, Standby Global Manager, Connect Instance"</formula1>
    </dataValidation>
    <dataValidation type="list" allowBlank="1" showInputMessage="1" showErrorMessage="1" sqref="B12" xr:uid="{9C44D66D-A6AE-BB4C-A959-2695BEEC9467}">
      <formula1>"Exclude,Microsoft CA,OpenSSL CA"</formula1>
    </dataValidation>
    <dataValidation type="list" allowBlank="1" showInputMessage="1" showErrorMessage="1" sqref="B13" xr:uid="{2D9695D8-0E1C-EF44-AAB1-95F146F1964E}">
      <formula1>"Exclude,Centralized Connectivity,Distributed Connectivity"</formula1>
    </dataValidation>
    <dataValidation type="list" allowBlank="1" showInputMessage="1" showErrorMessage="1" sqref="D97" xr:uid="{8510D5E3-76F3-4F48-A320-4202661526C0}">
      <formula1>"Small,Medium,Large"</formula1>
    </dataValidation>
    <dataValidation type="list" allowBlank="1" showInputMessage="1" showErrorMessage="1" sqref="B14:B16 D228" xr:uid="{C69FA742-5038-9D45-BD6D-BB0D8DB6294F}">
      <formula1>"Include,Exclude"</formula1>
    </dataValidation>
    <dataValidation type="list" allowBlank="1" showInputMessage="1" showErrorMessage="1" sqref="D106" xr:uid="{E838950C-5824-1048-9170-FDEAC523C764}">
      <formula1>"DHCP,Static"</formula1>
    </dataValidation>
    <dataValidation type="list" allowBlank="1" showInputMessage="1" showErrorMessage="1" sqref="D102" xr:uid="{0F03A693-4659-0642-B5C1-56827D3A287D}">
      <formula1>"Yes,No"</formula1>
    </dataValidation>
    <dataValidation type="list" allowBlank="1" showInputMessage="1" showErrorMessage="1" sqref="D152 D110 D246" xr:uid="{EB1D5431-E355-8349-92B7-98699093D262}">
      <formula1>"Selected,Unselected"</formula1>
    </dataValidation>
    <dataValidation type="list" allowBlank="1" showInputMessage="1" showErrorMessage="1" sqref="D158" xr:uid="{B5F4A4EE-17C2-E74F-8366-A5915E1CDDA9}">
      <formula1>"BGP,STATIC"</formula1>
    </dataValidation>
    <dataValidation type="list" allowBlank="1" showInputMessage="1" showErrorMessage="1" sqref="D165 D179" xr:uid="{445EF43D-0D75-3D4A-A2ED-D8E3CC33620C}">
      <formula1>"Unselected,Selected"</formula1>
    </dataValidation>
    <dataValidation type="list" allowBlank="1" showInputMessage="1" showErrorMessage="1" sqref="D157" xr:uid="{B7DAA969-9775-E54D-8FB3-20D65C5FE37E}">
      <formula1>"Active Active,Active Standby"</formula1>
    </dataValidation>
    <dataValidation type="list" allowBlank="1" showInputMessage="1" showErrorMessage="1" sqref="D322" xr:uid="{3A8139DA-5760-284F-92B4-C643E6BDFED4}">
      <formula1>"Re-use an existing VCF Network Pool,Create a new VCF Network Pool"</formula1>
    </dataValidation>
    <dataValidation type="list" allowBlank="1" showInputMessage="1" showErrorMessage="1" sqref="D435" xr:uid="{87787DC0-6963-C243-9CE6-A77E9D967B7A}">
      <formula1>"Re-use an existing Pool,Create New Static IP Pool"</formula1>
    </dataValidation>
    <dataValidation type="list" allowBlank="1" showInputMessage="1" showErrorMessage="1" sqref="D126 D328 D336 D344" xr:uid="{951D9857-4EE1-9C47-88BC-3A61688F0E59}">
      <formula1>table_masks</formula1>
    </dataValidation>
    <dataValidation type="list" allowBlank="1" showInputMessage="1" showErrorMessage="1" sqref="D476" xr:uid="{7E60ABCF-9E78-D341-A124-AF768C695917}">
      <formula1>"Small,Medium,Large,X-Large"</formula1>
    </dataValidation>
    <dataValidation type="list" allowBlank="1" showInputMessage="1" showErrorMessage="1" sqref="D118" xr:uid="{E9886013-30A8-D142-BF14-FD432DB2FF83}">
      <formula1>"Static IP List,DHCP,IP Pool"</formula1>
    </dataValidation>
    <dataValidation type="list" allowBlank="1" showInputMessage="1" showErrorMessage="1" sqref="D105" xr:uid="{649584F4-E205-7F49-BB2E-A6F907287C89}">
      <formula1>"IPv4 Only,IPv6 Only, IPv4 &amp; IPv6"</formula1>
    </dataValidation>
    <dataValidation type="list" allowBlank="1" showInputMessage="1" showErrorMessage="1" sqref="D117" xr:uid="{460942FC-888E-AD4E-979E-155CF16B3AA5}">
      <formula1>"IPv4,IPv6,"</formula1>
    </dataValidation>
    <dataValidation type="list" allowBlank="1" showInputMessage="1" showErrorMessage="1" sqref="D206" xr:uid="{0ECF90B9-E87C-374F-A15E-2BE7EFCB0D0A}">
      <formula1>"Small,Medium,Large,Extra Large"</formula1>
    </dataValidation>
    <dataValidation type="list" allowBlank="1" showInputMessage="1" showErrorMessage="1" sqref="D212" xr:uid="{623CC3AA-C5EF-0445-A0F1-A3290C048E27}">
      <formula1>"IPv4,IPv4 &amp; IPv6, IPv6"</formula1>
    </dataValidation>
    <dataValidation type="list" allowBlank="1" showInputMessage="1" showErrorMessage="1" sqref="D254" xr:uid="{408F1FF8-94B5-AC4C-A8B1-382C56F20775}">
      <formula1>"Static,DHCP"</formula1>
    </dataValidation>
    <dataValidation type="list" allowBlank="1" showInputMessage="1" showErrorMessage="1" sqref="D272" xr:uid="{FDF3D66B-F285-1841-A6E1-54AF70F6DD8F}">
      <formula1>"Tiny,Small,Medium,Large,XLarge"</formula1>
    </dataValidation>
    <dataValidation type="list" allowBlank="1" showInputMessage="1" showErrorMessage="1" sqref="D242" xr:uid="{B6F987F0-DD9E-6947-827A-68C430CD78EC}">
      <formula1>"VCF Networking with VPC,vSphere Distributed Switch"</formula1>
    </dataValidation>
    <dataValidation type="list" allowBlank="1" showInputMessage="1" showErrorMessage="1" sqref="D244" xr:uid="{BD54A65E-DC0B-3C42-B29C-9E79ABC9C4B1}">
      <formula1>"vSphere Zone Deployment,Cluster Deployment"</formula1>
    </dataValidation>
    <dataValidation type="list" allowBlank="1" showInputMessage="1" showErrorMessage="1" sqref="D66" xr:uid="{51874A3A-9F18-934C-813C-7D21FCB612B7}">
      <formula1>"2048,3072,4096"</formula1>
    </dataValidation>
    <dataValidation type="list" allowBlank="1" showInputMessage="1" showErrorMessage="1" sqref="D77" xr:uid="{713834F4-D143-6E41-9482-6233188B8CCD}">
      <formula1>"rsa_key_size_chosen"</formula1>
    </dataValidation>
    <dataValidation type="list" allowBlank="1" showInputMessage="1" showErrorMessage="1" sqref="D285" xr:uid="{31A35679-1D9D-3E4C-9D3A-DB7FEB2480DC}">
      <formula1>"Simple,High-Availability"</formula1>
    </dataValidation>
    <dataValidation type="list" allowBlank="1" showInputMessage="1" showErrorMessage="1" sqref="D281" xr:uid="{1E5FAB85-107A-8E44-A4D0-EC46A774CBC8}">
      <formula1>"Small,Large,XLarge"</formula1>
    </dataValidation>
  </dataValidations>
  <hyperlinks>
    <hyperlink ref="B5" location="'Configure Management Domain'!navigation_configure_sftp_mgmt_domain" display="Configure SFTP Backups for SDDC Manager and NSX" xr:uid="{00000000-0004-0000-0400-000000000000}"/>
    <hyperlink ref="C5" location="'Configure Management Domain'!navigation_apply_signed_certs_mgmt_domain" display="Apply Signed Certificates" xr:uid="{00000000-0004-0000-0400-000001000000}"/>
    <hyperlink ref="D5" location="'Configure Management Domain'!navigation_nsx_routing_mgmt_domain" display="NSX Network Connectivity for the MGMT Workload Domain" xr:uid="{00000000-0004-0000-0400-000002000000}"/>
    <hyperlink ref="D7" location="'Configure Management Domain'!navigation_avi_lb_mgmt_domain" display="Deploy AVI Loadbalancer " xr:uid="{00000000-0004-0000-0400-000003000000}"/>
    <hyperlink ref="B7" location="'Configure Management Domain'!navigation_stretched_cluster_mgmt_domain" display="Stretched Cluster" xr:uid="{00000000-0004-0000-0400-000004000000}"/>
    <hyperlink ref="C7" location="'Configure Management Domain'!navigation_nsx_federation_for_management_domain" display="NSX Federation for Management Domain" xr:uid="{00000000-0004-0000-0400-000005000000}"/>
    <hyperlink ref="E100" location="'Deploy Management Domain'!L94" display="Values are set based on vSphere Cluster configuration in the Deploy Management Domain Tab" xr:uid="{00000000-0004-0000-0400-000006000000}"/>
    <hyperlink ref="E104" location="'Deploy Management Domain'!L115" display="Values are set based on Datastoreconfiguration in the Deploy Management Domain Tab" xr:uid="{00000000-0004-0000-0400-000007000000}"/>
    <hyperlink ref="E109" location="'Deploy Management Domain'!L199" display="Values are set based on VM Management Network configuration in the Deploy Management Domain Tab" xr:uid="{00000000-0004-0000-0400-000008000000}"/>
    <hyperlink ref="E108" location="'Deploy Management Domain'!L155" display="'Deploy Management Domain'!L155" xr:uid="{00000000-0004-0000-0400-000009000000}"/>
    <hyperlink ref="E129" location="'Deploy Management Domain'!L94" display="Values are set based on vSphere Cluster configuration in the Deploy Management Domain Tab" xr:uid="{00000000-0004-0000-0400-00000A000000}"/>
    <hyperlink ref="E133" location="'Deploy Management Domain'!L115" display="Values are set based on Datastoreconfiguration in the Deploy Management Domain Tab" xr:uid="{00000000-0004-0000-0400-00000B000000}"/>
    <hyperlink ref="E137" location="'Deploy Management Domain'!L199" display="Values are set based on VM Management Network configuration in the Deploy Management Domain Tab" xr:uid="{00000000-0004-0000-0400-00000C000000}"/>
    <hyperlink ref="E136" location="'Deploy Management Domain'!L155" display="'Deploy Management Domain'!L155" xr:uid="{00000000-0004-0000-0400-00000D000000}"/>
    <hyperlink ref="E209" location="'Deploy Management Domain'!L94" display="Values are set based on vSphere Cluster configuration in the Deploy Management Domain Tab" xr:uid="{A99815FD-3CB0-AC46-9E67-51ECE141AE2F}"/>
    <hyperlink ref="E219" location="'Deploy Management Domain'!L94" display="Values are set based on vSphere Cluster configuration in the Deploy Management Domain Tab" xr:uid="{E1800D78-7E83-F24F-B4A6-8D2711356451}"/>
    <hyperlink ref="E211" location="'Deploy Management Domain'!L115" display="Values are set based on Datastoreconfiguration in the Deploy Management Domain Tab" xr:uid="{76EEAD1F-F669-4446-9EE6-054C40A1A095}"/>
    <hyperlink ref="E221" location="'Deploy Management Domain'!L115" display="Values are set based on Datastoreconfiguration in the Deploy Management Domain Tab" xr:uid="{C8FBC361-72B1-0843-9F99-0A9D56E4A478}"/>
    <hyperlink ref="E216" location="'Deploy Management Domain'!L199" display="Values are set based on VM Management Network configuration in the Deploy Management Domain Tab" xr:uid="{7286ED91-E614-9549-98B8-B4215F114A75}"/>
    <hyperlink ref="E226" location="'Deploy Management Domain'!L199" display="Values are set based on VM Management Network configuration in the Deploy Management Domain Tab" xr:uid="{866504E5-6E68-474F-BE7A-ABFDEA8CDD11}"/>
    <hyperlink ref="E225" location="'Deploy Management Domain'!L155" display="'Deploy Management Domain'!L155" xr:uid="{BF646BCE-EC5C-2B47-A886-ECEC1117ED51}"/>
    <hyperlink ref="E215" location="'Deploy Management Domain'!L155" display="'Deploy Management Domain'!L155" xr:uid="{B9481EA6-871B-C84A-BA96-9289E9322077}"/>
    <hyperlink ref="E5" location="navigation_mgmt_supervisor" display="Enable vSphere Supervisor" xr:uid="{55FE6F2C-894D-E643-BCAB-359F92FEB996}"/>
  </hyperlinks>
  <pageMargins left="0.7" right="0.7" top="0.75" bottom="0.75" header="0.3" footer="0.3"/>
  <pageSetup paperSize="9" orientation="portrait" horizontalDpi="0" verticalDpi="0"/>
  <ignoredErrors>
    <ignoredError sqref="C121" formula="1"/>
    <ignoredError sqref="E136" unlocked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701" operator="containsText" id="{584294CF-2D97-274B-9221-49162D0606ED}">
            <xm:f>NOT(ISERROR(SEARCH("Missing Value",D22)))</xm:f>
            <xm:f>"Missing Value"</xm:f>
            <x14:dxf>
              <font>
                <color theme="1"/>
              </font>
              <fill>
                <patternFill>
                  <bgColor rgb="FFFFBE29"/>
                </patternFill>
              </fill>
            </x14:dxf>
          </x14:cfRule>
          <xm:sqref>D22:D29</xm:sqref>
        </x14:conditionalFormatting>
        <x14:conditionalFormatting xmlns:xm="http://schemas.microsoft.com/office/excel/2006/main">
          <x14:cfRule type="containsText" priority="45" operator="containsText" id="{7D48929F-A954-4D46-86EB-0ABD5B8150BE}">
            <xm:f>NOT(ISERROR(SEARCH("Value Missing",D91)))</xm:f>
            <xm:f>"Value Missing"</xm:f>
            <x14:dxf>
              <font>
                <color rgb="FF0E223A"/>
              </font>
              <fill>
                <patternFill>
                  <bgColor rgb="FFFFBE29"/>
                </patternFill>
              </fill>
            </x14:dxf>
          </x14:cfRule>
          <xm:sqref>D91</xm:sqref>
        </x14:conditionalFormatting>
        <x14:conditionalFormatting xmlns:xm="http://schemas.microsoft.com/office/excel/2006/main">
          <x14:cfRule type="containsText" priority="265" stopIfTrue="1" operator="containsText" id="{3C06E0A5-FDD6-DE41-81F7-DD786C1C7398}">
            <xm:f>NOT(ISERROR(SEARCH("Value Missing",D237)))</xm:f>
            <xm:f>"Value Missing"</xm:f>
            <x14:dxf>
              <font>
                <color rgb="FF0E223A"/>
              </font>
              <fill>
                <patternFill>
                  <bgColor rgb="FFFFBE29"/>
                </patternFill>
              </fill>
            </x14:dxf>
          </x14:cfRule>
          <xm:sqref>D237</xm:sqref>
        </x14:conditionalFormatting>
        <x14:conditionalFormatting xmlns:xm="http://schemas.microsoft.com/office/excel/2006/main">
          <x14:cfRule type="containsText" priority="32" operator="containsText" id="{C7D4F8B3-8A3D-C34E-919F-97D11AF2B8DE}">
            <xm:f>NOT(ISERROR(SEARCH("Value Missing",D242)))</xm:f>
            <xm:f>"Value Missing"</xm:f>
            <x14:dxf>
              <font>
                <color rgb="FF0E223A"/>
              </font>
              <fill>
                <patternFill>
                  <bgColor rgb="FFFFBE29"/>
                </patternFill>
              </fill>
            </x14:dxf>
          </x14:cfRule>
          <xm:sqref>D242</xm:sqref>
        </x14:conditionalFormatting>
        <x14:conditionalFormatting xmlns:xm="http://schemas.microsoft.com/office/excel/2006/main">
          <x14:cfRule type="containsText" priority="26" operator="containsText" id="{2B39CAC9-D62C-B746-AA43-B7CD93903EE8}">
            <xm:f>NOT(ISERROR(SEARCH("Value Missing",D244)))</xm:f>
            <xm:f>"Value Missing"</xm:f>
            <x14:dxf>
              <font>
                <color rgb="FF0E223A"/>
              </font>
              <fill>
                <patternFill>
                  <bgColor rgb="FFFFBE29"/>
                </patternFill>
              </fill>
            </x14:dxf>
          </x14:cfRule>
          <xm:sqref>D244:D248</xm:sqref>
        </x14:conditionalFormatting>
        <x14:conditionalFormatting xmlns:xm="http://schemas.microsoft.com/office/excel/2006/main">
          <x14:cfRule type="containsText" priority="23" operator="containsText" id="{4F558507-9DB3-6640-97B6-C6648A1E6BF1}">
            <xm:f>NOT(ISERROR(SEARCH("Value Missing",D250)))</xm:f>
            <xm:f>"Value Missing"</xm:f>
            <x14:dxf>
              <font>
                <color rgb="FF0E223A"/>
              </font>
              <fill>
                <patternFill>
                  <bgColor rgb="FFFFBE29"/>
                </patternFill>
              </fill>
            </x14:dxf>
          </x14:cfRule>
          <xm:sqref>D250:D252</xm:sqref>
        </x14:conditionalFormatting>
        <x14:conditionalFormatting xmlns:xm="http://schemas.microsoft.com/office/excel/2006/main">
          <x14:cfRule type="containsText" priority="20" operator="containsText" id="{E539B77D-EA1D-4B4B-B097-A92FAC8B70B8}">
            <xm:f>NOT(ISERROR(SEARCH("Value Missing",D254)))</xm:f>
            <xm:f>"Value Missing"</xm:f>
            <x14:dxf>
              <font>
                <color rgb="FF0E223A"/>
              </font>
              <fill>
                <patternFill>
                  <bgColor rgb="FFFFBE29"/>
                </patternFill>
              </fill>
            </x14:dxf>
          </x14:cfRule>
          <xm:sqref>D254:D261</xm:sqref>
        </x14:conditionalFormatting>
        <x14:conditionalFormatting xmlns:xm="http://schemas.microsoft.com/office/excel/2006/main">
          <x14:cfRule type="containsText" priority="17" operator="containsText" id="{44F4E9F2-849B-234B-9CB2-774FEF0C663C}">
            <xm:f>NOT(ISERROR(SEARCH("Value Missing",D263)))</xm:f>
            <xm:f>"Value Missing"</xm:f>
            <x14:dxf>
              <font>
                <color rgb="FF0E223A"/>
              </font>
              <fill>
                <patternFill>
                  <bgColor rgb="FFFFBE29"/>
                </patternFill>
              </fill>
            </x14:dxf>
          </x14:cfRule>
          <xm:sqref>D263:D270</xm:sqref>
        </x14:conditionalFormatting>
        <x14:conditionalFormatting xmlns:xm="http://schemas.microsoft.com/office/excel/2006/main">
          <x14:cfRule type="containsText" priority="14" operator="containsText" id="{AFB3B8CE-2415-DF43-9BA8-AE4482C4B31E}">
            <xm:f>NOT(ISERROR(SEARCH("Value Missing",D272)))</xm:f>
            <xm:f>"Value Missing"</xm:f>
            <x14:dxf>
              <font>
                <color rgb="FF0E223A"/>
              </font>
              <fill>
                <patternFill>
                  <bgColor rgb="FFFFBE29"/>
                </patternFill>
              </fill>
            </x14:dxf>
          </x14:cfRule>
          <xm:sqref>D272:D273</xm:sqref>
        </x14:conditionalFormatting>
        <x14:conditionalFormatting xmlns:xm="http://schemas.microsoft.com/office/excel/2006/main">
          <x14:cfRule type="containsText" priority="512" stopIfTrue="1" operator="containsText" id="{A05D282B-402D-8641-81EE-7253E8565A90}">
            <xm:f>NOT(ISERROR(SEARCH("Value Missing",D332)))</xm:f>
            <xm:f>"Value Missing"</xm:f>
            <x14:dxf>
              <font>
                <color rgb="FF0E223A"/>
              </font>
              <fill>
                <patternFill>
                  <bgColor rgb="FFFFBE29"/>
                </patternFill>
              </fill>
            </x14:dxf>
          </x14:cfRule>
          <xm:sqref>D332</xm:sqref>
        </x14:conditionalFormatting>
        <x14:conditionalFormatting xmlns:xm="http://schemas.microsoft.com/office/excel/2006/main">
          <x14:cfRule type="containsText" priority="934" operator="containsText" id="{F97B184A-B8B2-B345-9B5B-582787CFAD3C}">
            <xm:f>NOT(ISERROR(SEARCH("Value Missing",D34)))</xm:f>
            <xm:f>"Value Missing"</xm:f>
            <x14:dxf>
              <font>
                <color rgb="FF0E223A"/>
              </font>
              <fill>
                <patternFill>
                  <bgColor rgb="FFFFBE29"/>
                </patternFill>
              </fill>
            </x14:dxf>
          </x14:cfRule>
          <xm:sqref>D573:D580 D43:D46 D59:D66 D48:D51 D53:D57 D34:D36 D38:D41 D99:D110 D112:D126 D128:D138 D140:D150 D161:D174 D176:D192 D283:D291 D279 D525:D539 D541:D545 D547:D549 D553:D556 D563:D568 D582:D592 D68:D74 D76:D85 D281 D383:D400 D152:D154 D451 D453:D454 D456:D466 D352:D373 D594:D598 D604:D643 D645:D648 D322:D323 D298:D301 D303:D318 D378:D381 D402:D405 D407:D409 D411:D413 D325:D331 D333:D339 D341:D347 D156:D159 D205:D206 D208:D216 D218:D226 D95:D97 D418:D447 D551 D558:D561 D570:D571 D600:D602 D471 D473:D488 D490:D505 D507:D523 D230:D232 D238 D234:D236 D228 D93 D194:D203</xm:sqref>
        </x14:conditionalFormatting>
        <x14:conditionalFormatting xmlns:xm="http://schemas.microsoft.com/office/excel/2006/main">
          <x14:cfRule type="containsText" priority="48" operator="containsText" id="{4C7EF2D2-C058-AE40-A8AF-A9CB5DCD3F64}">
            <xm:f>NOT(ISERROR(SEARCH("Deploy a new VCF fleet or Deploy a VCF Instance in an existing VCF fleet not selected on VCF &amp; VVF Planning Tab",E12)))</xm:f>
            <xm:f>"Deploy a new VCF fleet or Deploy a VCF Instance in an existing VCF fleet not selected on VCF &amp; VVF Planning Tab"</xm:f>
            <x14:dxf>
              <font>
                <color theme="1"/>
              </font>
              <fill>
                <patternFill>
                  <bgColor rgb="FFFFBE29"/>
                </patternFill>
              </fill>
            </x14:dxf>
          </x14:cfRule>
          <xm:sqref>E12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4CB1-6354-3945-8DA1-87C118349E58}">
  <sheetPr codeName="Sheet3">
    <tabColor theme="9" tint="0.39997558519241921"/>
  </sheetPr>
  <dimension ref="A1:I170"/>
  <sheetViews>
    <sheetView showGridLines="0" zoomScaleNormal="100" workbookViewId="0">
      <pane ySplit="4" topLeftCell="A5" activePane="bottomLeft" state="frozen"/>
      <selection pane="bottomLeft"/>
    </sheetView>
  </sheetViews>
  <sheetFormatPr baseColWidth="10" defaultRowHeight="16" x14ac:dyDescent="0.2"/>
  <cols>
    <col min="1" max="1" width="2.83203125" customWidth="1"/>
    <col min="2" max="2" width="75.83203125" customWidth="1"/>
    <col min="3" max="3" width="80.83203125" bestFit="1" customWidth="1"/>
    <col min="4" max="4" width="75.83203125" style="310" customWidth="1"/>
    <col min="5" max="5" width="128.6640625" style="310" customWidth="1"/>
  </cols>
  <sheetData>
    <row r="1" spans="1:7" s="9" customFormat="1" x14ac:dyDescent="0.2">
      <c r="A1" s="145"/>
      <c r="D1" s="2"/>
      <c r="E1" s="2"/>
    </row>
    <row r="2" spans="1:7" s="9" customFormat="1" ht="54" customHeight="1" x14ac:dyDescent="0.2">
      <c r="A2" s="148"/>
      <c r="B2" s="571" t="s">
        <v>515</v>
      </c>
      <c r="C2" s="571"/>
      <c r="D2" s="571"/>
      <c r="E2" s="571"/>
    </row>
    <row r="3" spans="1:7" s="25" customFormat="1" ht="20" customHeight="1" x14ac:dyDescent="0.2">
      <c r="A3" s="61"/>
      <c r="B3" s="572" t="s">
        <v>1</v>
      </c>
      <c r="C3" s="572"/>
      <c r="D3" s="572"/>
      <c r="E3" s="572"/>
    </row>
    <row r="4" spans="1:7" s="9" customFormat="1" x14ac:dyDescent="0.2">
      <c r="D4" s="2"/>
      <c r="E4" s="2"/>
    </row>
    <row r="5" spans="1:7" s="9" customFormat="1" ht="34" customHeight="1" x14ac:dyDescent="0.2">
      <c r="B5" s="54" t="s">
        <v>516</v>
      </c>
      <c r="C5" s="55"/>
      <c r="D5" s="55"/>
      <c r="E5" s="316"/>
    </row>
    <row r="6" spans="1:7" s="9" customFormat="1" ht="20" customHeight="1" x14ac:dyDescent="0.2">
      <c r="B6" s="63" t="s">
        <v>9</v>
      </c>
      <c r="C6" s="63" t="s">
        <v>10</v>
      </c>
      <c r="D6" s="63" t="s">
        <v>11</v>
      </c>
      <c r="E6" s="317" t="s">
        <v>12</v>
      </c>
    </row>
    <row r="7" spans="1:7" s="9" customFormat="1" ht="20" customHeight="1" x14ac:dyDescent="0.2">
      <c r="A7" s="147"/>
      <c r="B7" s="288" t="s">
        <v>3698</v>
      </c>
      <c r="C7" s="262" t="s">
        <v>517</v>
      </c>
      <c r="D7" s="289" t="str">
        <f>IF(flt_custom_network_chosen="Exclude","Excluded",
IF(AND(flt_custom_network_chosen="NSX Overlay Segment",mgmt_vns_chosen&lt;&gt;"Centralized Connectivity"),"Excluded","Included"))</f>
        <v>Included</v>
      </c>
      <c r="E7" s="289" t="str">
        <f>IF(flt_custom_network_chosen="Shared Management Network","Components will be deployed using the VM Management Network",
IF(AND(flt_custom_network_chosen="NSX Overlay Segment",mgmt_vns_chosen&lt;&gt;"Centralized Connectivity"),"NSX Centralized Connectivity is required to configure the Fleet appliance on NSX Overlay Segment",
IF(flt_custom_network_chosen="NSX Overlay Segment","Components will be deployed on NSX Overlay which will need to be created manually in advanced of deployment",
IF(flt_custom_network_chosen="Dedicated Management Network","Components will be deployed on a new Distrubted Port Group which will need to be created manually in advanced of deployment","Components will be deployed on a NSX VLAN Segment which will need to be created manually in advanced of deployment"))))</f>
        <v>Components will be deployed on a new Distrubted Port Group which will need to be created manually in advanced of deployment</v>
      </c>
      <c r="F7" s="147"/>
      <c r="G7" s="147"/>
    </row>
    <row r="8" spans="1:7" s="9" customFormat="1" ht="20" customHeight="1" x14ac:dyDescent="0.2">
      <c r="A8" s="147"/>
      <c r="B8" s="288" t="s">
        <v>13</v>
      </c>
      <c r="C8" s="262" t="s">
        <v>518</v>
      </c>
      <c r="D8" s="289" t="str">
        <f>IF(AND(mgmt_domain_ops_automation_later_chosen="Selected",flt_custom_network_vcf_ops_automation_chosen="Deploy VCF Operations and Automation"),"Included",
IF(AND(mgmt_domain_ops_automation_later_chosen="Selected",flt_custom_network_vcf_ops_automation_chosen="Deploy VCF Automation"),"Excluded",
IF(AND(mgmt_domain_vcf_automation_later_chosen="Selected",flt_custom_network_vcf_ops_automation_chosen="Deploy VCF Automation"),"Included","Excluded")))</f>
        <v>Excluded</v>
      </c>
      <c r="E8" s="289" t="str">
        <f>IF(vcf_granular_option_chosen="None Chosen","No Deployment Type Chosen",
IF(mgmt_domain_deployment_type_chosen="VMware vSphere Foundation","Cannot be performed on a VMware vSphere Foundation deployment",
IF(AND(mgmt_domain_ops_automation_later_chosen="Selected",flt_custom_network_vcf_ops_automation_chosen="Deploy VCF Automation"),"Cause: VCF Operations is required to Deploy VCF Automation. Deploy VCF Operations during MGMT Domain Deploy or Day-N",
IF(AND(mgmt_domain_ops_automation_later_chosen="Selected",flt_custom_network_vcf_ops_automation_chosen="Deploy VCF Operations and Automation"),"VCF Operations and Automation will be deployed using SDDC manager API",
IF(AND(mgmt_domain_vcf_automation_later_chosen="Selected",flt_custom_network_vcf_ops_automation_chosen="Deploy VCF Automation"),"VCF Automation will be deployed using VCF Operations",
IF(AND(mgmt_domain_vcf_automation_later_chosen="Unselected",flt_custom_network_vcf_ops_automation_chosen="Deploy VCF Automation"),"Cause: I have an existing VCF Automation Instance or I will deploy later option not selected in Deploy Management Domain Tab",
IF(mgmt_domain_ops_automation_later_chosen="Selected","VCF Ops and Automation will be skipped during MGMT Domain deployment. Ensure they are planned as part of fleet Management Day-N",
IF(AND(mgmt_domain_ops_automation_later_chosen&lt;&gt;"Selected",flt_custom_network_vcf_ops_automation_chosen="Deploy VCF Operations and Automation"),"Cause: Custom networking for VCF Operations and VCF Automation not selected in Deploy Management Domain Tab",
IF(flt_custom_network_vcf_ops_automation_chosen="Exclude","Cause: Not Selected. VCF Operations and Automation will not be configured as part of Day-2 Fleet management",
"Cause: VCF Operations and Automation will be deployed during Managment Domain Deployment")))))))))</f>
        <v>Cause: Not Selected. VCF Operations and Automation will not be configured as part of Day-2 Fleet management</v>
      </c>
      <c r="F8" s="147"/>
      <c r="G8" s="147"/>
    </row>
    <row r="9" spans="1:7" s="9" customFormat="1" ht="20" customHeight="1" x14ac:dyDescent="0.2">
      <c r="B9" s="116" t="s">
        <v>13</v>
      </c>
      <c r="C9" s="65" t="s">
        <v>3355</v>
      </c>
      <c r="D9" s="140" t="str">
        <f>IF(mgmt_domain_deployment_type_chosen="VMware vSphere Foundation","Excluded",IF(flt_vidb_chosen&lt;&gt;"Exclude","Included","Excluded"))</f>
        <v>Excluded</v>
      </c>
      <c r="E9" s="140" t="str">
        <f>IF(vcf_granular_option_chosen="None Chosen","No Deployment Type Chosen",
IF(mgmt_domain_deployment_type_chosen="VMware vSphere Foundation","Cannot be performed on a VMware vSphere Foundation deployment",IF(flt_vidb_chosen="Exclude","Cause: Not Selected. VCF Authentication will not be configured",IF(AND(flt_vidb_chosen="Include",mgmt_domain_chosen="Additional Instance"),"Identity Broker will be will be deployed within the VCFMS Cluster ","Identity Broker is already deployed within the VCFMS Cluster, Configuration steps are detailed below"))))</f>
        <v>Cause: Not Selected. VCF Authentication will not be configured</v>
      </c>
    </row>
    <row r="10" spans="1:7" s="9" customFormat="1" ht="20" customHeight="1" x14ac:dyDescent="0.2">
      <c r="A10" s="147"/>
      <c r="B10" s="288" t="s">
        <v>13</v>
      </c>
      <c r="C10" s="105" t="s">
        <v>3396</v>
      </c>
      <c r="D10" s="289" t="str">
        <f>IF(mgmt_domain_deployment_type_chosen="VMware vSphere Foundation","Excluded",IF(flt_logs_chosen&lt;&gt;"Exclude","Included","Excluded"))</f>
        <v>Excluded</v>
      </c>
      <c r="E10" s="289" t="str">
        <f>IF(vcf_granular_option_chosen="None Chosen","No Deployment Type Chosen",
IF(mgmt_domain_deployment_type_chosen="VMware vSphere Foundation","Cannot be performed on a VMware vSphere Foundation deployment",IF(flt_logs_chosen="Exclude","Cause: Not Selected. VCF Operations for Logs will not be deployed","VCF Operations for Logs will be deployed")))</f>
        <v>Cause: Not Selected. VCF Operations for Logs will not be deployed</v>
      </c>
      <c r="F10" s="147"/>
      <c r="G10" s="147"/>
    </row>
    <row r="11" spans="1:7" s="9" customFormat="1" ht="20" customHeight="1" x14ac:dyDescent="0.2">
      <c r="A11" s="147"/>
      <c r="B11" s="288" t="s">
        <v>13</v>
      </c>
      <c r="C11" s="105" t="s">
        <v>519</v>
      </c>
      <c r="D11" s="289" t="str">
        <f>IF(mgmt_domain_deployment_type_chosen="VMware vSphere Foundation","Excluded",IF(flt_net_chosen&lt;&gt;"Exclude","Included","Excluded"))</f>
        <v>Excluded</v>
      </c>
      <c r="E11" s="289" t="str">
        <f>IF(vcf_granular_option_chosen="None Chosen","No Deployment Type Chosen",
IF(mgmt_domain_deployment_type_chosen="VMware vSphere Foundation","Cannot be performed on a VMware vSphere Foundation deployment",
IF(flt_net_chosen="Exclude","Cause: Not Selected. Configure VCF Operations for Networks will not be deployed","VCF Operations for Networks will be deployed")))</f>
        <v>Cause: Not Selected. Configure VCF Operations for Networks will not be deployed</v>
      </c>
      <c r="F11" s="147"/>
      <c r="G11" s="147"/>
    </row>
    <row r="13" spans="1:7" ht="34" customHeight="1" x14ac:dyDescent="0.2">
      <c r="B13" s="559" t="s">
        <v>3543</v>
      </c>
      <c r="C13" s="560"/>
      <c r="D13" s="560"/>
      <c r="E13" s="561"/>
    </row>
    <row r="14" spans="1:7" ht="20" customHeight="1" x14ac:dyDescent="0.2">
      <c r="B14" s="63" t="s">
        <v>18</v>
      </c>
      <c r="C14" s="63" t="s">
        <v>19</v>
      </c>
      <c r="D14" s="63" t="s">
        <v>20</v>
      </c>
      <c r="E14" s="317" t="s">
        <v>21</v>
      </c>
    </row>
    <row r="15" spans="1:7" ht="20" customHeight="1" x14ac:dyDescent="0.2">
      <c r="B15" s="537" t="s">
        <v>2811</v>
      </c>
      <c r="C15" s="538"/>
      <c r="D15" s="538"/>
      <c r="E15" s="539"/>
    </row>
    <row r="16" spans="1:7" ht="20" customHeight="1" x14ac:dyDescent="0.2">
      <c r="B16" s="4" t="s">
        <v>3219</v>
      </c>
      <c r="C16" s="65" t="str">
        <f>CONCATENATE(this_instance,"-vcf01",".",sample_child_dns_zone)</f>
        <v>sfo-vcf01.sfo.rainpole.io</v>
      </c>
      <c r="D16" s="66"/>
      <c r="E16" s="348"/>
    </row>
    <row r="17" spans="2:5" ht="20" customHeight="1" x14ac:dyDescent="0.2">
      <c r="B17" s="4" t="s">
        <v>3220</v>
      </c>
      <c r="C17" s="65" t="s">
        <v>1485</v>
      </c>
      <c r="D17" s="66"/>
      <c r="E17" s="8"/>
    </row>
    <row r="18" spans="2:5" ht="20" customHeight="1" x14ac:dyDescent="0.2">
      <c r="B18" s="4" t="s">
        <v>3221</v>
      </c>
      <c r="C18" s="65" t="s">
        <v>137</v>
      </c>
      <c r="D18" s="66"/>
      <c r="E18" s="348"/>
    </row>
    <row r="19" spans="2:5" ht="20" customHeight="1" x14ac:dyDescent="0.2">
      <c r="B19" s="521" t="s">
        <v>3222</v>
      </c>
      <c r="C19" s="522"/>
      <c r="D19" s="522"/>
      <c r="E19" s="523"/>
    </row>
    <row r="20" spans="2:5" ht="20" customHeight="1" x14ac:dyDescent="0.2">
      <c r="B20" s="4" t="s">
        <v>2824</v>
      </c>
      <c r="C20" s="65" t="s">
        <v>2825</v>
      </c>
      <c r="D20" s="66" t="s">
        <v>3264</v>
      </c>
      <c r="E20" s="224" t="s">
        <v>3223</v>
      </c>
    </row>
    <row r="21" spans="2:5" ht="20" customHeight="1" x14ac:dyDescent="0.2">
      <c r="B21" s="4" t="s">
        <v>3085</v>
      </c>
      <c r="C21" s="65" t="s">
        <v>92</v>
      </c>
      <c r="D21" s="66" t="s">
        <v>92</v>
      </c>
      <c r="E21" s="8" t="str">
        <f>IF(D20="Simple","Simple is chosen size is set to small and cannot be changed using VCF Installer UI",
IF(flt_def_vcf_operations_size_chosen="Small"," Size can only be deployed using JSON SPEC with VCF Installer ",""))</f>
        <v/>
      </c>
    </row>
    <row r="22" spans="2:5" ht="20" customHeight="1" x14ac:dyDescent="0.2">
      <c r="B22" s="4" t="s">
        <v>1079</v>
      </c>
      <c r="C22" s="65" t="s">
        <v>154</v>
      </c>
      <c r="D22" s="66" t="s">
        <v>154</v>
      </c>
      <c r="E22" s="8" t="s">
        <v>3664</v>
      </c>
    </row>
    <row r="23" spans="2:5" ht="20" customHeight="1" x14ac:dyDescent="0.2">
      <c r="B23" s="4" t="s">
        <v>3588</v>
      </c>
      <c r="C23" s="65" t="s">
        <v>140</v>
      </c>
      <c r="D23" s="101" t="s">
        <v>154</v>
      </c>
      <c r="E23" s="8"/>
    </row>
    <row r="24" spans="2:5" ht="20" customHeight="1" x14ac:dyDescent="0.2">
      <c r="B24" s="4" t="s">
        <v>3705</v>
      </c>
      <c r="C24" s="65" t="s">
        <v>140</v>
      </c>
      <c r="D24" s="101" t="s">
        <v>140</v>
      </c>
      <c r="E24" s="8"/>
    </row>
    <row r="25" spans="2:5" ht="20" customHeight="1" x14ac:dyDescent="0.2">
      <c r="B25" s="521" t="s">
        <v>3226</v>
      </c>
      <c r="C25" s="522"/>
      <c r="D25" s="522"/>
      <c r="E25" s="523"/>
    </row>
    <row r="26" spans="2:5" ht="20" customHeight="1" x14ac:dyDescent="0.2">
      <c r="B26" s="4" t="s">
        <v>3224</v>
      </c>
      <c r="C26" s="103" t="str">
        <f>IF(OR(flt_custom_network_chosen="NSX Overlay segment",flt_custom_network_chosen="NSX VLAN segment"),CONCATENATE(prefix_portable_component,"-m01-seg01"),IF(flt_custom_network_chosen="Dedicated Management Network",CONCATENATE(this_instance,"-m01-cl01-vds01-pg-vcf-mgmt"),CONCATENATE(this_instance,"-m01-cl01-vds01-pg-vm-mgmt")))</f>
        <v>sfo-m01-cl01-vds01-pg-vcf-mgmt</v>
      </c>
      <c r="D26" s="66"/>
      <c r="E26" s="8" t="s">
        <v>3546</v>
      </c>
    </row>
    <row r="27" spans="2:5" ht="20" customHeight="1" x14ac:dyDescent="0.2">
      <c r="B27" s="4" t="s">
        <v>3225</v>
      </c>
      <c r="C27" s="103" t="str">
        <f>IF(flt_custom_network_chosen="Shared Management Network",IF(mgmt_dpg_reuse_result="Excluded",CONCATENATE(prefix_mgmt_az1_cidr,"11.1/24"),CONCATENATE(prefix_mgmt_az1_cidr,"10.1/24")),IF(flt_custom_network_chosen="NSX Overlay Segment",CONCATENATE(prefix_xreg_cidr,".1/24"),CONCATENATE(prefix_flt_shared_cidr,".1/24")))</f>
        <v>10.11.99.1/24</v>
      </c>
      <c r="D27" s="66"/>
      <c r="E27" s="8"/>
    </row>
    <row r="28" spans="2:5" ht="20" customHeight="1" x14ac:dyDescent="0.2">
      <c r="B28" s="521" t="s">
        <v>2814</v>
      </c>
      <c r="C28" s="522"/>
      <c r="D28" s="522"/>
      <c r="E28" s="523"/>
    </row>
    <row r="29" spans="2:5" ht="20" customHeight="1" x14ac:dyDescent="0.2">
      <c r="B29" s="4" t="s">
        <v>3126</v>
      </c>
      <c r="C29" s="103" t="str">
        <f>IF(flt_custom_network_chosen="Shared Management Network",IF(mgmt_dpg_reuse_result="Excluded",CONCATENATE(prefix_mgmt_az1_cidr,"11.46"),CONCATENATE(prefix_mgmt_az1_cidr,"10.46")),IF(flt_custom_network_chosen="NSX Overlay Segment",CONCATENATE(prefix_xreg_cidr,".46"),CONCATENATE(prefix_flt_shared_cidr,".46")))</f>
        <v>10.11.99.46</v>
      </c>
      <c r="D29" s="66"/>
      <c r="E29" s="8" t="str">
        <f>IF(flt_def_vcf_skip_vcfa_chosen="Selected", "Section is masked out has been masked out as you has chosen to skip the VCF Automation deployment","")</f>
        <v/>
      </c>
    </row>
    <row r="30" spans="2:5" ht="20" customHeight="1" x14ac:dyDescent="0.2">
      <c r="B30" s="4" t="s">
        <v>3127</v>
      </c>
      <c r="C30" s="103" t="str">
        <f>IF(flt_custom_network_chosen="Shared Management Network",IF(mgmt_dpg_reuse_result="Excluded",CONCATENATE(prefix_mgmt_az1_cidr,"11.50"),CONCATENATE(prefix_mgmt_az1_cidr,"10.50")),IF(flt_custom_network_chosen="NSX Overlay Segment",CONCATENATE(prefix_xreg_cidr,".50"),CONCATENATE(prefix_flt_shared_cidr,".50")))</f>
        <v>10.11.99.50</v>
      </c>
      <c r="D30" s="66"/>
      <c r="E30" s="8" t="str">
        <f>IF(flt_def_vcf_skip_vcfa_chosen="Selected", "Section is masked out has been masked out as you has chosen to skip the VCF Automation deployment","")</f>
        <v/>
      </c>
    </row>
    <row r="31" spans="2:5" ht="20" customHeight="1" x14ac:dyDescent="0.2">
      <c r="B31" s="521" t="s">
        <v>2827</v>
      </c>
      <c r="C31" s="522"/>
      <c r="D31" s="522"/>
      <c r="E31" s="523"/>
    </row>
    <row r="32" spans="2:5" ht="20" customHeight="1" x14ac:dyDescent="0.2">
      <c r="B32" s="4" t="s">
        <v>3164</v>
      </c>
      <c r="C32" s="103" t="str">
        <f>CONCATENATE(prefix_portable_component,"-ops01a.",sample_parent_dns_zone)</f>
        <v>flt-ops01a.rainpole.io</v>
      </c>
      <c r="D32" s="66"/>
      <c r="E32" s="8"/>
    </row>
    <row r="33" spans="1:9" ht="20" customHeight="1" x14ac:dyDescent="0.2">
      <c r="B33" s="4" t="s">
        <v>3397</v>
      </c>
      <c r="C33" s="103" t="str">
        <f>CONCATENATE(prefix_portable_component,"-ops01b.",sample_parent_dns_zone)</f>
        <v>flt-ops01b.rainpole.io</v>
      </c>
      <c r="D33" s="66"/>
      <c r="E33" s="2" t="str">
        <f>IF(mgmt_domain_vcf_operations_ha_mode_chosen="Standard (Single-Node)","Inputs are masked out as have opted to deploy in Standard (Single-Node)","")</f>
        <v/>
      </c>
    </row>
    <row r="34" spans="1:9" ht="20" customHeight="1" x14ac:dyDescent="0.2">
      <c r="B34" s="4" t="s">
        <v>3170</v>
      </c>
      <c r="C34" s="65" t="str">
        <f>CONCATENATE(prefix_portable_component,"-ops01c.",sample_parent_dns_zone)</f>
        <v>flt-ops01c.rainpole.io</v>
      </c>
      <c r="D34" s="66"/>
      <c r="E34" s="8" t="str">
        <f>IF(mgmt_domain_vcf_operations_ha_mode_chosen="Standard (Single-Node)","Inputs are masked out as have opted to deploy in Simple (Single-Node)",
IF(flt_def_vcf_operations_size_chosen="Small","Inputs are masked out as have opted to deploy in HA-Small",""))</f>
        <v/>
      </c>
    </row>
    <row r="35" spans="1:9" ht="20" customHeight="1" x14ac:dyDescent="0.2">
      <c r="B35" s="4" t="s">
        <v>189</v>
      </c>
      <c r="C35" s="65" t="s">
        <v>137</v>
      </c>
      <c r="D35" s="66"/>
      <c r="E35" s="8"/>
    </row>
    <row r="36" spans="1:9" s="9" customFormat="1" ht="20" customHeight="1" x14ac:dyDescent="0.2">
      <c r="A36" s="7"/>
      <c r="B36" s="4" t="s">
        <v>3699</v>
      </c>
      <c r="C36" s="65" t="s">
        <v>137</v>
      </c>
      <c r="D36" s="66"/>
      <c r="E36" s="8"/>
      <c r="F36" s="7"/>
      <c r="G36" s="7"/>
      <c r="H36" s="7"/>
      <c r="I36" s="7"/>
    </row>
    <row r="37" spans="1:9" s="9" customFormat="1" ht="20" customHeight="1" x14ac:dyDescent="0.2">
      <c r="A37" s="7"/>
      <c r="B37" s="4" t="s">
        <v>3700</v>
      </c>
      <c r="C37" s="65" t="s">
        <v>137</v>
      </c>
      <c r="D37" s="66"/>
      <c r="E37" s="8"/>
      <c r="F37" s="7"/>
      <c r="G37" s="7"/>
      <c r="H37" s="7"/>
      <c r="I37" s="7"/>
    </row>
    <row r="38" spans="1:9" s="9" customFormat="1" ht="20" customHeight="1" x14ac:dyDescent="0.2">
      <c r="A38" s="7"/>
      <c r="B38" s="4" t="s">
        <v>3701</v>
      </c>
      <c r="C38" s="65" t="s">
        <v>137</v>
      </c>
      <c r="D38" s="66"/>
      <c r="E38" s="8" t="str">
        <f>IF(mgmt_domain_vcf_operations_ha_mode_chosen="Standard (Single-Node)","Inputs are masked out as have opted to deploy in Simple (Single-Node)",
IF(flt_def_vcf_operations_size_chosen="Small","Inputs are masked out as have opted to deploy in HA-Small",""))</f>
        <v/>
      </c>
      <c r="F38" s="7"/>
      <c r="G38" s="7"/>
      <c r="H38" s="7"/>
      <c r="I38" s="7"/>
    </row>
    <row r="39" spans="1:9" ht="20" customHeight="1" x14ac:dyDescent="0.2">
      <c r="B39" s="521" t="s">
        <v>2154</v>
      </c>
      <c r="C39" s="522"/>
      <c r="D39" s="522"/>
      <c r="E39" s="523"/>
    </row>
    <row r="40" spans="1:9" ht="20" customHeight="1" x14ac:dyDescent="0.2">
      <c r="B40" s="4" t="s">
        <v>2829</v>
      </c>
      <c r="C40" s="103" t="str">
        <f>CONCATENATE(prefix_portable_component,"-ops01.",sample_parent_dns_zone)</f>
        <v>flt-ops01.rainpole.io</v>
      </c>
      <c r="D40" s="66"/>
      <c r="E40" s="8" t="str">
        <f>IF(mgmt_domain_vcf_operations_ha_mode_chosen="Standard (Single-Node)","Inputs are masked out as have opted to deploy in Standard (Single-Node)","Optional: For a high availability deployment, you can connect an external load balancer")</f>
        <v>Optional: For a high availability deployment, you can connect an external load balancer</v>
      </c>
    </row>
    <row r="41" spans="1:9" ht="20" customHeight="1" x14ac:dyDescent="0.2">
      <c r="B41" s="521" t="s">
        <v>3163</v>
      </c>
      <c r="C41" s="522"/>
      <c r="D41" s="522"/>
      <c r="E41" s="523"/>
    </row>
    <row r="42" spans="1:9" ht="20" customHeight="1" x14ac:dyDescent="0.2">
      <c r="B42" s="4" t="s">
        <v>39</v>
      </c>
      <c r="C42" s="106" t="str">
        <f>CONCATENATE(this_instance,"-cp01.",sample_child_dns_zone)</f>
        <v>sfo-cp01.sfo.rainpole.io</v>
      </c>
      <c r="D42" s="66"/>
      <c r="E42" s="8" t="s">
        <v>3704</v>
      </c>
    </row>
    <row r="43" spans="1:9" s="9" customFormat="1" ht="20" customHeight="1" x14ac:dyDescent="0.2">
      <c r="A43" s="7"/>
      <c r="B43" s="4" t="s">
        <v>3548</v>
      </c>
      <c r="C43" s="65" t="s">
        <v>137</v>
      </c>
      <c r="D43" s="66"/>
      <c r="E43" s="8"/>
      <c r="F43" s="7"/>
      <c r="G43" s="7"/>
      <c r="H43" s="7"/>
      <c r="I43" s="7"/>
    </row>
    <row r="44" spans="1:9" ht="20" customHeight="1" x14ac:dyDescent="0.2">
      <c r="B44" s="521" t="s">
        <v>3133</v>
      </c>
      <c r="C44" s="522"/>
      <c r="D44" s="522"/>
      <c r="E44" s="523"/>
    </row>
    <row r="45" spans="1:9" ht="20" customHeight="1" x14ac:dyDescent="0.2">
      <c r="B45" s="4" t="s">
        <v>39</v>
      </c>
      <c r="C45" s="214" t="str">
        <f>CONCATENATE(prefix_portable_component,"-lc01.",sample_parent_dns_zone)</f>
        <v>flt-lc01.rainpole.io</v>
      </c>
      <c r="D45" s="66"/>
      <c r="E45" s="180"/>
    </row>
    <row r="46" spans="1:9" ht="20" customHeight="1" x14ac:dyDescent="0.2">
      <c r="B46" s="521" t="s">
        <v>2833</v>
      </c>
      <c r="C46" s="522"/>
      <c r="D46" s="522"/>
      <c r="E46" s="523"/>
    </row>
    <row r="47" spans="1:9" ht="20" customHeight="1" x14ac:dyDescent="0.2">
      <c r="B47" s="4" t="s">
        <v>1905</v>
      </c>
      <c r="C47" s="65" t="str">
        <f>CONCATENATE(prefix_portable_component,"-auto01.",sample_parent_dns_zone)</f>
        <v>flt-auto01.rainpole.io</v>
      </c>
      <c r="D47" s="66"/>
      <c r="E47" s="8" t="str">
        <f>IF(flt_def_vcf_skip_vcfa_chosen="Selected", "Section is masked out has been masked out as you has chosen to skip the VCF Automation deployment","Note: This is a VCF services runtime dedicated for VCFA and is not the same as the VCF services runtime used in the VCF MGMT Services")</f>
        <v>Note: This is a VCF services runtime dedicated for VCFA and is not the same as the VCF services runtime used in the VCF MGMT Services</v>
      </c>
    </row>
    <row r="48" spans="1:9" ht="20" customHeight="1" x14ac:dyDescent="0.2">
      <c r="B48" s="4" t="s">
        <v>3134</v>
      </c>
      <c r="C48" s="65" t="str">
        <f>CONCATENATE(prefix_portable_component,"-vcfa-sr01.",sample_parent_dns_zone)</f>
        <v>flt-vcfa-sr01.rainpole.io</v>
      </c>
      <c r="D48" s="66"/>
      <c r="E48" s="8" t="str">
        <f>IF(flt_def_vcf_skip_vcfa_chosen="Selected", "Section is masked out has been masked out as you has chosen to skip the VCF Automation deployment","Note: This is a VCF services runtime dedicated for VCFA and is not the same as the VCF services runtime used in the VCF MGMT Services")</f>
        <v>Note: This is a VCF services runtime dedicated for VCFA and is not the same as the VCF services runtime used in the VCF MGMT Services</v>
      </c>
    </row>
    <row r="49" spans="1:9" ht="20" customHeight="1" x14ac:dyDescent="0.2">
      <c r="B49" s="4" t="s">
        <v>2828</v>
      </c>
      <c r="C49" s="65" t="s">
        <v>137</v>
      </c>
      <c r="D49" s="66"/>
      <c r="E49" s="8" t="str">
        <f>IF(flt_def_vcf_skip_vcfa_chosen="Selected", "Section is masked out has been masked out as you has chosen to skip the VCF Automation deployment","")</f>
        <v/>
      </c>
    </row>
    <row r="50" spans="1:9" ht="20" customHeight="1" x14ac:dyDescent="0.2">
      <c r="B50" s="4" t="s">
        <v>3594</v>
      </c>
      <c r="C50" s="65" t="s">
        <v>3707</v>
      </c>
      <c r="D50" s="66" t="s">
        <v>3707</v>
      </c>
      <c r="E50" s="8" t="str">
        <f>IF(flt_def_vcf_skip_vcfa_chosen="Selected", "Section is masked out has been masked out as you has chosen to skip the VCF Automation deployment","")</f>
        <v/>
      </c>
    </row>
    <row r="51" spans="1:9" ht="20" customHeight="1" x14ac:dyDescent="0.2">
      <c r="B51" s="578" t="s">
        <v>2881</v>
      </c>
      <c r="C51" s="549"/>
      <c r="D51" s="549"/>
      <c r="E51" s="579"/>
    </row>
    <row r="52" spans="1:9" ht="20" customHeight="1" x14ac:dyDescent="0.2">
      <c r="B52" s="4" t="s">
        <v>3343</v>
      </c>
      <c r="C52" s="65" t="str">
        <f>IF(flt_custom_network_chosen="Shared Management Network",IF(mgmt_dpg_reuse_result="Included",CONCATENATE(prefix_mgmt_az1_cidr,"10.52"),CONCATENATE(prefix_mgmt_az1_cidr,"11.52")),IF(flt_custom_network_chosen="NSX Overlay Segment",CONCATENATE(prefix_xreg_cidr,".52"),CONCATENATE(prefix_flt_shared_cidr,".52")))</f>
        <v>10.11.99.52</v>
      </c>
      <c r="D52" s="66"/>
      <c r="E52" s="8"/>
    </row>
    <row r="53" spans="1:9" ht="20" customHeight="1" x14ac:dyDescent="0.2">
      <c r="B53" s="4" t="s">
        <v>3399</v>
      </c>
      <c r="C53" s="65" t="str">
        <f>IF(flt_custom_network_chosen="Shared Management Network",IF(mgmt_dpg_reuse_result="Included",CONCATENATE(prefix_mgmt_az1_cidr,"10.53"),CONCATENATE(prefix_mgmt_az1_cidr,"11.53")),IF(flt_custom_network_chosen="NSX Overlay Segment",CONCATENATE(prefix_xreg_cidr,".53"),CONCATENATE(prefix_flt_shared_cidr,".53")))</f>
        <v>10.11.99.53</v>
      </c>
      <c r="D53" s="66"/>
      <c r="E53" s="8"/>
    </row>
    <row r="54" spans="1:9" ht="20" customHeight="1" x14ac:dyDescent="0.2">
      <c r="B54" s="4" t="s">
        <v>3345</v>
      </c>
      <c r="C54" s="65" t="str">
        <f>IF(flt_custom_network_chosen="Shared Management Network",IF(mgmt_dpg_reuse_result="Included",CONCATENATE(prefix_mgmt_az1_cidr,"10.54"),CONCATENATE(prefix_mgmt_az1_cidr,"11.54")),IF(flt_custom_network_chosen="NSX Overlay Segment",CONCATENATE(prefix_xreg_cidr,".54"),CONCATENATE(prefix_flt_shared_cidr,".54")))</f>
        <v>10.11.99.54</v>
      </c>
      <c r="D54" s="66"/>
      <c r="E54" s="8"/>
    </row>
    <row r="55" spans="1:9" ht="20" customHeight="1" x14ac:dyDescent="0.2">
      <c r="B55" s="4" t="s">
        <v>3346</v>
      </c>
      <c r="C55" s="65" t="str">
        <f>IF(flt_custom_network_chosen="Shared Management Network",IF(mgmt_dpg_reuse_result="Included",CONCATENATE(prefix_mgmt_az1_cidr,"10.21"),CONCATENATE(prefix_mgmt_az1_cidr,"11.21")),IF(flt_custom_network_chosen="NSX Overlay Segment",CONCATENATE(prefix_xreg_cidr,".21"),CONCATENATE(prefix_flt_shared_cidr,".21")))</f>
        <v>10.11.99.21</v>
      </c>
      <c r="D55" s="66"/>
      <c r="E55" s="8"/>
    </row>
    <row r="56" spans="1:9" ht="20" customHeight="1" x14ac:dyDescent="0.2">
      <c r="B56" s="4" t="s">
        <v>3340</v>
      </c>
      <c r="C56" s="65" t="str">
        <f>IF(mgmt_dpg_reuse_result="Included",CONCATENATE(prefix_mgmt_az1_cidr,"10.12"),CONCATENATE(prefix_mgmt_az1_cidr,"11.12"))</f>
        <v>10.11.10.12</v>
      </c>
      <c r="D56" s="66"/>
      <c r="E56" s="8"/>
    </row>
    <row r="57" spans="1:9" ht="20" customHeight="1" x14ac:dyDescent="0.2">
      <c r="B57" s="4" t="s">
        <v>3341</v>
      </c>
      <c r="C57" s="65" t="str">
        <f>IF(flt_custom_network_chosen="Shared Management Network",IF(mgmt_dpg_reuse_result="Included",CONCATENATE(prefix_mgmt_az1_cidr,"10.22"),CONCATENATE(prefix_mgmt_az1_cidr,"11.22")),IF(flt_custom_network_chosen="NSX Overlay Segment",CONCATENATE(prefix_xreg_cidr,".22"),CONCATENATE(prefix_flt_shared_cidr,".22")))</f>
        <v>10.11.99.22</v>
      </c>
      <c r="D57" s="66"/>
      <c r="E57" s="8"/>
    </row>
    <row r="58" spans="1:9" ht="20" customHeight="1" x14ac:dyDescent="0.2">
      <c r="B58" s="4" t="s">
        <v>3342</v>
      </c>
      <c r="C58" s="65" t="str">
        <f>IF(flt_custom_network_chosen="Shared Management Network",IF(mgmt_dpg_reuse_result="Included",CONCATENATE(prefix_mgmt_az1_cidr,"10.25"),CONCATENATE(prefix_mgmt_az1_cidr,"11.25")),IF(flt_custom_network_chosen="NSX Overlay Segment",CONCATENATE(prefix_xreg_cidr,".25"),CONCATENATE(prefix_flt_shared_cidr,".25")))</f>
        <v>10.11.99.25</v>
      </c>
      <c r="D58" s="66"/>
      <c r="E58" s="8" t="str">
        <f>IF(flt_def_vcf_skip_vcfa_chosen="Selected", "Section is masked out has been masked out as you has chosen to skip the VCF Automation deployment","")</f>
        <v/>
      </c>
    </row>
    <row r="59" spans="1:9" ht="20" customHeight="1" x14ac:dyDescent="0.2">
      <c r="B59" s="4" t="s">
        <v>3398</v>
      </c>
      <c r="C59" s="65" t="str">
        <f>IF(flt_custom_network_chosen="Shared Management Network",IF(mgmt_dpg_reuse_result="Included",CONCATENATE(prefix_mgmt_az1_cidr,"10.24"),CONCATENATE(prefix_mgmt_az1_cidr,"11.24")),IF(flt_custom_network_chosen="NSX Overlay Segment",CONCATENATE(prefix_xreg_cidr,".24"),CONCATENATE(prefix_flt_shared_cidr,".24")))</f>
        <v>10.11.99.24</v>
      </c>
      <c r="D59" s="66"/>
      <c r="E59" s="8" t="str">
        <f>IF(flt_def_vcf_skip_vcfa_chosen="Selected", "Section is masked out has been masked out as you has chosen to skip the VCF Automation deployment","Note: This is a VCF services runtime dedicated for VCFA and is not the same as the VCF services runtime used in the VCF MGMT Services")</f>
        <v>Note: This is a VCF services runtime dedicated for VCFA and is not the same as the VCF services runtime used in the VCF MGMT Services</v>
      </c>
    </row>
    <row r="60" spans="1:9" ht="20" customHeight="1" x14ac:dyDescent="0.2">
      <c r="B60" s="580" t="s">
        <v>3544</v>
      </c>
      <c r="C60" s="581"/>
      <c r="D60" s="581"/>
      <c r="E60" s="582"/>
    </row>
    <row r="61" spans="1:9" ht="20" customHeight="1" x14ac:dyDescent="0.2">
      <c r="B61" s="4" t="s">
        <v>3547</v>
      </c>
      <c r="C61" s="65" t="s">
        <v>140</v>
      </c>
      <c r="D61" s="197" t="s">
        <v>140</v>
      </c>
      <c r="E61" s="8" t="s">
        <v>3555</v>
      </c>
    </row>
    <row r="62" spans="1:9" s="9" customFormat="1" ht="20" customHeight="1" x14ac:dyDescent="0.2">
      <c r="A62" s="7"/>
      <c r="B62" s="4" t="s">
        <v>3211</v>
      </c>
      <c r="C62" s="65" t="s">
        <v>140</v>
      </c>
      <c r="D62" s="197" t="s">
        <v>140</v>
      </c>
      <c r="E62" s="8" t="s">
        <v>3555</v>
      </c>
      <c r="F62" s="7"/>
      <c r="G62" s="7"/>
      <c r="H62" s="7"/>
      <c r="I62" s="7"/>
    </row>
    <row r="63" spans="1:9" s="9" customFormat="1" ht="20" customHeight="1" x14ac:dyDescent="0.2">
      <c r="A63" s="7"/>
      <c r="B63" s="521" t="s">
        <v>1095</v>
      </c>
      <c r="C63" s="522"/>
      <c r="D63" s="522"/>
      <c r="E63" s="523"/>
      <c r="F63" s="7"/>
      <c r="G63" s="7"/>
      <c r="H63" s="7"/>
      <c r="I63" s="7"/>
    </row>
    <row r="64" spans="1:9" s="9" customFormat="1" ht="20" customHeight="1" x14ac:dyDescent="0.2">
      <c r="A64" s="7"/>
      <c r="B64" s="4" t="s">
        <v>667</v>
      </c>
      <c r="C64" s="65" t="str">
        <f>IF(flt_def_vcf_operations_size_chosen="Medium","Large",
IF(flt_def_vcf_operations_size_chosen="Large","Large","Small"))</f>
        <v>Large</v>
      </c>
      <c r="D64" s="66" t="s">
        <v>92</v>
      </c>
      <c r="E64" s="8" t="str">
        <f>IF(flt_def_vcf_custom_size_chosen="Unselected","Selection is masked out as customize appliance sizing has not been selected",CONCATENATE(IF(flt_def_vcf_operations_custom_size_chosen="xsmall","2 vCPU, 8GB RAM, 274 GB Storage",
IF(flt_def_vcf_operations_custom_size_chosen="small","4 vCPU, 16GB RAM, 274 GB Storage",
IF(flt_def_vcf_operations_custom_size_chosen="medium","8 vCPU, 32GB RAM, 274 GB Storage",
IF(flt_def_vcf_operations_custom_size_chosen="large","16 vCPU, 48GB RAM, 274 GB Storage",
IF(flt_def_vcf_operations_custom_size_chosen="xLarge","24 vCPU, 128GB RAM, 274 GB Storage",
)))))," Per Appliance "))</f>
        <v>Selection is masked out as customize appliance sizing has not been selected</v>
      </c>
      <c r="F64" s="7"/>
      <c r="G64" s="7"/>
      <c r="H64" s="7"/>
      <c r="I64" s="7"/>
    </row>
    <row r="65" spans="1:9" s="9" customFormat="1" ht="20" customHeight="1" x14ac:dyDescent="0.2">
      <c r="A65" s="7"/>
      <c r="B65" s="521" t="s">
        <v>3163</v>
      </c>
      <c r="C65" s="522"/>
      <c r="D65" s="522"/>
      <c r="E65" s="523"/>
      <c r="F65" s="7"/>
      <c r="G65" s="7"/>
      <c r="H65" s="7"/>
      <c r="I65" s="7"/>
    </row>
    <row r="66" spans="1:9" s="9" customFormat="1" ht="20" customHeight="1" x14ac:dyDescent="0.2">
      <c r="A66" s="7"/>
      <c r="B66" s="4" t="s">
        <v>667</v>
      </c>
      <c r="C66" s="65" t="str">
        <f>IF(flt_def_vcf_operations_size_chosen="Medium","Standard",
IF(flt_def_vcf_operations_size_chosen="Large","Standard","Small"))</f>
        <v>Standard</v>
      </c>
      <c r="D66" s="66" t="s">
        <v>521</v>
      </c>
      <c r="E66" s="8" t="str">
        <f>IF(flt_def_vcf_custom_size_chosen="Unselected","Selection is masked out as customize appliance sizing has not been selected",IF(flt_def_vcf_operations_proxy_custom_size_chosen="Small","4 vCPU, 16GB RAM",
IF(flt_def_vcf_operations_proxy_custom_size_chosen="Standard","8 vCPU, 48GB RAM")))</f>
        <v>Selection is masked out as customize appliance sizing has not been selected</v>
      </c>
      <c r="F66" s="7"/>
      <c r="G66" s="7"/>
      <c r="H66" s="7"/>
      <c r="I66" s="7"/>
    </row>
    <row r="67" spans="1:9" ht="20" customHeight="1" x14ac:dyDescent="0.2">
      <c r="B67" s="4" t="s">
        <v>3545</v>
      </c>
      <c r="C67" s="65" t="str">
        <f>CONCATENATE(this_instance,"-m01-cl01-vds01-pg-vm-mgmt")</f>
        <v>sfo-m01-cl01-vds01-pg-vm-mgmt</v>
      </c>
      <c r="D67" s="66"/>
      <c r="E67" s="8" t="str">
        <f>IF(flt_def_vcf_custom_network_chosen="Unselected","Section is masked out as customize proxy portgroup and networking  during install is not selected","")</f>
        <v>Section is masked out as customize proxy portgroup and networking  during install is not selected</v>
      </c>
    </row>
    <row r="68" spans="1:9" ht="20" customHeight="1" x14ac:dyDescent="0.2">
      <c r="B68" s="4" t="s">
        <v>3225</v>
      </c>
      <c r="C68" s="65" t="str">
        <f>CONCATENATE(prefix_mgmt_az1_cidr,"10.1/24")</f>
        <v>10.11.10.1/24</v>
      </c>
      <c r="D68" s="66"/>
      <c r="E68" s="8" t="str">
        <f>IF(flt_def_vcf_custom_network_chosen="Unselected","Section is masked out as customize proxy portgroup and networking  during install is not selected","")</f>
        <v>Section is masked out as customize proxy portgroup and networking  during install is not selected</v>
      </c>
    </row>
    <row r="69" spans="1:9" s="9" customFormat="1" ht="20" customHeight="1" x14ac:dyDescent="0.2">
      <c r="A69" s="7"/>
      <c r="B69" s="521" t="s">
        <v>2814</v>
      </c>
      <c r="C69" s="522"/>
      <c r="D69" s="522"/>
      <c r="E69" s="523"/>
      <c r="F69" s="7"/>
      <c r="G69" s="7"/>
      <c r="H69" s="7"/>
      <c r="I69" s="7"/>
    </row>
    <row r="70" spans="1:9" s="9" customFormat="1" ht="20" customHeight="1" x14ac:dyDescent="0.2">
      <c r="A70" s="7"/>
      <c r="B70" s="4" t="s">
        <v>523</v>
      </c>
      <c r="C70" s="65" t="s">
        <v>573</v>
      </c>
      <c r="D70" s="66"/>
      <c r="E70" s="8" t="str">
        <f>IF(flt_def_vcf_skip_vcfa_chosen="Selected", "Section is masked out has been masked out as you has chosen to skip the VCF Automation deployment","Required Values if using API")</f>
        <v>Required Values if using API</v>
      </c>
      <c r="F70" s="7"/>
      <c r="G70" s="7"/>
      <c r="H70" s="7"/>
      <c r="I70" s="7"/>
    </row>
    <row r="71" spans="1:9" s="9" customFormat="1" ht="20" customHeight="1" x14ac:dyDescent="0.2">
      <c r="A71" s="7"/>
      <c r="B71" s="4" t="s">
        <v>667</v>
      </c>
      <c r="C71" s="65" t="str">
        <f>IF(flt_def_vcf_operations_ha_mode_chosen="Simple","Small",
IF(flt_def_vcf_operations_size_chosen="Large","Large","Medium"))</f>
        <v>Medium</v>
      </c>
      <c r="D71" s="66" t="s">
        <v>92</v>
      </c>
      <c r="E71" s="8" t="str">
        <f>IF(flt_def_vcf_skip_vcfa_chosen="Selected", "Section is masked out has been masked out as you has chosen to skip the VCF Automation deployment","Required Values if using API")</f>
        <v>Required Values if using API</v>
      </c>
      <c r="F71" s="7"/>
      <c r="G71" s="7"/>
      <c r="H71" s="7"/>
      <c r="I71" s="7"/>
    </row>
    <row r="72" spans="1:9" ht="20" customHeight="1" x14ac:dyDescent="0.2">
      <c r="D72"/>
      <c r="E72"/>
    </row>
    <row r="73" spans="1:9" ht="34" customHeight="1" thickBot="1" x14ac:dyDescent="0.25">
      <c r="B73" s="583" t="s">
        <v>3400</v>
      </c>
      <c r="C73" s="584"/>
      <c r="D73" s="584"/>
      <c r="E73" s="585"/>
    </row>
    <row r="74" spans="1:9" ht="20" customHeight="1" x14ac:dyDescent="0.2">
      <c r="B74" s="589" t="s">
        <v>526</v>
      </c>
      <c r="C74" s="590"/>
      <c r="D74" s="590"/>
      <c r="E74" s="591"/>
    </row>
    <row r="75" spans="1:9" ht="20" customHeight="1" x14ac:dyDescent="0.2">
      <c r="B75" s="63" t="s">
        <v>18</v>
      </c>
      <c r="C75" s="63" t="s">
        <v>19</v>
      </c>
      <c r="D75" s="63" t="s">
        <v>20</v>
      </c>
      <c r="E75" s="317" t="s">
        <v>21</v>
      </c>
    </row>
    <row r="76" spans="1:9" ht="20" customHeight="1" x14ac:dyDescent="0.2">
      <c r="B76" s="4" t="s">
        <v>527</v>
      </c>
      <c r="C76" s="65" t="s">
        <v>528</v>
      </c>
      <c r="D76" s="66" t="s">
        <v>3019</v>
      </c>
      <c r="E76" s="8" t="s">
        <v>3669</v>
      </c>
    </row>
    <row r="77" spans="1:9" ht="20" customHeight="1" x14ac:dyDescent="0.2">
      <c r="B77" s="4" t="s">
        <v>3242</v>
      </c>
      <c r="C77" s="65" t="str">
        <f>IF(mgmt_domain_chosen="First Instance","San Francisco","Los Angeles")</f>
        <v>San Francisco</v>
      </c>
      <c r="D77" s="66"/>
      <c r="E77" s="8"/>
    </row>
    <row r="78" spans="1:9" ht="20" customHeight="1" x14ac:dyDescent="0.2">
      <c r="B78" s="4" t="s">
        <v>186</v>
      </c>
      <c r="C78" s="65" t="s">
        <v>3614</v>
      </c>
      <c r="D78" s="66"/>
      <c r="E78" s="8"/>
    </row>
    <row r="79" spans="1:9" ht="20" customHeight="1" x14ac:dyDescent="0.2">
      <c r="B79" s="4" t="s">
        <v>520</v>
      </c>
      <c r="C79" s="65" t="s">
        <v>529</v>
      </c>
      <c r="D79" s="66" t="s">
        <v>92</v>
      </c>
      <c r="E79" s="8" t="str">
        <f>IF(vcf_automation_type_chosen="Import 8.x appliance","Masked as you have opted to import an existing appliance",
IF(vcf_automation_size_chosen="Small","24vCPU  96GB RAM  700GB Storage",
IF(vcf_automation_size_chosen="Medium","72vCPU  288GB RAM  2100GB Storage",
IF(vcf_automation_size_chosen="Large","96vCPU  384GB RAM  2100GB Storage",
""))))</f>
        <v>72vCPU  288GB RAM  2100GB Storage</v>
      </c>
    </row>
    <row r="80" spans="1:9" ht="20" customHeight="1" x14ac:dyDescent="0.2">
      <c r="B80" s="4" t="s">
        <v>3224</v>
      </c>
      <c r="C80" s="65" t="str">
        <f>IF(flt_custom_network_chosen="Shared Management Network",IF(mgmt_dpg_reuse_result="Included",CONCATENATE(this_instance,"-m01-cl01-vds01-pg-vm-mgmt"),CONCATENATE(this_instance,"-m01-cl01-vds01-pg-esx-mgmt")),IF(flt_custom_network_chosen="NSX Overlay Segment",CONCATENATE(prefix_portable_component,"-m01-seg01"),CONCATENATE(this_instance,"-m01-cl01-vds01-pg-vcf-mgmt")))</f>
        <v>sfo-m01-cl01-vds01-pg-vcf-mgmt</v>
      </c>
      <c r="D80" s="66"/>
      <c r="E80" s="8" t="s">
        <v>3634</v>
      </c>
    </row>
    <row r="81" spans="2:5" ht="20" customHeight="1" x14ac:dyDescent="0.2">
      <c r="B81" s="4" t="s">
        <v>3638</v>
      </c>
      <c r="C81" s="65" t="str">
        <f>IF(flt_custom_network_chosen="Shared Management Network",
IF(mgmt_dpg_reuse_result="Excluded",CONCATENATE(prefix_mgmt_az1_cidr,"11.1/24"),CONCATENATE(prefix_mgmt_az1_cidr,"19.1/24")),
IF(flt_custom_network_chosen="NSX Overlay Segment",CONCATENATE(prefix_xreg_cidr,".1/24"),CONCATENATE(prefix_mgmt_az1_cidr,"99.1/24")))</f>
        <v>10.11.99.1/24</v>
      </c>
      <c r="D81" s="66"/>
      <c r="E81" s="8"/>
    </row>
    <row r="82" spans="2:5" ht="20" customHeight="1" x14ac:dyDescent="0.2">
      <c r="B82" s="4" t="s">
        <v>3635</v>
      </c>
      <c r="C82" s="65" t="s">
        <v>3637</v>
      </c>
      <c r="D82" s="66" t="s">
        <v>3708</v>
      </c>
      <c r="E82" s="8"/>
    </row>
    <row r="83" spans="2:5" ht="20" customHeight="1" x14ac:dyDescent="0.2">
      <c r="B83" s="4" t="s">
        <v>3636</v>
      </c>
      <c r="C83" s="165" t="str">
        <f>IF(flt_custom_network_chosen="Shared Management Network",
IF(mgmt_dpg_reuse_result="Excluded",CONCATENATE(prefix_mgmt_az1_cidr,"11.46,",prefix_mgmt_az1_cidr,"11.47,",prefix_mgmt_az1_cidr,"11.48,",prefix_mgmt_az1_cidr,"11.49,",prefix_mgmt_az1_cidr,"11.50"),CONCATENATE(prefix_mgmt_az1_cidr,"10.46,",prefix_mgmt_az1_cidr,"10.47,",prefix_mgmt_az1_cidr,"10.48,",prefix_mgmt_az1_cidr,"10.49,",prefix_mgmt_az1_cidr,"10.50")),
IF(flt_custom_network_chosen="NSX Overlay Segment",CONCATENATE(prefix_xreg_cidr,".46,",prefix_xreg_cidr,".47,",prefix_xreg_cidr,".48,",prefix_xreg_cidr,".49,",prefix_xreg_cidr,".50"),CONCATENATE(prefix_flt_shared_cidr,".46,",prefix_flt_shared_cidr,".47,",prefix_flt_shared_cidr,".48,",prefix_flt_shared_cidr,".49,",prefix_flt_shared_cidr,".50")))</f>
        <v>10.11.99.46,10.11.99.47,10.11.99.48,10.11.99.49,10.11.99.50</v>
      </c>
      <c r="D83" s="66"/>
      <c r="E83" s="8"/>
    </row>
    <row r="84" spans="2:5" ht="20" customHeight="1" x14ac:dyDescent="0.2">
      <c r="B84" s="28" t="s">
        <v>3335</v>
      </c>
      <c r="C84" s="122" t="str">
        <f>IF(flt_custom_network_chosen="Shared Management Network",
IF(mgmt_dpg_reuse_result="Excluded",CONCATENATE(prefix_mgmt_az1_cidr,"11.48/29"),CONCATENATE(prefix_mgmt_az1_cidr,"10.48/29")),
IF(flt_custom_network_chosen="NSX Overlay Segment",CONCATENATE(prefix_xreg_cidr,".48/29"),CONCATENATE(prefix_mgmt_az1_cidr,"99.48/29")))</f>
        <v>10.11.99.48/29</v>
      </c>
      <c r="D84" s="66"/>
      <c r="E84" s="8" t="s">
        <v>3361</v>
      </c>
    </row>
    <row r="85" spans="2:5" ht="20" customHeight="1" x14ac:dyDescent="0.2">
      <c r="B85" s="4" t="str">
        <f>IF(vcf_automation_type_chosen="Import 8.x Appliance","Primary node FQDN","VCF Automation FQDN")</f>
        <v>VCF Automation FQDN</v>
      </c>
      <c r="C85" s="122" t="str">
        <f>CONCATENATE(prefix_portable_component,"-auto01.",sample_parent_dns_zone)</f>
        <v>flt-auto01.rainpole.io</v>
      </c>
      <c r="D85" s="66"/>
      <c r="E85" s="8"/>
    </row>
    <row r="86" spans="2:5" ht="20" customHeight="1" x14ac:dyDescent="0.2">
      <c r="B86" s="4" t="s">
        <v>3134</v>
      </c>
      <c r="C86" s="65" t="str">
        <f>CONCATENATE(prefix_portable_component,"-vcfa-sr01.",sample_parent_dns_zone)</f>
        <v>flt-vcfa-sr01.rainpole.io</v>
      </c>
      <c r="D86" s="66"/>
      <c r="E86" s="8"/>
    </row>
    <row r="87" spans="2:5" ht="20" customHeight="1" x14ac:dyDescent="0.2">
      <c r="B87" s="23" t="str">
        <f>IF(vcf_automation_type_chosen="Import 8.x Appliance","Primary node root password","VCF Automation and VCF services runtime password")</f>
        <v>VCF Automation and VCF services runtime password</v>
      </c>
      <c r="C87" s="165" t="s">
        <v>137</v>
      </c>
      <c r="D87" s="292"/>
      <c r="E87" s="8"/>
    </row>
    <row r="88" spans="2:5" ht="20" customHeight="1" x14ac:dyDescent="0.2">
      <c r="B88" s="23" t="s">
        <v>3594</v>
      </c>
      <c r="C88" s="165" t="s">
        <v>3613</v>
      </c>
      <c r="D88" s="292" t="s">
        <v>3613</v>
      </c>
      <c r="E88" s="8" t="s">
        <v>525</v>
      </c>
    </row>
    <row r="89" spans="2:5" ht="20" customHeight="1" x14ac:dyDescent="0.2">
      <c r="B89" s="592" t="s">
        <v>2881</v>
      </c>
      <c r="C89" s="592"/>
      <c r="D89" s="592"/>
      <c r="E89" s="592"/>
    </row>
    <row r="90" spans="2:5" ht="20" customHeight="1" x14ac:dyDescent="0.2">
      <c r="B90" s="23" t="s">
        <v>3338</v>
      </c>
      <c r="C90" s="65" t="str">
        <f>IF(flt_custom_network_chosen="Shared Management Network",
IF(mgmt_dpg_reuse_result="Excluded",CONCATENATE(prefix_mgmt_az1_cidr,"11.25"),CONCATENATE(prefix_mgmt_az1_cidr,"10.25")),
IF(flt_custom_network_chosen="NSX Overlay Segment",CONCATENATE(prefix_xreg_cidr,".25"),CONCATENATE(prefix_mgmt_az1_cidr,"99.25")))</f>
        <v>10.11.99.25</v>
      </c>
      <c r="D90" s="66"/>
      <c r="E90" s="8" t="s">
        <v>3363</v>
      </c>
    </row>
    <row r="91" spans="2:5" ht="20" customHeight="1" x14ac:dyDescent="0.2">
      <c r="B91" s="23" t="s">
        <v>3339</v>
      </c>
      <c r="C91" s="65" t="str">
        <f>IF(flt_custom_network_chosen="Shared Management Network",
IF(mgmt_dpg_reuse_result="Excluded",CONCATENATE(prefix_mgmt_az1_cidr,"11.24"),CONCATENATE(prefix_mgmt_az1_cidr,"10.24")),
IF(flt_custom_network_chosen="NSX Overlay Segment",CONCATENATE(prefix_xreg_cidr,".24"),CONCATENATE(prefix_mgmt_az1_cidr,"99.24")))</f>
        <v>10.11.99.24</v>
      </c>
      <c r="D91" s="66"/>
      <c r="E91" s="8" t="s">
        <v>3362</v>
      </c>
    </row>
    <row r="92" spans="2:5" ht="20" customHeight="1" thickBot="1" x14ac:dyDescent="0.25">
      <c r="B92" s="201"/>
      <c r="C92" s="172"/>
      <c r="D92" s="172"/>
      <c r="E92" s="2"/>
    </row>
    <row r="93" spans="2:5" s="9" customFormat="1" ht="34" customHeight="1" thickBot="1" x14ac:dyDescent="0.25">
      <c r="B93" s="586" t="s">
        <v>3236</v>
      </c>
      <c r="C93" s="587"/>
      <c r="D93" s="587"/>
      <c r="E93" s="588"/>
    </row>
    <row r="94" spans="2:5" s="9" customFormat="1" ht="16" customHeight="1" x14ac:dyDescent="0.2">
      <c r="D94" s="2"/>
      <c r="E94" s="2"/>
    </row>
    <row r="95" spans="2:5" s="9" customFormat="1" ht="34" customHeight="1" thickBot="1" x14ac:dyDescent="0.25">
      <c r="B95" s="583" t="s">
        <v>583</v>
      </c>
      <c r="C95" s="584"/>
      <c r="D95" s="584"/>
      <c r="E95" s="585"/>
    </row>
    <row r="96" spans="2:5" s="9" customFormat="1" ht="20" customHeight="1" x14ac:dyDescent="0.2">
      <c r="B96" s="537" t="s">
        <v>3401</v>
      </c>
      <c r="C96" s="538"/>
      <c r="D96" s="538"/>
      <c r="E96" s="539"/>
    </row>
    <row r="97" spans="2:5" s="9" customFormat="1" ht="20" customHeight="1" x14ac:dyDescent="0.2">
      <c r="B97" s="63" t="s">
        <v>18</v>
      </c>
      <c r="C97" s="63" t="s">
        <v>19</v>
      </c>
      <c r="D97" s="63" t="s">
        <v>20</v>
      </c>
      <c r="E97" s="63" t="s">
        <v>21</v>
      </c>
    </row>
    <row r="98" spans="2:5" s="9" customFormat="1" ht="20" customHeight="1" x14ac:dyDescent="0.2">
      <c r="B98" s="4" t="s">
        <v>186</v>
      </c>
      <c r="C98" s="65" t="s">
        <v>3081</v>
      </c>
      <c r="D98" s="66"/>
      <c r="E98" s="8"/>
    </row>
    <row r="99" spans="2:5" s="9" customFormat="1" ht="20" customHeight="1" x14ac:dyDescent="0.2">
      <c r="B99" s="4" t="s">
        <v>3241</v>
      </c>
      <c r="C99" s="65" t="s">
        <v>529</v>
      </c>
      <c r="D99" s="66" t="s">
        <v>639</v>
      </c>
      <c r="E99" s="8" t="str">
        <f>IF(D99="Small","2 vCPU  4 GB  10 GB",
IF(D99="Medium","2 vCPU  4 GB  10 GB",
IF(D99="Large","4 vCPU  8 GB  20 GB",
IF(D99="XL","4 vCPU  8 GB  20 GB",""))))</f>
        <v>4 vCPU  8 GB  20 GB</v>
      </c>
    </row>
    <row r="100" spans="2:5" s="9" customFormat="1" ht="20" customHeight="1" x14ac:dyDescent="0.2">
      <c r="B100" s="4" t="s">
        <v>3242</v>
      </c>
      <c r="C100" s="65" t="str">
        <f>sample_vcf_instance_name</f>
        <v>San Francisco</v>
      </c>
      <c r="D100" s="66"/>
      <c r="E100" s="8"/>
    </row>
    <row r="101" spans="2:5" s="9" customFormat="1" ht="20" customHeight="1" x14ac:dyDescent="0.2">
      <c r="B101" s="4" t="s">
        <v>3243</v>
      </c>
      <c r="C101" s="65" t="str">
        <f>CONCATENATE(prefix_portable_component,"-idb01",".",sample_parent_dns_zone)</f>
        <v>flt-idb01.rainpole.io</v>
      </c>
      <c r="D101" s="66"/>
      <c r="E101" s="8"/>
    </row>
    <row r="102" spans="2:5" s="9" customFormat="1" ht="20" customHeight="1" x14ac:dyDescent="0.2">
      <c r="B102" s="4" t="s">
        <v>3244</v>
      </c>
      <c r="C102" s="65" t="str">
        <f>CONCATENATE(prefix_portable_component,"-idb01",".",sample_parent_dns_zone)</f>
        <v>flt-idb01.rainpole.io</v>
      </c>
      <c r="D102" s="66"/>
      <c r="E102" s="8" t="s">
        <v>3245</v>
      </c>
    </row>
    <row r="103" spans="2:5" s="9" customFormat="1" ht="20" customHeight="1" x14ac:dyDescent="0.2">
      <c r="B103" s="537" t="s">
        <v>585</v>
      </c>
      <c r="C103" s="538"/>
      <c r="D103" s="538"/>
      <c r="E103" s="539"/>
    </row>
    <row r="104" spans="2:5" s="9" customFormat="1" ht="20" customHeight="1" x14ac:dyDescent="0.2">
      <c r="B104" s="4" t="s">
        <v>586</v>
      </c>
      <c r="C104" s="65" t="s">
        <v>587</v>
      </c>
      <c r="D104" s="66" t="s">
        <v>587</v>
      </c>
      <c r="E104" s="8"/>
    </row>
    <row r="105" spans="2:5" s="9" customFormat="1" ht="20" customHeight="1" x14ac:dyDescent="0.2">
      <c r="B105" s="4" t="s">
        <v>3556</v>
      </c>
      <c r="C105" s="65" t="s">
        <v>60</v>
      </c>
      <c r="D105" s="66"/>
      <c r="E105" s="8"/>
    </row>
    <row r="106" spans="2:5" s="9" customFormat="1" ht="20" customHeight="1" x14ac:dyDescent="0.2">
      <c r="B106" s="4" t="s">
        <v>588</v>
      </c>
      <c r="C106" s="65" t="s">
        <v>154</v>
      </c>
      <c r="D106" s="66" t="s">
        <v>154</v>
      </c>
      <c r="E106" s="8" t="s">
        <v>589</v>
      </c>
    </row>
    <row r="107" spans="2:5" s="9" customFormat="1" ht="20" customHeight="1" x14ac:dyDescent="0.2">
      <c r="B107" s="4" t="s">
        <v>590</v>
      </c>
      <c r="C107" s="65" t="s">
        <v>140</v>
      </c>
      <c r="D107" s="66" t="s">
        <v>140</v>
      </c>
      <c r="E107" s="8" t="s">
        <v>591</v>
      </c>
    </row>
    <row r="108" spans="2:5" s="9" customFormat="1" ht="20" customHeight="1" x14ac:dyDescent="0.2">
      <c r="B108" s="4" t="s">
        <v>592</v>
      </c>
      <c r="C108" s="65" t="s">
        <v>140</v>
      </c>
      <c r="D108" s="66" t="s">
        <v>140</v>
      </c>
      <c r="E108" s="8" t="s">
        <v>593</v>
      </c>
    </row>
    <row r="109" spans="2:5" s="9" customFormat="1" ht="20" customHeight="1" x14ac:dyDescent="0.2">
      <c r="B109" s="4" t="s">
        <v>594</v>
      </c>
      <c r="C109" s="65" t="s">
        <v>595</v>
      </c>
      <c r="D109" s="66"/>
      <c r="E109" s="8" t="s">
        <v>596</v>
      </c>
    </row>
    <row r="110" spans="2:5" s="9" customFormat="1" ht="20" customHeight="1" x14ac:dyDescent="0.2">
      <c r="B110" s="4" t="s">
        <v>597</v>
      </c>
      <c r="C110" s="65" t="s">
        <v>598</v>
      </c>
      <c r="D110" s="66"/>
      <c r="E110" s="8"/>
    </row>
    <row r="111" spans="2:5" s="9" customFormat="1" ht="20" customHeight="1" x14ac:dyDescent="0.2">
      <c r="B111" s="4" t="s">
        <v>599</v>
      </c>
      <c r="C111" s="65">
        <v>636</v>
      </c>
      <c r="D111" s="66"/>
      <c r="E111" s="8"/>
    </row>
    <row r="112" spans="2:5" s="9" customFormat="1" ht="20" customHeight="1" x14ac:dyDescent="0.2">
      <c r="B112" s="4" t="s">
        <v>600</v>
      </c>
      <c r="C112" s="65" t="str">
        <f>CONCATENATE(this_instance,"-m01-ad01.",sample_child_dns_zone)</f>
        <v>sfo-m01-ad01.sfo.rainpole.io</v>
      </c>
      <c r="D112" s="66"/>
      <c r="E112" s="8"/>
    </row>
    <row r="113" spans="2:5" s="9" customFormat="1" ht="20" customHeight="1" x14ac:dyDescent="0.2">
      <c r="B113" s="4" t="s">
        <v>601</v>
      </c>
      <c r="C113" s="65">
        <v>636</v>
      </c>
      <c r="D113" s="66"/>
      <c r="E113" s="8"/>
    </row>
    <row r="114" spans="2:5" s="9" customFormat="1" ht="20" customHeight="1" x14ac:dyDescent="0.2">
      <c r="B114" s="4" t="s">
        <v>602</v>
      </c>
      <c r="C114" s="65" t="s">
        <v>603</v>
      </c>
      <c r="D114" s="66" t="s">
        <v>603</v>
      </c>
      <c r="E114" s="8"/>
    </row>
    <row r="115" spans="2:5" s="9" customFormat="1" ht="20" customHeight="1" x14ac:dyDescent="0.2">
      <c r="B115" s="4" t="s">
        <v>604</v>
      </c>
      <c r="C115" s="65" t="s">
        <v>605</v>
      </c>
      <c r="D115" s="66"/>
      <c r="E115" s="8"/>
    </row>
    <row r="116" spans="2:5" s="9" customFormat="1" ht="20" customHeight="1" x14ac:dyDescent="0.2">
      <c r="B116" s="4" t="s">
        <v>606</v>
      </c>
      <c r="C116" s="65" t="s">
        <v>607</v>
      </c>
      <c r="D116" s="66"/>
      <c r="E116" s="8" t="s">
        <v>608</v>
      </c>
    </row>
    <row r="117" spans="2:5" s="9" customFormat="1" ht="20" customHeight="1" thickBot="1" x14ac:dyDescent="0.25">
      <c r="B117" s="4" t="s">
        <v>609</v>
      </c>
      <c r="C117" s="65" t="s">
        <v>31</v>
      </c>
      <c r="D117" s="66"/>
      <c r="E117" s="8"/>
    </row>
    <row r="118" spans="2:5" s="9" customFormat="1" ht="20" customHeight="1" thickBot="1" x14ac:dyDescent="0.25">
      <c r="B118" s="586" t="s">
        <v>3405</v>
      </c>
      <c r="C118" s="587"/>
      <c r="D118" s="587"/>
      <c r="E118" s="588"/>
    </row>
    <row r="119" spans="2:5" s="9" customFormat="1" ht="20" customHeight="1" x14ac:dyDescent="0.2">
      <c r="B119" s="537" t="s">
        <v>610</v>
      </c>
      <c r="C119" s="538"/>
      <c r="D119" s="538"/>
      <c r="E119" s="539"/>
    </row>
    <row r="120" spans="2:5" s="9" customFormat="1" ht="20" customHeight="1" x14ac:dyDescent="0.2">
      <c r="B120" s="4" t="s">
        <v>611</v>
      </c>
      <c r="C120" s="65" t="s">
        <v>603</v>
      </c>
      <c r="D120" s="66"/>
      <c r="E120" s="8"/>
    </row>
    <row r="121" spans="2:5" s="9" customFormat="1" ht="20" customHeight="1" x14ac:dyDescent="0.2">
      <c r="B121" s="4" t="s">
        <v>612</v>
      </c>
      <c r="C121" s="65" t="s">
        <v>613</v>
      </c>
      <c r="D121" s="66"/>
      <c r="E121" s="8"/>
    </row>
    <row r="122" spans="2:5" s="9" customFormat="1" ht="20" customHeight="1" x14ac:dyDescent="0.2">
      <c r="B122" s="4" t="s">
        <v>614</v>
      </c>
      <c r="C122" s="65" t="s">
        <v>615</v>
      </c>
      <c r="D122" s="66"/>
      <c r="E122" s="8"/>
    </row>
    <row r="123" spans="2:5" s="9" customFormat="1" ht="20" customHeight="1" x14ac:dyDescent="0.2">
      <c r="B123" s="4" t="s">
        <v>616</v>
      </c>
      <c r="C123" s="65" t="s">
        <v>616</v>
      </c>
      <c r="D123" s="66"/>
      <c r="E123" s="8"/>
    </row>
    <row r="124" spans="2:5" s="9" customFormat="1" ht="20" customHeight="1" x14ac:dyDescent="0.2">
      <c r="B124" s="4" t="s">
        <v>617</v>
      </c>
      <c r="C124" s="65" t="s">
        <v>617</v>
      </c>
      <c r="D124" s="66"/>
      <c r="E124" s="8"/>
    </row>
    <row r="125" spans="2:5" s="9" customFormat="1" ht="20" customHeight="1" x14ac:dyDescent="0.2">
      <c r="B125" s="4" t="s">
        <v>618</v>
      </c>
      <c r="C125" s="65" t="s">
        <v>619</v>
      </c>
      <c r="D125" s="66"/>
      <c r="E125" s="8"/>
    </row>
    <row r="126" spans="2:5" s="9" customFormat="1" ht="20" customHeight="1" x14ac:dyDescent="0.2">
      <c r="B126" s="4" t="s">
        <v>620</v>
      </c>
      <c r="C126" s="65" t="s">
        <v>620</v>
      </c>
      <c r="D126" s="66"/>
      <c r="E126" s="8"/>
    </row>
    <row r="127" spans="2:5" s="9" customFormat="1" ht="20" customHeight="1" x14ac:dyDescent="0.2">
      <c r="B127" s="537" t="s">
        <v>621</v>
      </c>
      <c r="C127" s="538"/>
      <c r="D127" s="538"/>
      <c r="E127" s="539"/>
    </row>
    <row r="128" spans="2:5" s="9" customFormat="1" ht="20" customHeight="1" x14ac:dyDescent="0.2">
      <c r="B128" s="4" t="s">
        <v>622</v>
      </c>
      <c r="C128" s="65" t="s">
        <v>623</v>
      </c>
      <c r="D128" s="66"/>
      <c r="E128" s="8"/>
    </row>
    <row r="129" spans="2:5" s="9" customFormat="1" ht="20" customHeight="1" x14ac:dyDescent="0.2">
      <c r="B129" s="537" t="s">
        <v>624</v>
      </c>
      <c r="C129" s="538"/>
      <c r="D129" s="538"/>
      <c r="E129" s="539"/>
    </row>
    <row r="130" spans="2:5" ht="20" customHeight="1" thickBot="1" x14ac:dyDescent="0.25">
      <c r="B130" s="4" t="s">
        <v>625</v>
      </c>
      <c r="C130" s="65" t="s">
        <v>626</v>
      </c>
      <c r="D130" s="66"/>
      <c r="E130" s="8"/>
    </row>
    <row r="131" spans="2:5" ht="20" customHeight="1" x14ac:dyDescent="0.2">
      <c r="B131" s="589" t="s">
        <v>2881</v>
      </c>
      <c r="C131" s="590"/>
      <c r="D131" s="590"/>
      <c r="E131" s="591"/>
    </row>
    <row r="132" spans="2:5" ht="20" customHeight="1" x14ac:dyDescent="0.2">
      <c r="B132" s="23" t="s">
        <v>3347</v>
      </c>
      <c r="C132" s="65" t="str">
        <f>IF(flt_custom_network_chosen="Shared Management Network",IF(mgmt_dpg_reuse_result="Included",CONCATENATE(prefix_mgmt_az1_cidr,"10.16"),CONCATENATE(prefix_mgmt_az1_cidr,"11.16")),IF(flt_custom_network_chosen="NSX Overlay Segment",CONCATENATE(prefix_xreg_cidr,".16"),CONCATENATE(prefix_flt_shared_cidr,".16")))</f>
        <v>10.11.99.16</v>
      </c>
      <c r="D132" s="66"/>
      <c r="E132" s="8"/>
    </row>
    <row r="133" spans="2:5" s="9" customFormat="1" ht="16" customHeight="1" x14ac:dyDescent="0.2">
      <c r="D133" s="310"/>
      <c r="E133" s="310"/>
    </row>
    <row r="134" spans="2:5" s="9" customFormat="1" ht="34" customHeight="1" x14ac:dyDescent="0.2">
      <c r="B134" s="559" t="s">
        <v>3571</v>
      </c>
      <c r="C134" s="560"/>
      <c r="D134" s="560"/>
      <c r="E134" s="561"/>
    </row>
    <row r="135" spans="2:5" s="9" customFormat="1" ht="20" customHeight="1" x14ac:dyDescent="0.2">
      <c r="B135" s="63" t="s">
        <v>18</v>
      </c>
      <c r="C135" s="63" t="s">
        <v>19</v>
      </c>
      <c r="D135" s="63" t="s">
        <v>20</v>
      </c>
      <c r="E135" s="317" t="s">
        <v>21</v>
      </c>
    </row>
    <row r="136" spans="2:5" s="9" customFormat="1" ht="20" customHeight="1" x14ac:dyDescent="0.2">
      <c r="B136" s="537" t="s">
        <v>526</v>
      </c>
      <c r="C136" s="538"/>
      <c r="D136" s="538"/>
      <c r="E136" s="539"/>
    </row>
    <row r="137" spans="2:5" s="9" customFormat="1" ht="20" customHeight="1" x14ac:dyDescent="0.2">
      <c r="B137" s="4" t="s">
        <v>527</v>
      </c>
      <c r="C137" s="65" t="s">
        <v>528</v>
      </c>
      <c r="D137" s="66" t="s">
        <v>528</v>
      </c>
      <c r="E137" s="393" t="str">
        <f>IF(flt_logs_install_type_chosen="Import","Import configurations from an existing log management 8.x or 9.0.x instance","")</f>
        <v/>
      </c>
    </row>
    <row r="138" spans="2:5" s="9" customFormat="1" ht="20" customHeight="1" x14ac:dyDescent="0.2">
      <c r="B138" s="4" t="s">
        <v>186</v>
      </c>
      <c r="C138" s="65" t="s">
        <v>3081</v>
      </c>
      <c r="D138" s="66"/>
      <c r="E138" s="8"/>
    </row>
    <row r="139" spans="2:5" s="9" customFormat="1" ht="20" customHeight="1" x14ac:dyDescent="0.2">
      <c r="B139" s="4" t="s">
        <v>3643</v>
      </c>
      <c r="C139" s="172" t="str">
        <f>CONCATENATE("xint-logs01",".",sample_parent_dns_zone)</f>
        <v>xint-logs01.rainpole.io</v>
      </c>
      <c r="D139" s="66"/>
      <c r="E139" s="8" t="str">
        <f>IF(flt_logs_install_type_chosen="New Install","Masked out as you have opted to deploy a new VCF Operations for Logs component","")</f>
        <v>Masked out as you have opted to deploy a new VCF Operations for Logs component</v>
      </c>
    </row>
    <row r="140" spans="2:5" s="9" customFormat="1" ht="20" customHeight="1" x14ac:dyDescent="0.2">
      <c r="B140" s="4" t="s">
        <v>629</v>
      </c>
      <c r="C140" s="122" t="s">
        <v>418</v>
      </c>
      <c r="D140" s="66"/>
      <c r="E140" s="8" t="str">
        <f>IF(flt_logs_install_type_chosen="New Install","Masked out as you have opted to deploy a new VCF Operations for Logs component","")</f>
        <v>Masked out as you have opted to deploy a new VCF Operations for Logs component</v>
      </c>
    </row>
    <row r="141" spans="2:5" s="9" customFormat="1" ht="20" customHeight="1" x14ac:dyDescent="0.2">
      <c r="B141" s="4" t="s">
        <v>189</v>
      </c>
      <c r="C141" s="122" t="s">
        <v>137</v>
      </c>
      <c r="D141" s="66"/>
      <c r="E141" s="8" t="str">
        <f>IF(flt_logs_install_type_chosen="New Install","Masked out as you have opted to deploy a new VCF Operations for Logs component","")</f>
        <v>Masked out as you have opted to deploy a new VCF Operations for Logs component</v>
      </c>
    </row>
    <row r="142" spans="2:5" s="9" customFormat="1" ht="20" customHeight="1" x14ac:dyDescent="0.2">
      <c r="B142" s="4" t="s">
        <v>3233</v>
      </c>
      <c r="C142" s="122" t="str">
        <f>CONCATENATE(prefix_portable_component,"-logs01",".",sample_parent_dns_zone)</f>
        <v>flt-logs01.rainpole.io</v>
      </c>
      <c r="D142" s="66"/>
      <c r="E142" s="8"/>
    </row>
    <row r="143" spans="2:5" s="9" customFormat="1" ht="20" customHeight="1" x14ac:dyDescent="0.2">
      <c r="B143" s="4" t="s">
        <v>630</v>
      </c>
      <c r="C143" s="65" t="s">
        <v>92</v>
      </c>
      <c r="D143" s="66" t="s">
        <v>92</v>
      </c>
      <c r="E143" s="8" t="str">
        <f>IF(flt_logs_node_size_chosen="Small","8vCPU  16GB RAM  550GB Storage Per Replica",
IF(flt_logs_node_size_chosen="Medium","12vCPU  24GB RAM  550GB Storage Per Replica",
IF(flt_logs_node_size_chosen="Large","16vCPU  32GB RAM  550GB Storage Per Replica,","")))</f>
        <v>12vCPU  24GB RAM  550GB Storage Per Replica</v>
      </c>
    </row>
    <row r="144" spans="2:5" s="9" customFormat="1" ht="20" customHeight="1" x14ac:dyDescent="0.2">
      <c r="B144" s="4" t="s">
        <v>3234</v>
      </c>
      <c r="C144" s="65">
        <v>3</v>
      </c>
      <c r="D144" s="66">
        <v>3</v>
      </c>
      <c r="E144" s="8" t="str">
        <f>IF(flt_logs_node_size_chosen="Small","Number Of Replicas for medium size must be between 1 and 9",
IF(flt_logs_node_size_chosen="Medium","Number Of Replicas for medium size must be between 3 and 19",
IF(flt_logs_node_size_chosen="Large","Number Of Replicas for large size must be between 3 and 19,""")))</f>
        <v>Number Of Replicas for medium size must be between 3 and 19</v>
      </c>
    </row>
    <row r="145" spans="2:5" s="9" customFormat="1" ht="20" customHeight="1" x14ac:dyDescent="0.2">
      <c r="B145" s="537" t="s">
        <v>632</v>
      </c>
      <c r="C145" s="538"/>
      <c r="D145" s="538"/>
      <c r="E145" s="539"/>
    </row>
    <row r="146" spans="2:5" s="9" customFormat="1" ht="20" customHeight="1" x14ac:dyDescent="0.2">
      <c r="B146" s="4" t="s">
        <v>39</v>
      </c>
      <c r="C146" s="65" t="str">
        <f>sample_flt_logs_vip_fqdn</f>
        <v>flt-logs01.rainpole.io</v>
      </c>
      <c r="D146" s="8" t="str">
        <f t="array" ref="D146">flt_logs_vip_fqdn</f>
        <v>Value Missing</v>
      </c>
      <c r="E146" s="8"/>
    </row>
    <row r="147" spans="2:5" s="9" customFormat="1" ht="20" customHeight="1" x14ac:dyDescent="0.2">
      <c r="B147" s="4" t="s">
        <v>272</v>
      </c>
      <c r="C147" s="65" t="str">
        <f>IF(mgmt_dpg_reuse_result="Included",CONCATENATE(prefix_mgmt_az1_cidr,"10.26"),CONCATENATE(prefix_mgmt_az1_cidr,"11.26"))</f>
        <v>10.11.10.26</v>
      </c>
      <c r="D147" s="66"/>
      <c r="E147" s="8"/>
    </row>
    <row r="148" spans="2:5" s="9" customFormat="1" ht="16" customHeight="1" x14ac:dyDescent="0.2">
      <c r="D148" s="2"/>
      <c r="E148" s="2"/>
    </row>
    <row r="149" spans="2:5" s="9" customFormat="1" ht="34" customHeight="1" x14ac:dyDescent="0.2">
      <c r="B149" s="559" t="s">
        <v>3406</v>
      </c>
      <c r="C149" s="560"/>
      <c r="D149" s="560"/>
      <c r="E149" s="561"/>
    </row>
    <row r="150" spans="2:5" s="9" customFormat="1" ht="20" customHeight="1" x14ac:dyDescent="0.2">
      <c r="B150" s="63" t="s">
        <v>18</v>
      </c>
      <c r="C150" s="63" t="s">
        <v>19</v>
      </c>
      <c r="D150" s="63" t="s">
        <v>20</v>
      </c>
      <c r="E150" s="317" t="s">
        <v>21</v>
      </c>
    </row>
    <row r="151" spans="2:5" s="9" customFormat="1" ht="20" customHeight="1" x14ac:dyDescent="0.2">
      <c r="B151" s="537" t="s">
        <v>526</v>
      </c>
      <c r="C151" s="538"/>
      <c r="D151" s="538"/>
      <c r="E151" s="539"/>
    </row>
    <row r="152" spans="2:5" s="9" customFormat="1" ht="20" customHeight="1" x14ac:dyDescent="0.2">
      <c r="B152" s="4" t="s">
        <v>527</v>
      </c>
      <c r="C152" s="65" t="s">
        <v>528</v>
      </c>
      <c r="D152" s="66" t="s">
        <v>528</v>
      </c>
      <c r="E152" s="8" t="str">
        <f>IF(flt_net_install_type_chosen="Import","Importing your 6.x appliance that you can later upgrade to version 9.x.","")</f>
        <v/>
      </c>
    </row>
    <row r="153" spans="2:5" s="9" customFormat="1" ht="20" customHeight="1" x14ac:dyDescent="0.2">
      <c r="B153" s="4" t="s">
        <v>186</v>
      </c>
      <c r="C153" s="65" t="s">
        <v>3081</v>
      </c>
      <c r="D153" s="66"/>
      <c r="E153" s="8" t="str">
        <f>IF(flt_net_install_type_chosen="Import","Masked as you have opted to import an existing appliance","")</f>
        <v/>
      </c>
    </row>
    <row r="154" spans="2:5" s="9" customFormat="1" ht="20" customHeight="1" x14ac:dyDescent="0.2">
      <c r="B154" s="4" t="s">
        <v>3235</v>
      </c>
      <c r="C154" s="65" t="s">
        <v>92</v>
      </c>
      <c r="D154" s="66" t="s">
        <v>92</v>
      </c>
      <c r="E154" s="8" t="str">
        <f>IF(flt_net_install_type_chosen="Import","Masked as you have opted to import an existing appliance",
IF(flt_net_ha_mode_chosen="Small","4vCPU  16GB RAM  1024GB Storage",
IF(flt_net_ha_mode_chosen="Medium","8vCPU  32GB RAM  1024GB Storage",
IF(flt_net_ha_mode_chosen="Large","12vCPU  48GB RAM  1024GB Storage",
IF(flt_net_ha_mode_chosen="XL","16vCPU  64GB RAM  2048GB Storage",
IF(flt_net_ha_mode_chosen="XXL","24vCPU  128GB RAM 3072GB Storage",""))))))</f>
        <v>8vCPU  32GB RAM  1024GB Storage</v>
      </c>
    </row>
    <row r="155" spans="2:5" s="9" customFormat="1" ht="20" customHeight="1" x14ac:dyDescent="0.2">
      <c r="B155" s="4" t="s">
        <v>30</v>
      </c>
      <c r="C155" s="122" t="s">
        <v>137</v>
      </c>
      <c r="D155" s="66"/>
      <c r="E155" s="8"/>
    </row>
    <row r="156" spans="2:5" s="9" customFormat="1" ht="20" customHeight="1" x14ac:dyDescent="0.2">
      <c r="B156" s="4" t="s">
        <v>3246</v>
      </c>
      <c r="C156" s="103" t="s">
        <v>140</v>
      </c>
      <c r="D156" s="66" t="s">
        <v>140</v>
      </c>
      <c r="E156" s="8" t="str">
        <f>IF(flt_net_install_type_chosen="Import","Masked as you have opted to import an existing appliance","")</f>
        <v/>
      </c>
    </row>
    <row r="157" spans="2:5" s="9" customFormat="1" ht="20" customHeight="1" x14ac:dyDescent="0.2">
      <c r="B157" s="95" t="s">
        <v>3639</v>
      </c>
      <c r="C157" s="392" t="str">
        <f>IF(flt_custom_network_chosen="Shared Management Network",IF(mgmt_dpg_reuse_result="Included",CONCATENATE(this_instance,"-m01-cl01-vds01-pg-vm-mgmt"),CONCATENATE(this_instance,"-m01-cl01-vds01-pg-esx-mgmt")),IF(flt_custom_network_chosen="NSX Overlay Segment",CONCATENATE(prefix_portable_component,"-m01-seg01"),CONCATENATE(this_instance,"-m01-cl01-vds01-pg-vcf-mgmt")))</f>
        <v>sfo-m01-cl01-vds01-pg-vcf-mgmt</v>
      </c>
      <c r="D157" s="107"/>
      <c r="E157" s="224"/>
    </row>
    <row r="158" spans="2:5" s="9" customFormat="1" ht="20" customHeight="1" x14ac:dyDescent="0.2">
      <c r="B158" s="4" t="s">
        <v>3248</v>
      </c>
      <c r="C158" s="103" t="str">
        <f>IF(flt_custom_network_chosen="Shared Management Network",IF(mgmt_dpg_reuse_result="Included",CONCATENATE(prefix_mgmt_az1_cidr,"10.62"),CONCATENATE(prefix_mgmt_az1_cidr,"11.62")),IF(flt_custom_network_chosen="NSX Overlay Segment",CONCATENATE(prefix_xreg_cidr,".62"),CONCATENATE(prefix_flt_shared_cidr,".62")))</f>
        <v>10.11.99.62</v>
      </c>
      <c r="D158" s="107"/>
      <c r="E158" s="224"/>
    </row>
    <row r="159" spans="2:5" s="9" customFormat="1" ht="20" customHeight="1" x14ac:dyDescent="0.2">
      <c r="B159" s="4" t="s">
        <v>3693</v>
      </c>
      <c r="C159" s="103" t="str">
        <f>IF(flt_custom_network_chosen="Shared Management Network",IF(mgmt_dpg_reuse_result="Included",CONCATENATE(prefix_mgmt_az1_cidr,"10.1/24"),CONCATENATE(prefix_mgmt_az1_cidr,"11.1/24")),IF(flt_custom_network_chosen="NSX Overlay Segment",CONCATENATE(prefix_xreg_cidr,".1/24"),CONCATENATE(prefix_flt_shared_cidr,".1/24")))</f>
        <v>10.11.99.1/24</v>
      </c>
      <c r="D159" s="107"/>
      <c r="E159" s="224"/>
    </row>
    <row r="160" spans="2:5" s="9" customFormat="1" ht="20" customHeight="1" x14ac:dyDescent="0.2">
      <c r="B160" s="4" t="s">
        <v>3249</v>
      </c>
      <c r="C160" s="103" t="str">
        <f>IF(flt_custom_network_chosen="Shared Management Network",IF(mgmt_dpg_reuse_result="Included",CONCATENATE(prefix_mgmt_ipv6_cidr,prefix_mgmt_az1_cidr,"10",":","62","/64"),CONCATENATE(prefix_mgmt_ipv6_cidr,prefix_mgmt_az1_cidr,"11",":","62","/64")),IF(flt_custom_network_chosen="NSX Overlay Segment",CONCATENATE(prefix_mgmt_ipv6_cidr,prefix_xreg_vlan,":","62","/64"),CONCATENATE(prefix_mgmt_ipv6_cidr,prefix_mgmt_az1_vlan,"99",":","62","/64")))</f>
        <v>2001:db8:0:1199:62/64</v>
      </c>
      <c r="D160" s="66"/>
      <c r="E160" s="8" t="str">
        <f>IF(flt_net_install_type_chosen="Import","Masked as you have opted to import an existing appliance","")</f>
        <v/>
      </c>
    </row>
    <row r="161" spans="2:5" s="9" customFormat="1" ht="20" customHeight="1" x14ac:dyDescent="0.2">
      <c r="B161" s="4" t="s">
        <v>3640</v>
      </c>
      <c r="C161" s="103" t="str">
        <f>CONCATENATE(this_instance,"-m01-cl01-vds01-pg-vm-mgmt")</f>
        <v>sfo-m01-cl01-vds01-pg-vm-mgmt</v>
      </c>
      <c r="D161" s="66"/>
      <c r="E161" s="8"/>
    </row>
    <row r="162" spans="2:5" s="9" customFormat="1" ht="20" customHeight="1" x14ac:dyDescent="0.2">
      <c r="B162" s="4" t="s">
        <v>3247</v>
      </c>
      <c r="C162" s="103" t="str">
        <f>IF(flt_custom_network_chosen="Shared Management Network",IF(mgmt_dpg_reuse_result="Included",CONCATENATE(prefix_mgmt_az1_cidr,"10.14"),CONCATENATE(prefix_mgmt_az1_cidr,"11.14")),IF(flt_custom_network_chosen="NSX Overlay Segment",CONCATENATE(prefix_xreg_cidr,".14"),CONCATENATE(prefix_flt_shared_cidr,".14")))</f>
        <v>10.11.99.14</v>
      </c>
      <c r="D162" s="66"/>
      <c r="E162" s="8"/>
    </row>
    <row r="163" spans="2:5" s="9" customFormat="1" ht="20" customHeight="1" x14ac:dyDescent="0.2">
      <c r="B163" s="4" t="s">
        <v>3692</v>
      </c>
      <c r="C163" s="103" t="str">
        <f>IF(flt_custom_network_chosen="Shared Management Network",IF(mgmt_dpg_reuse_result="Included",CONCATENATE(prefix_mgmt_az1_cidr,"10.1/24"),CONCATENATE(prefix_mgmt_az1_cidr,"11.1/24")),IF(flt_custom_network_chosen="NSX Overlay Segment",CONCATENATE(prefix_xreg_cidr,".1/24"),CONCATENATE(prefix_flt_shared_cidr,".1/24")))</f>
        <v>10.11.99.1/24</v>
      </c>
      <c r="D163" s="66"/>
      <c r="E163" s="8"/>
    </row>
    <row r="164" spans="2:5" s="9" customFormat="1" ht="20" customHeight="1" x14ac:dyDescent="0.2">
      <c r="B164" s="4" t="s">
        <v>3250</v>
      </c>
      <c r="C164" s="103" t="str">
        <f>IF(flt_custom_network_chosen="Shared Management Network",IF(mgmt_dpg_reuse_result="Included",CONCATENATE(prefix_mgmt_ipv6_cidr,prefix_mgmt_az1_cidr,"10",":","14","/64"),CONCATENATE(prefix_mgmt_ipv6_cidr,prefix_mgmt_az1_cidr,"11",":","14","/64")),IF(flt_custom_network_chosen="NSX Overlay Segment",CONCATENATE(prefix_mgmt_ipv6_cidr,prefix_xreg_vlan,":","14","/64"),CONCATENATE(prefix_mgmt_ipv6_cidr,prefix_mgmt_az1_vlan,"99",":","14","/64")))</f>
        <v>2001:db8:0:1199:14/64</v>
      </c>
      <c r="D164" s="66"/>
      <c r="E164" s="8"/>
    </row>
    <row r="165" spans="2:5" s="9" customFormat="1" ht="20" customHeight="1" x14ac:dyDescent="0.2">
      <c r="B165" s="537" t="s">
        <v>638</v>
      </c>
      <c r="C165" s="538"/>
      <c r="D165" s="538"/>
      <c r="E165" s="539"/>
    </row>
    <row r="166" spans="2:5" s="9" customFormat="1" ht="20" customHeight="1" x14ac:dyDescent="0.2">
      <c r="B166" s="4" t="s">
        <v>633</v>
      </c>
      <c r="C166" s="122" t="str">
        <f>CONCATENATE(prefix_portable_component,"-net01a",".",sample_parent_dns_zone)</f>
        <v>flt-net01a.rainpole.io</v>
      </c>
      <c r="D166" s="66"/>
      <c r="E166" s="8" t="str">
        <f>IF(flt_net_install_type_chosen="Import","Masked as you have opted to import an existing appliance","")</f>
        <v/>
      </c>
    </row>
    <row r="167" spans="2:5" s="9" customFormat="1" ht="20" customHeight="1" x14ac:dyDescent="0.2">
      <c r="B167" s="4" t="s">
        <v>272</v>
      </c>
      <c r="C167" s="65" t="str">
        <f>sample_flt_net_nodea_ip</f>
        <v>10.11.99.62</v>
      </c>
      <c r="D167" s="8" t="str">
        <f>flt_net_nodea_ip</f>
        <v>Value Missing</v>
      </c>
      <c r="E167" s="8" t="str">
        <f>IF(flt_net_install_type_chosen="Import","Masked as you have opted to import an existing appliance","")</f>
        <v/>
      </c>
    </row>
    <row r="168" spans="2:5" s="9" customFormat="1" ht="20" customHeight="1" x14ac:dyDescent="0.2">
      <c r="B168" s="537" t="s">
        <v>640</v>
      </c>
      <c r="C168" s="538"/>
      <c r="D168" s="538"/>
      <c r="E168" s="539"/>
    </row>
    <row r="169" spans="2:5" s="9" customFormat="1" ht="20" customHeight="1" x14ac:dyDescent="0.2">
      <c r="B169" s="4" t="s">
        <v>633</v>
      </c>
      <c r="C169" s="122" t="str">
        <f>CONCATENATE(this_instance,"-netc01.",sample_child_dns_zone)</f>
        <v>sfo-netc01.sfo.rainpole.io</v>
      </c>
      <c r="D169" s="66"/>
      <c r="E169" s="8" t="str">
        <f>IF(flt_net_install_type_chosen="Import","Masked as you have opted to import an existing appliance","")</f>
        <v/>
      </c>
    </row>
    <row r="170" spans="2:5" s="9" customFormat="1" ht="20" customHeight="1" x14ac:dyDescent="0.2">
      <c r="B170" s="4" t="s">
        <v>272</v>
      </c>
      <c r="C170" s="65" t="str">
        <f>sample_flt_net_prxy_ip</f>
        <v>10.11.99.14</v>
      </c>
      <c r="D170" s="8" t="str">
        <f t="array" ref="D170">flt_net_prxy_ip</f>
        <v>Value Missing</v>
      </c>
      <c r="E170" s="8" t="str">
        <f>IF(flt_net_install_type_chosen="Import","Masked as you have opted to import an existing appliance","")</f>
        <v/>
      </c>
    </row>
  </sheetData>
  <sheetProtection algorithmName="SHA-512" hashValue="sz8CYaV+lJVfhb69l5AM7ci764+ocOuR7xM6i1g1O758NdeoG+H+Hd7N3+oylCf6d1wU+c8lqeLFiXGm2TR3/w==" saltValue="ZQFhL4siZRwzWMWBuldH/g==" spinCount="100000" sheet="1" selectLockedCells="1"/>
  <dataConsolidate/>
  <mergeCells count="36">
    <mergeCell ref="B134:E134"/>
    <mergeCell ref="B136:E136"/>
    <mergeCell ref="B89:E89"/>
    <mergeCell ref="B131:E131"/>
    <mergeCell ref="B165:E165"/>
    <mergeCell ref="B168:E168"/>
    <mergeCell ref="B149:E149"/>
    <mergeCell ref="B151:E151"/>
    <mergeCell ref="B145:E145"/>
    <mergeCell ref="B2:E2"/>
    <mergeCell ref="B3:E3"/>
    <mergeCell ref="B129:E129"/>
    <mergeCell ref="B95:E95"/>
    <mergeCell ref="B96:E96"/>
    <mergeCell ref="B118:E118"/>
    <mergeCell ref="B93:E93"/>
    <mergeCell ref="B103:E103"/>
    <mergeCell ref="B119:E119"/>
    <mergeCell ref="B127:E127"/>
    <mergeCell ref="B73:E73"/>
    <mergeCell ref="B74:E74"/>
    <mergeCell ref="B13:E13"/>
    <mergeCell ref="B15:E15"/>
    <mergeCell ref="B19:E19"/>
    <mergeCell ref="B25:E25"/>
    <mergeCell ref="B28:E28"/>
    <mergeCell ref="B31:E31"/>
    <mergeCell ref="B39:E39"/>
    <mergeCell ref="B41:E41"/>
    <mergeCell ref="B44:E44"/>
    <mergeCell ref="B46:E46"/>
    <mergeCell ref="B69:E69"/>
    <mergeCell ref="B51:E51"/>
    <mergeCell ref="B65:E65"/>
    <mergeCell ref="B60:E60"/>
    <mergeCell ref="B63:E63"/>
  </mergeCells>
  <phoneticPr fontId="54" type="noConversion"/>
  <conditionalFormatting sqref="B7 D7:E7">
    <cfRule type="expression" dxfId="1426" priority="173">
      <formula>$E$7="NSX Centralized Connectivity is required to configure the Fleet appliance on NSX Overlay Segment"</formula>
    </cfRule>
  </conditionalFormatting>
  <conditionalFormatting sqref="B8 D8:E8">
    <cfRule type="expression" dxfId="1425" priority="1">
      <formula>$E$8="Cause: I have an existing VCF Automation Instance or I will deploy later option not selected in Deploy Management Domain Tab"</formula>
    </cfRule>
    <cfRule type="expression" dxfId="1424" priority="175">
      <formula>$E$8="Cause: VCF Operations is required to Deploy VCF Automation. Deploy VCF Operations during MGMT Domain Deploy or Day-N"</formula>
    </cfRule>
    <cfRule type="expression" dxfId="1423" priority="177">
      <formula>$E$8="Cause: I want to connect a VCF Automation instance later option not selected in Deploy Management Domain Tab"</formula>
    </cfRule>
    <cfRule type="expression" dxfId="1422" priority="179">
      <formula>$E$8="Cause: VCF Operations and Automation will be deployed during Managment Domain Deployment"</formula>
    </cfRule>
    <cfRule type="expression" dxfId="1421" priority="180">
      <formula>$E$8="VCF Ops and Automation will be skipped during MGMT Domain deployment. Ensure they are planned as part of fleet Management Day-N"</formula>
    </cfRule>
    <cfRule type="expression" dxfId="1420" priority="252">
      <formula>$E$8="Cause: Custom networking for VCF Operations and VCF Automation not selected in Deploy Management Domain Tab"</formula>
    </cfRule>
    <cfRule type="expression" dxfId="1419" priority="254">
      <formula>flt_custom_network_vcf_ops_automation_result="Included"</formula>
    </cfRule>
  </conditionalFormatting>
  <conditionalFormatting sqref="B9 D9:E9">
    <cfRule type="expression" dxfId="1418" priority="311">
      <formula>AND((flt_vidb_chosen&lt;&gt;"Exclude"),(flt_vidb_result="Excluded"))</formula>
    </cfRule>
    <cfRule type="expression" dxfId="1417" priority="312">
      <formula>(flt_vidb_result="Excluded")</formula>
    </cfRule>
    <cfRule type="expression" dxfId="1416" priority="313" stopIfTrue="1">
      <formula>(flt_vidb_result="Included")</formula>
    </cfRule>
  </conditionalFormatting>
  <conditionalFormatting sqref="B10 D10:E10">
    <cfRule type="expression" dxfId="1415" priority="256">
      <formula>flt_logs_result="Excluded"</formula>
    </cfRule>
  </conditionalFormatting>
  <conditionalFormatting sqref="B10:B11 D10:E11 B7 D7:E7">
    <cfRule type="expression" dxfId="1414" priority="266">
      <formula>flt_custom_network_result="Included"</formula>
    </cfRule>
  </conditionalFormatting>
  <conditionalFormatting sqref="B11 D11:E11">
    <cfRule type="expression" dxfId="1413" priority="255">
      <formula>flt_net_result="Excluded"</formula>
    </cfRule>
  </conditionalFormatting>
  <conditionalFormatting sqref="D16:D18">
    <cfRule type="containsBlanks" dxfId="1412" priority="101">
      <formula>LEN(TRIM(D16))=0</formula>
    </cfRule>
    <cfRule type="notContainsBlanks" dxfId="1410" priority="103">
      <formula>LEN(TRIM(D16))&gt;0</formula>
    </cfRule>
  </conditionalFormatting>
  <conditionalFormatting sqref="D20:D24">
    <cfRule type="expression" dxfId="1409" priority="94">
      <formula>OR((flt_custom_network_vcf_ops_automation_chosen="Deploy VCF Automation"),(flt_custom_network_vcf_ops_automation_chosen="Exclude"))</formula>
    </cfRule>
    <cfRule type="expression" dxfId="1408" priority="95">
      <formula>AND((flt_custom_network_vcf_ops_automation_chosen="Deploy VCF Operations and Automation"),(flt_custom_network_vcf_ops_automation_result="Excluded"))</formula>
    </cfRule>
    <cfRule type="containsBlanks" dxfId="1407" priority="96">
      <formula>LEN(TRIM(D20))=0</formula>
    </cfRule>
    <cfRule type="notContainsBlanks" dxfId="1405" priority="98">
      <formula>LEN(TRIM(D20))&gt;0</formula>
    </cfRule>
  </conditionalFormatting>
  <conditionalFormatting sqref="D23:D24">
    <cfRule type="expression" dxfId="1404" priority="29">
      <formula>flt_def_vcf_custom_passwords_chosen="Unselected"</formula>
    </cfRule>
  </conditionalFormatting>
  <conditionalFormatting sqref="D25">
    <cfRule type="expression" dxfId="1403" priority="148">
      <formula>mgmt_domain_existing_vcenter_chosen="Selected"</formula>
    </cfRule>
  </conditionalFormatting>
  <conditionalFormatting sqref="D26:D27">
    <cfRule type="expression" dxfId="1402" priority="89">
      <formula>OR((flt_custom_network_vcf_ops_automation_chosen="Deploy VCF Automation"),(flt_custom_network_vcf_ops_automation_chosen="Exclude"))</formula>
    </cfRule>
    <cfRule type="expression" dxfId="1401" priority="90">
      <formula>AND((flt_custom_network_vcf_ops_automation_chosen="Deploy VCF Operations and Automation"),(flt_custom_network_vcf_ops_automation_result="Excluded"))</formula>
    </cfRule>
    <cfRule type="containsBlanks" dxfId="1400" priority="91">
      <formula>LEN(TRIM(D26))=0</formula>
    </cfRule>
    <cfRule type="notContainsBlanks" dxfId="1398" priority="93">
      <formula>LEN(TRIM(D26))&gt;0</formula>
    </cfRule>
  </conditionalFormatting>
  <conditionalFormatting sqref="D28">
    <cfRule type="expression" dxfId="1397" priority="143">
      <formula>mgmt_domain_existing_vcenter_chosen="Selected"</formula>
    </cfRule>
  </conditionalFormatting>
  <conditionalFormatting sqref="D29:D30 D47:D50 D58:D59 D70">
    <cfRule type="expression" dxfId="1396" priority="4">
      <formula>flt_def_vcf_skip_vcfa_chosen="Selected"</formula>
    </cfRule>
  </conditionalFormatting>
  <conditionalFormatting sqref="D29:D30">
    <cfRule type="expression" dxfId="1395" priority="84">
      <formula>OR((flt_custom_network_vcf_ops_automation_chosen="Deploy VCF Automation"),(flt_custom_network_vcf_ops_automation_chosen="Exclude"))</formula>
    </cfRule>
    <cfRule type="expression" dxfId="1394" priority="85">
      <formula>AND((flt_custom_network_vcf_ops_automation_chosen="Deploy VCF Operations and Automation"),(flt_custom_network_vcf_ops_automation_result="Excluded"))</formula>
    </cfRule>
    <cfRule type="containsBlanks" dxfId="1393" priority="86">
      <formula>LEN(TRIM(D29))=0</formula>
    </cfRule>
    <cfRule type="notContainsBlanks" dxfId="1391" priority="88">
      <formula>LEN(TRIM(D29))&gt;0</formula>
    </cfRule>
  </conditionalFormatting>
  <conditionalFormatting sqref="D32:D38">
    <cfRule type="expression" dxfId="1390" priority="79">
      <formula>OR((flt_custom_network_vcf_ops_automation_chosen="Deploy VCF Automation"),(flt_custom_network_vcf_ops_automation_chosen="Exclude"))</formula>
    </cfRule>
    <cfRule type="expression" dxfId="1389" priority="80">
      <formula>AND((flt_custom_network_vcf_ops_automation_chosen="Deploy VCF Operations and Automation"),(flt_custom_network_vcf_ops_automation_result="Excluded"))</formula>
    </cfRule>
    <cfRule type="containsBlanks" dxfId="1388" priority="81">
      <formula>LEN(TRIM(D32))=0</formula>
    </cfRule>
    <cfRule type="notContainsBlanks" dxfId="1387" priority="83">
      <formula>LEN(TRIM(D32))&gt;0</formula>
    </cfRule>
  </conditionalFormatting>
  <conditionalFormatting sqref="D34 D38">
    <cfRule type="expression" dxfId="1385" priority="5">
      <formula>flt_def_vcf_operations_size_chosen="Small"</formula>
    </cfRule>
  </conditionalFormatting>
  <conditionalFormatting sqref="D35:D40 D43 D49 D64 D66:D68 D70:D71">
    <cfRule type="notContainsBlanks" dxfId="1384" priority="134">
      <formula>LEN(TRIM(D35))&gt;0</formula>
    </cfRule>
    <cfRule type="containsBlanks" dxfId="1383" priority="135">
      <formula>LEN(TRIM(D35))=0</formula>
    </cfRule>
  </conditionalFormatting>
  <conditionalFormatting sqref="D40 D16:D18">
    <cfRule type="expression" dxfId="1382" priority="99">
      <formula>OR((flt_custom_network_vcf_ops_automation_chosen="Deploy VCF Automation"),(flt_custom_network_vcf_ops_automation_chosen="Exclude"))</formula>
    </cfRule>
    <cfRule type="expression" dxfId="1381" priority="100">
      <formula>AND((flt_custom_network_vcf_ops_automation_chosen="Deploy VCF Operations and Automation"),(flt_custom_network_vcf_ops_automation_result="Excluded"))</formula>
    </cfRule>
  </conditionalFormatting>
  <conditionalFormatting sqref="D42:D43">
    <cfRule type="expression" dxfId="1380" priority="74">
      <formula>OR((flt_custom_network_vcf_ops_automation_chosen="Deploy VCF Automation"),(flt_custom_network_vcf_ops_automation_chosen="Exclude"))</formula>
    </cfRule>
    <cfRule type="expression" dxfId="1379" priority="75">
      <formula>AND((flt_custom_network_vcf_ops_automation_chosen="Deploy VCF Operations and Automation"),(flt_custom_network_vcf_ops_automation_result="Excluded"))</formula>
    </cfRule>
    <cfRule type="containsBlanks" dxfId="1378" priority="76">
      <formula>LEN(TRIM(D42))=0</formula>
    </cfRule>
    <cfRule type="notContainsBlanks" dxfId="1376" priority="78">
      <formula>LEN(TRIM(D42))&gt;0</formula>
    </cfRule>
  </conditionalFormatting>
  <conditionalFormatting sqref="D45">
    <cfRule type="expression" dxfId="1375" priority="69">
      <formula>OR((flt_custom_network_vcf_ops_automation_chosen="Deploy VCF Automation"),(flt_custom_network_vcf_ops_automation_chosen="Exclude"))</formula>
    </cfRule>
    <cfRule type="expression" dxfId="1374" priority="70">
      <formula>AND((flt_custom_network_vcf_ops_automation_chosen="Deploy VCF Operations and Automation"),(flt_custom_network_vcf_ops_automation_result="Excluded"))</formula>
    </cfRule>
    <cfRule type="containsBlanks" dxfId="1373" priority="71">
      <formula>LEN(TRIM(D45))=0</formula>
    </cfRule>
    <cfRule type="notContainsBlanks" dxfId="1371" priority="73">
      <formula>LEN(TRIM(D45))&gt;0</formula>
    </cfRule>
  </conditionalFormatting>
  <conditionalFormatting sqref="D47:D50">
    <cfRule type="expression" dxfId="1370" priority="21">
      <formula>OR((flt_custom_network_vcf_ops_automation_chosen="Deploy VCF Automation"),(flt_custom_network_vcf_ops_automation_chosen="Exclude"))</formula>
    </cfRule>
    <cfRule type="expression" dxfId="1369" priority="22">
      <formula>AND((flt_custom_network_vcf_ops_automation_chosen="Deploy VCF Operations and Automation"),(flt_custom_network_vcf_ops_automation_result="Excluded"))</formula>
    </cfRule>
    <cfRule type="containsBlanks" dxfId="1368" priority="23">
      <formula>LEN(TRIM(D47))=0</formula>
    </cfRule>
    <cfRule type="notContainsBlanks" dxfId="1366" priority="25">
      <formula>LEN(TRIM(D47))&gt;0</formula>
    </cfRule>
  </conditionalFormatting>
  <conditionalFormatting sqref="D49 D35:D38 D43">
    <cfRule type="expression" dxfId="1365" priority="28">
      <formula>flt_def_vcf_custom_passwords_chosen="Unselected"</formula>
    </cfRule>
  </conditionalFormatting>
  <conditionalFormatting sqref="D52:D59 D70 D23:D24 D61:D62">
    <cfRule type="expression" dxfId="1364" priority="11">
      <formula>OR((flt_custom_network_vcf_ops_automation_chosen="Deploy VCF Automation"),(flt_custom_network_vcf_ops_automation_chosen="Exclude"))</formula>
    </cfRule>
  </conditionalFormatting>
  <conditionalFormatting sqref="D52:D59 D70">
    <cfRule type="expression" dxfId="1363" priority="12">
      <formula>AND((flt_custom_network_vcf_ops_automation_chosen="Deploy VCF Operations and Automation"),(flt_custom_network_vcf_ops_automation_result="Excluded"))</formula>
    </cfRule>
  </conditionalFormatting>
  <conditionalFormatting sqref="D52:D59">
    <cfRule type="containsBlanks" dxfId="1362" priority="13">
      <formula>LEN(TRIM(D52))=0</formula>
    </cfRule>
    <cfRule type="notContainsBlanks" dxfId="1360" priority="15">
      <formula>LEN(TRIM(D52))&gt;0</formula>
    </cfRule>
  </conditionalFormatting>
  <conditionalFormatting sqref="D53:D55 D37:D38 D33:D34 D21 D40">
    <cfRule type="expression" dxfId="1359" priority="66" stopIfTrue="1">
      <formula>flt_def_vcf_operations_ha_mode_chosen="Simple"</formula>
    </cfRule>
  </conditionalFormatting>
  <conditionalFormatting sqref="D53:D55">
    <cfRule type="expression" dxfId="1358" priority="64">
      <formula>OR((flt_custom_network_vcf_ops_automation_chosen="Deploy VCF Automation"),(flt_custom_network_vcf_ops_automation_chosen="Exclude"))</formula>
    </cfRule>
    <cfRule type="expression" dxfId="1357" priority="65">
      <formula>AND((flt_custom_network_vcf_ops_automation_chosen="Deploy VCF Operations and Automation"),(flt_custom_network_vcf_ops_automation_result="Excluded"))</formula>
    </cfRule>
    <cfRule type="notContainsBlanks" dxfId="1355" priority="131">
      <formula>LEN(TRIM(D53))&gt;0</formula>
    </cfRule>
  </conditionalFormatting>
  <conditionalFormatting sqref="D61">
    <cfRule type="expression" dxfId="1354" priority="27">
      <formula>flt_def_vcf_custom_network_chosen="Unselected"</formula>
    </cfRule>
    <cfRule type="containsBlanks" dxfId="1353" priority="31">
      <formula>LEN(TRIM(D61))=0</formula>
    </cfRule>
  </conditionalFormatting>
  <conditionalFormatting sqref="D61:D62">
    <cfRule type="notContainsBlanks" dxfId="1351" priority="33">
      <formula>LEN(TRIM(D61))&gt;0</formula>
    </cfRule>
  </conditionalFormatting>
  <conditionalFormatting sqref="D62">
    <cfRule type="expression" dxfId="1350" priority="26">
      <formula>flt_def_vcf_custom_size_chosen="Unselected"</formula>
    </cfRule>
  </conditionalFormatting>
  <conditionalFormatting sqref="D64 D66 D71">
    <cfRule type="expression" dxfId="1349" priority="34">
      <formula>flt_def_vcf_custom_size_chosen="Unselected"</formula>
    </cfRule>
  </conditionalFormatting>
  <conditionalFormatting sqref="D67:D68">
    <cfRule type="expression" dxfId="1348" priority="30">
      <formula>flt_def_vcf_custom_network_chosen="Unselected"</formula>
    </cfRule>
    <cfRule type="notContainsBlanks" dxfId="1346" priority="39">
      <formula>LEN(TRIM(D67))&gt;0</formula>
    </cfRule>
  </conditionalFormatting>
  <conditionalFormatting sqref="D76:D88 D90:D91 D98:D102 D104:D117 D120:D126 D128 D130 D137:D144 D146:D147 D152:D164 D166:D167 D169:D170">
    <cfRule type="notContainsBlanks" dxfId="1344" priority="386">
      <formula>LEN(TRIM(D76))&gt;0</formula>
    </cfRule>
  </conditionalFormatting>
  <conditionalFormatting sqref="D76:D88 D90:D91">
    <cfRule type="expression" dxfId="1343" priority="55">
      <formula>OR((flt_custom_network_vcf_ops_automation_chosen="Exclude"),(flt_custom_network_vcf_ops_automation_chosen ="Deploy VCF Operations and Automation"))</formula>
    </cfRule>
    <cfRule type="expression" dxfId="1342" priority="170">
      <formula>AND((flt_custom_network_vcf_ops_automation_chosen="Deploy VCF Automation"),(flt_custom_network_vcf_ops_automation_result="Excluded"))</formula>
    </cfRule>
  </conditionalFormatting>
  <conditionalFormatting sqref="D77">
    <cfRule type="expression" dxfId="1341" priority="56">
      <formula>vcf_automation_type_chosen="New"</formula>
    </cfRule>
  </conditionalFormatting>
  <conditionalFormatting sqref="D78:D84 D86 D88 D90:D91">
    <cfRule type="expression" dxfId="1340" priority="9">
      <formula>vcf_automation_type_chosen="Import 8.x appliance or VCF Automation 9.0.x"</formula>
    </cfRule>
  </conditionalFormatting>
  <conditionalFormatting sqref="D79:D84 D86">
    <cfRule type="expression" dxfId="1339" priority="174">
      <formula>vcf_automation_type_chosen="Import 8.x appliance or VCF Automation 9.0.x"</formula>
    </cfRule>
  </conditionalFormatting>
  <conditionalFormatting sqref="D83">
    <cfRule type="expression" dxfId="1338" priority="2">
      <formula>vcf_automation_pool_type_chosen="CIDR"</formula>
    </cfRule>
  </conditionalFormatting>
  <conditionalFormatting sqref="D84">
    <cfRule type="expression" dxfId="1337" priority="3">
      <formula>vcf_automation_pool_type_chosen="Individual IPs"</formula>
    </cfRule>
  </conditionalFormatting>
  <conditionalFormatting sqref="D98:D102">
    <cfRule type="expression" dxfId="1336" priority="6">
      <formula>AND((flt_vidb_chosen="Include"),(mgmt_domain_chosen="First Instance"))</formula>
    </cfRule>
    <cfRule type="expression" dxfId="1335" priority="58">
      <formula>flt_vidb_chosen="Exclude"</formula>
    </cfRule>
  </conditionalFormatting>
  <conditionalFormatting sqref="D104:D117 D120:D126 D128 D130 D146:D147 D137:D144 D152:D164 D166:D167 D169:D170 D76:D88 D90:D91 D98:D102">
    <cfRule type="containsBlanks" dxfId="1334" priority="373">
      <formula>LEN(TRIM(D76))=0</formula>
    </cfRule>
  </conditionalFormatting>
  <conditionalFormatting sqref="D104:D117 D120:D126 D128 D130">
    <cfRule type="expression" dxfId="1333" priority="372">
      <formula>flt_vidb_chosen="Exclude"</formula>
    </cfRule>
  </conditionalFormatting>
  <conditionalFormatting sqref="D107">
    <cfRule type="expression" dxfId="1332" priority="190">
      <formula>flt_vidb_server_location_chosen="Selected"</formula>
    </cfRule>
  </conditionalFormatting>
  <conditionalFormatting sqref="D108:D109">
    <cfRule type="expression" dxfId="1331" priority="351">
      <formula>flt_vidb_server_location_chosen="Unselected"</formula>
    </cfRule>
  </conditionalFormatting>
  <conditionalFormatting sqref="D109">
    <cfRule type="expression" dxfId="1330" priority="340">
      <formula>flt_vidb_encrypted_connection_chosen="Unselected"</formula>
    </cfRule>
  </conditionalFormatting>
  <conditionalFormatting sqref="D110:D113">
    <cfRule type="expression" dxfId="1329" priority="352">
      <formula>flt_vidb_server_location_chosen="Selected"</formula>
    </cfRule>
  </conditionalFormatting>
  <conditionalFormatting sqref="D132">
    <cfRule type="expression" dxfId="1328" priority="51">
      <formula>flt_vidb_chosen="Exclude"</formula>
    </cfRule>
    <cfRule type="containsBlanks" dxfId="1327" priority="52">
      <formula>LEN(TRIM(D132))=0</formula>
    </cfRule>
    <cfRule type="notContainsBlanks" dxfId="1325" priority="54">
      <formula>LEN(TRIM(D132))&gt;0</formula>
    </cfRule>
  </conditionalFormatting>
  <conditionalFormatting sqref="D137:D144 D146:D147">
    <cfRule type="expression" dxfId="1324" priority="184">
      <formula>flt_logs_result="Excluded"</formula>
    </cfRule>
  </conditionalFormatting>
  <conditionalFormatting sqref="D139:D141">
    <cfRule type="expression" dxfId="1323" priority="335">
      <formula>flt_logs_install_type_chosen="New Install"</formula>
    </cfRule>
  </conditionalFormatting>
  <conditionalFormatting sqref="D143:D144">
    <cfRule type="expression" dxfId="1322" priority="50">
      <formula>flt_logs_install_type_chosen="Import"</formula>
    </cfRule>
  </conditionalFormatting>
  <conditionalFormatting sqref="D146:D147">
    <cfRule type="expression" dxfId="1321" priority="336">
      <formula>flt_logs_install_type_chosen="Import"</formula>
    </cfRule>
  </conditionalFormatting>
  <conditionalFormatting sqref="D152:D164 D166:D167 D169:D170">
    <cfRule type="expression" dxfId="1320" priority="188">
      <formula>flt_net_result="Excluded"</formula>
    </cfRule>
  </conditionalFormatting>
  <conditionalFormatting sqref="D160:D161 D164">
    <cfRule type="expression" dxfId="1319" priority="57">
      <formula>flt_net_dual_stack_chosen="Unselected"</formula>
    </cfRule>
  </conditionalFormatting>
  <conditionalFormatting sqref="D160:D164 D153:D154 D156:D157 D166:D167 D169:D170">
    <cfRule type="expression" dxfId="1318" priority="323">
      <formula>flt_net_install_type_chosen="Import"</formula>
    </cfRule>
  </conditionalFormatting>
  <dataValidations count="19">
    <dataValidation type="list" allowBlank="1" showInputMessage="1" showErrorMessage="1" sqref="D104" xr:uid="{994766C4-40A3-CC42-B17C-17610B205720}">
      <formula1>"AD/LDAP,Open LDAP"</formula1>
    </dataValidation>
    <dataValidation type="list" allowBlank="1" showInputMessage="1" showErrorMessage="1" sqref="D111" xr:uid="{3C92F9A4-B2F2-E94C-8BC4-E554D8C0E132}">
      <formula1>"Selected,Deselected"</formula1>
    </dataValidation>
    <dataValidation type="list" allowBlank="1" showInputMessage="1" showErrorMessage="1" sqref="D114" xr:uid="{AB1E007F-70EC-5F44-8A9A-128E2A1822D0}">
      <formula1>"sAMAccountName,userPrincipalName"</formula1>
    </dataValidation>
    <dataValidation type="list" allowBlank="1" showInputMessage="1" showErrorMessage="1" sqref="D106:D108 D22:D24 D61:D62" xr:uid="{EB1D5431-E355-8349-92B7-98699093D262}">
      <formula1>"Selected,Unselected"</formula1>
    </dataValidation>
    <dataValidation type="list" allowBlank="1" showInputMessage="1" showErrorMessage="1" sqref="D152 D137" xr:uid="{B8E55E4A-6EFC-B048-AFF4-21E5B78AF445}">
      <formula1>"New Install,Import"</formula1>
    </dataValidation>
    <dataValidation type="list" allowBlank="1" showInputMessage="1" showErrorMessage="1" sqref="D71 D143 D79 D83 D21" xr:uid="{8510D5E3-76F3-4F48-A320-4202661526C0}">
      <formula1>"Small,Medium,Large"</formula1>
    </dataValidation>
    <dataValidation type="list" allowBlank="1" showInputMessage="1" showErrorMessage="1" sqref="B9:B11" xr:uid="{7740F528-FF66-FF43-88FF-19B5D54B3382}">
      <formula1>"Exclude,Include"</formula1>
    </dataValidation>
    <dataValidation type="list" allowBlank="1" showInputMessage="1" showErrorMessage="1" sqref="B7" xr:uid="{34EECD63-90D2-064E-947B-E3351DB16B0B}">
      <formula1>"Shared Management Network,Dedicated Management Network,NSX Overlay Segment,NSX VLAN Segment"</formula1>
    </dataValidation>
    <dataValidation type="list" allowBlank="1" showInputMessage="1" showErrorMessage="1" sqref="B8" xr:uid="{B25EF55C-E2AA-B94F-AF1D-47D1A0610B97}">
      <formula1>"Exclude,Deploy VCF Operations and Automation,Deploy VCF Automation"</formula1>
    </dataValidation>
    <dataValidation type="list" allowBlank="1" showInputMessage="1" showErrorMessage="1" sqref="D20" xr:uid="{9AF2A46A-A7CC-1746-A0B3-C762A99130D0}">
      <formula1>"High Availability (Three-Node),Simple"</formula1>
    </dataValidation>
    <dataValidation type="list" allowBlank="1" showInputMessage="1" showErrorMessage="1" sqref="D99" xr:uid="{A5D089B5-6CDD-7D49-82D6-61F93336F4A6}">
      <formula1>"Small,Medium,Large,XL"</formula1>
    </dataValidation>
    <dataValidation type="list" allowBlank="1" showInputMessage="1" showErrorMessage="1" sqref="D156" xr:uid="{38A21803-3F82-8E4F-9370-D8C71EA0B014}">
      <formula1>"Unselected,Selected"</formula1>
    </dataValidation>
    <dataValidation type="list" allowBlank="1" showInputMessage="1" showErrorMessage="1" sqref="D76" xr:uid="{4BA40EC4-1387-F140-83C7-AF05FCB554B9}">
      <formula1>"New,Import 8.x appliance or VCF Automation 9.0.x"</formula1>
    </dataValidation>
    <dataValidation type="list" allowBlank="1" showInputMessage="1" showErrorMessage="1" sqref="D154" xr:uid="{685D2BE9-C3A2-E741-B0F2-091342E933B2}">
      <formula1>"Small,Medium,Large,XL,XXL"</formula1>
    </dataValidation>
    <dataValidation type="list" allowBlank="1" showInputMessage="1" showErrorMessage="1" sqref="D66" xr:uid="{3D5AC832-1464-244C-96DD-43610B157C0B}">
      <formula1>"Small,Standard"</formula1>
    </dataValidation>
    <dataValidation type="list" allowBlank="1" showInputMessage="1" showErrorMessage="1" sqref="D64" xr:uid="{DD93432E-F0AA-DE43-97E9-684BB5FA932A}">
      <formula1>"xSmall, Small, Medium, Large, xLarge"</formula1>
    </dataValidation>
    <dataValidation type="list" allowBlank="1" showInputMessage="1" showErrorMessage="1" sqref="D144" xr:uid="{0D8975B6-A56B-F345-B43D-CB861CA5B985}">
      <formula1>"1,2,3,4,5,6,7,8,9,10,11,12,13,14,15,16,17,18,19"</formula1>
    </dataValidation>
    <dataValidation type="list" allowBlank="1" showInputMessage="1" showErrorMessage="1" sqref="D88 D50" xr:uid="{3C00C3BF-333D-C645-892A-485FDEAE957C}">
      <formula1>"198.18.0.0/15,240.0.0.0/15,250.0.0.0/15"</formula1>
    </dataValidation>
    <dataValidation type="list" allowBlank="1" showInputMessage="1" showErrorMessage="1" sqref="D82" xr:uid="{08B1761B-4CC9-2D47-84C1-DEEDE4B71DB8}">
      <formula1>"CIDR,Individual IPs"</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02" operator="containsText" id="{56CE54A4-6306-6E42-8F44-08537862CF35}">
            <xm:f>NOT(ISERROR(SEARCH("Value Missing",D16)))</xm:f>
            <xm:f>"Value Missing"</xm:f>
            <x14:dxf>
              <font>
                <color rgb="FF0E223A"/>
              </font>
              <fill>
                <patternFill>
                  <bgColor rgb="FFFFBE29"/>
                </patternFill>
              </fill>
            </x14:dxf>
          </x14:cfRule>
          <xm:sqref>D16:D18</xm:sqref>
        </x14:conditionalFormatting>
        <x14:conditionalFormatting xmlns:xm="http://schemas.microsoft.com/office/excel/2006/main">
          <x14:cfRule type="containsText" priority="97" operator="containsText" id="{F70A1C75-28BC-0843-8791-5A29779016FD}">
            <xm:f>NOT(ISERROR(SEARCH("Value Missing",D20)))</xm:f>
            <xm:f>"Value Missing"</xm:f>
            <x14:dxf>
              <font>
                <color rgb="FF0E223A"/>
              </font>
              <fill>
                <patternFill>
                  <bgColor rgb="FFFFBE29"/>
                </patternFill>
              </fill>
            </x14:dxf>
          </x14:cfRule>
          <xm:sqref>D20:D24</xm:sqref>
        </x14:conditionalFormatting>
        <x14:conditionalFormatting xmlns:xm="http://schemas.microsoft.com/office/excel/2006/main">
          <x14:cfRule type="containsText" priority="92" operator="containsText" id="{98A86434-7255-464E-84A6-E97D243785F8}">
            <xm:f>NOT(ISERROR(SEARCH("Value Missing",D26)))</xm:f>
            <xm:f>"Value Missing"</xm:f>
            <x14:dxf>
              <font>
                <color rgb="FF0E223A"/>
              </font>
              <fill>
                <patternFill>
                  <bgColor rgb="FFFFBE29"/>
                </patternFill>
              </fill>
            </x14:dxf>
          </x14:cfRule>
          <xm:sqref>D26:D27</xm:sqref>
        </x14:conditionalFormatting>
        <x14:conditionalFormatting xmlns:xm="http://schemas.microsoft.com/office/excel/2006/main">
          <x14:cfRule type="containsText" priority="87" operator="containsText" id="{51D8EB05-3C77-EF46-9872-FF11A355165E}">
            <xm:f>NOT(ISERROR(SEARCH("Value Missing",D29)))</xm:f>
            <xm:f>"Value Missing"</xm:f>
            <x14:dxf>
              <font>
                <color rgb="FF0E223A"/>
              </font>
              <fill>
                <patternFill>
                  <bgColor rgb="FFFFBE29"/>
                </patternFill>
              </fill>
            </x14:dxf>
          </x14:cfRule>
          <xm:sqref>D29:D30</xm:sqref>
        </x14:conditionalFormatting>
        <x14:conditionalFormatting xmlns:xm="http://schemas.microsoft.com/office/excel/2006/main">
          <x14:cfRule type="containsText" priority="82" operator="containsText" id="{71CA8CF6-8C69-884A-B6BC-16810AA45E9F}">
            <xm:f>NOT(ISERROR(SEARCH("Value Missing",D32)))</xm:f>
            <xm:f>"Value Missing"</xm:f>
            <x14:dxf>
              <font>
                <color rgb="FF0E223A"/>
              </font>
              <fill>
                <patternFill>
                  <bgColor rgb="FFFFBE29"/>
                </patternFill>
              </fill>
            </x14:dxf>
          </x14:cfRule>
          <xm:sqref>D32:D40 D43 D66:D68 D64 D70:D71 D49</xm:sqref>
        </x14:conditionalFormatting>
        <x14:conditionalFormatting xmlns:xm="http://schemas.microsoft.com/office/excel/2006/main">
          <x14:cfRule type="containsText" priority="77" operator="containsText" id="{E2546B2D-5B6E-4847-997C-C893C1508073}">
            <xm:f>NOT(ISERROR(SEARCH("Value Missing",D42)))</xm:f>
            <xm:f>"Value Missing"</xm:f>
            <x14:dxf>
              <font>
                <color rgb="FF0E223A"/>
              </font>
              <fill>
                <patternFill>
                  <bgColor rgb="FFFFBE29"/>
                </patternFill>
              </fill>
            </x14:dxf>
          </x14:cfRule>
          <xm:sqref>D42:D43</xm:sqref>
        </x14:conditionalFormatting>
        <x14:conditionalFormatting xmlns:xm="http://schemas.microsoft.com/office/excel/2006/main">
          <x14:cfRule type="containsText" priority="72" operator="containsText" id="{0FFFFA9D-677C-8F42-BAB8-ADD4334574FF}">
            <xm:f>NOT(ISERROR(SEARCH("Value Missing",D45)))</xm:f>
            <xm:f>"Value Missing"</xm:f>
            <x14:dxf>
              <font>
                <color rgb="FF0E223A"/>
              </font>
              <fill>
                <patternFill>
                  <bgColor rgb="FFFFBE29"/>
                </patternFill>
              </fill>
            </x14:dxf>
          </x14:cfRule>
          <xm:sqref>D45</xm:sqref>
        </x14:conditionalFormatting>
        <x14:conditionalFormatting xmlns:xm="http://schemas.microsoft.com/office/excel/2006/main">
          <x14:cfRule type="containsText" priority="24" operator="containsText" id="{85125E41-69D2-9B45-84F4-98C83AA3ECA7}">
            <xm:f>NOT(ISERROR(SEARCH("Value Missing",D47)))</xm:f>
            <xm:f>"Value Missing"</xm:f>
            <x14:dxf>
              <font>
                <color rgb="FF0E223A"/>
              </font>
              <fill>
                <patternFill>
                  <bgColor rgb="FFFFBE29"/>
                </patternFill>
              </fill>
            </x14:dxf>
          </x14:cfRule>
          <xm:sqref>D47:D50</xm:sqref>
        </x14:conditionalFormatting>
        <x14:conditionalFormatting xmlns:xm="http://schemas.microsoft.com/office/excel/2006/main">
          <x14:cfRule type="containsText" priority="14" operator="containsText" id="{3BB28A72-D60E-954F-B186-E538C5AB69EE}">
            <xm:f>NOT(ISERROR(SEARCH("Value Missing",D52)))</xm:f>
            <xm:f>"Value Missing"</xm:f>
            <x14:dxf>
              <font>
                <color rgb="FF0E223A"/>
              </font>
              <fill>
                <patternFill>
                  <bgColor rgb="FFFFBE29"/>
                </patternFill>
              </fill>
            </x14:dxf>
          </x14:cfRule>
          <xm:sqref>D52:D59</xm:sqref>
        </x14:conditionalFormatting>
        <x14:conditionalFormatting xmlns:xm="http://schemas.microsoft.com/office/excel/2006/main">
          <x14:cfRule type="containsText" priority="68" operator="containsText" id="{212BAB79-A221-3B47-8187-9CF4BC7FD301}">
            <xm:f>NOT(ISERROR(SEARCH("Value Missing",D53)))</xm:f>
            <xm:f>"Value Missing"</xm:f>
            <x14:dxf>
              <font>
                <color rgb="FF0E223A"/>
              </font>
              <fill>
                <patternFill>
                  <bgColor rgb="FFFFBE29"/>
                </patternFill>
              </fill>
            </x14:dxf>
          </x14:cfRule>
          <xm:sqref>D53:D55</xm:sqref>
        </x14:conditionalFormatting>
        <x14:conditionalFormatting xmlns:xm="http://schemas.microsoft.com/office/excel/2006/main">
          <x14:cfRule type="containsText" priority="32" operator="containsText" id="{1581A72B-3164-D341-B2C4-CBA61D77217A}">
            <xm:f>NOT(ISERROR(SEARCH("Value Missing",D61)))</xm:f>
            <xm:f>"Value Missing"</xm:f>
            <x14:dxf>
              <fill>
                <patternFill>
                  <bgColor rgb="FFFFBE29"/>
                </patternFill>
              </fill>
            </x14:dxf>
          </x14:cfRule>
          <xm:sqref>D61:D62</xm:sqref>
        </x14:conditionalFormatting>
        <x14:conditionalFormatting xmlns:xm="http://schemas.microsoft.com/office/excel/2006/main">
          <x14:cfRule type="containsText" priority="38" operator="containsText" id="{C475CBA1-1E5F-D443-9B3D-08B13E677A02}">
            <xm:f>NOT(ISERROR(SEARCH("Value Missing",D67)))</xm:f>
            <xm:f>"Value Missing"</xm:f>
            <x14:dxf>
              <font>
                <color rgb="FF0E223A"/>
              </font>
              <fill>
                <patternFill>
                  <bgColor rgb="FFFFBE29"/>
                </patternFill>
              </fill>
            </x14:dxf>
          </x14:cfRule>
          <xm:sqref>D67:D68</xm:sqref>
        </x14:conditionalFormatting>
        <x14:conditionalFormatting xmlns:xm="http://schemas.microsoft.com/office/excel/2006/main">
          <x14:cfRule type="containsText" priority="374" operator="containsText" id="{8C65F81A-2E61-5646-925D-414FD40D4206}">
            <xm:f>NOT(ISERROR(SEARCH("Value Missing",D76)))</xm:f>
            <xm:f>"Value Missing"</xm:f>
            <x14:dxf>
              <font>
                <color rgb="FF0E223A"/>
              </font>
              <fill>
                <patternFill>
                  <bgColor rgb="FFFFBE29"/>
                </patternFill>
              </fill>
            </x14:dxf>
          </x14:cfRule>
          <xm:sqref>D76:D88 D90:D91 D98:D102 D104:D117 D120:D126 D128 D130 D137:D144 D146:D147 D152:D164 D166:D167 D169:D170</xm:sqref>
        </x14:conditionalFormatting>
        <x14:conditionalFormatting xmlns:xm="http://schemas.microsoft.com/office/excel/2006/main">
          <x14:cfRule type="containsText" priority="53" operator="containsText" id="{FF3BB7FF-A634-4847-821E-322132B3CBE1}">
            <xm:f>NOT(ISERROR(SEARCH("Value Missing",D132)))</xm:f>
            <xm:f>"Value Missing"</xm:f>
            <x14:dxf>
              <font>
                <color rgb="FF0E223A"/>
              </font>
              <fill>
                <patternFill>
                  <bgColor rgb="FFFFBE29"/>
                </patternFill>
              </fill>
            </x14:dxf>
          </x14:cfRule>
          <xm:sqref>D132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519A-0C3D-E542-BC90-DE9C4375CCA9}">
  <sheetPr codeName="Sheet15">
    <tabColor theme="7" tint="0.59999389629810485"/>
  </sheetPr>
  <dimension ref="A1:J957"/>
  <sheetViews>
    <sheetView showGridLines="0" zoomScaleNormal="100" workbookViewId="0">
      <pane ySplit="4" topLeftCell="A5" activePane="bottomLeft" state="frozen"/>
      <selection pane="bottomLeft"/>
    </sheetView>
  </sheetViews>
  <sheetFormatPr baseColWidth="10" defaultColWidth="11" defaultRowHeight="16" x14ac:dyDescent="0.2"/>
  <cols>
    <col min="1" max="1" width="2.83203125" style="9" customWidth="1"/>
    <col min="2" max="2" width="75.83203125" style="9" customWidth="1"/>
    <col min="3" max="3" width="76.1640625" style="9" customWidth="1"/>
    <col min="4" max="4" width="75.83203125" style="9" customWidth="1"/>
    <col min="5" max="5" width="109.1640625" style="9" customWidth="1"/>
    <col min="6" max="6" width="10.83203125" style="9" customWidth="1"/>
    <col min="7" max="9" width="11" style="9" customWidth="1"/>
    <col min="10" max="16384" width="11" style="9"/>
  </cols>
  <sheetData>
    <row r="1" spans="1:10" s="2" customFormat="1" ht="16" customHeight="1" x14ac:dyDescent="0.2">
      <c r="A1" s="1"/>
      <c r="F1" s="9"/>
      <c r="G1" s="9"/>
      <c r="H1" s="9"/>
      <c r="I1" s="9"/>
      <c r="J1" s="9"/>
    </row>
    <row r="2" spans="1:10" s="2" customFormat="1" ht="54" customHeight="1" x14ac:dyDescent="0.2">
      <c r="B2" s="593" t="s">
        <v>641</v>
      </c>
      <c r="C2" s="594"/>
      <c r="D2" s="594"/>
      <c r="E2" s="595"/>
      <c r="F2" s="9"/>
      <c r="G2" s="9"/>
      <c r="H2" s="9"/>
      <c r="I2" s="9"/>
      <c r="J2" s="9"/>
    </row>
    <row r="3" spans="1:10" s="2" customFormat="1" ht="20" customHeight="1" x14ac:dyDescent="0.2">
      <c r="B3" s="596" t="s">
        <v>642</v>
      </c>
      <c r="C3" s="597"/>
      <c r="D3" s="597"/>
      <c r="E3" s="598"/>
      <c r="F3" s="9"/>
      <c r="G3" s="9"/>
      <c r="H3" s="9"/>
      <c r="I3" s="9"/>
      <c r="J3" s="9"/>
    </row>
    <row r="4" spans="1:10" s="2" customFormat="1" x14ac:dyDescent="0.2">
      <c r="D4" s="11"/>
      <c r="E4" s="3"/>
      <c r="F4" s="3"/>
    </row>
    <row r="5" spans="1:10" ht="16" customHeight="1" x14ac:dyDescent="0.2"/>
    <row r="6" spans="1:10" ht="34" customHeight="1" x14ac:dyDescent="0.2">
      <c r="B6" s="599" t="s">
        <v>643</v>
      </c>
      <c r="C6" s="600"/>
      <c r="D6" s="600"/>
      <c r="E6" s="600"/>
    </row>
    <row r="8" spans="1:10" ht="34" customHeight="1" x14ac:dyDescent="0.2">
      <c r="B8" s="157" t="s">
        <v>3404</v>
      </c>
      <c r="C8" s="158"/>
      <c r="D8" s="158"/>
      <c r="E8" s="159"/>
    </row>
    <row r="9" spans="1:10" ht="20" customHeight="1" x14ac:dyDescent="0.2">
      <c r="B9" s="63" t="s">
        <v>9</v>
      </c>
      <c r="C9" s="63" t="s">
        <v>10</v>
      </c>
      <c r="D9" s="63" t="s">
        <v>11</v>
      </c>
      <c r="E9" s="63" t="s">
        <v>12</v>
      </c>
    </row>
    <row r="10" spans="1:10" ht="20" customHeight="1" x14ac:dyDescent="0.2">
      <c r="B10" s="116" t="s">
        <v>13</v>
      </c>
      <c r="C10" s="65" t="str">
        <f>IF(vcf_granular_option_chosen="Additional WLD Cluster","Deploy Additional Workload Cluster","Deploy a Workload Domain")</f>
        <v>Deploy a Workload Domain</v>
      </c>
      <c r="D10" s="140" t="str">
        <f>IF(mgmt_domain_deployment_type_chosen="VMware vSphere Foundation","Excluded",IF(wld_domain_chosen="Exclude","Excluded",IF(vcf_version="Select Deployment Version","Excluded",
IF(AND(vcf_granular_option_chosen&lt;&gt;"Deploy a new VCF fleet",vcf_granular_option_chosen&lt;&gt;"Deploy a VCF Instance in an existing VCF fleet",vcf_granular_option_chosen&lt;&gt;"Create Workload Domain"),"Excluded",
IF(AND(wld_domain_chosen="Deploy Workload Domain with a Multi-Rack Layer 3 Cluster",OR(wld_multi_rack_count_chosen="Exclude",wld_compute_hosts_per_rack_result="Excluded")),"Excluded",
IF(AND(wld_domain_chosen="Deploy Workload Domain with a Single-Rack / Multi-Rack Layer 2 Cluster",wld_compute_hosts_per_rack_result="Excluded"),"Excluded","Included"))))))</f>
        <v>Excluded</v>
      </c>
      <c r="E10" s="140" t="str">
        <f>IF(mgmt_domain_deployment_type_chosen="VMware vSphere Foundation","Cannot be performed on a VMware vSphere Foundation deployment",
IF(vcf_granular_option_chosen="Create Cluster","Create Workload Domain or Deploy a new VCF fleet not selected on VCF &amp; VVF Planning Tab",
IF(AND(vcf_granular_option_chosen&lt;&gt;"Deploy a new VCF fleet",vcf_granular_option_chosen&lt;&gt;"Deploy a VCF Instance in an existing VCF fleet",vcf_granular_option_chosen&lt;&gt;"Create Workload Domain"),"Option Not Required for current deployment type",
IF(wld_domain_chosen="Import Workload Domain","Workload will be imported into the VCF Instance",IF(vcf_version="Select Deployment Version","Deployment Version not Selected",
IF(wld_compute_hosts_per_rack_result="Excluded","Cause: Minimum Number of hosts must be selected",
IF(wld_domain_chosen="Deploy Workload Domain with a Multi-Rack Layer 3 Cluster","Workload Domain will be deployed with a Multi-Rack Layer 3 Cluster - Additional Racks Tab must also be filled out",
IF(vcf_version="Select Deployment Version","Deployment Version not Selected",
IF(wld_domain_chosen="Exclude","Cause: Not Selected. Workload domain will not be deployed","Workload Domain will be deployed")))))))))</f>
        <v>Cause: Minimum Number of hosts must be selected</v>
      </c>
    </row>
    <row r="11" spans="1:10" ht="20" customHeight="1" x14ac:dyDescent="0.2">
      <c r="B11" s="260" t="s">
        <v>13</v>
      </c>
      <c r="C11" s="65" t="s">
        <v>644</v>
      </c>
      <c r="D11" s="140" t="str">
        <f>IF(mgmt_domain_deployment_type_chosen="VMware vSphere Foundation","Excluded",
IF(wld_domain_chosen="Deploy infrastructure only","Excluded",
IF(AND(vcf_granular_option_chosen&lt;&gt;"Deploy a new VCF fleet",vcf_granular_option_chosen&lt;&gt;"Deploy a VCF Instance in an existing VCF fleet",vcf_granular_option_chosen&lt;&gt;"Create Workload Domain"),"Excluded",
IF(wld_compute_hosts_per_rack_chosen="Exclude","Excluded",
IF(AND(wld_domain_chosen="Deploy Workload Domain with a Multi-Rack Layer 3 Cluster",wld_multi_rack_count_chosen="Exclude"),"Excluded",
IF(wld_compute_total_number_hosts&gt;64,"Excluded",
IF(wld_compute_total_number_hosts&lt;2,"Excluded","Included")))))))</f>
        <v>Excluded</v>
      </c>
      <c r="E11" s="8" t="str">
        <f>IF(vcf_granular_option_chosen="None Chosen","No Deployment Type Chosen",
IF(wld_domain_chosen="Deploy infrastructure only","Number of Compute Hosts not required",
IF(AND(wld_domain_chosen&lt;&gt;"Deploy Workload Domain with a Single-Rack / Multi-Rack Layer 2 Cluster",wld_domain_chosen&lt;&gt;"Deploy Workload Domain with a Multi-Rack Layer 3 Cluster"),"Cause: Standard Workload Domain Required",
IF(wld_domain_chosen="Import Workload Domain","Feature not supported for Imported Workload Domains",
IF(AND(vcf_granular_option_chosen&lt;&gt;"Deploy a new VCF fleet",vcf_granular_option_chosen&lt;&gt;"Deploy a VCF Instance in an existing VCF fleet",vcf_granular_option_chosen&lt;&gt;"Create Workload Domain"),"Option Not Required for current deployment type",
IF(wld_compute_hosts_per_rack_chosen="Exclude","Required: Minimum Number of hosts must be selected",
IF(AND(OR(wld_principal_storage_chosen="vSAN-ESA",wld_principal_storage_chosen="vSAN-OSA"),wld_compute_total_number_hosts&lt;3,wld_domain_chosen="Deploy Workload Domain with a Single-Rack / Multi-Rack Layer 2 Cluster"),"Cause: Minimum number of hosts for storage type not selected",
IF(AND(OR(wld_principal_storage_chosen="NFSv3",wld_principal_storage_chosen="VMFS on Fibre Channel (FC)"),wld_compute_total_number_hosts&lt;2),"Cause: Minimum number of hosts for storage type not selected",
IF(wld_domain_chosen="Deploy Workload Domain with a Single-Rack / Multi-Rack Layer 2 Cluster",CONCATENATE(wld_compute_hosts_per_rack_chosen," Hosts will be configured in the inital cluster"),
IF(wld_multi_rack_count_chosen="Exclude","Cause Number of Racks not selected",
IF(AND(wld_multirack_calc="Include",wld_multirack_result="Excluded"),"Cause: Multi Rack prerequistes not set. Define the number of additional racks.",
IF(wld_multirack_calc="Exclude","Cause: Multi Rack not enabled",
IF(PRODUCT(wld_multi_rack_count_chosen,wld_compute_hosts_per_rack_chosen)&gt;64,CONCATENATE("Cause: Max number of Hosts per Cluster is 64. ",PRODUCT(wld_multi_rack_count_chosen+1,wld_compute_hosts_per_rack_chosen)," Hosts currenty defined for the Compute vSphere Cluster "),
IF(wld_compute_total_number_hosts&lt;3,CONCATENATE("Cause: Min number of Hosts per Cluster is 3. ",wld_compute_total_number_hosts," Hosts currenty defined for the Compute vSphere Cluster "),CONCATENATE(PRODUCT(wld_multi_rack_count_chosen+1,wld_compute_hosts_per_rack_chosen)," Hosts defined for configuration in the Compute vSphere Cluster ")))))))))))))))</f>
        <v>Cause: Standard Workload Domain Required</v>
      </c>
    </row>
    <row r="12" spans="1:10" ht="20" customHeight="1" x14ac:dyDescent="0.2">
      <c r="B12" s="260" t="s">
        <v>13</v>
      </c>
      <c r="C12" s="65" t="s">
        <v>645</v>
      </c>
      <c r="D12" s="140" t="str">
        <f>IF(mgmt_domain_deployment_type_chosen="VMware vSphere Foundation","Excluded",
IF(AND(vcf_granular_option_chosen&lt;&gt;"Deploy a new VCF fleet",vcf_granular_option_chosen&lt;&gt;"Deploy a VCF Instance in an existing VCF fleet",vcf_granular_option_chosen&lt;&gt;"Create Workload Domain",vcf_granular_option_chosen&lt;&gt;"Create Cluster"),"Excluded",
IF(wld_domain_chosen="Deploy Workload Domain with a Single-Rack / Multi-Rack Layer 2 Cluster","Excluded",
IF(wld_multirack_result="Excluded","Excluded",IF(wld_multi_rack_count_chosen="Exclude","Excluded","Included")))))</f>
        <v>Excluded</v>
      </c>
      <c r="E12" s="8" t="str">
        <f>IF(vcf_granular_option_chosen="None Chosen","No Deployment Type Chosen",
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
IF(wld_domain_chosen="Import Workload Domain","Feature not supported for Imported Workload Domains",
IF(wld_domain_chosen="Deploy Workload Domain with a Single-Rack / Multi-Rack Layer 2 Cluster","Not Required: Completing the additional Rack Tab is only required for Layer 3 Multirack deployments",
IF(AND(vcf_granular_option_chosen&lt;&gt;"Deploy a new VCF fleet",vcf_granular_option_chosen&lt;&gt;"Deploy a VCF Instance in an existing VCF fleet",vcf_granular_option_chosen&lt;&gt;"Create Workload Domain"),"Option Not Required for current deployment type",
IF(wld_multirack_calc="Exclude","Cause: Multi Rack not enabled",
IF(wld_multi_rack_count_chosen="Exclude","Required: Minimum Number of additional racks must be selected",
IF(wld_multirack_result="Excluded","Cause: Multi Rack prerequistes not defined",IF(wld_multi_rack_count_chosen="Exclude","Cause: Number of additonal racks not selected","Multi Rack Configuration will be deployed"))))))))))</f>
        <v>Cause: Standard Workload Domain Required</v>
      </c>
    </row>
    <row r="13" spans="1:10" ht="20" customHeight="1" x14ac:dyDescent="0.2">
      <c r="B13" s="66" t="s">
        <v>13</v>
      </c>
      <c r="C13" s="65" t="s">
        <v>646</v>
      </c>
      <c r="D13" s="8" t="str">
        <f>IF(mgmt_domain_deployment_type_chosen="VMware vSphere Foundation","Excluded",IF((wld_domain_result="Excluded"),"Excluded",IF(wld_dpg_separation_chosen="Exclude","Excluded","Included")))</f>
        <v>Excluded</v>
      </c>
      <c r="E13" s="8"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Cluster",wld_domain_chosen&lt;&gt;"Deploy infrastructure only"),"Cause: Standard Workload Domain Required",
IF(AND(vcf_granular_option_chosen&lt;&gt;"Deploy a new VCF fleet",vcf_granular_option_chosen&lt;&gt;"Deploy a VCF Instance in an existing VCF fleet",vcf_granular_option_chosen&lt;&gt;"Create Workload Domain"),"Option Not Required for current deployment type",
IF(wld_domain_chosen="Import Workload Domain","Feature not supported for Imported Workload Domains",
IF(wld_domain_chosen="Import Workload Domain","Feature not supported for Imported Workload Domains",
IF(wld_dpg_separation_chosen="Exclude","Cause: Not Selected. A Common Distributed Virtual Portgroups will be used for Managment VMs and ESXi Hosts",IF(wld_domain_result="Excluded","Cause: Standard Workload Domain Required",
IF(vcf_granular_option_chosen="None Chosen","No Deployment Type Chosen",
IF(vcf_version_chosen="No Version Selected","Cause: VCF Deployment version is not Selected","Separation of Distributed Virtual Portgroup will be used")))))))))</f>
        <v>Cause: Standard Workload Domain Required</v>
      </c>
    </row>
    <row r="14" spans="1:10" ht="20" customHeight="1" x14ac:dyDescent="0.2">
      <c r="B14" s="175" t="s">
        <v>647</v>
      </c>
      <c r="C14" s="65" t="s">
        <v>648</v>
      </c>
      <c r="D14" s="8" t="str">
        <f>IF(mgmt_domain_deployment_type_chosen="VMware vSphere Foundation","Excluded",IF(wld_domain_chosen="Import Workload Domain","Excluded",
IF(wld_domain_chosen="Deploy infrastructure only","Excluded",
IF((wld_domain_result="Excluded"),"Excluded",
IF(AND(wld_multirack_calc="Include",AND(wld_principal_storage_chosen&lt;&gt;"vSAN-ESA",wld_principal_storage_chosen&lt;&gt;"vSAN-OSA",wld_principal_storage_chosen&lt;&gt;"vSAN Compute Cluster")),"Excluded",
IF(vcf_version_chosen="No Version Selected","Excluded","Included"))))))</f>
        <v>Excluded</v>
      </c>
      <c r="E14" s="8" t="str">
        <f>IF(mgmt_domain_deployment_type_chosen="VMware vSphere Foundation","Cannot be performed on a VMware vSphere Foundation deployment",
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
IF(AND(vcf_granular_option_chosen&lt;&gt;"Deploy a new VCF fleet",vcf_granular_option_chosen&lt;&gt;"Deploy a VCF Instance in an existing VCF fleet",vcf_granular_option_chosen&lt;&gt;"Create Workload Domain"),"Option Not Required for current deployment type",
IF(wld_domain_chosen="Import Workload Domain","Feature not supported for Imported Workload Domains",
IF(wld_principal_storage_chosen="vSAN-ESA","Principal Storage will be vSAN-ESA based.",
IF(wld_principal_storage_chosen="vSAN-OSA","Principal Storage will be vSAN-OSA based. This can be used as a HCI Mesh vSAN Server Cluster",
IF(wld_principal_storage_chosen="vSAN Storage Cluster","Cluster will be created a vSAN Storage Cluster.",
IF(AND(wld_multirack_calc="Include",AND(wld_principal_storage_chosen&lt;&gt;"vSAN-ESA",wld_principal_storage_chosen&lt;&gt;"vSAN-OSA",wld_principal_storage_chosen&lt;&gt;"vSAN Compute Cluster")),"Cause: Multi Rack Configuration is only supported with vSAN as Principal Storage or with vSAN Compute Clusters",
IF(wld_principal_storage_chosen="NFSv3","Principal Storage will be NFS based",
IF(wld_principal_storage_chosen="VMFS on Fibre Channel (FC)","Principal Storage will be VMFS on FC based","")))))))))))</f>
        <v>Cause: Standard Workload Domain Required</v>
      </c>
    </row>
    <row r="15" spans="1:10" ht="20" customHeight="1" x14ac:dyDescent="0.2">
      <c r="B15" s="101" t="s">
        <v>238</v>
      </c>
      <c r="C15" s="65" t="s">
        <v>3668</v>
      </c>
      <c r="D15" s="99" t="str">
        <f>IF((wld_domain_result="Excluded"),"Excluded",
IF(wld_domain_chosen="Deploy infrastructure only","Excluded",
IF(wld_domain_chosen="Import Workload Domain","Excluded","Included")))</f>
        <v>Excluded</v>
      </c>
      <c r="E15" s="140" t="str">
        <f>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
IF(AND(vcf_granular_option_chosen&lt;&gt;"Deploy a new VCF fleet",vcf_granular_option_chosen&lt;&gt;"Deploy a VCF Instance in an existing VCF fleet",vcf_granular_option_chosen&lt;&gt;"Create Workload Domain"),"Option Not Required for current deployment type",
IF(wld_domain_chosen="Import Workload Domain","Feature not supported for Imported Workload Domains",
IF(wld_az1_reuse_vcf_networkpool_chosen="Re-use an existing VCF Network Pool","The exsiting VCF Network Pool will be reused","A new VCF Network Pool will be created")))))</f>
        <v>Cause: Standard Workload Domain Required</v>
      </c>
    </row>
    <row r="16" spans="1:10" ht="20" customHeight="1" x14ac:dyDescent="0.2">
      <c r="B16" s="116" t="s">
        <v>13</v>
      </c>
      <c r="C16" s="65" t="str">
        <f>IF(wld_principal_storage_chosen="vSAN Storage Cluster","Prepare vSAN Storage Cluster with a vSAN Client Network","Prepare Workload Domain with a Secondary Storage Network")</f>
        <v>Prepare Workload Domain with a Secondary Storage Network</v>
      </c>
      <c r="D16" s="140" t="str">
        <f>IF(mgmt_domain_deployment_type_chosen="VMware vSphere Foundation","Excluded",
IF(wld_domain_result="Excluded","Excluded",
IF(OR(AND(wld_principal_storage_chosen="NFSv3",wld_secondary_storage_chosen="Secondary NFS Storage Network"),AND(wld_principal_storage_chosen="vVOLS on NFS",wld_secondary_storage_chosen="Secondary NFS Storage Network")),"Excluded",
IF(AND(wld_secondary_storage_chosen="Secondary NFS Storage Network",wld_principal_storage_chosen="vSAN Storage Cluster"),"Excluded",
IF(AND(wld_secondary_storage_chosen="vSAN Storage Client Network",wld_principal_storage_chosen&lt;&gt;"vSAN Storage Cluster"),"Excluded",
IF(wld_secondary_storage_chosen="Exclude","Excluded","Included"))))))</f>
        <v>Excluded</v>
      </c>
      <c r="E16" s="140" t="str">
        <f>IF(mgmt_domain_deployment_type_chosen="VMware vSphere Foundation","Cannot be performed on a VMware vSphere Foundation deployment",
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Required",IF(wld_domain_chosen="Import Workload Domain","Feature not supported for Imported Workload Domains",
IF(AND(vcf_granular_option_chosen&lt;&gt;"Deploy a new VCF fleet",vcf_granular_option_chosen&lt;&gt;"Deploy a VCF Instance in an existing VCF fleet",vcf_granular_option_chosen&lt;&gt;"Create Workload Domain"),"Option Not Required for current deployment type",
IF(wld_secondary_storage_chosen="Exclude","Cause: Not Selected. Workload Domain will not be prepared with Secondary Storage Network",
IF(wld_domain_result="Excluded","Cause: Standard Workload Domain Required",
IF(AND(wld_principal_storage_chosen="NFSv3",wld_secondary_storage_chosen="Secondary NFS Storage Network"),"Secondary Storage NFS configuration not required as Principal Storage is NFS based",
IF(AND(wld_secondary_storage_chosen="Secondary NFS Storage Network",wld_principal_storage_chosen="vSAN Storage Cluster"),"Secondary Storage NFS configuration not required as Principal Storage is vSAN Storage Cluster",
IF(AND(wld_secondary_storage_chosen="vSAN Storage Client Network",wld_principal_storage_chosen&lt;&gt;"vSAN Storage Cluster"),"vSAN Storage Client Network is only supported with vSAN Storage Clusters",CONCATENATE("Workload Domain will be prepared with a ",wld_secondary_storage_chosen)))))))))))</f>
        <v>Cause: Standard Workload Domain Required</v>
      </c>
    </row>
    <row r="17" spans="2:7" ht="20" customHeight="1" x14ac:dyDescent="0.2">
      <c r="B17" s="176" t="s">
        <v>13</v>
      </c>
      <c r="C17" s="65" t="s">
        <v>649</v>
      </c>
      <c r="D17" s="140" t="str">
        <f>IF(wld_domain_result="Excluded","Excluded",
IF(mgmt_domain_deployment_type_chosen="VMware vSphere Foundation","Excluded",IF(wld_esxi_external_certs_chosen="Include","Included","Excluded")))</f>
        <v>Excluded</v>
      </c>
      <c r="E17" s="140" t="str">
        <f>IF(mgmt_domain_deployment_type_chosen="VMware vSphere Foundation","Cannot be performed on a VMware vSphere Foundation deployment",
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
IF(AND(vcf_granular_option_chosen&lt;&gt;"Deploy a new VCF fleet",vcf_granular_option_chosen&lt;&gt;"Deploy a VCF Instance in an existing VCF fleet",vcf_granular_option_chosen&lt;&gt;"Create Workload Domain"),"Option Not Required for current deployment type",
IF(wld_domain_chosen="Import Workload Domain","Feature not supported for Imported Workload Domains",
IF(wld_esxi_external_certs_chosen="Exclude","Cause: Not Selected. Workload domain will be deployed using hosts with VMCA-signed certificates",
IF(wld_esxi_external_certs_chosen="Include","Note: Ensure Management Domain is deployed using ESX hosts with External Certificates",IF(wld_domain_result="Excluded","Cause: Standard Workload Domain Required"))))))))</f>
        <v>Cause: Standard Workload Domain Required</v>
      </c>
    </row>
    <row r="18" spans="2:7" ht="20" customHeight="1" x14ac:dyDescent="0.2">
      <c r="B18" s="116" t="s">
        <v>13</v>
      </c>
      <c r="C18" s="65" t="s">
        <v>650</v>
      </c>
      <c r="D18" s="140" t="str">
        <f>IF(mgmt_domain_deployment_type_chosen="VMware vSphere Foundation","Excluded",
IF(wld_domain_result="Excluded","Excluded",
IF(wld_stretched_cluster_chosen="Include","Excluded",
IF(wld_iaas_chosen="Include","Included","Excluded"))))</f>
        <v>Excluded</v>
      </c>
      <c r="E18" s="140" t="str">
        <f>IF(mgmt_domain_deployment_type_chosen="VMware vSphere Foundation","Cannot be performed on a VMware vSphere Foundation deployment",
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
IF(AND(vcf_granular_option_chosen&lt;&gt;"Deploy a new VCF fleet",vcf_granular_option_chosen&lt;&gt;"Deploy a VCF Instance in an existing VCF fleet",vcf_granular_option_chosen&lt;&gt;"Create Workload Domain"),"Option Not Required for current deployment type",
IF(wld_domain_chosen="Import Workload Domain","Feature not supported for Imported Workload Domains",
IF(AND(wld_iaas_chosen="Include",wld_stretched_cluster_chosen="Include"),"Cause: vSphere Supervisor should be enabled after the you completed the stretched cluster configuration",
IF(wld_iaas_chosen="Exclude","Cause: Not Selected. vSphere Supervisor Cluster will not be abled during Workload Domain Deployment","Only Single Management Zone vSphere Supervisor with NSX VPC Networking can be deployed during WLD Creation")))))))</f>
        <v>Cause: Standard Workload Domain Required</v>
      </c>
      <c r="G18" s="36"/>
    </row>
    <row r="19" spans="2:7" ht="16" customHeight="1" x14ac:dyDescent="0.2">
      <c r="G19" s="36"/>
    </row>
    <row r="20" spans="2:7" ht="34" customHeight="1" x14ac:dyDescent="0.2">
      <c r="B20" s="412" t="s">
        <v>3383</v>
      </c>
      <c r="C20" s="413"/>
      <c r="D20" s="413"/>
      <c r="E20" s="414"/>
      <c r="G20" s="36"/>
    </row>
    <row r="21" spans="2:7" ht="20" customHeight="1" x14ac:dyDescent="0.2">
      <c r="B21" s="521" t="s">
        <v>651</v>
      </c>
      <c r="C21" s="522"/>
      <c r="D21" s="522"/>
      <c r="E21" s="523"/>
      <c r="G21" s="36"/>
    </row>
    <row r="22" spans="2:7" ht="20" customHeight="1" x14ac:dyDescent="0.2">
      <c r="B22" s="63" t="s">
        <v>18</v>
      </c>
      <c r="C22" s="63" t="s">
        <v>19</v>
      </c>
      <c r="D22" s="63" t="s">
        <v>20</v>
      </c>
      <c r="E22" s="63" t="s">
        <v>21</v>
      </c>
      <c r="G22" s="36"/>
    </row>
    <row r="23" spans="2:7" ht="20" customHeight="1" x14ac:dyDescent="0.2">
      <c r="B23" s="4" t="s">
        <v>652</v>
      </c>
      <c r="C23" s="109" t="str">
        <f>CONCATENATE(this_instance,"-w0",wld_domain_number_chosen)</f>
        <v>sfo-w01</v>
      </c>
      <c r="D23" s="66"/>
      <c r="E23" s="34" t="str">
        <f>IF(wld_domain_chosen="Import Workload Domain","Use this section for Import Workload Domain.",
IF(wld_domain_chosen="Exclude","","This section is masked out as is used for section for Import Workload Domain. Use the Deploy Workload section below"))</f>
        <v/>
      </c>
      <c r="G23" s="36"/>
    </row>
    <row r="24" spans="2:7" ht="16" customHeight="1" x14ac:dyDescent="0.2">
      <c r="G24" s="36"/>
    </row>
    <row r="25" spans="2:7" ht="34" customHeight="1" x14ac:dyDescent="0.2">
      <c r="B25" s="412" t="s">
        <v>653</v>
      </c>
      <c r="C25" s="413"/>
      <c r="D25" s="413"/>
      <c r="E25" s="414"/>
      <c r="G25" s="36"/>
    </row>
    <row r="26" spans="2:7" ht="20" customHeight="1" x14ac:dyDescent="0.2">
      <c r="B26" s="521" t="s">
        <v>651</v>
      </c>
      <c r="C26" s="522"/>
      <c r="D26" s="522"/>
      <c r="E26" s="523"/>
      <c r="G26" s="36"/>
    </row>
    <row r="27" spans="2:7" ht="20" customHeight="1" x14ac:dyDescent="0.2">
      <c r="B27" s="63" t="s">
        <v>18</v>
      </c>
      <c r="C27" s="63" t="s">
        <v>19</v>
      </c>
      <c r="D27" s="63" t="s">
        <v>20</v>
      </c>
      <c r="E27" s="63" t="s">
        <v>21</v>
      </c>
      <c r="G27" s="36"/>
    </row>
    <row r="28" spans="2:7" ht="20" customHeight="1" x14ac:dyDescent="0.2">
      <c r="B28" s="4" t="s">
        <v>654</v>
      </c>
      <c r="C28" s="109" t="s">
        <v>655</v>
      </c>
      <c r="D28" s="66" t="s">
        <v>655</v>
      </c>
      <c r="E28" s="364" t="str">
        <f>IF(wld_domain_chosen="Import Workload Domain","Use this section for Import Workload Domain.",
IF(wld_domain_chosen="Exclude","","This section is masked out as is used for section for Import Workload Domain. Use the Deploy Workload section below"))</f>
        <v/>
      </c>
      <c r="G28" s="36"/>
    </row>
    <row r="29" spans="2:7" ht="20" customHeight="1" x14ac:dyDescent="0.2">
      <c r="B29" s="4" t="s">
        <v>694</v>
      </c>
      <c r="C29" s="109" t="str">
        <f>CONCATENATE(this_instance,"-w0",wld_domain_number_chosen,"-vc01",".",sample_child_dns_zone)</f>
        <v>sfo-w01-vc01.sfo.rainpole.io</v>
      </c>
      <c r="D29" s="66"/>
      <c r="E29" s="42"/>
      <c r="G29" s="36"/>
    </row>
    <row r="30" spans="2:7" ht="20" customHeight="1" x14ac:dyDescent="0.2">
      <c r="B30" s="4" t="s">
        <v>657</v>
      </c>
      <c r="C30" s="109" t="s">
        <v>137</v>
      </c>
      <c r="D30" s="66"/>
      <c r="E30" s="177"/>
      <c r="G30" s="36"/>
    </row>
    <row r="31" spans="2:7" ht="20" customHeight="1" x14ac:dyDescent="0.2">
      <c r="B31" s="4" t="s">
        <v>658</v>
      </c>
      <c r="C31" s="109" t="str">
        <f>CONCATENATE("administrator@",this_instance,"-w0",wld_domain_number_chosen,".local")</f>
        <v>administrator@sfo-w01.local</v>
      </c>
      <c r="D31" s="66"/>
      <c r="E31" s="177"/>
      <c r="G31" s="36"/>
    </row>
    <row r="32" spans="2:7" ht="20" customHeight="1" x14ac:dyDescent="0.2">
      <c r="B32" s="4" t="s">
        <v>659</v>
      </c>
      <c r="C32" s="109" t="s">
        <v>137</v>
      </c>
      <c r="D32" s="66"/>
      <c r="E32" s="177"/>
      <c r="G32" s="36"/>
    </row>
    <row r="33" spans="2:7" ht="20" customHeight="1" x14ac:dyDescent="0.2">
      <c r="B33" s="4" t="s">
        <v>660</v>
      </c>
      <c r="C33" s="109" t="s">
        <v>154</v>
      </c>
      <c r="D33" s="66" t="s">
        <v>154</v>
      </c>
      <c r="E33" s="177"/>
      <c r="G33" s="36"/>
    </row>
    <row r="34" spans="2:7" ht="16" customHeight="1" x14ac:dyDescent="0.2"/>
    <row r="35" spans="2:7" ht="34" customHeight="1" x14ac:dyDescent="0.2">
      <c r="B35" s="412" t="s">
        <v>661</v>
      </c>
      <c r="C35" s="413"/>
      <c r="D35" s="413"/>
      <c r="E35" s="414"/>
    </row>
    <row r="36" spans="2:7" ht="20" customHeight="1" x14ac:dyDescent="0.2">
      <c r="B36" s="521" t="s">
        <v>662</v>
      </c>
      <c r="C36" s="522"/>
      <c r="D36" s="522"/>
      <c r="E36" s="523"/>
    </row>
    <row r="37" spans="2:7" ht="20" customHeight="1" x14ac:dyDescent="0.2">
      <c r="B37" s="63" t="s">
        <v>18</v>
      </c>
      <c r="C37" s="63" t="s">
        <v>19</v>
      </c>
      <c r="D37" s="63" t="s">
        <v>20</v>
      </c>
      <c r="E37" s="63" t="s">
        <v>21</v>
      </c>
      <c r="G37" s="36"/>
    </row>
    <row r="38" spans="2:7" ht="20" customHeight="1" x14ac:dyDescent="0.2">
      <c r="B38" s="23" t="s">
        <v>663</v>
      </c>
      <c r="C38" s="65" t="s">
        <v>664</v>
      </c>
      <c r="D38" s="66" t="s">
        <v>664</v>
      </c>
      <c r="E38" s="364" t="str">
        <f>IF(wld_domain_chosen="Import Workload Domain","Use this section for Import Workload Domain.",
IF(wld_domain_chosen="Exclude","","This section is masked out as is used for section for Import Workload Domain. Use the Deploy Workload section below"))</f>
        <v/>
      </c>
    </row>
    <row r="39" spans="2:7" ht="20" customHeight="1" x14ac:dyDescent="0.2">
      <c r="B39" s="23" t="s">
        <v>665</v>
      </c>
      <c r="C39" s="65" t="s">
        <v>666</v>
      </c>
      <c r="D39" s="66" t="s">
        <v>666</v>
      </c>
      <c r="E39" s="42"/>
    </row>
    <row r="40" spans="2:7" ht="20" customHeight="1" x14ac:dyDescent="0.2">
      <c r="B40" s="23" t="s">
        <v>667</v>
      </c>
      <c r="C40" s="65" t="s">
        <v>92</v>
      </c>
      <c r="D40" s="66" t="s">
        <v>92</v>
      </c>
      <c r="E40" s="42"/>
    </row>
    <row r="41" spans="2:7" ht="20" customHeight="1" x14ac:dyDescent="0.2">
      <c r="B41" s="23" t="s">
        <v>668</v>
      </c>
      <c r="C41" s="153" t="str">
        <f>CONCATENATE(this_instance,"-w0",wld_domain_number_chosen,"-nsx01a",".",sample_child_dns_zone)</f>
        <v>sfo-w01-nsx01a.sfo.rainpole.io</v>
      </c>
      <c r="D41" s="66"/>
      <c r="E41" s="8" t="s">
        <v>669</v>
      </c>
    </row>
    <row r="42" spans="2:7" ht="20" customHeight="1" x14ac:dyDescent="0.2">
      <c r="B42" s="23" t="s">
        <v>670</v>
      </c>
      <c r="C42" s="153" t="str">
        <f>CONCATENATE(this_instance,"-w0",wld_domain_number_chosen,"-nsx01b",".",sample_child_dns_zone)</f>
        <v>sfo-w01-nsx01b.sfo.rainpole.io</v>
      </c>
      <c r="D42" s="66"/>
      <c r="E42" s="8" t="s">
        <v>671</v>
      </c>
    </row>
    <row r="43" spans="2:7" ht="20" customHeight="1" x14ac:dyDescent="0.2">
      <c r="B43" s="23" t="s">
        <v>672</v>
      </c>
      <c r="C43" s="153" t="str">
        <f>CONCATENATE(this_instance,"-w0",wld_domain_number_chosen,"-nsx01c",".",sample_child_dns_zone)</f>
        <v>sfo-w01-nsx01c.sfo.rainpole.io</v>
      </c>
      <c r="D43" s="66"/>
      <c r="E43" s="8" t="s">
        <v>673</v>
      </c>
    </row>
    <row r="44" spans="2:7" ht="20" customHeight="1" x14ac:dyDescent="0.2">
      <c r="B44" s="23" t="s">
        <v>674</v>
      </c>
      <c r="C44" s="153" t="str">
        <f>CONCATENATE(this_instance,"-w0",wld_domain_number_chosen,"-nsx01",".",sample_child_dns_zone)</f>
        <v>sfo-w01-nsx01.sfo.rainpole.io</v>
      </c>
      <c r="D44" s="66"/>
      <c r="E44" s="8" t="s">
        <v>675</v>
      </c>
      <c r="G44" s="36"/>
    </row>
    <row r="45" spans="2:7" ht="20" customHeight="1" x14ac:dyDescent="0.2">
      <c r="B45" s="4" t="s">
        <v>676</v>
      </c>
      <c r="C45" s="109" t="s">
        <v>154</v>
      </c>
      <c r="D45" s="66" t="s">
        <v>154</v>
      </c>
      <c r="E45" s="8" t="s">
        <v>677</v>
      </c>
    </row>
    <row r="46" spans="2:7" ht="20" customHeight="1" x14ac:dyDescent="0.2">
      <c r="B46" s="23" t="s">
        <v>678</v>
      </c>
      <c r="C46" s="65" t="s">
        <v>154</v>
      </c>
      <c r="D46" s="66" t="s">
        <v>154</v>
      </c>
      <c r="E46" s="8" t="s">
        <v>679</v>
      </c>
    </row>
    <row r="47" spans="2:7" ht="20" customHeight="1" x14ac:dyDescent="0.2">
      <c r="B47" s="23" t="s">
        <v>680</v>
      </c>
      <c r="C47" s="65" t="s">
        <v>140</v>
      </c>
      <c r="D47" s="66" t="s">
        <v>140</v>
      </c>
      <c r="E47" s="8"/>
    </row>
    <row r="48" spans="2:7" ht="20" customHeight="1" x14ac:dyDescent="0.2">
      <c r="B48" s="4" t="s">
        <v>681</v>
      </c>
      <c r="C48" s="109" t="s">
        <v>137</v>
      </c>
      <c r="D48" s="66"/>
      <c r="E48" s="8" t="s">
        <v>190</v>
      </c>
    </row>
    <row r="49" spans="2:7" ht="20" customHeight="1" x14ac:dyDescent="0.2">
      <c r="B49" s="4" t="s">
        <v>682</v>
      </c>
      <c r="C49" s="109" t="s">
        <v>137</v>
      </c>
      <c r="D49" s="66"/>
      <c r="E49" s="8" t="s">
        <v>190</v>
      </c>
    </row>
    <row r="50" spans="2:7" ht="20" customHeight="1" x14ac:dyDescent="0.2">
      <c r="B50" s="4" t="s">
        <v>683</v>
      </c>
      <c r="C50" s="109" t="s">
        <v>137</v>
      </c>
      <c r="D50" s="66"/>
      <c r="E50" s="8" t="s">
        <v>190</v>
      </c>
      <c r="G50" s="36"/>
    </row>
    <row r="51" spans="2:7" ht="16" customHeight="1" x14ac:dyDescent="0.2">
      <c r="G51" s="36"/>
    </row>
    <row r="52" spans="2:7" ht="34" customHeight="1" x14ac:dyDescent="0.2">
      <c r="B52" s="601" t="s">
        <v>3384</v>
      </c>
      <c r="C52" s="602"/>
      <c r="D52" s="602"/>
      <c r="E52" s="603"/>
      <c r="G52" s="36"/>
    </row>
    <row r="53" spans="2:7" ht="20" customHeight="1" x14ac:dyDescent="0.2"/>
    <row r="54" spans="2:7" ht="36" customHeight="1" x14ac:dyDescent="0.2">
      <c r="B54" s="559" t="s">
        <v>684</v>
      </c>
      <c r="C54" s="560"/>
      <c r="D54" s="560"/>
      <c r="E54" s="561"/>
    </row>
    <row r="55" spans="2:7" ht="20" customHeight="1" x14ac:dyDescent="0.2">
      <c r="B55" s="521"/>
      <c r="C55" s="522"/>
      <c r="D55" s="522"/>
      <c r="E55" s="523"/>
    </row>
    <row r="56" spans="2:7" ht="20" customHeight="1" x14ac:dyDescent="0.2">
      <c r="B56" s="63" t="s">
        <v>18</v>
      </c>
      <c r="C56" s="63" t="s">
        <v>19</v>
      </c>
      <c r="D56" s="63" t="s">
        <v>20</v>
      </c>
      <c r="E56" s="63" t="s">
        <v>21</v>
      </c>
    </row>
    <row r="57" spans="2:7" ht="20" customHeight="1" x14ac:dyDescent="0.2">
      <c r="B57" s="521" t="s">
        <v>202</v>
      </c>
      <c r="C57" s="522"/>
      <c r="D57" s="522"/>
      <c r="E57" s="523"/>
    </row>
    <row r="58" spans="2:7" ht="20" customHeight="1" x14ac:dyDescent="0.2">
      <c r="B58" s="4" t="s">
        <v>85</v>
      </c>
      <c r="C58" s="103" t="str">
        <f>CONCATENATE(prefix_wld_az1_vlan,"11")</f>
        <v>1311</v>
      </c>
      <c r="D58" s="66"/>
      <c r="E58" s="113"/>
    </row>
    <row r="59" spans="2:7" ht="20" customHeight="1" x14ac:dyDescent="0.2">
      <c r="B59" s="4" t="s">
        <v>155</v>
      </c>
      <c r="C59" s="103">
        <v>1500</v>
      </c>
      <c r="D59" s="66"/>
      <c r="E59" s="42"/>
    </row>
    <row r="60" spans="2:7" ht="20" customHeight="1" x14ac:dyDescent="0.2">
      <c r="B60" s="4" t="s">
        <v>3092</v>
      </c>
      <c r="C60" s="103" t="str">
        <f>CONCATENATE(prefix_wld_az1_cidr,"11.1/24")</f>
        <v>10.13.11.1/24</v>
      </c>
      <c r="D60" s="66"/>
      <c r="E60" s="113"/>
    </row>
    <row r="61" spans="2:7" ht="20" customHeight="1" x14ac:dyDescent="0.2">
      <c r="B61" s="546" t="s">
        <v>203</v>
      </c>
      <c r="C61" s="547"/>
      <c r="D61" s="547"/>
      <c r="E61" s="548"/>
    </row>
    <row r="62" spans="2:7" ht="20" customHeight="1" x14ac:dyDescent="0.2">
      <c r="B62" s="23" t="s">
        <v>204</v>
      </c>
      <c r="C62" s="109" t="str">
        <f>CONCATENATE(prefix_wld_az1_cidr,"11.101")</f>
        <v>10.13.11.101</v>
      </c>
      <c r="D62" s="66"/>
      <c r="E62" s="162" t="s">
        <v>205</v>
      </c>
    </row>
    <row r="63" spans="2:7" ht="20" customHeight="1" x14ac:dyDescent="0.2">
      <c r="B63" s="23" t="s">
        <v>206</v>
      </c>
      <c r="C63" s="109" t="str">
        <f>CONCATENATE(prefix_wld_az1_cidr,"11.102")</f>
        <v>10.13.11.102</v>
      </c>
      <c r="D63" s="66"/>
      <c r="E63" s="162" t="s">
        <v>207</v>
      </c>
    </row>
    <row r="64" spans="2:7" ht="20" customHeight="1" x14ac:dyDescent="0.2">
      <c r="B64" s="23" t="s">
        <v>208</v>
      </c>
      <c r="C64" s="109" t="str">
        <f>CONCATENATE(prefix_wld_az1_cidr,"11.103")</f>
        <v>10.13.11.103</v>
      </c>
      <c r="D64" s="66"/>
      <c r="E64" s="162" t="s">
        <v>209</v>
      </c>
    </row>
    <row r="65" spans="2:7" ht="20" customHeight="1" x14ac:dyDescent="0.2">
      <c r="B65" s="23" t="s">
        <v>210</v>
      </c>
      <c r="C65" s="109" t="str">
        <f>CONCATENATE(prefix_wld_az1_cidr,"11.104")</f>
        <v>10.13.11.104</v>
      </c>
      <c r="D65" s="66"/>
      <c r="E65" s="162" t="s">
        <v>211</v>
      </c>
    </row>
    <row r="66" spans="2:7" ht="20" customHeight="1" x14ac:dyDescent="0.2">
      <c r="B66" s="23" t="s">
        <v>212</v>
      </c>
      <c r="C66" s="109" t="str">
        <f>CONCATENATE(prefix_wld_az1_cidr,"11.105")</f>
        <v>10.13.11.105</v>
      </c>
      <c r="D66" s="66"/>
      <c r="E66" s="162" t="s">
        <v>213</v>
      </c>
    </row>
    <row r="67" spans="2:7" ht="20" customHeight="1" x14ac:dyDescent="0.2">
      <c r="B67" s="23" t="s">
        <v>214</v>
      </c>
      <c r="C67" s="109" t="str">
        <f>CONCATENATE(prefix_wld_az1_cidr,"11.106")</f>
        <v>10.13.11.106</v>
      </c>
      <c r="D67" s="66"/>
      <c r="E67" s="162" t="s">
        <v>215</v>
      </c>
    </row>
    <row r="68" spans="2:7" ht="20" customHeight="1" x14ac:dyDescent="0.2">
      <c r="B68" s="23" t="s">
        <v>216</v>
      </c>
      <c r="C68" s="109" t="str">
        <f>CONCATENATE(prefix_wld_az1_cidr,"11.107")</f>
        <v>10.13.11.107</v>
      </c>
      <c r="D68" s="66"/>
      <c r="E68" s="162" t="s">
        <v>217</v>
      </c>
    </row>
    <row r="69" spans="2:7" ht="20" customHeight="1" x14ac:dyDescent="0.2">
      <c r="B69" s="23" t="s">
        <v>218</v>
      </c>
      <c r="C69" s="109" t="str">
        <f>CONCATENATE(prefix_wld_az1_cidr,"11.108")</f>
        <v>10.13.11.108</v>
      </c>
      <c r="D69" s="66"/>
      <c r="E69" s="162" t="s">
        <v>219</v>
      </c>
    </row>
    <row r="70" spans="2:7" ht="20" customHeight="1" x14ac:dyDescent="0.2">
      <c r="B70" s="23" t="s">
        <v>220</v>
      </c>
      <c r="C70" s="109" t="str">
        <f>CONCATENATE(prefix_wld_az1_cidr,"11.109")</f>
        <v>10.13.11.109</v>
      </c>
      <c r="D70" s="66"/>
      <c r="E70" s="162" t="s">
        <v>221</v>
      </c>
    </row>
    <row r="71" spans="2:7" ht="20" customHeight="1" x14ac:dyDescent="0.2">
      <c r="B71" s="23" t="s">
        <v>222</v>
      </c>
      <c r="C71" s="109" t="str">
        <f>CONCATENATE(prefix_wld_az1_cidr,"11.110")</f>
        <v>10.13.11.110</v>
      </c>
      <c r="D71" s="66"/>
      <c r="E71" s="162" t="s">
        <v>223</v>
      </c>
    </row>
    <row r="72" spans="2:7" ht="20" customHeight="1" x14ac:dyDescent="0.2">
      <c r="B72" s="23" t="s">
        <v>224</v>
      </c>
      <c r="C72" s="109" t="str">
        <f>CONCATENATE(prefix_wld_az1_cidr,"11.111")</f>
        <v>10.13.11.111</v>
      </c>
      <c r="D72" s="66"/>
      <c r="E72" s="162" t="s">
        <v>225</v>
      </c>
    </row>
    <row r="73" spans="2:7" ht="20" customHeight="1" x14ac:dyDescent="0.2">
      <c r="B73" s="23" t="s">
        <v>226</v>
      </c>
      <c r="C73" s="109" t="str">
        <f>CONCATENATE(prefix_wld_az1_cidr,"11.112")</f>
        <v>10.13.11.112</v>
      </c>
      <c r="D73" s="66"/>
      <c r="E73" s="162" t="s">
        <v>227</v>
      </c>
    </row>
    <row r="74" spans="2:7" ht="20" customHeight="1" x14ac:dyDescent="0.2">
      <c r="B74" s="23" t="s">
        <v>228</v>
      </c>
      <c r="C74" s="109" t="str">
        <f>CONCATENATE(prefix_wld_az1_cidr,"11.113")</f>
        <v>10.13.11.113</v>
      </c>
      <c r="D74" s="66"/>
      <c r="E74" s="162" t="s">
        <v>229</v>
      </c>
    </row>
    <row r="75" spans="2:7" ht="20" customHeight="1" x14ac:dyDescent="0.2">
      <c r="B75" s="23" t="s">
        <v>230</v>
      </c>
      <c r="C75" s="109" t="str">
        <f>CONCATENATE(prefix_wld_az1_cidr,"11.114")</f>
        <v>10.13.11.114</v>
      </c>
      <c r="D75" s="66"/>
      <c r="E75" s="162" t="s">
        <v>231</v>
      </c>
    </row>
    <row r="76" spans="2:7" ht="20" customHeight="1" x14ac:dyDescent="0.2">
      <c r="B76" s="23" t="s">
        <v>232</v>
      </c>
      <c r="C76" s="109" t="str">
        <f>CONCATENATE(prefix_wld_az1_cidr,"11.115")</f>
        <v>10.13.11.115</v>
      </c>
      <c r="D76" s="66"/>
      <c r="E76" s="162" t="s">
        <v>233</v>
      </c>
    </row>
    <row r="77" spans="2:7" ht="20" customHeight="1" x14ac:dyDescent="0.2">
      <c r="B77" s="23" t="s">
        <v>234</v>
      </c>
      <c r="C77" s="109" t="str">
        <f>CONCATENATE(prefix_wld_az1_cidr,"11.116")</f>
        <v>10.13.11.116</v>
      </c>
      <c r="D77" s="66"/>
      <c r="E77" s="162" t="s">
        <v>235</v>
      </c>
      <c r="G77" s="36"/>
    </row>
    <row r="78" spans="2:7" ht="16" customHeight="1" x14ac:dyDescent="0.2"/>
    <row r="79" spans="2:7" ht="34" customHeight="1" x14ac:dyDescent="0.2">
      <c r="B79" s="559" t="s">
        <v>685</v>
      </c>
      <c r="C79" s="560"/>
      <c r="D79" s="560"/>
      <c r="E79" s="561"/>
    </row>
    <row r="80" spans="2:7" ht="20" customHeight="1" x14ac:dyDescent="0.2">
      <c r="B80" s="521"/>
      <c r="C80" s="522"/>
      <c r="D80" s="522"/>
      <c r="E80" s="523"/>
    </row>
    <row r="81" spans="2:5" ht="20" customHeight="1" x14ac:dyDescent="0.2">
      <c r="B81" s="63" t="s">
        <v>18</v>
      </c>
      <c r="C81" s="63" t="s">
        <v>19</v>
      </c>
      <c r="D81" s="63" t="s">
        <v>20</v>
      </c>
      <c r="E81" s="63" t="s">
        <v>21</v>
      </c>
    </row>
    <row r="82" spans="2:5" ht="20" customHeight="1" x14ac:dyDescent="0.2">
      <c r="B82" s="23" t="s">
        <v>239</v>
      </c>
      <c r="C82" s="103" t="str">
        <f>CONCATENATE(this_instance,"01-w0",wld_domain_number_chosen,"-r01-network-pool-01")</f>
        <v>sfo01-w01-r01-network-pool-01</v>
      </c>
      <c r="D82" s="66"/>
      <c r="E82" s="42"/>
    </row>
    <row r="83" spans="2:5" ht="20" customHeight="1" x14ac:dyDescent="0.2">
      <c r="B83" s="521" t="s">
        <v>240</v>
      </c>
      <c r="C83" s="522"/>
      <c r="D83" s="522"/>
      <c r="E83" s="523"/>
    </row>
    <row r="84" spans="2:5" ht="20" customHeight="1" x14ac:dyDescent="0.2">
      <c r="B84" s="4" t="s">
        <v>3174</v>
      </c>
      <c r="C84" s="103" t="s">
        <v>3119</v>
      </c>
      <c r="D84" s="66" t="s">
        <v>3119</v>
      </c>
      <c r="E84" s="113"/>
    </row>
    <row r="85" spans="2:5" ht="20" customHeight="1" x14ac:dyDescent="0.2">
      <c r="B85" s="4" t="s">
        <v>85</v>
      </c>
      <c r="C85" s="103" t="str">
        <f>CONCATENATE(prefix_wld_az1_vlan,"12")</f>
        <v>1312</v>
      </c>
      <c r="D85" s="66"/>
      <c r="E85" s="113"/>
    </row>
    <row r="86" spans="2:5" ht="20" customHeight="1" x14ac:dyDescent="0.2">
      <c r="B86" s="4" t="s">
        <v>155</v>
      </c>
      <c r="C86" s="103">
        <v>9000</v>
      </c>
      <c r="D86" s="66"/>
      <c r="E86" s="42"/>
    </row>
    <row r="87" spans="2:5" ht="20" customHeight="1" x14ac:dyDescent="0.2">
      <c r="B87" s="4" t="s">
        <v>3183</v>
      </c>
      <c r="C87" s="103" t="s">
        <v>105</v>
      </c>
      <c r="D87" s="66" t="s">
        <v>105</v>
      </c>
      <c r="E87" s="42"/>
    </row>
    <row r="88" spans="2:5" ht="20" customHeight="1" x14ac:dyDescent="0.2">
      <c r="B88" s="4" t="s">
        <v>3177</v>
      </c>
      <c r="C88" s="103" t="str">
        <f>CONCATENATE(prefix_wld_az1_cidr,"12.1/24")</f>
        <v>10.13.12.1/24</v>
      </c>
      <c r="D88" s="66"/>
      <c r="E88" s="42"/>
    </row>
    <row r="89" spans="2:5" ht="20" customHeight="1" x14ac:dyDescent="0.2">
      <c r="B89" s="4" t="s">
        <v>3178</v>
      </c>
      <c r="C89" s="103" t="str">
        <f>CONCATENATE(prefix_mgmt_ipv6_cidr,sample_wld_az1_vmotion_vlan,"::","1","/64")</f>
        <v>2001:db8:0:1312::1/64</v>
      </c>
      <c r="D89" s="66"/>
      <c r="E89" s="42"/>
    </row>
    <row r="90" spans="2:5" ht="20" customHeight="1" x14ac:dyDescent="0.2">
      <c r="B90" s="23" t="s">
        <v>3176</v>
      </c>
      <c r="C90" s="103" t="str">
        <f>CONCATENATE(prefix_wld_az1_cidr,"12.101")</f>
        <v>10.13.12.101</v>
      </c>
      <c r="D90" s="66"/>
      <c r="E90" s="42"/>
    </row>
    <row r="91" spans="2:5" ht="20" customHeight="1" x14ac:dyDescent="0.2">
      <c r="B91" s="23" t="s">
        <v>3175</v>
      </c>
      <c r="C91" s="103" t="str">
        <f>CONCATENATE(prefix_wld_az1_cidr,"12.116")</f>
        <v>10.13.12.116</v>
      </c>
      <c r="D91" s="66"/>
      <c r="E91" s="42"/>
    </row>
    <row r="92" spans="2:5" ht="20" customHeight="1" x14ac:dyDescent="0.2">
      <c r="B92" s="23" t="s">
        <v>3179</v>
      </c>
      <c r="C92" s="103" t="str">
        <f>CONCATENATE(prefix_mgmt_ipv6_cidr,sample_wld_az1_vmotion_vlan,"::","101","/64")</f>
        <v>2001:db8:0:1312::101/64</v>
      </c>
      <c r="D92" s="66"/>
      <c r="E92" s="42"/>
    </row>
    <row r="93" spans="2:5" ht="20" customHeight="1" x14ac:dyDescent="0.2">
      <c r="B93" s="23" t="s">
        <v>3180</v>
      </c>
      <c r="C93" s="103" t="str">
        <f>CONCATENATE(prefix_mgmt_ipv6_cidr,sample_wld_az1_vmotion_vlan,"::","116","/64")</f>
        <v>2001:db8:0:1312::116/64</v>
      </c>
      <c r="D93" s="66"/>
      <c r="E93" s="42"/>
    </row>
    <row r="94" spans="2:5" ht="20" customHeight="1" x14ac:dyDescent="0.2">
      <c r="B94" s="521" t="str">
        <f>IF(wld_principal_storage_chosen="NFSv3","NFS Network","vSAN Network")</f>
        <v>vSAN Network</v>
      </c>
      <c r="C94" s="522"/>
      <c r="D94" s="522"/>
      <c r="E94" s="523"/>
    </row>
    <row r="95" spans="2:5" ht="20" customHeight="1" x14ac:dyDescent="0.2">
      <c r="B95" s="4" t="s">
        <v>3174</v>
      </c>
      <c r="C95" s="103" t="s">
        <v>3119</v>
      </c>
      <c r="D95" s="178" t="s">
        <v>3119</v>
      </c>
      <c r="E95" s="42"/>
    </row>
    <row r="96" spans="2:5" ht="20" customHeight="1" x14ac:dyDescent="0.2">
      <c r="B96" s="4" t="s">
        <v>85</v>
      </c>
      <c r="C96" s="103" t="str">
        <f>CONCATENATE(prefix_wld_az1_vlan,"13")</f>
        <v>1313</v>
      </c>
      <c r="D96" s="178"/>
      <c r="E96" s="42"/>
    </row>
    <row r="97" spans="2:5" ht="20" customHeight="1" x14ac:dyDescent="0.2">
      <c r="B97" s="4" t="s">
        <v>155</v>
      </c>
      <c r="C97" s="103">
        <v>9000</v>
      </c>
      <c r="D97" s="66"/>
      <c r="E97" s="42"/>
    </row>
    <row r="98" spans="2:5" ht="20" customHeight="1" x14ac:dyDescent="0.2">
      <c r="B98" s="4" t="s">
        <v>3183</v>
      </c>
      <c r="C98" s="103" t="s">
        <v>105</v>
      </c>
      <c r="D98" s="403" t="s">
        <v>105</v>
      </c>
      <c r="E98" s="42"/>
    </row>
    <row r="99" spans="2:5" ht="20" customHeight="1" x14ac:dyDescent="0.2">
      <c r="B99" s="23" t="s">
        <v>3177</v>
      </c>
      <c r="C99" s="103" t="str">
        <f>CONCATENATE(prefix_wld_az1_cidr,"13.1/24")</f>
        <v>10.13.13.1/24</v>
      </c>
      <c r="D99" s="66"/>
      <c r="E99" s="80"/>
    </row>
    <row r="100" spans="2:5" ht="20" customHeight="1" x14ac:dyDescent="0.2">
      <c r="B100" s="30" t="s">
        <v>3178</v>
      </c>
      <c r="C100" s="103" t="str">
        <f>CONCATENATE(prefix_mgmt_ipv6_cidr,sample_wld_az1_principal_storage_vlan,"::","1","/64")</f>
        <v>2001:db8:0:1313::1/64</v>
      </c>
      <c r="D100" s="66"/>
      <c r="E100" s="80"/>
    </row>
    <row r="101" spans="2:5" ht="20" customHeight="1" x14ac:dyDescent="0.2">
      <c r="B101" s="30" t="s">
        <v>3184</v>
      </c>
      <c r="C101" s="103" t="str">
        <f>CONCATENATE(prefix_wld_az1_cidr,"13.101")</f>
        <v>10.13.13.101</v>
      </c>
      <c r="D101" s="66"/>
      <c r="E101" s="80"/>
    </row>
    <row r="102" spans="2:5" ht="20" customHeight="1" x14ac:dyDescent="0.2">
      <c r="B102" s="30" t="s">
        <v>3185</v>
      </c>
      <c r="C102" s="103" t="str">
        <f>CONCATENATE(prefix_wld_az1_cidr,"13.116")</f>
        <v>10.13.13.116</v>
      </c>
      <c r="D102" s="66"/>
      <c r="E102" s="80"/>
    </row>
    <row r="103" spans="2:5" ht="20" customHeight="1" x14ac:dyDescent="0.2">
      <c r="B103" s="30" t="s">
        <v>3186</v>
      </c>
      <c r="C103" s="103" t="str">
        <f>CONCATENATE(prefix_mgmt_ipv6_cidr,sample_wld_az1_principal_storage_vlan,"::","101","/64")</f>
        <v>2001:db8:0:1313::101/64</v>
      </c>
      <c r="D103" s="66"/>
      <c r="E103" s="80"/>
    </row>
    <row r="104" spans="2:5" ht="20" customHeight="1" x14ac:dyDescent="0.2">
      <c r="B104" s="30" t="s">
        <v>3187</v>
      </c>
      <c r="C104" s="103" t="str">
        <f>CONCATENATE(prefix_mgmt_ipv6_cidr,sample_wld_az1_principal_storage_vlan,"::","116","/64")</f>
        <v>2001:db8:0:1313::116/64</v>
      </c>
      <c r="D104" s="66"/>
      <c r="E104" s="42"/>
    </row>
    <row r="105" spans="2:5" ht="20" customHeight="1" x14ac:dyDescent="0.2">
      <c r="B105" s="521" t="str">
        <f>IF(wld_secondary_storage_chosen="Secondary NFS Storage Network","NFS Storage Network","vSAN Storage Client")</f>
        <v>vSAN Storage Client</v>
      </c>
      <c r="C105" s="522"/>
      <c r="D105" s="522"/>
      <c r="E105" s="523"/>
    </row>
    <row r="106" spans="2:5" ht="20" customHeight="1" x14ac:dyDescent="0.2">
      <c r="B106" s="4" t="s">
        <v>3174</v>
      </c>
      <c r="C106" s="103" t="s">
        <v>3119</v>
      </c>
      <c r="D106" s="66" t="s">
        <v>3119</v>
      </c>
      <c r="E106" s="42"/>
    </row>
    <row r="107" spans="2:5" ht="20" customHeight="1" x14ac:dyDescent="0.2">
      <c r="B107" s="4" t="s">
        <v>85</v>
      </c>
      <c r="C107" s="103" t="str">
        <f>CONCATENATE(prefix_wld_az1_vlan,"15")</f>
        <v>1315</v>
      </c>
      <c r="D107" s="66"/>
      <c r="E107" s="42"/>
    </row>
    <row r="108" spans="2:5" ht="20" customHeight="1" x14ac:dyDescent="0.2">
      <c r="B108" s="4" t="s">
        <v>155</v>
      </c>
      <c r="C108" s="103">
        <v>9000</v>
      </c>
      <c r="D108" s="66"/>
      <c r="E108" s="80"/>
    </row>
    <row r="109" spans="2:5" ht="20" customHeight="1" x14ac:dyDescent="0.2">
      <c r="B109" s="4" t="s">
        <v>3183</v>
      </c>
      <c r="C109" s="103" t="s">
        <v>105</v>
      </c>
      <c r="D109" s="66" t="s">
        <v>105</v>
      </c>
      <c r="E109" s="80"/>
    </row>
    <row r="110" spans="2:5" ht="20" customHeight="1" x14ac:dyDescent="0.2">
      <c r="B110" s="23" t="s">
        <v>3177</v>
      </c>
      <c r="C110" s="103" t="str">
        <f>CONCATENATE(prefix_wld_az1_cidr,"15.1/24")</f>
        <v>10.13.15.1/24</v>
      </c>
      <c r="D110" s="66"/>
      <c r="E110" s="80"/>
    </row>
    <row r="111" spans="2:5" ht="20" customHeight="1" x14ac:dyDescent="0.2">
      <c r="B111" s="30" t="s">
        <v>3178</v>
      </c>
      <c r="C111" s="103" t="str">
        <f>CONCATENATE(prefix_mgmt_ipv6_cidr,sample_wld_az1_secondary_storage_vlan,"::","1","/64")</f>
        <v>2001:db8:0:1315::1/64</v>
      </c>
      <c r="D111" s="66"/>
      <c r="E111" s="80"/>
    </row>
    <row r="112" spans="2:5" ht="20" customHeight="1" x14ac:dyDescent="0.2">
      <c r="B112" s="30" t="s">
        <v>3184</v>
      </c>
      <c r="C112" s="103" t="str">
        <f>CONCATENATE(prefix_wld_az1_cidr,"15.101")</f>
        <v>10.13.15.101</v>
      </c>
      <c r="D112" s="66"/>
      <c r="E112" s="80"/>
    </row>
    <row r="113" spans="2:5" ht="20" customHeight="1" x14ac:dyDescent="0.2">
      <c r="B113" s="30" t="s">
        <v>3185</v>
      </c>
      <c r="C113" s="103" t="str">
        <f>CONCATENATE(prefix_wld_az1_cidr,"15.116")</f>
        <v>10.13.15.116</v>
      </c>
      <c r="D113" s="66"/>
      <c r="E113" s="80"/>
    </row>
    <row r="114" spans="2:5" ht="20" customHeight="1" x14ac:dyDescent="0.2">
      <c r="B114" s="30" t="s">
        <v>3186</v>
      </c>
      <c r="C114" s="103" t="s">
        <v>3181</v>
      </c>
      <c r="D114" s="66"/>
      <c r="E114" s="42"/>
    </row>
    <row r="115" spans="2:5" ht="20" customHeight="1" x14ac:dyDescent="0.2">
      <c r="B115" s="30" t="s">
        <v>3187</v>
      </c>
      <c r="C115" s="103" t="s">
        <v>3182</v>
      </c>
      <c r="D115" s="66"/>
      <c r="E115" s="42"/>
    </row>
    <row r="116" spans="2:5" ht="20" customHeight="1" x14ac:dyDescent="0.2">
      <c r="B116" s="521" t="s">
        <v>686</v>
      </c>
      <c r="C116" s="522"/>
      <c r="D116" s="522"/>
      <c r="E116" s="523"/>
    </row>
    <row r="117" spans="2:5" ht="20" customHeight="1" x14ac:dyDescent="0.2">
      <c r="B117" s="4" t="s">
        <v>3174</v>
      </c>
      <c r="C117" s="103" t="s">
        <v>3119</v>
      </c>
      <c r="D117" s="66" t="s">
        <v>3119</v>
      </c>
      <c r="E117" s="42"/>
    </row>
    <row r="118" spans="2:5" ht="20" customHeight="1" x14ac:dyDescent="0.2">
      <c r="B118" s="4" t="s">
        <v>85</v>
      </c>
      <c r="C118" s="103" t="str">
        <f>CONCATENATE(prefix_wld_az1_vlan,"16")</f>
        <v>1316</v>
      </c>
      <c r="D118" s="66"/>
      <c r="E118" s="42"/>
    </row>
    <row r="119" spans="2:5" ht="20" customHeight="1" x14ac:dyDescent="0.2">
      <c r="B119" s="4" t="s">
        <v>155</v>
      </c>
      <c r="C119" s="103">
        <v>9000</v>
      </c>
      <c r="D119" s="66"/>
      <c r="E119" s="80"/>
    </row>
    <row r="120" spans="2:5" ht="20" customHeight="1" x14ac:dyDescent="0.2">
      <c r="B120" s="4" t="s">
        <v>3183</v>
      </c>
      <c r="C120" s="103" t="s">
        <v>105</v>
      </c>
      <c r="D120" s="66" t="s">
        <v>105</v>
      </c>
      <c r="E120" s="80"/>
    </row>
    <row r="121" spans="2:5" ht="20" customHeight="1" x14ac:dyDescent="0.2">
      <c r="B121" s="23" t="s">
        <v>3177</v>
      </c>
      <c r="C121" s="103" t="str">
        <f>CONCATENATE(prefix_wld_az1_cidr,"16.1/24")</f>
        <v>10.13.16.1/24</v>
      </c>
      <c r="D121" s="66"/>
      <c r="E121" s="80"/>
    </row>
    <row r="122" spans="2:5" ht="20" customHeight="1" x14ac:dyDescent="0.2">
      <c r="B122" s="30" t="s">
        <v>3178</v>
      </c>
      <c r="C122" s="103" t="str">
        <f>CONCATENATE(prefix_mgmt_ipv6_cidr,sample_wld_az1_storage_cluster_vlan,"::","1","/64")</f>
        <v>2001:db8:0:1316::1/64</v>
      </c>
      <c r="D122" s="66"/>
      <c r="E122" s="80"/>
    </row>
    <row r="123" spans="2:5" ht="20" customHeight="1" x14ac:dyDescent="0.2">
      <c r="B123" s="30" t="s">
        <v>3184</v>
      </c>
      <c r="C123" s="103" t="str">
        <f>CONCATENATE(prefix_wld_az1_cidr,"16.101")</f>
        <v>10.13.16.101</v>
      </c>
      <c r="D123" s="66"/>
      <c r="E123" s="80"/>
    </row>
    <row r="124" spans="2:5" ht="20" customHeight="1" x14ac:dyDescent="0.2">
      <c r="B124" s="30" t="s">
        <v>3185</v>
      </c>
      <c r="C124" s="103" t="str">
        <f>CONCATENATE(prefix_wld_az1_cidr,"16.116")</f>
        <v>10.13.16.116</v>
      </c>
      <c r="D124" s="66"/>
      <c r="E124" s="80"/>
    </row>
    <row r="125" spans="2:5" ht="20" customHeight="1" x14ac:dyDescent="0.2">
      <c r="B125" s="30" t="s">
        <v>3186</v>
      </c>
      <c r="C125" s="103" t="str">
        <f>CONCATENATE(prefix_mgmt_ipv6_cidr,sample_wld_az1_storage_cluster_vlan,"::","101","/64")</f>
        <v>2001:db8:0:1316::101/64</v>
      </c>
      <c r="D125" s="66"/>
      <c r="E125" s="42"/>
    </row>
    <row r="126" spans="2:5" ht="20" customHeight="1" x14ac:dyDescent="0.2">
      <c r="B126" s="30" t="s">
        <v>3187</v>
      </c>
      <c r="C126" s="103" t="str">
        <f>CONCATENATE(prefix_mgmt_ipv6_cidr,sample_wld_az1_storage_cluster_vlan,"::","116","/64")</f>
        <v>2001:db8:0:1316::116/64</v>
      </c>
      <c r="D126" s="66"/>
      <c r="E126" s="42"/>
    </row>
    <row r="127" spans="2:5" ht="16" customHeight="1" x14ac:dyDescent="0.2"/>
    <row r="128" spans="2:5" ht="34" customHeight="1" x14ac:dyDescent="0.2">
      <c r="B128" s="559" t="s">
        <v>687</v>
      </c>
      <c r="C128" s="560"/>
      <c r="D128" s="560"/>
      <c r="E128" s="561"/>
    </row>
    <row r="129" spans="2:5" ht="20" customHeight="1" x14ac:dyDescent="0.2">
      <c r="B129" s="521"/>
      <c r="C129" s="522"/>
      <c r="D129" s="522"/>
      <c r="E129" s="523"/>
    </row>
    <row r="130" spans="2:5" ht="20" customHeight="1" x14ac:dyDescent="0.2">
      <c r="B130" s="63" t="s">
        <v>18</v>
      </c>
      <c r="C130" s="63" t="s">
        <v>19</v>
      </c>
      <c r="D130" s="63" t="s">
        <v>20</v>
      </c>
      <c r="E130" s="63" t="s">
        <v>21</v>
      </c>
    </row>
    <row r="131" spans="2:5" ht="20" customHeight="1" x14ac:dyDescent="0.2">
      <c r="B131" s="23" t="s">
        <v>204</v>
      </c>
      <c r="C131" s="109" t="str">
        <f>CONCATENATE(this_instance,"01-w0",wld_domain_number_chosen,"-r01-esx01",".",sample_child_dns_zone)</f>
        <v>sfo01-w01-r01-esx01.sfo.rainpole.io</v>
      </c>
      <c r="D131" s="66"/>
      <c r="E131" s="42"/>
    </row>
    <row r="132" spans="2:5" ht="20" customHeight="1" x14ac:dyDescent="0.2">
      <c r="B132" s="23" t="s">
        <v>206</v>
      </c>
      <c r="C132" s="179" t="str">
        <f>CONCATENATE(this_instance,"01-w0",wld_domain_number_chosen,"-r01-esx02",".",sample_child_dns_zone)</f>
        <v>sfo01-w01-r01-esx02.sfo.rainpole.io</v>
      </c>
      <c r="D132" s="66"/>
      <c r="E132" s="42"/>
    </row>
    <row r="133" spans="2:5" ht="20" customHeight="1" x14ac:dyDescent="0.2">
      <c r="B133" s="23" t="s">
        <v>208</v>
      </c>
      <c r="C133" s="179" t="str">
        <f>CONCATENATE(this_instance,"01-w0",wld_domain_number_chosen,"-r01-esx03",".",sample_child_dns_zone)</f>
        <v>sfo01-w01-r01-esx03.sfo.rainpole.io</v>
      </c>
      <c r="D133" s="66"/>
      <c r="E133" s="42"/>
    </row>
    <row r="134" spans="2:5" ht="20" customHeight="1" x14ac:dyDescent="0.2">
      <c r="B134" s="23" t="s">
        <v>210</v>
      </c>
      <c r="C134" s="179" t="str">
        <f>CONCATENATE(this_instance,"01-w0",wld_domain_number_chosen,"-r01-esx04",".",sample_child_dns_zone)</f>
        <v>sfo01-w01-r01-esx04.sfo.rainpole.io</v>
      </c>
      <c r="D134" s="66"/>
      <c r="E134" s="42"/>
    </row>
    <row r="135" spans="2:5" ht="20" customHeight="1" x14ac:dyDescent="0.2">
      <c r="B135" s="23" t="s">
        <v>212</v>
      </c>
      <c r="C135" s="179" t="str">
        <f>CONCATENATE(this_instance,"01-w0",wld_domain_number_chosen,"-r01-esx05",".",sample_child_dns_zone)</f>
        <v>sfo01-w01-r01-esx05.sfo.rainpole.io</v>
      </c>
      <c r="D135" s="66"/>
      <c r="E135" s="42"/>
    </row>
    <row r="136" spans="2:5" ht="20" customHeight="1" x14ac:dyDescent="0.2">
      <c r="B136" s="23" t="s">
        <v>214</v>
      </c>
      <c r="C136" s="179" t="str">
        <f>CONCATENATE(this_instance,"01-w0",wld_domain_number_chosen,"-r01-esx06",".",sample_child_dns_zone)</f>
        <v>sfo01-w01-r01-esx06.sfo.rainpole.io</v>
      </c>
      <c r="D136" s="66"/>
      <c r="E136" s="42"/>
    </row>
    <row r="137" spans="2:5" ht="20" customHeight="1" x14ac:dyDescent="0.2">
      <c r="B137" s="23" t="s">
        <v>216</v>
      </c>
      <c r="C137" s="179" t="str">
        <f>CONCATENATE(this_instance,"01-w0",wld_domain_number_chosen,"-r01-esx07",".",sample_child_dns_zone)</f>
        <v>sfo01-w01-r01-esx07.sfo.rainpole.io</v>
      </c>
      <c r="D137" s="66"/>
      <c r="E137" s="42"/>
    </row>
    <row r="138" spans="2:5" ht="20" customHeight="1" x14ac:dyDescent="0.2">
      <c r="B138" s="23" t="s">
        <v>218</v>
      </c>
      <c r="C138" s="179" t="str">
        <f>CONCATENATE(this_instance,"01-w0",wld_domain_number_chosen,"-r01-esx08",".",sample_child_dns_zone)</f>
        <v>sfo01-w01-r01-esx08.sfo.rainpole.io</v>
      </c>
      <c r="D138" s="66"/>
      <c r="E138" s="42"/>
    </row>
    <row r="139" spans="2:5" ht="20" customHeight="1" x14ac:dyDescent="0.2">
      <c r="B139" s="23" t="s">
        <v>220</v>
      </c>
      <c r="C139" s="179" t="str">
        <f>CONCATENATE(this_instance,"01-w0",wld_domain_number_chosen,"-r01-esx09",".",sample_child_dns_zone)</f>
        <v>sfo01-w01-r01-esx09.sfo.rainpole.io</v>
      </c>
      <c r="D139" s="66"/>
      <c r="E139" s="42"/>
    </row>
    <row r="140" spans="2:5" ht="20" customHeight="1" x14ac:dyDescent="0.2">
      <c r="B140" s="23" t="s">
        <v>222</v>
      </c>
      <c r="C140" s="179" t="str">
        <f>CONCATENATE(this_instance,"01-w0",wld_domain_number_chosen,"-r01-esx10",".",sample_child_dns_zone)</f>
        <v>sfo01-w01-r01-esx10.sfo.rainpole.io</v>
      </c>
      <c r="D140" s="66"/>
      <c r="E140" s="42"/>
    </row>
    <row r="141" spans="2:5" ht="20" customHeight="1" x14ac:dyDescent="0.2">
      <c r="B141" s="23" t="s">
        <v>224</v>
      </c>
      <c r="C141" s="179" t="str">
        <f>CONCATENATE(this_instance,"01-w0",wld_domain_number_chosen,"-r01-esx11",".",sample_child_dns_zone)</f>
        <v>sfo01-w01-r01-esx11.sfo.rainpole.io</v>
      </c>
      <c r="D141" s="66"/>
      <c r="E141" s="42"/>
    </row>
    <row r="142" spans="2:5" ht="20" customHeight="1" x14ac:dyDescent="0.2">
      <c r="B142" s="23" t="s">
        <v>226</v>
      </c>
      <c r="C142" s="179" t="str">
        <f>CONCATENATE(this_instance,"01-w0",wld_domain_number_chosen,"-r01-esx12",".",sample_child_dns_zone)</f>
        <v>sfo01-w01-r01-esx12.sfo.rainpole.io</v>
      </c>
      <c r="D142" s="66"/>
      <c r="E142" s="42"/>
    </row>
    <row r="143" spans="2:5" ht="20" customHeight="1" x14ac:dyDescent="0.2">
      <c r="B143" s="23" t="s">
        <v>228</v>
      </c>
      <c r="C143" s="179" t="str">
        <f>CONCATENATE(this_instance,"01-w0",wld_domain_number_chosen,"-r01-esx13",".",sample_child_dns_zone)</f>
        <v>sfo01-w01-r01-esx13.sfo.rainpole.io</v>
      </c>
      <c r="D143" s="66"/>
      <c r="E143" s="42"/>
    </row>
    <row r="144" spans="2:5" ht="20" customHeight="1" x14ac:dyDescent="0.2">
      <c r="B144" s="23" t="s">
        <v>230</v>
      </c>
      <c r="C144" s="179" t="str">
        <f>CONCATENATE(this_instance,"01-w0",wld_domain_number_chosen,"-r01-esx14",".",sample_child_dns_zone)</f>
        <v>sfo01-w01-r01-esx14.sfo.rainpole.io</v>
      </c>
      <c r="D144" s="66"/>
      <c r="E144" s="42"/>
    </row>
    <row r="145" spans="2:9" ht="20" customHeight="1" x14ac:dyDescent="0.2">
      <c r="B145" s="23" t="s">
        <v>232</v>
      </c>
      <c r="C145" s="179" t="str">
        <f>CONCATENATE(this_instance,"01-w0",wld_domain_number_chosen,"-r01-esx15",".",sample_child_dns_zone)</f>
        <v>sfo01-w01-r01-esx15.sfo.rainpole.io</v>
      </c>
      <c r="D145" s="66"/>
      <c r="E145" s="42"/>
    </row>
    <row r="146" spans="2:9" ht="20" customHeight="1" x14ac:dyDescent="0.2">
      <c r="B146" s="23" t="s">
        <v>234</v>
      </c>
      <c r="C146" s="179" t="str">
        <f>CONCATENATE(this_instance,"01-w0",wld_domain_number_chosen,"-r01-esx16",".",sample_child_dns_zone)</f>
        <v>sfo01-w01-r01-esx16.sfo.rainpole.io</v>
      </c>
      <c r="D146" s="66"/>
      <c r="E146" s="42"/>
    </row>
    <row r="147" spans="2:9" ht="20" customHeight="1" x14ac:dyDescent="0.2">
      <c r="B147" s="23" t="s">
        <v>253</v>
      </c>
      <c r="C147" s="100" t="s">
        <v>254</v>
      </c>
      <c r="D147" s="8" t="str">
        <f>IF(OR(wld_principal_storage_chosen="vSAN-ESA",wld_principal_storage_chosen="vSAN Storage Cluster",wld_principal_storage_chosen="vSAN-OSA",wld_principal_storage_chosen="vSAN Compute Cluster"),"vSAN",
IF(wld_principal_storage_chosen="VMFS on Fibre Channel (FC)","VMFS on FC",
IF(wld_principal_storage_chosen="NFSv3","NFS")))</f>
        <v>vSAN</v>
      </c>
      <c r="E147" s="43" t="s">
        <v>3506</v>
      </c>
    </row>
    <row r="148" spans="2:9" ht="20" customHeight="1" x14ac:dyDescent="0.2">
      <c r="B148" s="23" t="s">
        <v>255</v>
      </c>
      <c r="C148" s="100" t="s">
        <v>256</v>
      </c>
      <c r="D148" s="8" t="str">
        <f>IF(wld_principal_storage_chosen="vSAN Storage Cluster","vSAN Storage",IF(wld_principal_storage_chosen="vSAN Compute Cluster","Compute Cluster",IF(OR(wld_principal_storage_chosen="vSAN-ESA",wld_principal_storage_chosen="vSAN-OSA"),"vSAN HCI","")))</f>
        <v>vSAN HCI</v>
      </c>
      <c r="E148" s="43" t="s">
        <v>3506</v>
      </c>
    </row>
    <row r="149" spans="2:9" ht="20" customHeight="1" x14ac:dyDescent="0.2">
      <c r="B149" s="23" t="s">
        <v>257</v>
      </c>
      <c r="C149" s="100" t="s">
        <v>154</v>
      </c>
      <c r="D149" s="8" t="str">
        <f>IF(OR(wld_principal_storage_chosen="vSAN-ESA",wld_principal_storage_chosen="vSAN Storage Cluster",wld_principal_storage_chosen="vSAN Compute Cluster"),"Selected","Unselected")</f>
        <v>Selected</v>
      </c>
      <c r="E149" s="43" t="s">
        <v>3506</v>
      </c>
    </row>
    <row r="150" spans="2:9" ht="20" customHeight="1" x14ac:dyDescent="0.2">
      <c r="B150" s="23" t="s">
        <v>3630</v>
      </c>
      <c r="C150" s="100" t="s">
        <v>140</v>
      </c>
      <c r="D150" s="66" t="s">
        <v>140</v>
      </c>
      <c r="E150" s="43"/>
    </row>
    <row r="151" spans="2:9" ht="20" customHeight="1" x14ac:dyDescent="0.2">
      <c r="B151" s="23" t="s">
        <v>239</v>
      </c>
      <c r="C151" s="100" t="str">
        <f>sample_wld_az1_pool_name</f>
        <v>sfo01-w01-r01-network-pool-01</v>
      </c>
      <c r="D151" s="8" t="str">
        <f>wld_az1_pool_name</f>
        <v>Value Missing</v>
      </c>
      <c r="E151" s="42"/>
    </row>
    <row r="152" spans="2:9" ht="20" customHeight="1" x14ac:dyDescent="0.2">
      <c r="B152" s="23" t="s">
        <v>47</v>
      </c>
      <c r="C152" s="100" t="s">
        <v>258</v>
      </c>
      <c r="D152" s="66"/>
      <c r="E152" s="42"/>
    </row>
    <row r="153" spans="2:9" s="7" customFormat="1" ht="20" customHeight="1" x14ac:dyDescent="0.2">
      <c r="B153" s="23" t="s">
        <v>30</v>
      </c>
      <c r="C153" s="100" t="s">
        <v>31</v>
      </c>
      <c r="D153" s="66"/>
      <c r="E153" s="42"/>
      <c r="I153" s="53"/>
    </row>
    <row r="154" spans="2:9" ht="16" customHeight="1" x14ac:dyDescent="0.2">
      <c r="B154" s="7"/>
      <c r="C154" s="7"/>
      <c r="D154" s="7"/>
      <c r="E154" s="7"/>
    </row>
    <row r="155" spans="2:9" ht="34" customHeight="1" x14ac:dyDescent="0.2">
      <c r="B155" s="559" t="s">
        <v>3385</v>
      </c>
      <c r="C155" s="560"/>
      <c r="D155" s="560"/>
      <c r="E155" s="561"/>
    </row>
    <row r="156" spans="2:9" ht="16" customHeight="1" x14ac:dyDescent="0.2">
      <c r="B156" s="7"/>
      <c r="C156" s="7"/>
      <c r="D156" s="7"/>
      <c r="E156" s="7"/>
    </row>
    <row r="157" spans="2:9" ht="34" customHeight="1" x14ac:dyDescent="0.2">
      <c r="B157" s="412" t="s">
        <v>688</v>
      </c>
      <c r="C157" s="413"/>
      <c r="D157" s="413"/>
      <c r="E157" s="414"/>
    </row>
    <row r="158" spans="2:9" ht="20" customHeight="1" x14ac:dyDescent="0.2">
      <c r="B158" s="521" t="s">
        <v>651</v>
      </c>
      <c r="C158" s="522"/>
      <c r="D158" s="522"/>
      <c r="E158" s="523"/>
    </row>
    <row r="159" spans="2:9" ht="20" customHeight="1" x14ac:dyDescent="0.2">
      <c r="B159" s="63" t="s">
        <v>18</v>
      </c>
      <c r="C159" s="63" t="s">
        <v>19</v>
      </c>
      <c r="D159" s="63" t="s">
        <v>20</v>
      </c>
      <c r="E159" s="63" t="s">
        <v>21</v>
      </c>
    </row>
    <row r="160" spans="2:9" ht="20" customHeight="1" x14ac:dyDescent="0.2">
      <c r="B160" s="23" t="s">
        <v>652</v>
      </c>
      <c r="C160" s="65" t="str">
        <f>CONCATENATE(this_instance,"-w0",wld_domain_number_chosen)</f>
        <v>sfo-w01</v>
      </c>
      <c r="D160" s="66"/>
      <c r="E160" s="42"/>
    </row>
    <row r="161" spans="2:5" ht="20" customHeight="1" x14ac:dyDescent="0.2">
      <c r="B161" s="23" t="s">
        <v>1058</v>
      </c>
      <c r="C161" s="65" t="s">
        <v>3202</v>
      </c>
      <c r="D161" s="8" t="str">
        <f>IF(wld_domain_chosen="Deploy infrastructure only","Deploy infrastructure only","Full deployment with cluster")</f>
        <v>Full deployment with cluster</v>
      </c>
      <c r="E161" s="42"/>
    </row>
    <row r="162" spans="2:5" ht="20" customHeight="1" x14ac:dyDescent="0.2">
      <c r="B162" s="180" t="s">
        <v>689</v>
      </c>
      <c r="C162" s="65" t="s">
        <v>176</v>
      </c>
      <c r="D162" s="8" t="str">
        <f>wld_iaas_chosen</f>
        <v>Exclude</v>
      </c>
      <c r="E162" s="323" t="str">
        <f>IF(wld_domain_deployment_type="Deploy infrastructure only","Requires full deployment type to deploy now, but can be added later through vSphere UI after cluster creation.","Value is set based on choice in the Virtual Infrastructure (VI) Workload Domain: Deployment Options")</f>
        <v>Value is set based on choice in the Virtual Infrastructure (VI) Workload Domain: Deployment Options</v>
      </c>
    </row>
    <row r="163" spans="2:5" ht="20" customHeight="1" x14ac:dyDescent="0.2">
      <c r="B163" s="180" t="s">
        <v>3188</v>
      </c>
      <c r="C163" s="65" t="s">
        <v>13</v>
      </c>
      <c r="D163" s="66" t="s">
        <v>13</v>
      </c>
      <c r="E163" s="323" t="s">
        <v>3360</v>
      </c>
    </row>
    <row r="164" spans="2:5" ht="20" customHeight="1" x14ac:dyDescent="0.2">
      <c r="B164" s="23" t="s">
        <v>691</v>
      </c>
      <c r="C164" s="65" t="s">
        <v>140</v>
      </c>
      <c r="D164" s="66" t="s">
        <v>154</v>
      </c>
      <c r="E164" s="42"/>
    </row>
    <row r="165" spans="2:5" ht="16" customHeight="1" x14ac:dyDescent="0.2">
      <c r="B165" s="7"/>
      <c r="C165" s="7"/>
      <c r="D165" s="7"/>
      <c r="E165" s="7"/>
    </row>
    <row r="166" spans="2:5" ht="34" customHeight="1" x14ac:dyDescent="0.2">
      <c r="B166" s="412" t="s">
        <v>693</v>
      </c>
      <c r="C166" s="413"/>
      <c r="D166" s="413"/>
      <c r="E166" s="414"/>
    </row>
    <row r="167" spans="2:5" ht="20" customHeight="1" x14ac:dyDescent="0.2">
      <c r="B167" s="521" t="s">
        <v>693</v>
      </c>
      <c r="C167" s="522"/>
      <c r="D167" s="522"/>
      <c r="E167" s="523"/>
    </row>
    <row r="168" spans="2:5" ht="20" customHeight="1" x14ac:dyDescent="0.2">
      <c r="B168" s="63" t="s">
        <v>18</v>
      </c>
      <c r="C168" s="63" t="s">
        <v>19</v>
      </c>
      <c r="D168" s="63" t="s">
        <v>20</v>
      </c>
      <c r="E168" s="63" t="s">
        <v>21</v>
      </c>
    </row>
    <row r="169" spans="2:5" ht="19" customHeight="1" x14ac:dyDescent="0.2">
      <c r="B169" s="23" t="s">
        <v>694</v>
      </c>
      <c r="C169" s="153" t="str">
        <f>CONCATENATE(this_instance,"-w0",wld_domain_number_chosen,"-vc01",".",sample_child_dns_zone)</f>
        <v>sfo-w01-vc01.sfo.rainpole.io</v>
      </c>
      <c r="D169" s="66"/>
      <c r="E169" s="42"/>
    </row>
    <row r="170" spans="2:5" ht="19" customHeight="1" x14ac:dyDescent="0.2">
      <c r="B170" s="23" t="s">
        <v>695</v>
      </c>
      <c r="C170" s="153" t="s">
        <v>137</v>
      </c>
      <c r="D170" s="66"/>
      <c r="E170" s="42"/>
    </row>
    <row r="171" spans="2:5" ht="20" customHeight="1" x14ac:dyDescent="0.2">
      <c r="B171" s="23" t="s">
        <v>690</v>
      </c>
      <c r="C171" s="65" t="str">
        <f>CONCATENATE(this_instance,"-w0",wld_domain_number_chosen,".local")</f>
        <v>sfo-w01.local</v>
      </c>
      <c r="D171" s="66"/>
      <c r="E171" s="42"/>
    </row>
    <row r="172" spans="2:5" ht="20" customHeight="1" x14ac:dyDescent="0.2">
      <c r="B172" s="23" t="s">
        <v>692</v>
      </c>
      <c r="C172" s="65" t="s">
        <v>137</v>
      </c>
      <c r="D172" s="66"/>
      <c r="E172" s="42"/>
    </row>
    <row r="173" spans="2:5" ht="16" customHeight="1" x14ac:dyDescent="0.2">
      <c r="B173" s="7"/>
      <c r="C173" s="7"/>
      <c r="D173" s="7"/>
      <c r="E173" s="7"/>
    </row>
    <row r="174" spans="2:5" ht="34" customHeight="1" x14ac:dyDescent="0.2">
      <c r="B174" s="412" t="s">
        <v>634</v>
      </c>
      <c r="C174" s="413"/>
      <c r="D174" s="413"/>
      <c r="E174" s="414"/>
    </row>
    <row r="175" spans="2:5" ht="20" customHeight="1" x14ac:dyDescent="0.2">
      <c r="B175" s="521" t="s">
        <v>696</v>
      </c>
      <c r="C175" s="522"/>
      <c r="D175" s="522"/>
      <c r="E175" s="523"/>
    </row>
    <row r="176" spans="2:5" ht="20" customHeight="1" x14ac:dyDescent="0.2">
      <c r="B176" s="63" t="s">
        <v>18</v>
      </c>
      <c r="C176" s="63" t="s">
        <v>19</v>
      </c>
      <c r="D176" s="63" t="s">
        <v>20</v>
      </c>
      <c r="E176" s="63" t="s">
        <v>21</v>
      </c>
    </row>
    <row r="177" spans="2:5" ht="20" customHeight="1" x14ac:dyDescent="0.2">
      <c r="B177" s="23" t="s">
        <v>200</v>
      </c>
      <c r="C177" s="65" t="str">
        <f>CONCATENATE(this_instance,"-w0",wld_domain_number_chosen,"-cl01")</f>
        <v>sfo-w01-cl01</v>
      </c>
      <c r="D177" s="66"/>
      <c r="E177" s="42"/>
    </row>
    <row r="178" spans="2:5" ht="19" customHeight="1" x14ac:dyDescent="0.2">
      <c r="B178" s="23" t="s">
        <v>697</v>
      </c>
      <c r="C178" s="65" t="str">
        <f>CONCATENATE(this_instance,"-w0",wld_domain_number_chosen,"-zn01")</f>
        <v>sfo-w01-zn01</v>
      </c>
      <c r="D178" s="66"/>
      <c r="E178" s="8" t="str">
        <f>IF(wld_iaas_chosen="Exclude","This value is masked out as you have chosen not to deploy vSphere Supervisor with NSX VPC Networking","")</f>
        <v>This value is masked out as you have chosen not to deploy vSphere Supervisor with NSX VPC Networking</v>
      </c>
    </row>
    <row r="179" spans="2:5" ht="16" customHeight="1" x14ac:dyDescent="0.2">
      <c r="B179" s="7"/>
      <c r="C179" s="7"/>
      <c r="D179" s="7"/>
      <c r="E179" s="7"/>
    </row>
    <row r="180" spans="2:5" ht="34" customHeight="1" x14ac:dyDescent="0.2">
      <c r="B180" s="412" t="s">
        <v>698</v>
      </c>
      <c r="C180" s="413"/>
      <c r="D180" s="413"/>
      <c r="E180" s="414"/>
    </row>
    <row r="181" spans="2:5" ht="20" customHeight="1" x14ac:dyDescent="0.2">
      <c r="B181" s="521" t="s">
        <v>699</v>
      </c>
      <c r="C181" s="522"/>
      <c r="D181" s="522"/>
      <c r="E181" s="523"/>
    </row>
    <row r="182" spans="2:5" ht="19" customHeight="1" x14ac:dyDescent="0.2">
      <c r="B182" s="23" t="s">
        <v>698</v>
      </c>
      <c r="C182" s="65" t="str">
        <f>CONCATENATE(this_instance,"-w0",wld_domain_number_chosen,"-cl01")</f>
        <v>sfo-w01-cl01</v>
      </c>
      <c r="D182" s="66"/>
      <c r="E182" s="42"/>
    </row>
    <row r="183" spans="2:5" ht="16" customHeight="1" x14ac:dyDescent="0.2">
      <c r="B183" s="7"/>
      <c r="C183" s="7"/>
      <c r="D183" s="7"/>
      <c r="E183" s="7"/>
    </row>
    <row r="184" spans="2:5" ht="34" customHeight="1" x14ac:dyDescent="0.2">
      <c r="B184" s="412" t="s">
        <v>661</v>
      </c>
      <c r="C184" s="413"/>
      <c r="D184" s="413"/>
      <c r="E184" s="414"/>
    </row>
    <row r="185" spans="2:5" ht="20" customHeight="1" x14ac:dyDescent="0.2">
      <c r="B185" s="521" t="s">
        <v>662</v>
      </c>
      <c r="C185" s="522"/>
      <c r="D185" s="522"/>
      <c r="E185" s="523"/>
    </row>
    <row r="186" spans="2:5" ht="20" customHeight="1" x14ac:dyDescent="0.2">
      <c r="B186" s="63" t="s">
        <v>18</v>
      </c>
      <c r="C186" s="63" t="s">
        <v>19</v>
      </c>
      <c r="D186" s="63" t="s">
        <v>20</v>
      </c>
      <c r="E186" s="63" t="s">
        <v>21</v>
      </c>
    </row>
    <row r="187" spans="2:5" ht="20" customHeight="1" x14ac:dyDescent="0.2">
      <c r="B187" s="23" t="s">
        <v>663</v>
      </c>
      <c r="C187" s="65" t="s">
        <v>3190</v>
      </c>
      <c r="D187" s="66" t="s">
        <v>3190</v>
      </c>
      <c r="E187" s="8" t="str">
        <f>IF(wld_cl01_nsxt_deployent_type_chosen="Create new NSX Manager instance","Recommended if creating a domain that does not need workload mobility with an existing domain", "Recommended if workload mobility and common networking policy with an existing domain is required")</f>
        <v>Recommended if creating a domain that does not need workload mobility with an existing domain</v>
      </c>
    </row>
    <row r="188" spans="2:5" ht="20" customHeight="1" x14ac:dyDescent="0.2">
      <c r="B188" s="521" t="s">
        <v>3189</v>
      </c>
      <c r="C188" s="522"/>
      <c r="D188" s="522"/>
      <c r="E188" s="523"/>
    </row>
    <row r="189" spans="2:5" ht="20" customHeight="1" x14ac:dyDescent="0.2">
      <c r="B189" s="63" t="s">
        <v>18</v>
      </c>
      <c r="C189" s="63" t="s">
        <v>19</v>
      </c>
      <c r="D189" s="63" t="s">
        <v>20</v>
      </c>
      <c r="E189" s="63" t="s">
        <v>21</v>
      </c>
    </row>
    <row r="190" spans="2:5" ht="20" customHeight="1" x14ac:dyDescent="0.2">
      <c r="B190" s="23" t="s">
        <v>665</v>
      </c>
      <c r="C190" s="65" t="s">
        <v>700</v>
      </c>
      <c r="D190" s="66" t="s">
        <v>700</v>
      </c>
      <c r="E190" s="8"/>
    </row>
    <row r="191" spans="2:5" ht="20" customHeight="1" x14ac:dyDescent="0.2">
      <c r="B191" s="23" t="s">
        <v>667</v>
      </c>
      <c r="C191" s="65" t="s">
        <v>92</v>
      </c>
      <c r="D191" s="66" t="s">
        <v>92</v>
      </c>
      <c r="E191" s="8"/>
    </row>
    <row r="192" spans="2:5" ht="20" customHeight="1" x14ac:dyDescent="0.2">
      <c r="B192" s="23" t="s">
        <v>668</v>
      </c>
      <c r="C192" s="153" t="str">
        <f>CONCATENATE(this_instance,"-w0",wld_domain_number_chosen,"-nsx01a",".",sample_child_dns_zone)</f>
        <v>sfo-w01-nsx01a.sfo.rainpole.io</v>
      </c>
      <c r="D192" s="181"/>
      <c r="E192" s="8" t="s">
        <v>669</v>
      </c>
    </row>
    <row r="193" spans="2:5" ht="20" customHeight="1" x14ac:dyDescent="0.2">
      <c r="B193" s="23" t="s">
        <v>701</v>
      </c>
      <c r="C193" s="153" t="str">
        <f>IF(mgmt_dpg_reuse_result="Included",CONCATENATE(prefix_mgmt_az1_cidr,"10.",(132 + (30*(wld_domain_number_chosen - 1)))),CONCATENATE(prefix_mgmt_az1_cidr,"11.",(132 + (30*(wld_domain_number_chosen - 1)))))</f>
        <v>10.11.10.132</v>
      </c>
      <c r="D193" s="66"/>
      <c r="E193" s="8" t="s">
        <v>3057</v>
      </c>
    </row>
    <row r="194" spans="2:5" ht="20" customHeight="1" x14ac:dyDescent="0.2">
      <c r="B194" s="23" t="s">
        <v>670</v>
      </c>
      <c r="C194" s="153" t="str">
        <f>CONCATENATE(this_instance,"-w0",wld_domain_number_chosen,"-nsx01b",".",sample_child_dns_zone)</f>
        <v>sfo-w01-nsx01b.sfo.rainpole.io</v>
      </c>
      <c r="D194" s="66"/>
      <c r="E194" s="8" t="s">
        <v>671</v>
      </c>
    </row>
    <row r="195" spans="2:5" ht="20" customHeight="1" x14ac:dyDescent="0.2">
      <c r="B195" s="23" t="s">
        <v>702</v>
      </c>
      <c r="C195" s="153" t="str">
        <f>IF(mgmt_dpg_reuse_result="Included",CONCATENATE(prefix_mgmt_az1_cidr,"10.",(133 + (30*(wld_domain_number_chosen - 1)))),CONCATENATE(prefix_mgmt_az1_cidr,"11.",(133 + (30*(wld_domain_number_chosen - 1)))))</f>
        <v>10.11.10.133</v>
      </c>
      <c r="D195" s="66"/>
      <c r="E195" s="8" t="s">
        <v>3057</v>
      </c>
    </row>
    <row r="196" spans="2:5" ht="20" customHeight="1" x14ac:dyDescent="0.2">
      <c r="B196" s="23" t="s">
        <v>672</v>
      </c>
      <c r="C196" s="153" t="str">
        <f>CONCATENATE(this_instance,"-w0",wld_domain_number_chosen,"-nsx01c",".",sample_child_dns_zone)</f>
        <v>sfo-w01-nsx01c.sfo.rainpole.io</v>
      </c>
      <c r="D196" s="66"/>
      <c r="E196" s="8" t="s">
        <v>673</v>
      </c>
    </row>
    <row r="197" spans="2:5" ht="20" customHeight="1" x14ac:dyDescent="0.2">
      <c r="B197" s="23" t="s">
        <v>703</v>
      </c>
      <c r="C197" s="153" t="str">
        <f>IF(mgmt_dpg_reuse_result="Included",CONCATENATE(prefix_mgmt_az1_cidr,"10.",(134 + (30*(wld_domain_number_chosen - 1)))),CONCATENATE(prefix_mgmt_az1_cidr,"11.",(134 + (30*(wld_domain_number_chosen - 1)))))</f>
        <v>10.11.10.134</v>
      </c>
      <c r="D197" s="66"/>
      <c r="E197" s="8" t="s">
        <v>3057</v>
      </c>
    </row>
    <row r="198" spans="2:5" ht="20" customHeight="1" x14ac:dyDescent="0.2">
      <c r="B198" s="23" t="s">
        <v>674</v>
      </c>
      <c r="C198" s="153" t="str">
        <f>CONCATENATE(this_instance,"-w0",wld_domain_number_chosen,"-nsx01",".",sample_child_dns_zone)</f>
        <v>sfo-w01-nsx01.sfo.rainpole.io</v>
      </c>
      <c r="D198" s="181"/>
      <c r="E198" s="8" t="str">
        <f>IF(wld_cl01_nsxt_deployent_type_chosen="Join existing NSX Manager instance","VPCs will span across workload domains that are connected to this NSX Manager instance. NSX Manager VIP","NSX Manager / Local Manager VIP")</f>
        <v>NSX Manager / Local Manager VIP</v>
      </c>
    </row>
    <row r="199" spans="2:5" ht="20" customHeight="1" x14ac:dyDescent="0.2">
      <c r="B199" s="23" t="s">
        <v>704</v>
      </c>
      <c r="C199" s="153" t="str">
        <f>IF(mgmt_dpg_reuse_result="Included",CONCATENATE(prefix_mgmt_az1_cidr,"10.",(131+(30*(wld_domain_number_chosen-1)))),CONCATENATE(prefix_mgmt_az1_cidr,"11.",(131+(30*(wld_domain_number_chosen-1)))))</f>
        <v>10.11.10.131</v>
      </c>
      <c r="D199" s="66"/>
      <c r="E199" s="8" t="s">
        <v>3057</v>
      </c>
    </row>
    <row r="200" spans="2:5" ht="20" customHeight="1" x14ac:dyDescent="0.2">
      <c r="B200" s="23" t="s">
        <v>189</v>
      </c>
      <c r="C200" s="65" t="s">
        <v>137</v>
      </c>
      <c r="D200" s="66"/>
      <c r="E200" s="42"/>
    </row>
    <row r="201" spans="2:5" ht="20" customHeight="1" x14ac:dyDescent="0.2">
      <c r="B201" s="23" t="s">
        <v>3631</v>
      </c>
      <c r="C201" s="65" t="s">
        <v>137</v>
      </c>
      <c r="D201" s="66"/>
      <c r="E201" s="42"/>
    </row>
    <row r="202" spans="2:5" ht="20" customHeight="1" x14ac:dyDescent="0.2">
      <c r="B202" s="23" t="s">
        <v>3610</v>
      </c>
      <c r="C202" s="65" t="s">
        <v>3611</v>
      </c>
      <c r="D202" s="66" t="s">
        <v>3712</v>
      </c>
      <c r="E202" s="8"/>
    </row>
    <row r="203" spans="2:5" ht="20" customHeight="1" x14ac:dyDescent="0.2">
      <c r="B203" s="23" t="s">
        <v>706</v>
      </c>
      <c r="C203" s="65" t="s">
        <v>83</v>
      </c>
      <c r="D203" s="66" t="s">
        <v>3191</v>
      </c>
      <c r="E203" s="8" t="str">
        <f>IF(wld_centralized_connectivity_chosen="Centralized connectivity","Centralized connectivity will be configured after WLD deployed is complete by a secondary workflow","Distributed connectivity will place the VNA appliances on the ESX Management network.")</f>
        <v>Distributed connectivity will place the VNA appliances on the ESX Management network.</v>
      </c>
    </row>
    <row r="204" spans="2:5" ht="20" customHeight="1" x14ac:dyDescent="0.2">
      <c r="B204" s="23" t="s">
        <v>85</v>
      </c>
      <c r="C204" s="65" t="str">
        <f>CONCATENATE(prefix_wld_az1_vlan,98)</f>
        <v>1398</v>
      </c>
      <c r="D204" s="66"/>
      <c r="E204" s="8"/>
    </row>
    <row r="205" spans="2:5" ht="20" customHeight="1" x14ac:dyDescent="0.2">
      <c r="B205" s="23" t="s">
        <v>707</v>
      </c>
      <c r="C205" s="65" t="str">
        <f>CONCATENATE(prefix_wld_az1_cidr,"98.1/24")</f>
        <v>10.13.98.1/24</v>
      </c>
      <c r="D205" s="66"/>
      <c r="E205" s="8"/>
    </row>
    <row r="206" spans="2:5" ht="20" customHeight="1" x14ac:dyDescent="0.2">
      <c r="B206" s="23" t="s">
        <v>3192</v>
      </c>
      <c r="C206" s="65" t="str">
        <f>CONCATENATE(this_instance,"-w0",wld_domain_number_chosen,"-vna01",".",sample_child_dns_zone)</f>
        <v>sfo-w01-vna01.sfo.rainpole.io</v>
      </c>
      <c r="D206" s="66"/>
      <c r="E206" s="8" t="s">
        <v>3633</v>
      </c>
    </row>
    <row r="207" spans="2:5" ht="20" customHeight="1" x14ac:dyDescent="0.2">
      <c r="B207" s="23" t="s">
        <v>3193</v>
      </c>
      <c r="C207" s="65" t="str">
        <f>CONCATENATE(this_instance,"-w0",wld_domain_number_chosen,"-vna02",".",sample_child_dns_zone)</f>
        <v>sfo-w01-vna02.sfo.rainpole.io</v>
      </c>
      <c r="D207" s="66"/>
      <c r="E207" s="8" t="s">
        <v>3633</v>
      </c>
    </row>
    <row r="208" spans="2:5" ht="20" customHeight="1" x14ac:dyDescent="0.2">
      <c r="B208" s="23" t="s">
        <v>3632</v>
      </c>
      <c r="C208" s="65" t="s">
        <v>140</v>
      </c>
      <c r="D208" s="66" t="s">
        <v>154</v>
      </c>
      <c r="E208" s="8"/>
    </row>
    <row r="209" spans="2:5" ht="20" customHeight="1" x14ac:dyDescent="0.2">
      <c r="B209" s="23" t="s">
        <v>85</v>
      </c>
      <c r="C209" s="165" t="str">
        <f>CONCATENATE(prefix_wld_az1_vlan,"10")</f>
        <v>1310</v>
      </c>
      <c r="D209" s="66"/>
      <c r="E209" s="8"/>
    </row>
    <row r="210" spans="2:5" ht="20" customHeight="1" x14ac:dyDescent="0.2">
      <c r="B210" s="23" t="s">
        <v>707</v>
      </c>
      <c r="C210" s="166" t="str">
        <f>CONCATENATE(prefix_wld_az1_cidr,"10.1/24")</f>
        <v>10.13.10.1/24</v>
      </c>
      <c r="D210" s="66"/>
      <c r="E210" s="8"/>
    </row>
    <row r="211" spans="2:5" ht="16" customHeight="1" x14ac:dyDescent="0.2">
      <c r="B211" s="7"/>
      <c r="C211" s="7"/>
      <c r="D211" s="7"/>
      <c r="E211" s="7"/>
    </row>
    <row r="212" spans="2:5" ht="34" customHeight="1" x14ac:dyDescent="0.2">
      <c r="B212" s="412" t="s">
        <v>708</v>
      </c>
      <c r="C212" s="413"/>
      <c r="D212" s="413"/>
      <c r="E212" s="414"/>
    </row>
    <row r="213" spans="2:5" ht="20" customHeight="1" x14ac:dyDescent="0.2">
      <c r="B213" s="521" t="s">
        <v>699</v>
      </c>
      <c r="C213" s="522"/>
      <c r="D213" s="522"/>
      <c r="E213" s="523"/>
    </row>
    <row r="214" spans="2:5" ht="20" customHeight="1" x14ac:dyDescent="0.2">
      <c r="B214" s="63" t="s">
        <v>18</v>
      </c>
      <c r="C214" s="63" t="s">
        <v>19</v>
      </c>
      <c r="D214" s="63" t="s">
        <v>20</v>
      </c>
      <c r="E214" s="63" t="s">
        <v>21</v>
      </c>
    </row>
    <row r="215" spans="2:5" ht="19" customHeight="1" x14ac:dyDescent="0.2">
      <c r="B215" s="23" t="s">
        <v>709</v>
      </c>
      <c r="C215" s="65" t="s">
        <v>254</v>
      </c>
      <c r="D215" s="8" t="str">
        <f>D147</f>
        <v>vSAN</v>
      </c>
      <c r="E215" s="43" t="s">
        <v>3409</v>
      </c>
    </row>
    <row r="216" spans="2:5" ht="19" customHeight="1" x14ac:dyDescent="0.2">
      <c r="B216" s="23" t="s">
        <v>710</v>
      </c>
      <c r="C216" s="65" t="s">
        <v>154</v>
      </c>
      <c r="D216" s="8" t="str">
        <f>IF(OR(wld_principal_storage_chosen="vSAN-ESA",wld_principal_storage_chosen="vSAN Storage Cluster",wld_principal_storage_chosen="vSAN Compute Cluster"),"Selected","Unselected")</f>
        <v>Selected</v>
      </c>
      <c r="E216" s="43" t="s">
        <v>3409</v>
      </c>
    </row>
    <row r="217" spans="2:5" ht="19" customHeight="1" x14ac:dyDescent="0.2">
      <c r="B217" s="23" t="s">
        <v>3612</v>
      </c>
      <c r="C217" s="65" t="s">
        <v>140</v>
      </c>
      <c r="D217" s="8" t="str">
        <f>wld_vsan_esa_hcl_check_chosen</f>
        <v>Unselected</v>
      </c>
      <c r="E217" s="43"/>
    </row>
    <row r="218" spans="2:5" ht="20" customHeight="1" x14ac:dyDescent="0.2">
      <c r="B218" s="4" t="s">
        <v>711</v>
      </c>
      <c r="C218" s="65" t="s">
        <v>712</v>
      </c>
      <c r="D218" s="8" t="str">
        <f>D148</f>
        <v>vSAN HCI</v>
      </c>
      <c r="E218" s="8" t="str">
        <f>IF(D148="vSAN Storage","A dedicated cluster of hosts providing a distributed decoupled storage solution for vSphere cluster","A software-defined infrastructure that combines compute and storage into a single integrated system.")</f>
        <v>A software-defined infrastructure that combines compute and storage into a single integrated system.</v>
      </c>
    </row>
    <row r="219" spans="2:5" ht="20" customHeight="1" x14ac:dyDescent="0.2">
      <c r="B219" s="4" t="s">
        <v>268</v>
      </c>
      <c r="C219" s="65" t="str">
        <f>CONCATENATE(sample_wld_sddc_domain,"-",sample_wld_cl01_cluster,"-vsan01")</f>
        <v>sfo-w01-sfo-w01-cl01-vsan01</v>
      </c>
      <c r="D219" s="66"/>
      <c r="E219" s="8" t="s">
        <v>3058</v>
      </c>
    </row>
    <row r="220" spans="2:5" ht="20" customHeight="1" x14ac:dyDescent="0.2">
      <c r="B220" s="4" t="s">
        <v>713</v>
      </c>
      <c r="C220" s="65" t="s">
        <v>140</v>
      </c>
      <c r="D220" s="8" t="str">
        <f>IF(wld_secondary_storage_chosen="vSAN Storage Client Network","Selected","Unselected")</f>
        <v>Unselected</v>
      </c>
      <c r="E220" s="323" t="s">
        <v>3407</v>
      </c>
    </row>
    <row r="221" spans="2:5" ht="20" customHeight="1" x14ac:dyDescent="0.2">
      <c r="B221" s="4" t="str">
        <f>IF(wld_principal_storage_chosen="vSAN-ESA","Storage Policy", "vSAN: Failures to Tolerate (FTT)")</f>
        <v>Storage Policy</v>
      </c>
      <c r="C221" s="65">
        <v>1</v>
      </c>
      <c r="D221" s="66">
        <v>1</v>
      </c>
      <c r="E221" s="323" t="s">
        <v>3408</v>
      </c>
    </row>
    <row r="222" spans="2:5" ht="20" customHeight="1" x14ac:dyDescent="0.2">
      <c r="B222" s="4" t="s">
        <v>3194</v>
      </c>
      <c r="C222" s="65" t="s">
        <v>140</v>
      </c>
      <c r="D222" s="66" t="s">
        <v>154</v>
      </c>
      <c r="E222" s="42"/>
    </row>
    <row r="223" spans="2:5" ht="20" customHeight="1" x14ac:dyDescent="0.2">
      <c r="B223" s="4" t="s">
        <v>3195</v>
      </c>
      <c r="C223" s="65" t="s">
        <v>724</v>
      </c>
      <c r="D223" s="66" t="s">
        <v>724</v>
      </c>
      <c r="E223" s="43"/>
    </row>
    <row r="224" spans="2:5" ht="20" customHeight="1" x14ac:dyDescent="0.2">
      <c r="B224" s="23" t="s">
        <v>3209</v>
      </c>
      <c r="C224" s="65" t="s">
        <v>3196</v>
      </c>
      <c r="D224" s="66" t="s">
        <v>3196</v>
      </c>
      <c r="E224" s="42"/>
    </row>
    <row r="225" spans="2:5" ht="20" customHeight="1" x14ac:dyDescent="0.2">
      <c r="B225" s="23" t="s">
        <v>3210</v>
      </c>
      <c r="C225" s="65">
        <v>1440</v>
      </c>
      <c r="D225" s="66"/>
      <c r="E225" s="43" t="s">
        <v>3204</v>
      </c>
    </row>
    <row r="226" spans="2:5" ht="20" customHeight="1" x14ac:dyDescent="0.2">
      <c r="B226" s="4" t="s">
        <v>715</v>
      </c>
      <c r="C226" s="65" t="s">
        <v>140</v>
      </c>
      <c r="D226" s="66" t="s">
        <v>140</v>
      </c>
      <c r="E226" s="42"/>
    </row>
    <row r="227" spans="2:5" ht="20" customHeight="1" x14ac:dyDescent="0.2">
      <c r="B227" s="182" t="s">
        <v>716</v>
      </c>
      <c r="C227" s="65" t="str">
        <f>CONCATENATE(this_instance,"-w0",wld_domain_number_chosen,"-cl01-ds-vmfs01")</f>
        <v>sfo-w01-cl01-ds-vmfs01</v>
      </c>
      <c r="D227" s="66"/>
      <c r="E227" s="42"/>
    </row>
    <row r="228" spans="2:5" ht="20" customHeight="1" x14ac:dyDescent="0.2">
      <c r="B228" s="30" t="s">
        <v>717</v>
      </c>
      <c r="C228" s="65" t="str">
        <f>CONCATENATE(this_instance,"-w0",wld_domain_number_chosen,"-cl01-ds-nfs01")</f>
        <v>sfo-w01-cl01-ds-nfs01</v>
      </c>
      <c r="D228" s="66"/>
      <c r="E228" s="42"/>
    </row>
    <row r="229" spans="2:5" ht="20" customHeight="1" x14ac:dyDescent="0.2">
      <c r="B229" s="30" t="s">
        <v>3197</v>
      </c>
      <c r="C229" s="65" t="str">
        <f>CONCATENATE(this_instance,"-w0",wld_domain_number_chosen,"-cl01-ds-nfs01-share")</f>
        <v>sfo-w01-cl01-ds-nfs01-share</v>
      </c>
      <c r="D229" s="66"/>
      <c r="E229" s="42"/>
    </row>
    <row r="230" spans="2:5" ht="19" customHeight="1" x14ac:dyDescent="0.2">
      <c r="B230" s="30" t="s">
        <v>3198</v>
      </c>
      <c r="C230" s="65" t="str">
        <f>CONCATENATE(prefix_wld_az1_cidr,"15.4")</f>
        <v>10.13.15.4</v>
      </c>
      <c r="D230" s="66"/>
      <c r="E230" s="42"/>
    </row>
    <row r="231" spans="2:5" ht="16" customHeight="1" x14ac:dyDescent="0.2">
      <c r="B231" s="7"/>
      <c r="C231" s="7"/>
      <c r="D231" s="7"/>
      <c r="E231" s="7"/>
    </row>
    <row r="232" spans="2:5" ht="34" customHeight="1" x14ac:dyDescent="0.2">
      <c r="B232" s="412" t="s">
        <v>720</v>
      </c>
      <c r="C232" s="413"/>
      <c r="D232" s="413"/>
      <c r="E232" s="414"/>
    </row>
    <row r="233" spans="2:5" ht="20" customHeight="1" x14ac:dyDescent="0.2">
      <c r="B233" s="521"/>
      <c r="C233" s="522"/>
      <c r="D233" s="522"/>
      <c r="E233" s="523"/>
    </row>
    <row r="234" spans="2:5" ht="20" customHeight="1" x14ac:dyDescent="0.2">
      <c r="B234" s="63" t="s">
        <v>18</v>
      </c>
      <c r="C234" s="63" t="s">
        <v>19</v>
      </c>
      <c r="D234" s="63" t="s">
        <v>20</v>
      </c>
      <c r="E234" s="63" t="s">
        <v>21</v>
      </c>
    </row>
    <row r="235" spans="2:5" ht="20" customHeight="1" x14ac:dyDescent="0.2">
      <c r="B235" s="23" t="s">
        <v>204</v>
      </c>
      <c r="C235" s="65" t="str">
        <f t="array" ref="C235:C250">sample_wld_az1_host_fqdns</f>
        <v>sfo01-w01-r01-esx01.sfo.rainpole.io</v>
      </c>
      <c r="D235" s="8" t="str">
        <f t="array" ref="D235:D250">wld_az1_host_fqdns</f>
        <v>Value Missing</v>
      </c>
      <c r="E235" s="42"/>
    </row>
    <row r="236" spans="2:5" ht="20" customHeight="1" x14ac:dyDescent="0.2">
      <c r="B236" s="23" t="s">
        <v>206</v>
      </c>
      <c r="C236" s="65" t="str">
        <v>sfo01-w01-r01-esx02.sfo.rainpole.io</v>
      </c>
      <c r="D236" s="8" t="str">
        <v>Value Missing</v>
      </c>
      <c r="E236" s="42"/>
    </row>
    <row r="237" spans="2:5" ht="20" customHeight="1" x14ac:dyDescent="0.2">
      <c r="B237" s="23" t="s">
        <v>208</v>
      </c>
      <c r="C237" s="65" t="str">
        <v>sfo01-w01-r01-esx03.sfo.rainpole.io</v>
      </c>
      <c r="D237" s="8" t="str">
        <v>Value Missing</v>
      </c>
      <c r="E237" s="42"/>
    </row>
    <row r="238" spans="2:5" ht="20" customHeight="1" x14ac:dyDescent="0.2">
      <c r="B238" s="23" t="s">
        <v>210</v>
      </c>
      <c r="C238" s="65" t="str">
        <v>sfo01-w01-r01-esx04.sfo.rainpole.io</v>
      </c>
      <c r="D238" s="8" t="str">
        <v>Value Missing</v>
      </c>
      <c r="E238" s="42"/>
    </row>
    <row r="239" spans="2:5" ht="20" customHeight="1" x14ac:dyDescent="0.2">
      <c r="B239" s="23" t="s">
        <v>212</v>
      </c>
      <c r="C239" s="65" t="str">
        <v>sfo01-w01-r01-esx05.sfo.rainpole.io</v>
      </c>
      <c r="D239" s="8" t="str">
        <v>Value Missing</v>
      </c>
      <c r="E239" s="23"/>
    </row>
    <row r="240" spans="2:5" ht="20" customHeight="1" x14ac:dyDescent="0.2">
      <c r="B240" s="23" t="s">
        <v>214</v>
      </c>
      <c r="C240" s="65" t="str">
        <v>sfo01-w01-r01-esx06.sfo.rainpole.io</v>
      </c>
      <c r="D240" s="8" t="str">
        <v>Value Missing</v>
      </c>
      <c r="E240" s="23"/>
    </row>
    <row r="241" spans="2:5" ht="20" customHeight="1" x14ac:dyDescent="0.2">
      <c r="B241" s="23" t="s">
        <v>216</v>
      </c>
      <c r="C241" s="65" t="str">
        <v>sfo01-w01-r01-esx07.sfo.rainpole.io</v>
      </c>
      <c r="D241" s="8" t="str">
        <v>Value Missing</v>
      </c>
      <c r="E241" s="23"/>
    </row>
    <row r="242" spans="2:5" ht="20" customHeight="1" x14ac:dyDescent="0.2">
      <c r="B242" s="23" t="s">
        <v>218</v>
      </c>
      <c r="C242" s="65" t="str">
        <v>sfo01-w01-r01-esx08.sfo.rainpole.io</v>
      </c>
      <c r="D242" s="8" t="str">
        <v>Value Missing</v>
      </c>
      <c r="E242" s="23"/>
    </row>
    <row r="243" spans="2:5" ht="20" customHeight="1" x14ac:dyDescent="0.2">
      <c r="B243" s="23" t="s">
        <v>220</v>
      </c>
      <c r="C243" s="65" t="str">
        <v>sfo01-w01-r01-esx09.sfo.rainpole.io</v>
      </c>
      <c r="D243" s="8" t="str">
        <v>Value Missing</v>
      </c>
      <c r="E243" s="23"/>
    </row>
    <row r="244" spans="2:5" ht="20" customHeight="1" x14ac:dyDescent="0.2">
      <c r="B244" s="23" t="s">
        <v>222</v>
      </c>
      <c r="C244" s="65" t="str">
        <v>sfo01-w01-r01-esx10.sfo.rainpole.io</v>
      </c>
      <c r="D244" s="8" t="str">
        <v>Value Missing</v>
      </c>
      <c r="E244" s="183"/>
    </row>
    <row r="245" spans="2:5" ht="20" customHeight="1" x14ac:dyDescent="0.2">
      <c r="B245" s="23" t="s">
        <v>224</v>
      </c>
      <c r="C245" s="65" t="str">
        <v>sfo01-w01-r01-esx11.sfo.rainpole.io</v>
      </c>
      <c r="D245" s="8" t="str">
        <v>Value Missing</v>
      </c>
      <c r="E245" s="23"/>
    </row>
    <row r="246" spans="2:5" ht="20" customHeight="1" x14ac:dyDescent="0.2">
      <c r="B246" s="23" t="s">
        <v>226</v>
      </c>
      <c r="C246" s="65" t="str">
        <v>sfo01-w01-r01-esx12.sfo.rainpole.io</v>
      </c>
      <c r="D246" s="8" t="str">
        <v>Value Missing</v>
      </c>
      <c r="E246" s="23"/>
    </row>
    <row r="247" spans="2:5" ht="20" customHeight="1" x14ac:dyDescent="0.2">
      <c r="B247" s="23" t="s">
        <v>228</v>
      </c>
      <c r="C247" s="65" t="str">
        <v>sfo01-w01-r01-esx13.sfo.rainpole.io</v>
      </c>
      <c r="D247" s="8" t="str">
        <v>Value Missing</v>
      </c>
      <c r="E247" s="23"/>
    </row>
    <row r="248" spans="2:5" ht="20" customHeight="1" x14ac:dyDescent="0.2">
      <c r="B248" s="23" t="s">
        <v>230</v>
      </c>
      <c r="C248" s="65" t="str">
        <v>sfo01-w01-r01-esx14.sfo.rainpole.io</v>
      </c>
      <c r="D248" s="8" t="str">
        <v>Value Missing</v>
      </c>
      <c r="E248" s="23"/>
    </row>
    <row r="249" spans="2:5" ht="20" customHeight="1" x14ac:dyDescent="0.2">
      <c r="B249" s="23" t="s">
        <v>232</v>
      </c>
      <c r="C249" s="65" t="str">
        <v>sfo01-w01-r01-esx15.sfo.rainpole.io</v>
      </c>
      <c r="D249" s="8" t="str">
        <v>Value Missing</v>
      </c>
      <c r="E249" s="23"/>
    </row>
    <row r="250" spans="2:5" ht="19" customHeight="1" x14ac:dyDescent="0.2">
      <c r="B250" s="23" t="s">
        <v>234</v>
      </c>
      <c r="C250" s="65" t="str">
        <v>sfo01-w01-r01-esx16.sfo.rainpole.io</v>
      </c>
      <c r="D250" s="8" t="str">
        <v>Value Missing</v>
      </c>
      <c r="E250" s="23"/>
    </row>
    <row r="251" spans="2:5" ht="16" customHeight="1" x14ac:dyDescent="0.2">
      <c r="B251" s="7"/>
      <c r="C251" s="7"/>
      <c r="D251" s="7"/>
      <c r="E251" s="7"/>
    </row>
    <row r="252" spans="2:5" ht="34" customHeight="1" x14ac:dyDescent="0.2">
      <c r="B252" s="412" t="s">
        <v>721</v>
      </c>
      <c r="C252" s="413"/>
      <c r="D252" s="413"/>
      <c r="E252" s="414"/>
    </row>
    <row r="253" spans="2:5" ht="20" customHeight="1" x14ac:dyDescent="0.2">
      <c r="B253" s="521" t="s">
        <v>722</v>
      </c>
      <c r="C253" s="522"/>
      <c r="D253" s="522"/>
      <c r="E253" s="523"/>
    </row>
    <row r="254" spans="2:5" ht="20" customHeight="1" x14ac:dyDescent="0.2">
      <c r="B254" s="63" t="s">
        <v>18</v>
      </c>
      <c r="C254" s="63" t="s">
        <v>19</v>
      </c>
      <c r="D254" s="63" t="s">
        <v>20</v>
      </c>
      <c r="E254" s="63" t="s">
        <v>21</v>
      </c>
    </row>
    <row r="255" spans="2:5" ht="20" customHeight="1" x14ac:dyDescent="0.2">
      <c r="B255" s="23" t="s">
        <v>2865</v>
      </c>
      <c r="C255" s="65" t="s">
        <v>724</v>
      </c>
      <c r="D255" s="66" t="s">
        <v>1964</v>
      </c>
      <c r="E255" s="42"/>
    </row>
    <row r="256" spans="2:5" ht="20" customHeight="1" x14ac:dyDescent="0.2">
      <c r="B256" s="23" t="s">
        <v>725</v>
      </c>
      <c r="C256" s="65" t="s">
        <v>154</v>
      </c>
      <c r="D256" s="66" t="s">
        <v>154</v>
      </c>
      <c r="E256" s="8" t="s">
        <v>3055</v>
      </c>
    </row>
    <row r="257" spans="2:5" ht="16" customHeight="1" x14ac:dyDescent="0.2"/>
    <row r="258" spans="2:5" ht="34" customHeight="1" x14ac:dyDescent="0.2">
      <c r="B258" s="184" t="s">
        <v>726</v>
      </c>
      <c r="C258" s="185"/>
      <c r="D258" s="185"/>
      <c r="E258" s="186"/>
    </row>
    <row r="259" spans="2:5" ht="20" customHeight="1" x14ac:dyDescent="0.2">
      <c r="B259" s="187" t="s">
        <v>2994</v>
      </c>
      <c r="C259" s="188"/>
      <c r="D259" s="188"/>
      <c r="E259" s="189"/>
    </row>
    <row r="260" spans="2:5" ht="20" customHeight="1" x14ac:dyDescent="0.2">
      <c r="B260" s="190" t="s">
        <v>18</v>
      </c>
      <c r="C260" s="191" t="s">
        <v>19</v>
      </c>
      <c r="D260" s="191" t="s">
        <v>20</v>
      </c>
      <c r="E260" s="191" t="s">
        <v>21</v>
      </c>
    </row>
    <row r="261" spans="2:5" ht="20" customHeight="1" x14ac:dyDescent="0.2">
      <c r="B261" s="23" t="s">
        <v>728</v>
      </c>
      <c r="C261" s="65" t="str">
        <f>CONCATENATE(sample_wld_cl01_cluster,"-vds01")</f>
        <v>sfo-w01-cl01-vds01</v>
      </c>
      <c r="D261" s="66"/>
      <c r="E261" s="42"/>
    </row>
    <row r="262" spans="2:5" ht="20" customHeight="1" x14ac:dyDescent="0.2">
      <c r="B262" s="23" t="s">
        <v>155</v>
      </c>
      <c r="C262" s="65">
        <v>9000</v>
      </c>
      <c r="D262" s="66"/>
      <c r="E262" s="42"/>
    </row>
    <row r="263" spans="2:5" ht="20" customHeight="1" x14ac:dyDescent="0.2">
      <c r="B263" s="23" t="s">
        <v>2735</v>
      </c>
      <c r="C263" s="65" t="s">
        <v>2966</v>
      </c>
      <c r="D263" s="66" t="s">
        <v>2966</v>
      </c>
      <c r="E263" s="344" t="str">
        <f>IF(wld_cl01_vds01_link_type_chosen="VDS Lag","Only supported via API. Use VCF.JSONGenerator to generate the JSON File once PnP is complete","Option is not visable VCF Operations UI")</f>
        <v>Option is not visable VCF Operations UI</v>
      </c>
    </row>
    <row r="264" spans="2:5" ht="20" customHeight="1" x14ac:dyDescent="0.2">
      <c r="B264" s="4" t="s">
        <v>2967</v>
      </c>
      <c r="C264" s="105" t="str">
        <f>CONCATENATE("w01-cl01-vds1-lg")</f>
        <v>w01-cl01-vds1-lg</v>
      </c>
      <c r="D264" s="66"/>
      <c r="E264" s="344" t="str">
        <f>IF(wld_cl01_vds01_link_type_chosen="VDS Uplinks","This input is masked out as you have chosen to configure VDS Uplinks","Option is not visable in VCF Operations UI. There is a 16 Character Limit for LAG Name")</f>
        <v>This input is masked out as you have chosen to configure VDS Uplinks</v>
      </c>
    </row>
    <row r="265" spans="2:5" ht="20" customHeight="1" x14ac:dyDescent="0.2">
      <c r="B265" s="4" t="s">
        <v>2968</v>
      </c>
      <c r="C265" s="167" t="s">
        <v>739</v>
      </c>
      <c r="D265" s="66" t="s">
        <v>739</v>
      </c>
      <c r="E265" s="344" t="str">
        <f>IF(wld_cl01_vds01_link_type_chosen="VDS Uplinks","This input is masked out as you have chosen to configure VDS Uplinks","Option is not visable in VCF Operations UI")</f>
        <v>This input is masked out as you have chosen to configure VDS Uplinks</v>
      </c>
    </row>
    <row r="266" spans="2:5" ht="20" customHeight="1" x14ac:dyDescent="0.2">
      <c r="B266" s="4" t="s">
        <v>2969</v>
      </c>
      <c r="C266" s="167" t="s">
        <v>2986</v>
      </c>
      <c r="D266" s="66" t="s">
        <v>2986</v>
      </c>
      <c r="E266" s="344" t="str">
        <f>IF(wld_cl01_vds01_link_type_chosen="VDS Uplinks","This input is masked out as you have chosen to configure VDS Uplinks","Option is not visable in VCF Operations UI")</f>
        <v>This input is masked out as you have chosen to configure VDS Uplinks</v>
      </c>
    </row>
    <row r="267" spans="2:5" ht="20" customHeight="1" x14ac:dyDescent="0.2">
      <c r="B267" s="4" t="s">
        <v>2970</v>
      </c>
      <c r="C267" s="167" t="s">
        <v>2971</v>
      </c>
      <c r="D267" s="66" t="s">
        <v>2995</v>
      </c>
      <c r="E267" s="344" t="str">
        <f>IF(wld_cl01_vds01_link_type_chosen="VDS Uplinks","This input is masked out as you have chosen to configure VDS Uplinks","Option is not visable in VCF Operations UI")</f>
        <v>This input is masked out as you have chosen to configure VDS Uplinks</v>
      </c>
    </row>
    <row r="268" spans="2:5" ht="20" customHeight="1" x14ac:dyDescent="0.2">
      <c r="B268" s="30" t="s">
        <v>729</v>
      </c>
      <c r="C268" s="192">
        <v>2</v>
      </c>
      <c r="D268" s="101"/>
      <c r="E268" s="193"/>
    </row>
    <row r="269" spans="2:5" ht="20" customHeight="1" x14ac:dyDescent="0.2">
      <c r="B269" s="23" t="s">
        <v>730</v>
      </c>
      <c r="C269" s="65" t="s">
        <v>731</v>
      </c>
      <c r="D269" s="66"/>
      <c r="E269" s="193"/>
    </row>
    <row r="270" spans="2:5" ht="20" customHeight="1" x14ac:dyDescent="0.2">
      <c r="B270" s="23" t="s">
        <v>732</v>
      </c>
      <c r="C270" s="65" t="s">
        <v>733</v>
      </c>
      <c r="D270" s="8" t="str">
        <f>wld_cl01_vds01_traffic_type</f>
        <v>Management vMotion vSAN</v>
      </c>
      <c r="E270" s="42" t="s">
        <v>3507</v>
      </c>
    </row>
    <row r="271" spans="2:5" ht="20" customHeight="1" x14ac:dyDescent="0.2">
      <c r="B271" s="521" t="s">
        <v>766</v>
      </c>
      <c r="C271" s="522"/>
      <c r="D271" s="522"/>
      <c r="E271" s="523"/>
    </row>
    <row r="272" spans="2:5" ht="20" customHeight="1" x14ac:dyDescent="0.2">
      <c r="B272" s="23" t="s">
        <v>767</v>
      </c>
      <c r="C272" s="65" t="str">
        <f>CONCATENATE(sample_wld_cl01_cluster,"-vds02")</f>
        <v>sfo-w01-cl01-vds02</v>
      </c>
      <c r="D272" s="66"/>
      <c r="E272" s="43" t="str">
        <f>IF(OR(wld_cl01_vds_profile_chosen="Default",wld_cl01_vds_profile_chosen="Custom Switch Configuration"),"This input is masked out due to VDS Profile selected","")</f>
        <v/>
      </c>
    </row>
    <row r="273" spans="2:5" ht="20" customHeight="1" x14ac:dyDescent="0.2">
      <c r="B273" s="23" t="s">
        <v>155</v>
      </c>
      <c r="C273" s="65">
        <v>9000</v>
      </c>
      <c r="D273" s="66"/>
      <c r="E273" s="43" t="str">
        <f>IF(OR(wld_cl01_vds_profile_chosen="Default",wld_cl01_vds_profile_chosen="Custom Switch Configuration"),"This input is masked out due to VDS Profile selected","")</f>
        <v/>
      </c>
    </row>
    <row r="274" spans="2:5" ht="20" customHeight="1" x14ac:dyDescent="0.2">
      <c r="B274" s="23" t="s">
        <v>2735</v>
      </c>
      <c r="C274" s="65" t="s">
        <v>2966</v>
      </c>
      <c r="D274" s="66" t="s">
        <v>2966</v>
      </c>
      <c r="E274" s="244" t="str">
        <f>IF(wld_cl01_vds_profile_chosen="Default","This input is masked out due to VDS Profile selected",IF(wld_cl01_vds02_link_type_chosen="VDS Lag","Only supported via API. Use VCF.JSONGenerator to generate the JSON File once PnP is complete","Option is not visable in VCF Operations UI. There is a 16 Character Limit for LAG Name"))</f>
        <v>Option is not visable in VCF Operations UI. There is a 16 Character Limit for LAG Name</v>
      </c>
    </row>
    <row r="275" spans="2:5" ht="20" customHeight="1" x14ac:dyDescent="0.2">
      <c r="B275" s="4" t="s">
        <v>2967</v>
      </c>
      <c r="C275" s="105" t="str">
        <f>CONCATENATE("w01-cl01-vds2-lg")</f>
        <v>w01-cl01-vds2-lg</v>
      </c>
      <c r="D275" s="66"/>
      <c r="E275" s="244"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visable in VCF Operations UI. There is a 16 Character Limit for LAG Name"))</f>
        <v>This input is masked out as you have chosen to configure VDS Uplinks</v>
      </c>
    </row>
    <row r="276" spans="2:5" ht="20" customHeight="1" x14ac:dyDescent="0.2">
      <c r="B276" s="4" t="s">
        <v>2968</v>
      </c>
      <c r="C276" s="167" t="s">
        <v>739</v>
      </c>
      <c r="D276" s="66" t="s">
        <v>739</v>
      </c>
      <c r="E276" s="244"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visable in VCF Operations UI"))</f>
        <v>This input is masked out as you have chosen to configure VDS Uplinks</v>
      </c>
    </row>
    <row r="277" spans="2:5" ht="20" customHeight="1" x14ac:dyDescent="0.2">
      <c r="B277" s="4" t="s">
        <v>2969</v>
      </c>
      <c r="C277" s="167" t="s">
        <v>2986</v>
      </c>
      <c r="D277" s="66" t="s">
        <v>2986</v>
      </c>
      <c r="E277" s="244"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visable in VCF Operations UI"))</f>
        <v>This input is masked out as you have chosen to configure VDS Uplinks</v>
      </c>
    </row>
    <row r="278" spans="2:5" ht="20" customHeight="1" x14ac:dyDescent="0.2">
      <c r="B278" s="4" t="s">
        <v>2970</v>
      </c>
      <c r="C278" s="167" t="s">
        <v>2971</v>
      </c>
      <c r="D278" s="66" t="s">
        <v>2995</v>
      </c>
      <c r="E278" s="244"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visable in VCF Operations UI"))</f>
        <v>This input is masked out as you have chosen to configure VDS Uplinks</v>
      </c>
    </row>
    <row r="279" spans="2:5" ht="20" customHeight="1" x14ac:dyDescent="0.2">
      <c r="B279" s="30" t="s">
        <v>729</v>
      </c>
      <c r="C279" s="192">
        <v>2</v>
      </c>
      <c r="D279" s="66"/>
      <c r="E279" s="244" t="str">
        <f>IF(OR(wld_cl01_vds_profile_chosen="Default",wld_cl01_vds_profile_chosen="Custom Switch Configuration"),"This input is masked out due to VDS Profile selected","")</f>
        <v/>
      </c>
    </row>
    <row r="280" spans="2:5" ht="20" customHeight="1" x14ac:dyDescent="0.2">
      <c r="B280" s="23" t="s">
        <v>730</v>
      </c>
      <c r="C280" s="65" t="s">
        <v>768</v>
      </c>
      <c r="D280" s="66"/>
      <c r="E280" s="43" t="str">
        <f>IF(OR(wld_cl01_vds_profile_chosen="Default",wld_cl01_vds_profile_chosen="Custom Switch Configuration"),"This input is masked out due to VDS Profile selected","")</f>
        <v/>
      </c>
    </row>
    <row r="281" spans="2:5" ht="20" customHeight="1" x14ac:dyDescent="0.2">
      <c r="B281" s="23" t="s">
        <v>732</v>
      </c>
      <c r="C281" s="65" t="s">
        <v>254</v>
      </c>
      <c r="D281" s="8" t="str">
        <f>wld_cl01_vds02_traffic_type</f>
        <v>NSX-Overlay</v>
      </c>
      <c r="E281" s="43" t="str">
        <f>IF(OR(wld_cl01_vds_profile_chosen="Default",wld_cl01_vds_profile_chosen="Custom Switch Configuration"),"This input is masked out due to VDS Profile selected","Traffic Type is set based on your Selected VDS Profile")</f>
        <v>Traffic Type is set based on your Selected VDS Profile</v>
      </c>
    </row>
    <row r="282" spans="2:5" ht="20" customHeight="1" x14ac:dyDescent="0.2">
      <c r="B282" s="521" t="s">
        <v>769</v>
      </c>
      <c r="C282" s="522"/>
      <c r="D282" s="522"/>
      <c r="E282" s="523"/>
    </row>
    <row r="283" spans="2:5" ht="20" customHeight="1" x14ac:dyDescent="0.2">
      <c r="B283" s="23" t="s">
        <v>770</v>
      </c>
      <c r="C283" s="65" t="str">
        <f>CONCATENATE(sample_wld_cl01_cluster,"-vds03")</f>
        <v>sfo-w01-cl01-vds03</v>
      </c>
      <c r="D283" s="66"/>
      <c r="E283" s="43" t="str">
        <f>IF(wld_cl01_vds_profile_chosen&lt;&gt;"Storage Traffic and NSX Traffic Separation","This input is masked out due to VDS Profile selected","")</f>
        <v>This input is masked out due to VDS Profile selected</v>
      </c>
    </row>
    <row r="284" spans="2:5" ht="20" customHeight="1" x14ac:dyDescent="0.2">
      <c r="B284" s="23" t="s">
        <v>155</v>
      </c>
      <c r="C284" s="65">
        <v>9000</v>
      </c>
      <c r="D284" s="66"/>
      <c r="E284" s="43" t="str">
        <f>IF(wld_cl01_vds_profile_chosen&lt;&gt;"Storage Traffic and NSX Traffic Separation","This input is masked out due to VDS Profile selected","")</f>
        <v>This input is masked out due to VDS Profile selected</v>
      </c>
    </row>
    <row r="285" spans="2:5" ht="20" customHeight="1" x14ac:dyDescent="0.2">
      <c r="B285" s="23" t="s">
        <v>2735</v>
      </c>
      <c r="C285" s="65" t="s">
        <v>2966</v>
      </c>
      <c r="D285" s="66" t="s">
        <v>2966</v>
      </c>
      <c r="E285" s="344" t="str">
        <f>IF(wld_cl01_vds_profile_chosen&lt;&gt;"Storage Traffic and NSX Traffic Separation","This input is masked out due to VDS Profile selected",IF(wld_cl01_vds03_link_type_chosen="VDS Lag","Only supported via API. Use VCF.JSONGenerator to generate the JSON File once PnP is complete","Option is not visable VCF Operations UI"))</f>
        <v>This input is masked out due to VDS Profile selected</v>
      </c>
    </row>
    <row r="286" spans="2:5" ht="20" customHeight="1" x14ac:dyDescent="0.2">
      <c r="B286" s="4" t="s">
        <v>2967</v>
      </c>
      <c r="C286" s="105" t="str">
        <f>CONCATENATE("w01-cl01-vds3-lg")</f>
        <v>w01-cl01-vds3-lg</v>
      </c>
      <c r="D286" s="66"/>
      <c r="E286" s="344" t="str">
        <f>IF(wld_cl01_vds_profile_chosen&lt;&gt;"Storage Traffic and NSX Traffic Separation","This input is masked out due to VDS Profile selected",IF(wld_cl01_vds03_link_type_chosen="VDS Uplinks","This input is masked out as you have chosen to configure VDS Uplinks","Option is not visable in VCF Operations UI. There is a 16 Character Limit for LAG Name"))</f>
        <v>This input is masked out due to VDS Profile selected</v>
      </c>
    </row>
    <row r="287" spans="2:5" ht="20" customHeight="1" x14ac:dyDescent="0.2">
      <c r="B287" s="4" t="s">
        <v>2968</v>
      </c>
      <c r="C287" s="167" t="s">
        <v>739</v>
      </c>
      <c r="D287" s="66" t="s">
        <v>739</v>
      </c>
      <c r="E287" s="344" t="str">
        <f>IF(wld_cl01_vds_profile_chosen&lt;&gt;"Storage Traffic and NSX Traffic Separation","This input is masked out due to VDS Profile selected",IF(wld_cl01_vds03_link_type_chosen="VDS Uplinks","This input is masked out as you have chosen to configure VDS Uplinks","Option is not visable in VCF Operations UI"))</f>
        <v>This input is masked out due to VDS Profile selected</v>
      </c>
    </row>
    <row r="288" spans="2:5" ht="20" customHeight="1" x14ac:dyDescent="0.2">
      <c r="B288" s="4" t="s">
        <v>2969</v>
      </c>
      <c r="C288" s="167" t="s">
        <v>2986</v>
      </c>
      <c r="D288" s="66" t="s">
        <v>2986</v>
      </c>
      <c r="E288" s="344" t="str">
        <f>IF(wld_cl01_vds_profile_chosen&lt;&gt;"Storage Traffic and NSX Traffic Separation","This input is masked out due to VDS Profile selected",IF(wld_cl01_vds03_link_type_chosen="VDS Uplinks","This input is masked out as you have chosen to configure VDS Uplinks","Option is not visable in VCF Operations UI"))</f>
        <v>This input is masked out due to VDS Profile selected</v>
      </c>
    </row>
    <row r="289" spans="2:5" ht="20" customHeight="1" x14ac:dyDescent="0.2">
      <c r="B289" s="4" t="s">
        <v>2970</v>
      </c>
      <c r="C289" s="167" t="s">
        <v>2971</v>
      </c>
      <c r="D289" s="66" t="s">
        <v>2995</v>
      </c>
      <c r="E289" s="344" t="str">
        <f>IF(wld_cl01_vds_profile_chosen&lt;&gt;"Storage Traffic and NSX Traffic Separation","This input is masked out due to VDS Profile selected",IF(wld_cl01_vds03_link_type_chosen="VDS Uplinks","This input is masked out as you have chosen to configure VDS Uplinks","Option is not visable in VCF Operations UI"))</f>
        <v>This input is masked out due to VDS Profile selected</v>
      </c>
    </row>
    <row r="290" spans="2:5" ht="20" customHeight="1" x14ac:dyDescent="0.2">
      <c r="B290" s="30" t="s">
        <v>729</v>
      </c>
      <c r="C290" s="192">
        <v>2</v>
      </c>
      <c r="D290" s="66"/>
      <c r="E290" s="344" t="str">
        <f>IF(wld_cl01_vds_profile_chosen&lt;&gt;"Storage Traffic and NSX Traffic Separation","This input is masked out due to VDS Profile selected","")</f>
        <v>This input is masked out due to VDS Profile selected</v>
      </c>
    </row>
    <row r="291" spans="2:5" ht="20" customHeight="1" x14ac:dyDescent="0.2">
      <c r="B291" s="23" t="s">
        <v>730</v>
      </c>
      <c r="C291" s="65" t="s">
        <v>771</v>
      </c>
      <c r="D291" s="66"/>
      <c r="E291" s="43" t="str">
        <f>IF(wld_cl01_vds_profile_chosen&lt;&gt;"Storage Traffic and NSX Traffic Separation","This input is masked out due to VDS Profile selected","")</f>
        <v>This input is masked out due to VDS Profile selected</v>
      </c>
    </row>
    <row r="292" spans="2:5" ht="20" customHeight="1" x14ac:dyDescent="0.2">
      <c r="B292" s="23" t="s">
        <v>732</v>
      </c>
      <c r="C292" s="65" t="s">
        <v>772</v>
      </c>
      <c r="D292" s="8" t="str">
        <f>wld_cl01_vds03_traffic_type</f>
        <v>Value Missing</v>
      </c>
      <c r="E292" s="43" t="str">
        <f>IF(wld_cl01_vds_profile_chosen&lt;&gt;"Storage Traffic and NSX Traffic Separation","This input is masked out due to VDS Profile selected","Traffic Type is set based on your Selected VDS Profile")</f>
        <v>This input is masked out due to VDS Profile selected</v>
      </c>
    </row>
    <row r="293" spans="2:5" ht="20" customHeight="1" x14ac:dyDescent="0.2">
      <c r="B293" s="187" t="s">
        <v>734</v>
      </c>
      <c r="C293" s="188"/>
      <c r="D293" s="188"/>
      <c r="E293" s="189"/>
    </row>
    <row r="294" spans="2:5" ht="20" customHeight="1" x14ac:dyDescent="0.2">
      <c r="B294" s="30" t="s">
        <v>178</v>
      </c>
      <c r="C294" s="65" t="str">
        <f>CONCATENATE(sample_wld_cl01_vds01_name,"-pg-esx-mgmt")</f>
        <v>sfo-w01-cl01-vds01-pg-esx-mgmt</v>
      </c>
      <c r="D294" s="66"/>
      <c r="E294" s="8" t="s">
        <v>735</v>
      </c>
    </row>
    <row r="295" spans="2:5" ht="20" customHeight="1" x14ac:dyDescent="0.2">
      <c r="B295" s="30" t="s">
        <v>736</v>
      </c>
      <c r="C295" s="192" t="s">
        <v>737</v>
      </c>
      <c r="D295" s="101" t="s">
        <v>737</v>
      </c>
      <c r="E295" s="194" t="str">
        <f>IF(wld_cl01_vds01_link_type_chosen="VDS Lag","This input is masked out as you have chosen to configure VDS LAG","")</f>
        <v/>
      </c>
    </row>
    <row r="296" spans="2:5" ht="20" customHeight="1" x14ac:dyDescent="0.2">
      <c r="B296" s="30" t="s">
        <v>738</v>
      </c>
      <c r="C296" s="192" t="s">
        <v>739</v>
      </c>
      <c r="D296" s="101" t="s">
        <v>739</v>
      </c>
      <c r="E296" s="194" t="str">
        <f>IF(wld_cl01_vds01_link_type_chosen="VDS Lag","This input is masked out as you have chosen to configure VDS LAG","")</f>
        <v/>
      </c>
    </row>
    <row r="297" spans="2:5" ht="20" customHeight="1" x14ac:dyDescent="0.2">
      <c r="B297" s="30" t="s">
        <v>740</v>
      </c>
      <c r="C297" s="192" t="s">
        <v>739</v>
      </c>
      <c r="D297" s="101" t="s">
        <v>739</v>
      </c>
      <c r="E297" s="194" t="str">
        <f>IF(wld_cl01_vds01_link_type_chosen="VDS Lag","This input is masked out as you have chosen to configure VDS LAG","")</f>
        <v/>
      </c>
    </row>
    <row r="298" spans="2:5" ht="20" customHeight="1" x14ac:dyDescent="0.2">
      <c r="B298" s="187" t="s">
        <v>741</v>
      </c>
      <c r="C298" s="188"/>
      <c r="D298" s="188"/>
      <c r="E298" s="189"/>
    </row>
    <row r="299" spans="2:5" ht="20" customHeight="1" x14ac:dyDescent="0.2">
      <c r="B299" s="30" t="s">
        <v>178</v>
      </c>
      <c r="C299" s="65" t="str">
        <f>CONCATENATE(sample_wld_cl01_vds01_name,"-pg-vm-mgmt")</f>
        <v>sfo-w01-cl01-vds01-pg-vm-mgmt</v>
      </c>
      <c r="D299" s="66"/>
      <c r="E299" s="194" t="s">
        <v>3056</v>
      </c>
    </row>
    <row r="300" spans="2:5" ht="20" customHeight="1" x14ac:dyDescent="0.2">
      <c r="B300" s="30" t="s">
        <v>736</v>
      </c>
      <c r="C300" s="192" t="s">
        <v>737</v>
      </c>
      <c r="D300" s="101" t="s">
        <v>737</v>
      </c>
      <c r="E300" s="194" t="str">
        <f>IF(wld_cl01_vds01_link_type_chosen="VDS Lag","This input is masked out as you have chosen to configure VDS LAG","")</f>
        <v/>
      </c>
    </row>
    <row r="301" spans="2:5" ht="20" customHeight="1" x14ac:dyDescent="0.2">
      <c r="B301" s="30" t="s">
        <v>738</v>
      </c>
      <c r="C301" s="192" t="s">
        <v>739</v>
      </c>
      <c r="D301" s="101" t="s">
        <v>739</v>
      </c>
      <c r="E301" s="194" t="str">
        <f>IF(wld_cl01_vds01_link_type_chosen="VDS Lag","This input is masked out as you have chosen to configure VDS LAG","")</f>
        <v/>
      </c>
    </row>
    <row r="302" spans="2:5" ht="20" customHeight="1" x14ac:dyDescent="0.2">
      <c r="B302" s="30" t="s">
        <v>740</v>
      </c>
      <c r="C302" s="192" t="s">
        <v>739</v>
      </c>
      <c r="D302" s="101" t="s">
        <v>739</v>
      </c>
      <c r="E302" s="194" t="str">
        <f>IF(wld_cl01_vds01_link_type_chosen="VDS Lag","This input is masked out as you have chosen to configure VDS LAG","")</f>
        <v/>
      </c>
    </row>
    <row r="303" spans="2:5" ht="20" customHeight="1" x14ac:dyDescent="0.2">
      <c r="B303" s="187" t="s">
        <v>742</v>
      </c>
      <c r="C303" s="188"/>
      <c r="D303" s="188"/>
      <c r="E303" s="189"/>
    </row>
    <row r="304" spans="2:5" ht="20" customHeight="1" x14ac:dyDescent="0.2">
      <c r="B304" s="30" t="s">
        <v>178</v>
      </c>
      <c r="C304" s="65" t="str">
        <f>CONCATENATE(sample_wld_cl01_vds01_name,"-pg-vmotion")</f>
        <v>sfo-w01-cl01-vds01-pg-vmotion</v>
      </c>
      <c r="D304" s="66"/>
      <c r="E304" s="8"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305" spans="2:5" ht="20" customHeight="1" x14ac:dyDescent="0.2">
      <c r="B305" s="30" t="s">
        <v>736</v>
      </c>
      <c r="C305" s="192" t="s">
        <v>737</v>
      </c>
      <c r="D305" s="101" t="s">
        <v>737</v>
      </c>
      <c r="E305" s="194" t="str">
        <f>IF(wld_cl01_vds01_link_type_chosen="VDS Lag","This input is masked out as you have chosen to configure VDS LAG","")</f>
        <v/>
      </c>
    </row>
    <row r="306" spans="2:5" ht="20" customHeight="1" x14ac:dyDescent="0.2">
      <c r="B306" s="30" t="s">
        <v>738</v>
      </c>
      <c r="C306" s="192" t="s">
        <v>739</v>
      </c>
      <c r="D306" s="101" t="s">
        <v>739</v>
      </c>
      <c r="E306" s="194" t="str">
        <f>IF(wld_cl01_vds01_link_type_chosen="VDS Lag","This input is masked out as you have chosen to configure VDS LAG","")</f>
        <v/>
      </c>
    </row>
    <row r="307" spans="2:5" ht="20" customHeight="1" x14ac:dyDescent="0.2">
      <c r="B307" s="30" t="s">
        <v>740</v>
      </c>
      <c r="C307" s="192" t="s">
        <v>739</v>
      </c>
      <c r="D307" s="101" t="s">
        <v>739</v>
      </c>
      <c r="E307" s="194" t="str">
        <f>IF(wld_cl01_vds01_link_type_chosen="VDS Lag","This input is masked out as you have chosen to configure VDS LAG","")</f>
        <v/>
      </c>
    </row>
    <row r="308" spans="2:5" ht="20" customHeight="1" x14ac:dyDescent="0.2">
      <c r="B308" s="187" t="str">
        <f>IF(wld_principal_storage_chosen="NFSv3","Network Traffic: NFS","Network Traffic: vSAN")</f>
        <v>Network Traffic: vSAN</v>
      </c>
      <c r="C308" s="188"/>
      <c r="D308" s="188"/>
      <c r="E308" s="189"/>
    </row>
    <row r="309" spans="2:5" ht="20" customHeight="1" x14ac:dyDescent="0.2">
      <c r="B309" s="30" t="s">
        <v>178</v>
      </c>
      <c r="C309" s="65" t="str">
        <f>CONCATENATE(sample_wld_cl01_vds01_name,"-pg-vsan")</f>
        <v>sfo-w01-cl01-vds01-pg-vsan</v>
      </c>
      <c r="D309" s="66"/>
      <c r="E309" s="8" t="str">
        <f>IF(wld_cl01_vds_profile_chosen="Storage Traffic Separation","Portgroup will be created on Secondary Distributed Switch",
IF(wld_cl01_vds_profile_chosen="vSAN Max Storage Traffic Separation","Portgroup will be created on Secondary Distributed Switch",
IF(wld_cl01_vds_profile_chosen="vSAN Max Storage Traffic and NSX Traffic Separation","Portgroup will be created on Secondary Distributed Switch",
IF(wld_cl01_vds_profile_chosen="NSX Traffic Separation","Portgroup will be created on Primary Distributed Switch",
IF(wld_cl01_vds_profile_chosen="Storage Traffic and NSX Traffic Separation","Portgroup will be created on Secondary Distributed Switch",
IF(wld_cl01_vds_profile_chosen="Custom","","Portgroup will be created on Primary Distributed Switch"))))))</f>
        <v>Portgroup will be created on Primary Distributed Switch</v>
      </c>
    </row>
    <row r="310" spans="2:5" ht="20" customHeight="1" x14ac:dyDescent="0.2">
      <c r="B310" s="30" t="s">
        <v>736</v>
      </c>
      <c r="C310" s="192" t="s">
        <v>737</v>
      </c>
      <c r="D310" s="101" t="s">
        <v>737</v>
      </c>
      <c r="E310" s="194"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311" spans="2:5" ht="20" customHeight="1" x14ac:dyDescent="0.2">
      <c r="B311" s="30" t="s">
        <v>738</v>
      </c>
      <c r="C311" s="192" t="s">
        <v>739</v>
      </c>
      <c r="D311" s="101" t="s">
        <v>739</v>
      </c>
      <c r="E311" s="194"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312" spans="2:5" ht="20" customHeight="1" x14ac:dyDescent="0.2">
      <c r="B312" s="30" t="s">
        <v>740</v>
      </c>
      <c r="C312" s="192" t="s">
        <v>739</v>
      </c>
      <c r="D312" s="101" t="s">
        <v>739</v>
      </c>
      <c r="E312" s="194"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313" spans="2:5" ht="20" customHeight="1" x14ac:dyDescent="0.2">
      <c r="B313" s="187" t="s">
        <v>744</v>
      </c>
      <c r="C313" s="188"/>
      <c r="D313" s="188"/>
      <c r="E313" s="189"/>
    </row>
    <row r="314" spans="2:5" ht="20" customHeight="1" x14ac:dyDescent="0.2">
      <c r="B314" s="30" t="s">
        <v>178</v>
      </c>
      <c r="C314" s="65" t="str">
        <f>CONCATENATE(sample_wld_cl01_vds01_name,"-pg-vsan-client")</f>
        <v>sfo-w01-cl01-vds01-pg-vsan-client</v>
      </c>
      <c r="D314" s="66"/>
      <c r="E314" s="8" t="str">
        <f>IF(OR((wld_domain_result="Excluded"),(wld_secondary_storage_result="Excluded")),"This input is masked out as vSAN Storage Client Network in not enabled",
IF(wld_cl01_vds_profile_chosen="vSAN Max Storage Traffic Separation","Portgroup will be created on Primary Distributed Switch",
IF(wld_cl01_vds_profile_chosen="vSAN Max Storage Traffic and NSX Traffic Separation","Portgroup will be created on Primary Distributed Switch",
IF(wld_cl01_vds_profile_chosen="Custom","","Portgroup will be created on Primary Distributed Switch"))))</f>
        <v>This input is masked out as vSAN Storage Client Network in not enabled</v>
      </c>
    </row>
    <row r="315" spans="2:5" ht="20" customHeight="1" x14ac:dyDescent="0.2">
      <c r="B315" s="30" t="s">
        <v>736</v>
      </c>
      <c r="C315" s="192" t="s">
        <v>737</v>
      </c>
      <c r="D315" s="101" t="s">
        <v>737</v>
      </c>
      <c r="E315" s="194"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316" spans="2:5" ht="20" customHeight="1" x14ac:dyDescent="0.2">
      <c r="B316" s="30" t="s">
        <v>738</v>
      </c>
      <c r="C316" s="192" t="s">
        <v>739</v>
      </c>
      <c r="D316" s="101" t="s">
        <v>739</v>
      </c>
      <c r="E316" s="194"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317" spans="2:5" ht="20" customHeight="1" x14ac:dyDescent="0.2">
      <c r="B317" s="30" t="s">
        <v>740</v>
      </c>
      <c r="C317" s="192" t="s">
        <v>739</v>
      </c>
      <c r="D317" s="101" t="s">
        <v>739</v>
      </c>
      <c r="E317" s="194"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318" spans="2:5" ht="20" customHeight="1" x14ac:dyDescent="0.2">
      <c r="B318" s="521" t="s">
        <v>745</v>
      </c>
      <c r="C318" s="522"/>
      <c r="D318" s="522"/>
      <c r="E318" s="523"/>
    </row>
    <row r="319" spans="2:5" ht="20" customHeight="1" x14ac:dyDescent="0.2">
      <c r="B319" s="4" t="s">
        <v>746</v>
      </c>
      <c r="C319" s="65" t="s">
        <v>154</v>
      </c>
      <c r="D319" s="66" t="s">
        <v>154</v>
      </c>
      <c r="E319" s="43" t="s">
        <v>3205</v>
      </c>
    </row>
    <row r="320" spans="2:5" ht="20" customHeight="1" x14ac:dyDescent="0.2">
      <c r="B320" s="4" t="s">
        <v>2869</v>
      </c>
      <c r="C320" s="65" t="s">
        <v>2869</v>
      </c>
      <c r="D320" s="66" t="s">
        <v>2869</v>
      </c>
      <c r="E320" s="43" t="str">
        <f>IF(wld_nsx_default_operation_mode_chosen="Selected","Inputs are masked out as you have opted to apply the default operational mode  - Enhanced Datapath Standard","")</f>
        <v>Inputs are masked out as you have opted to apply the default operational mode  - Enhanced Datapath Standard</v>
      </c>
    </row>
    <row r="321" spans="2:5" ht="20" customHeight="1" x14ac:dyDescent="0.2">
      <c r="B321" s="4" t="s">
        <v>747</v>
      </c>
      <c r="C321" s="65" t="s">
        <v>154</v>
      </c>
      <c r="D321" s="66" t="s">
        <v>154</v>
      </c>
      <c r="E321" s="42"/>
    </row>
    <row r="322" spans="2:5" ht="20" customHeight="1" x14ac:dyDescent="0.2">
      <c r="B322" s="4" t="s">
        <v>748</v>
      </c>
      <c r="C322" s="65" t="s">
        <v>154</v>
      </c>
      <c r="D322" s="66" t="s">
        <v>154</v>
      </c>
      <c r="E322" s="42"/>
    </row>
    <row r="323" spans="2:5" ht="20" customHeight="1" x14ac:dyDescent="0.2">
      <c r="B323" s="521" t="s">
        <v>749</v>
      </c>
      <c r="C323" s="522"/>
      <c r="D323" s="522"/>
      <c r="E323" s="523"/>
    </row>
    <row r="324" spans="2:5" ht="20" customHeight="1" x14ac:dyDescent="0.2">
      <c r="B324" s="4" t="s">
        <v>750</v>
      </c>
      <c r="C324" s="65" t="str">
        <f>CONCATENATE("overlay-tz-",this_instance,"-w0",wld_domain_number_chosen,"-nsx01")</f>
        <v>overlay-tz-sfo-w01-nsx01</v>
      </c>
      <c r="D324" s="66"/>
      <c r="E324" s="43" t="str">
        <f>IF(wld_cl01_vds_profile_chosen="Storage Traffic Separation","Overlay Traffic will be configured on Primary Distributed Switch",
IF(wld_cl01_vds_profile_chosen="NSX Traffic Separation","Overlay Traffic will be configured on Secondary Distributed Switch",
IF(wld_cl01_vds_profile_chosen="Storage Traffic and NSX Traffic Separation","Overlay Traffic will be configured on Tertiary Distributed Switch",
IF(wld_cl01_vds_profile_chosen="vSAN Max Storage Traffic and NSX Traffic Separation","Overlay Traffic will be configured on Tertiary Distributed Switch",
IF(wld_cl01_vds_profile_chosen="Custom","","Overlay Traffic will be configured on Primary Distributed Switch")))))</f>
        <v>Overlay Traffic will be configured on Secondary Distributed Switch</v>
      </c>
    </row>
    <row r="325" spans="2:5" ht="20" customHeight="1" x14ac:dyDescent="0.2">
      <c r="B325" s="4" t="s">
        <v>85</v>
      </c>
      <c r="C325" s="65" t="str">
        <f>CONCATENATE(prefix_wld_az1_vlan,"14")</f>
        <v>1314</v>
      </c>
      <c r="D325" s="66"/>
      <c r="E325" s="8" t="str">
        <f>IF(wld_nsx_vpc_type_chosen="VLAN Backed VPC","Value is maked out as VLAN Backed VPC is chosen as VPC Network Configuration","")</f>
        <v>Value is maked out as VLAN Backed VPC is chosen as VPC Network Configuration</v>
      </c>
    </row>
    <row r="326" spans="2:5" ht="20" customHeight="1" x14ac:dyDescent="0.2">
      <c r="B326" s="4" t="s">
        <v>751</v>
      </c>
      <c r="C326" s="65" t="s">
        <v>752</v>
      </c>
      <c r="D326" s="116" t="s">
        <v>752</v>
      </c>
      <c r="E326" s="8" t="str">
        <f>IF(wld_nsx_vpc_type_chosen="VLAN Backed VPC","Value is maked out as VLAN Backed VPC is chosen as VPC Network Configuration",IF(wld_host_overlay_addressing_chosen="Static IP Pool","If Static Pools for Host TEP assignment is required then use COPY FROM PRECONFIGURED PROFILE option",""))</f>
        <v>Value is maked out as VLAN Backed VPC is chosen as VPC Network Configuration</v>
      </c>
    </row>
    <row r="327" spans="2:5" ht="20" customHeight="1" x14ac:dyDescent="0.2">
      <c r="B327" s="4" t="s">
        <v>752</v>
      </c>
      <c r="C327" s="65" t="s">
        <v>327</v>
      </c>
      <c r="D327" s="66" t="s">
        <v>327</v>
      </c>
      <c r="E327" s="8" t="str">
        <f>IF(wld_nsx_vpc_type_chosen="VLAN Backed VPC","Value is maked out as VLAN Backed VPC is chosen as VPC Network Configuration",IF(AND(wld_az1_host_overlay_new_pool_chosen="Re-use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Value is maked out as VLAN Backed VPC is chosen as VPC Network Configuration</v>
      </c>
    </row>
    <row r="328" spans="2:5" ht="20" customHeight="1" x14ac:dyDescent="0.2">
      <c r="B328" s="4" t="s">
        <v>753</v>
      </c>
      <c r="C328" s="153" t="str">
        <f>CONCATENATE(this_instance,"01-w0",wld_domain_number_chosen,"-r01-ip-pool01-host")</f>
        <v>sfo01-w01-r01-ip-pool01-host</v>
      </c>
      <c r="D328" s="66"/>
      <c r="E328" s="43" t="str">
        <f t="shared" ref="E328:E333" si="0">IF(wld_nsx_vpc_type_chosen="VLAN Backed VPC","Value is maked out as VLAN Backed VPC is chosen as VPC Network Configuration","")</f>
        <v>Value is maked out as VLAN Backed VPC is chosen as VPC Network Configuration</v>
      </c>
    </row>
    <row r="329" spans="2:5" ht="20" customHeight="1" x14ac:dyDescent="0.2">
      <c r="B329" s="4" t="s">
        <v>252</v>
      </c>
      <c r="C329" s="153" t="s">
        <v>754</v>
      </c>
      <c r="D329" s="66"/>
      <c r="E329" s="43" t="str">
        <f t="shared" si="0"/>
        <v>Value is maked out as VLAN Backed VPC is chosen as VPC Network Configuration</v>
      </c>
    </row>
    <row r="330" spans="2:5" ht="20" customHeight="1" x14ac:dyDescent="0.2">
      <c r="B330" s="4" t="s">
        <v>447</v>
      </c>
      <c r="C330" s="65" t="str">
        <f>CONCATENATE(prefix_wld_az1_cidr,"14.0/24")</f>
        <v>10.13.14.0/24</v>
      </c>
      <c r="D330" s="66"/>
      <c r="E330" s="43" t="str">
        <f t="shared" si="0"/>
        <v>Value is maked out as VLAN Backed VPC is chosen as VPC Network Configuration</v>
      </c>
    </row>
    <row r="331" spans="2:5" ht="20" customHeight="1" x14ac:dyDescent="0.2">
      <c r="B331" s="4" t="s">
        <v>244</v>
      </c>
      <c r="C331" s="65" t="str">
        <f>CONCATENATE(prefix_wld_az1_cidr,"14.101")</f>
        <v>10.13.14.101</v>
      </c>
      <c r="D331" s="66"/>
      <c r="E331" s="43" t="str">
        <f t="shared" si="0"/>
        <v>Value is maked out as VLAN Backed VPC is chosen as VPC Network Configuration</v>
      </c>
    </row>
    <row r="332" spans="2:5" ht="20" customHeight="1" x14ac:dyDescent="0.2">
      <c r="B332" s="4" t="s">
        <v>245</v>
      </c>
      <c r="C332" s="65" t="str">
        <f>CONCATENATE(prefix_wld_az1_cidr,"14.132")</f>
        <v>10.13.14.132</v>
      </c>
      <c r="D332" s="66"/>
      <c r="E332" s="43" t="str">
        <f t="shared" si="0"/>
        <v>Value is maked out as VLAN Backed VPC is chosen as VPC Network Configuration</v>
      </c>
    </row>
    <row r="333" spans="2:5" ht="20" customHeight="1" x14ac:dyDescent="0.2">
      <c r="B333" s="4" t="s">
        <v>448</v>
      </c>
      <c r="C333" s="65" t="str">
        <f>CONCATENATE(prefix_wld_az1_cidr,"14.1")</f>
        <v>10.13.14.1</v>
      </c>
      <c r="D333" s="66"/>
      <c r="E333" s="43" t="str">
        <f t="shared" si="0"/>
        <v>Value is maked out as VLAN Backed VPC is chosen as VPC Network Configuration</v>
      </c>
    </row>
    <row r="334" spans="2:5" ht="20" customHeight="1" x14ac:dyDescent="0.2">
      <c r="B334" s="4" t="s">
        <v>755</v>
      </c>
      <c r="C334" s="65" t="s">
        <v>756</v>
      </c>
      <c r="D334" s="66"/>
      <c r="E334" s="42"/>
    </row>
    <row r="335" spans="2:5" ht="20" customHeight="1" x14ac:dyDescent="0.2">
      <c r="B335" s="521" t="s">
        <v>757</v>
      </c>
      <c r="C335" s="522"/>
      <c r="D335" s="522"/>
      <c r="E335" s="523"/>
    </row>
    <row r="336" spans="2:5" ht="20" customHeight="1" x14ac:dyDescent="0.2">
      <c r="B336" s="23" t="s">
        <v>761</v>
      </c>
      <c r="C336" s="153" t="str">
        <f>CONCATENATE(this_instance,"01-w0",wld_domain_number_chosen,"-r01-uplink-profile01")</f>
        <v>sfo01-w01-r01-uplink-profile01</v>
      </c>
      <c r="D336" s="66"/>
      <c r="E336" s="42"/>
    </row>
    <row r="337" spans="2:6" ht="20" customHeight="1" x14ac:dyDescent="0.2">
      <c r="B337" s="4" t="s">
        <v>758</v>
      </c>
      <c r="C337" s="65">
        <v>2</v>
      </c>
      <c r="D337" s="66"/>
      <c r="E337" s="42"/>
    </row>
    <row r="338" spans="2:6" ht="20" customHeight="1" x14ac:dyDescent="0.2">
      <c r="B338" s="4" t="s">
        <v>759</v>
      </c>
      <c r="C338" s="65" t="s">
        <v>738</v>
      </c>
      <c r="D338" s="66"/>
      <c r="E338" s="42"/>
    </row>
    <row r="339" spans="2:6" ht="20" customHeight="1" x14ac:dyDescent="0.2">
      <c r="B339" s="4" t="s">
        <v>760</v>
      </c>
      <c r="C339" s="65" t="s">
        <v>740</v>
      </c>
      <c r="D339" s="66"/>
      <c r="E339" s="42"/>
    </row>
    <row r="340" spans="2:6" ht="20" customHeight="1" x14ac:dyDescent="0.2">
      <c r="B340" s="4" t="s">
        <v>325</v>
      </c>
      <c r="C340" s="65" t="str">
        <f>CONCATENATE(this_instance,"01-",sample_wld_cl01_cluster,"-r01-network-profile")</f>
        <v>sfo01-sfo-w01-cl01-r01-network-profile</v>
      </c>
      <c r="D340" s="66"/>
      <c r="E340" s="42"/>
    </row>
    <row r="341" spans="2:6" ht="20" customHeight="1" x14ac:dyDescent="0.2">
      <c r="B341" s="4" t="s">
        <v>762</v>
      </c>
      <c r="C341" s="65" t="s">
        <v>763</v>
      </c>
      <c r="D341" s="66" t="s">
        <v>763</v>
      </c>
      <c r="E341" s="4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42" spans="2:6" ht="20" customHeight="1" x14ac:dyDescent="0.2">
      <c r="B342" s="4" t="s">
        <v>764</v>
      </c>
      <c r="C342" s="65" t="s">
        <v>154</v>
      </c>
      <c r="D342" s="66" t="s">
        <v>154</v>
      </c>
      <c r="E342" s="4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43" spans="2:6" ht="20" customHeight="1" x14ac:dyDescent="0.2">
      <c r="B343" s="4" t="s">
        <v>765</v>
      </c>
      <c r="C343" s="65" t="s">
        <v>154</v>
      </c>
      <c r="D343" s="66" t="s">
        <v>154</v>
      </c>
      <c r="E343" s="4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45" spans="2:6" ht="34" customHeight="1" x14ac:dyDescent="0.2">
      <c r="B345" s="412" t="s">
        <v>773</v>
      </c>
      <c r="C345" s="413"/>
      <c r="D345" s="413"/>
      <c r="E345" s="414"/>
    </row>
    <row r="346" spans="2:6" ht="20" customHeight="1" x14ac:dyDescent="0.2">
      <c r="B346" s="63" t="s">
        <v>18</v>
      </c>
      <c r="C346" s="63" t="s">
        <v>19</v>
      </c>
      <c r="D346" s="63" t="s">
        <v>20</v>
      </c>
      <c r="E346" s="63" t="s">
        <v>21</v>
      </c>
    </row>
    <row r="347" spans="2:6" ht="20" customHeight="1" x14ac:dyDescent="0.2">
      <c r="B347" s="521" t="s">
        <v>774</v>
      </c>
      <c r="C347" s="522"/>
      <c r="D347" s="522"/>
      <c r="E347" s="523"/>
    </row>
    <row r="348" spans="2:6" ht="20" customHeight="1" x14ac:dyDescent="0.2">
      <c r="B348" s="358" t="s">
        <v>775</v>
      </c>
      <c r="C348" s="153" t="str">
        <f>CONCATENATE(sample_wld_sddc_domain,"-sn01")</f>
        <v>sfo-w01-sn01</v>
      </c>
      <c r="D348" s="66"/>
      <c r="E348" s="282" t="s">
        <v>3206</v>
      </c>
      <c r="F348" s="112" t="s">
        <v>3207</v>
      </c>
    </row>
    <row r="349" spans="2:6" ht="20" customHeight="1" x14ac:dyDescent="0.2">
      <c r="B349" s="358" t="s">
        <v>776</v>
      </c>
      <c r="C349" s="153" t="s">
        <v>3199</v>
      </c>
      <c r="D349" s="66"/>
      <c r="E349" s="359"/>
    </row>
    <row r="350" spans="2:6" ht="20" customHeight="1" x14ac:dyDescent="0.2">
      <c r="B350" s="358" t="s">
        <v>777</v>
      </c>
      <c r="C350" s="153" t="s">
        <v>140</v>
      </c>
      <c r="D350" s="66" t="s">
        <v>140</v>
      </c>
      <c r="E350" s="80"/>
    </row>
    <row r="351" spans="2:6" ht="20" customHeight="1" x14ac:dyDescent="0.2">
      <c r="B351" s="358" t="s">
        <v>778</v>
      </c>
      <c r="C351" s="153" t="str">
        <f>IF(wld_cl01_supervisor_use_mgmt_vmk_chosen="Unselected",CONCATENATE(prefix_wld_az1_cidr,"10.201","-",prefix_wld_az1_cidr,"10.205"),CONCATENATE(prefix_wld_az1_cidr,"11.201","-",prefix_wld_az1_cidr,"11.205"))</f>
        <v>10.13.10.201-10.13.10.205</v>
      </c>
      <c r="D351" s="66"/>
      <c r="E351" s="80"/>
    </row>
    <row r="352" spans="2:6" ht="20" customHeight="1" x14ac:dyDescent="0.2">
      <c r="B352" s="358" t="s">
        <v>242</v>
      </c>
      <c r="C352" s="153" t="s">
        <v>126</v>
      </c>
      <c r="D352" s="66"/>
      <c r="E352" s="80"/>
    </row>
    <row r="353" spans="2:5" ht="20" customHeight="1" x14ac:dyDescent="0.2">
      <c r="B353" s="358" t="s">
        <v>3357</v>
      </c>
      <c r="C353" s="165" t="str">
        <f>IF(wld_cl01_supervisor_use_mgmt_vmk_chosen="Unselected",CONCATENATE(prefix_wld_az1_cidr,"10.1"),CONCATENATE(prefix_wld_az1_cidr,"11.1"))</f>
        <v>10.13.10.1</v>
      </c>
      <c r="D353" s="66"/>
      <c r="E353" s="80"/>
    </row>
    <row r="354" spans="2:5" ht="20" customHeight="1" x14ac:dyDescent="0.2">
      <c r="B354" s="358" t="s">
        <v>3358</v>
      </c>
      <c r="C354" s="153" t="str">
        <f>CONCATENATE(sample_wld_cl01_cluster,"-vds01")</f>
        <v>sfo-w01-cl01-vds01</v>
      </c>
      <c r="D354" s="66"/>
      <c r="E354" s="80"/>
    </row>
    <row r="355" spans="2:5" ht="20" customHeight="1" x14ac:dyDescent="0.2">
      <c r="B355" s="521" t="s">
        <v>779</v>
      </c>
      <c r="C355" s="522"/>
      <c r="D355" s="522"/>
      <c r="E355" s="523"/>
    </row>
    <row r="356" spans="2:5" ht="20" customHeight="1" x14ac:dyDescent="0.2">
      <c r="B356" s="23" t="s">
        <v>780</v>
      </c>
      <c r="C356" s="153" t="s">
        <v>3228</v>
      </c>
      <c r="D356" s="66"/>
      <c r="E356" s="42"/>
    </row>
    <row r="357" spans="2:5" ht="20" customHeight="1" x14ac:dyDescent="0.2">
      <c r="B357" s="23" t="s">
        <v>781</v>
      </c>
      <c r="C357" s="153" t="s">
        <v>782</v>
      </c>
      <c r="D357" s="66"/>
      <c r="E357" s="42"/>
    </row>
    <row r="358" spans="2:5" ht="20" customHeight="1" x14ac:dyDescent="0.2">
      <c r="B358" s="23" t="s">
        <v>783</v>
      </c>
      <c r="C358" s="153" t="s">
        <v>3359</v>
      </c>
      <c r="D358" s="66"/>
      <c r="E358" s="8" t="s">
        <v>784</v>
      </c>
    </row>
    <row r="359" spans="2:5" ht="20" customHeight="1" x14ac:dyDescent="0.2">
      <c r="B359" s="23" t="s">
        <v>786</v>
      </c>
      <c r="C359" s="153" t="str">
        <f>CONCATENATE(sample_region_dns1_ip,",",sample_region_dns2_ip)</f>
        <v>10.11.10.4,10.11.10.5</v>
      </c>
      <c r="D359" s="66"/>
      <c r="E359" s="42"/>
    </row>
    <row r="360" spans="2:5" ht="20" customHeight="1" x14ac:dyDescent="0.2">
      <c r="B360" s="23" t="s">
        <v>787</v>
      </c>
      <c r="C360" s="153" t="str">
        <f>CONCATENATE(sample_region_ntp1_server,",",sample_region_ntp2_server)</f>
        <v>ntp0.sfo.rainpole.io,ntp1.sfo.rainpole.io</v>
      </c>
      <c r="D360" s="66"/>
      <c r="E360" s="42"/>
    </row>
    <row r="361" spans="2:5" ht="16" customHeight="1" x14ac:dyDescent="0.2"/>
    <row r="362" spans="2:5" ht="34" customHeight="1" x14ac:dyDescent="0.2">
      <c r="B362" s="195" t="s">
        <v>788</v>
      </c>
      <c r="C362" s="186"/>
      <c r="D362" s="186"/>
      <c r="E362" s="186"/>
    </row>
    <row r="363" spans="2:5" ht="20" customHeight="1" x14ac:dyDescent="0.2">
      <c r="B363" s="63" t="s">
        <v>18</v>
      </c>
      <c r="C363" s="63" t="s">
        <v>19</v>
      </c>
      <c r="D363" s="63" t="s">
        <v>20</v>
      </c>
      <c r="E363" s="63" t="s">
        <v>21</v>
      </c>
    </row>
    <row r="364" spans="2:5" ht="20" customHeight="1" x14ac:dyDescent="0.2">
      <c r="B364" s="521" t="s">
        <v>202</v>
      </c>
      <c r="C364" s="522"/>
      <c r="D364" s="522"/>
      <c r="E364" s="523"/>
    </row>
    <row r="365" spans="2:5" ht="20" customHeight="1" x14ac:dyDescent="0.2">
      <c r="B365" s="155" t="s">
        <v>85</v>
      </c>
      <c r="C365" s="65" t="str">
        <f>sample_wld_az1_mgmt_vlan</f>
        <v>1311</v>
      </c>
      <c r="D365" s="196" t="str">
        <f>wld_az1_mgmt_vlan</f>
        <v>Value Missing</v>
      </c>
      <c r="E365" s="43"/>
    </row>
    <row r="366" spans="2:5" ht="20" customHeight="1" x14ac:dyDescent="0.2">
      <c r="B366" s="4" t="s">
        <v>3177</v>
      </c>
      <c r="C366" s="65" t="str">
        <f>sample_wld_az1_mgmt_gateway_cidr</f>
        <v>10.13.11.1/24</v>
      </c>
      <c r="D366" s="196" t="str">
        <f>wld_az1_mgmt_gateway_cidr</f>
        <v>Value Missing</v>
      </c>
      <c r="E366" s="43"/>
    </row>
    <row r="367" spans="2:5" ht="20" customHeight="1" x14ac:dyDescent="0.2">
      <c r="B367" s="4" t="s">
        <v>155</v>
      </c>
      <c r="C367" s="65">
        <f>sample_wld_az1_mgmt_mtu</f>
        <v>1500</v>
      </c>
      <c r="D367" s="196" t="str">
        <f>wld_az1_mgmt_mtu</f>
        <v>Value Missing</v>
      </c>
      <c r="E367" s="43"/>
    </row>
    <row r="368" spans="2:5" ht="20" customHeight="1" x14ac:dyDescent="0.2">
      <c r="B368" s="540" t="s">
        <v>789</v>
      </c>
      <c r="C368" s="541"/>
      <c r="D368" s="541"/>
      <c r="E368" s="542"/>
    </row>
    <row r="369" spans="2:5" ht="20" customHeight="1" x14ac:dyDescent="0.2">
      <c r="B369" s="155" t="s">
        <v>85</v>
      </c>
      <c r="C369" s="103" t="str">
        <f>IF(wld_dpg_separation_result="Included",CONCATENATE(prefix_wld_az1_vlan,"10"),CONCATENATE(prefix_wld_az1_vlan,"11"))</f>
        <v>1311</v>
      </c>
      <c r="D369" s="66"/>
      <c r="E369" s="282" t="s">
        <v>3201</v>
      </c>
    </row>
    <row r="370" spans="2:5" ht="20" customHeight="1" x14ac:dyDescent="0.2">
      <c r="B370" s="347" t="s">
        <v>181</v>
      </c>
      <c r="C370" s="103" t="str">
        <f>IF(wld_dpg_separation_result="Included",CONCATENATE(prefix_wld_az1_cidr,"10.1/24"),CONCATENATE(prefix_wld_az1_cidr,"11.1/24"))</f>
        <v>10.13.11.1/24</v>
      </c>
      <c r="D370" s="66"/>
      <c r="E370" s="282"/>
    </row>
    <row r="371" spans="2:5" ht="20" customHeight="1" x14ac:dyDescent="0.2">
      <c r="B371" s="4" t="s">
        <v>155</v>
      </c>
      <c r="C371" s="103">
        <v>1500</v>
      </c>
      <c r="D371" s="66"/>
      <c r="E371" s="282"/>
    </row>
    <row r="372" spans="2:5" ht="20" customHeight="1" x14ac:dyDescent="0.2">
      <c r="B372" s="521" t="s">
        <v>240</v>
      </c>
      <c r="C372" s="522"/>
      <c r="D372" s="522"/>
      <c r="E372" s="523"/>
    </row>
    <row r="373" spans="2:5" ht="20" customHeight="1" x14ac:dyDescent="0.2">
      <c r="B373" s="4" t="s">
        <v>85</v>
      </c>
      <c r="C373" s="103" t="str">
        <f>sample_wld_az1_vmotion_vlan</f>
        <v>1312</v>
      </c>
      <c r="D373" s="196" t="str">
        <f>wld_az1_vmotion_vlan</f>
        <v>Value Missing</v>
      </c>
      <c r="E373" s="113"/>
    </row>
    <row r="374" spans="2:5" ht="20" customHeight="1" x14ac:dyDescent="0.2">
      <c r="B374" s="4" t="s">
        <v>3177</v>
      </c>
      <c r="C374" s="103" t="str">
        <f>sample_wld_az1_vmotion_gateway_cidr</f>
        <v>10.13.12.1/24</v>
      </c>
      <c r="D374" s="196" t="str">
        <f>wld_az1_vmotion_gateway_cidr</f>
        <v>Value Missing</v>
      </c>
      <c r="E374" s="42"/>
    </row>
    <row r="375" spans="2:5" ht="20" customHeight="1" x14ac:dyDescent="0.2">
      <c r="B375" s="4" t="s">
        <v>155</v>
      </c>
      <c r="C375" s="103">
        <f>sample_wld_az1_vmotion_mtu</f>
        <v>9000</v>
      </c>
      <c r="D375" s="196" t="str">
        <f>wld_az1_vmotion_mtu</f>
        <v>Value Missing</v>
      </c>
      <c r="E375" s="42"/>
    </row>
    <row r="376" spans="2:5" ht="20" customHeight="1" x14ac:dyDescent="0.2">
      <c r="B376" s="23" t="s">
        <v>244</v>
      </c>
      <c r="C376" s="103" t="s">
        <v>790</v>
      </c>
      <c r="D376" s="196" t="str">
        <f>wld_az1_vmotion_pool_start_ip</f>
        <v>Value Missing</v>
      </c>
      <c r="E376" s="42"/>
    </row>
    <row r="377" spans="2:5" ht="20" customHeight="1" x14ac:dyDescent="0.2">
      <c r="B377" s="23" t="s">
        <v>245</v>
      </c>
      <c r="C377" s="103" t="s">
        <v>791</v>
      </c>
      <c r="D377" s="196" t="str">
        <f>wld_az1_vmotion_pool_end_ip</f>
        <v>Value Missing</v>
      </c>
      <c r="E377" s="42"/>
    </row>
    <row r="378" spans="2:5" ht="20" customHeight="1" x14ac:dyDescent="0.2">
      <c r="B378" s="521" t="str">
        <f>IF(wld_principal_storage_chosen="NFSv3","NFS Network","vSAN Network")</f>
        <v>vSAN Network</v>
      </c>
      <c r="C378" s="522"/>
      <c r="D378" s="522"/>
      <c r="E378" s="523"/>
    </row>
    <row r="379" spans="2:5" ht="20" customHeight="1" x14ac:dyDescent="0.2">
      <c r="B379" s="4" t="s">
        <v>85</v>
      </c>
      <c r="C379" s="103" t="str">
        <f>sample_wld_az1_principal_storage_vlan</f>
        <v>1313</v>
      </c>
      <c r="D379" s="196" t="str">
        <f>wld_az1_principal_storage_vlan</f>
        <v>Value Missing</v>
      </c>
      <c r="E379" s="80"/>
    </row>
    <row r="380" spans="2:5" ht="20" customHeight="1" x14ac:dyDescent="0.2">
      <c r="B380" s="4" t="s">
        <v>3177</v>
      </c>
      <c r="C380" s="103" t="str">
        <f>sample_wld_az1_principal_storage_gateway_cidr</f>
        <v>10.13.13.1/24</v>
      </c>
      <c r="D380" s="196" t="str">
        <f>wld_az1_principal_storage_gateway_cidr</f>
        <v>Value Missing</v>
      </c>
      <c r="E380" s="80" t="str">
        <f>IF(AND(mgmt_stretched_cluster_result="Included",mgmt_dpg_reuse_result="Excluded"),"Stretched L2","")</f>
        <v/>
      </c>
    </row>
    <row r="381" spans="2:5" ht="20" customHeight="1" x14ac:dyDescent="0.2">
      <c r="B381" s="4" t="s">
        <v>155</v>
      </c>
      <c r="C381" s="103">
        <f>sample_wld_az1_principal_storage_mtu</f>
        <v>9000</v>
      </c>
      <c r="D381" s="196" t="str">
        <f>wld_az1_principal_storage_mtu</f>
        <v>Value Missing</v>
      </c>
      <c r="E381" s="80"/>
    </row>
    <row r="382" spans="2:5" ht="20" customHeight="1" x14ac:dyDescent="0.2">
      <c r="B382" s="23" t="s">
        <v>244</v>
      </c>
      <c r="C382" s="103" t="s">
        <v>792</v>
      </c>
      <c r="D382" s="196" t="str">
        <f>wld_az1_principal_storage_pool_start_ip</f>
        <v>Value Missing</v>
      </c>
      <c r="E382" s="80"/>
    </row>
    <row r="383" spans="2:5" ht="20" customHeight="1" x14ac:dyDescent="0.2">
      <c r="B383" s="23" t="s">
        <v>245</v>
      </c>
      <c r="C383" s="103" t="s">
        <v>793</v>
      </c>
      <c r="D383" s="196" t="str">
        <f>wld_az1_principal_storage_pool_end_ip</f>
        <v>Value Missing</v>
      </c>
      <c r="E383" s="80"/>
    </row>
    <row r="384" spans="2:5" ht="20" customHeight="1" x14ac:dyDescent="0.2">
      <c r="B384" s="521" t="s">
        <v>794</v>
      </c>
      <c r="C384" s="522"/>
      <c r="D384" s="522"/>
      <c r="E384" s="523"/>
    </row>
    <row r="385" spans="2:5" ht="20" customHeight="1" x14ac:dyDescent="0.2">
      <c r="B385" s="4" t="s">
        <v>85</v>
      </c>
      <c r="C385" s="103" t="str">
        <f>sample_wld_az1_host_overlay_vlan</f>
        <v>1314</v>
      </c>
      <c r="D385" s="196" t="str">
        <f>wld_az1_host_overlay_vlan</f>
        <v>Value Missing</v>
      </c>
      <c r="E385" s="42"/>
    </row>
    <row r="386" spans="2:5" ht="20" customHeight="1" x14ac:dyDescent="0.2">
      <c r="B386" s="4" t="s">
        <v>3177</v>
      </c>
      <c r="C386" s="103" t="str">
        <f>sample_wld_az1_host_overlay_gateway_ip</f>
        <v>10.13.14.1</v>
      </c>
      <c r="D386" s="196" t="str">
        <f>wld_az1_host_overlay_gateway_ip</f>
        <v>Value Missing</v>
      </c>
      <c r="E386" s="42"/>
    </row>
    <row r="387" spans="2:5" ht="20" customHeight="1" x14ac:dyDescent="0.2">
      <c r="B387" s="4" t="s">
        <v>181</v>
      </c>
      <c r="C387" s="103" t="str">
        <f>sample_wld_az1_host_overlay_cidr</f>
        <v>10.13.14.0/24</v>
      </c>
      <c r="D387" s="196" t="str">
        <f>wld_az1_host_overlay_cidr</f>
        <v>Value Missing</v>
      </c>
      <c r="E387" s="42"/>
    </row>
    <row r="388" spans="2:5" ht="20" customHeight="1" x14ac:dyDescent="0.2">
      <c r="B388" s="4" t="s">
        <v>155</v>
      </c>
      <c r="C388" s="103">
        <v>9000</v>
      </c>
      <c r="D388" s="197"/>
      <c r="E388" s="42"/>
    </row>
    <row r="389" spans="2:5" ht="20" customHeight="1" x14ac:dyDescent="0.2">
      <c r="B389" s="23" t="s">
        <v>244</v>
      </c>
      <c r="C389" s="103" t="str">
        <f>sample_wld_az1_host_overlay_pool_start_ip</f>
        <v>10.13.14.101</v>
      </c>
      <c r="D389" s="196" t="str">
        <f>wld_az1_host_overlay_pool_start_ip</f>
        <v>Value Missing</v>
      </c>
      <c r="E389" s="42"/>
    </row>
    <row r="390" spans="2:5" ht="20" customHeight="1" x14ac:dyDescent="0.2">
      <c r="B390" s="23" t="s">
        <v>245</v>
      </c>
      <c r="C390" s="103" t="str">
        <f>sample_wld_az1_host_overlay_pool_end_ip</f>
        <v>10.13.14.132</v>
      </c>
      <c r="D390" s="196" t="str">
        <f>wld_az1_host_overlay_pool_end_ip</f>
        <v>Value Missing</v>
      </c>
      <c r="E390" s="42"/>
    </row>
    <row r="391" spans="2:5" ht="20" customHeight="1" x14ac:dyDescent="0.2">
      <c r="B391" s="540" t="s">
        <v>795</v>
      </c>
      <c r="C391" s="541"/>
      <c r="D391" s="541"/>
      <c r="E391" s="542"/>
    </row>
    <row r="392" spans="2:5" ht="20" customHeight="1" x14ac:dyDescent="0.2">
      <c r="B392" s="190" t="s">
        <v>693</v>
      </c>
      <c r="C392" s="191" t="s">
        <v>796</v>
      </c>
      <c r="D392" s="191" t="s">
        <v>797</v>
      </c>
      <c r="E392" s="191" t="s">
        <v>21</v>
      </c>
    </row>
    <row r="393" spans="2:5" ht="20" customHeight="1" x14ac:dyDescent="0.2">
      <c r="B393" s="198" t="str">
        <f>wld_vc_fqdn</f>
        <v>Value Missing</v>
      </c>
      <c r="C393" s="161" t="str">
        <f>IF(mgmt_dpg_reuse_result="Included",CONCATENATE(prefix_mgmt_az1_cidr,"10.",(130 + (30*(wld_domain_number_chosen - 1)))),CONCATENATE(prefix_mgmt_az1_cidr,"11.",(130 + (30*(wld_domain_number_chosen - 1)))))</f>
        <v>10.11.10.130</v>
      </c>
      <c r="D393" s="197"/>
      <c r="E393" s="162" t="s">
        <v>3057</v>
      </c>
    </row>
    <row r="394" spans="2:5" ht="20" customHeight="1" x14ac:dyDescent="0.2">
      <c r="B394" s="190" t="s">
        <v>798</v>
      </c>
      <c r="C394" s="191" t="s">
        <v>796</v>
      </c>
      <c r="D394" s="191" t="s">
        <v>797</v>
      </c>
      <c r="E394" s="191" t="s">
        <v>21</v>
      </c>
    </row>
    <row r="395" spans="2:5" ht="20" customHeight="1" x14ac:dyDescent="0.2">
      <c r="B395" s="198" t="str">
        <f>wld_nsxt_vip_fqdn</f>
        <v>Value Missing</v>
      </c>
      <c r="C395" s="161" t="str">
        <f>sample_wld_nsxt_vip_ip</f>
        <v>10.11.10.131</v>
      </c>
      <c r="D395" s="196" t="str">
        <f>wld_nsxt_vip_ip</f>
        <v>Value Missing</v>
      </c>
      <c r="E395" s="162" t="s">
        <v>675</v>
      </c>
    </row>
    <row r="396" spans="2:5" ht="20" customHeight="1" x14ac:dyDescent="0.2">
      <c r="B396" s="198" t="str">
        <f>wld_nsxt_mgra_fqdn</f>
        <v>Value Missing</v>
      </c>
      <c r="C396" s="161" t="str">
        <f>sample_wld_nsxt_mgra_ip</f>
        <v>10.11.10.132</v>
      </c>
      <c r="D396" s="196" t="str">
        <f>wld_nsxt_mgra_ip</f>
        <v>Value Missing</v>
      </c>
      <c r="E396" s="162" t="s">
        <v>669</v>
      </c>
    </row>
    <row r="397" spans="2:5" ht="20" customHeight="1" x14ac:dyDescent="0.2">
      <c r="B397" s="198" t="str">
        <f>wld_nsxt_mgrb_fqdn</f>
        <v>Value Missing</v>
      </c>
      <c r="C397" s="161" t="str">
        <f>sample_wld_nsxt_mgrb_ip</f>
        <v>10.11.10.133</v>
      </c>
      <c r="D397" s="196" t="str">
        <f>wld_nsxt_mgrb_ip</f>
        <v>Value Missing</v>
      </c>
      <c r="E397" s="162" t="s">
        <v>671</v>
      </c>
    </row>
    <row r="398" spans="2:5" ht="20" customHeight="1" x14ac:dyDescent="0.2">
      <c r="B398" s="198" t="str">
        <f>wld_nsxt_mgrc_fqdn</f>
        <v>Value Missing</v>
      </c>
      <c r="C398" s="161" t="str">
        <f>sample_wld_nsxt_mgrc_ip</f>
        <v>10.11.10.134</v>
      </c>
      <c r="D398" s="196" t="str">
        <f>wld_nsxt_mgrc_ip</f>
        <v>Value Missing</v>
      </c>
      <c r="E398" s="162" t="s">
        <v>673</v>
      </c>
    </row>
    <row r="399" spans="2:5" ht="20" customHeight="1" x14ac:dyDescent="0.2">
      <c r="B399" s="190" t="s">
        <v>3282</v>
      </c>
      <c r="C399" s="191" t="s">
        <v>796</v>
      </c>
      <c r="D399" s="191" t="s">
        <v>797</v>
      </c>
      <c r="E399" s="191" t="s">
        <v>21</v>
      </c>
    </row>
    <row r="400" spans="2:5" ht="20" customHeight="1" x14ac:dyDescent="0.2">
      <c r="B400" s="354" t="str" cm="1">
        <f t="array" ref="B400">wld_vnab_fqdn</f>
        <v>Value Missing</v>
      </c>
      <c r="C400" s="161" t="str">
        <f>CONCATENATE(prefix_mgmt_az1_cidr,"11.",(137 + (30*(wld_domain_number_chosen - 1))))</f>
        <v>10.11.11.137</v>
      </c>
      <c r="D400" s="362"/>
      <c r="E400" s="183" t="s">
        <v>3280</v>
      </c>
    </row>
    <row r="401" spans="2:5" ht="20" customHeight="1" x14ac:dyDescent="0.2">
      <c r="B401" s="354" t="str" cm="1">
        <f t="array" ref="B401">wld_vnab_fqdn</f>
        <v>Value Missing</v>
      </c>
      <c r="C401" s="161" t="str">
        <f>CONCATENATE(prefix_mgmt_az1_cidr,"11.",(138 + (30*(wld_domain_number_chosen - 1))))</f>
        <v>10.11.11.138</v>
      </c>
      <c r="D401" s="362"/>
      <c r="E401" s="183" t="s">
        <v>3281</v>
      </c>
    </row>
    <row r="402" spans="2:5" ht="20" customHeight="1" x14ac:dyDescent="0.2">
      <c r="B402" s="190" t="s">
        <v>203</v>
      </c>
      <c r="C402" s="191" t="s">
        <v>796</v>
      </c>
      <c r="D402" s="191" t="s">
        <v>797</v>
      </c>
      <c r="E402" s="191" t="s">
        <v>21</v>
      </c>
    </row>
    <row r="403" spans="2:5" ht="20" customHeight="1" x14ac:dyDescent="0.2">
      <c r="B403" s="198" t="str">
        <f>wld_az1_host1_fqdn</f>
        <v>Value Missing</v>
      </c>
      <c r="C403" s="109" t="str">
        <f t="shared" ref="C403:C418" si="1">sample_wld_az1_host1_mgmt_ip</f>
        <v>10.13.11.101</v>
      </c>
      <c r="D403" s="196" t="str">
        <f>wld_az1_host1_mgmt_ip</f>
        <v>Value Missing</v>
      </c>
      <c r="E403" s="121" t="s">
        <v>799</v>
      </c>
    </row>
    <row r="404" spans="2:5" ht="20" customHeight="1" x14ac:dyDescent="0.2">
      <c r="B404" s="198" t="str">
        <f>wld_az1_host2_fqdn</f>
        <v>Value Missing</v>
      </c>
      <c r="C404" s="109" t="str">
        <f t="shared" si="1"/>
        <v>10.13.11.101</v>
      </c>
      <c r="D404" s="196" t="str">
        <f>wld_az1_host2_mgmt_ip</f>
        <v>Value Missing</v>
      </c>
      <c r="E404" s="121" t="s">
        <v>800</v>
      </c>
    </row>
    <row r="405" spans="2:5" ht="20" customHeight="1" x14ac:dyDescent="0.2">
      <c r="B405" s="198" t="str">
        <f>wld_az1_host3_fqdn</f>
        <v>Value Missing</v>
      </c>
      <c r="C405" s="109" t="str">
        <f t="shared" si="1"/>
        <v>10.13.11.101</v>
      </c>
      <c r="D405" s="196" t="str">
        <f>wld_az1_host3_mgmt_ip</f>
        <v>Value Missing</v>
      </c>
      <c r="E405" s="121" t="s">
        <v>801</v>
      </c>
    </row>
    <row r="406" spans="2:5" ht="20" customHeight="1" x14ac:dyDescent="0.2">
      <c r="B406" s="198" t="str">
        <f>wld_az1_host4_fqdn</f>
        <v>Value Missing</v>
      </c>
      <c r="C406" s="109" t="str">
        <f t="shared" si="1"/>
        <v>10.13.11.101</v>
      </c>
      <c r="D406" s="196" t="str">
        <f>wld_az1_host4_mgmt_ip</f>
        <v>Value Missing</v>
      </c>
      <c r="E406" s="121" t="s">
        <v>802</v>
      </c>
    </row>
    <row r="407" spans="2:5" ht="20" customHeight="1" x14ac:dyDescent="0.2">
      <c r="B407" s="198" t="str">
        <f>wld_az1_host5_fqdn</f>
        <v>Value Missing</v>
      </c>
      <c r="C407" s="109" t="str">
        <f t="shared" si="1"/>
        <v>10.13.11.101</v>
      </c>
      <c r="D407" s="196" t="str">
        <f>wld_az1_host5_mgmt_ip</f>
        <v>Value Missing</v>
      </c>
      <c r="E407" s="121" t="s">
        <v>803</v>
      </c>
    </row>
    <row r="408" spans="2:5" ht="20" customHeight="1" x14ac:dyDescent="0.2">
      <c r="B408" s="198" t="str">
        <f>wld_az1_host6_fqdn</f>
        <v>Value Missing</v>
      </c>
      <c r="C408" s="109" t="str">
        <f t="shared" si="1"/>
        <v>10.13.11.101</v>
      </c>
      <c r="D408" s="196" t="str">
        <f>wld_az1_host6_mgmt_ip</f>
        <v>Value Missing</v>
      </c>
      <c r="E408" s="121" t="s">
        <v>804</v>
      </c>
    </row>
    <row r="409" spans="2:5" ht="20" customHeight="1" x14ac:dyDescent="0.2">
      <c r="B409" s="198" t="str">
        <f>wld_az1_host7_fqdn</f>
        <v>Value Missing</v>
      </c>
      <c r="C409" s="109" t="str">
        <f t="shared" si="1"/>
        <v>10.13.11.101</v>
      </c>
      <c r="D409" s="196" t="str">
        <f>wld_az1_host7_mgmt_ip</f>
        <v>Value Missing</v>
      </c>
      <c r="E409" s="121" t="s">
        <v>805</v>
      </c>
    </row>
    <row r="410" spans="2:5" ht="20" customHeight="1" x14ac:dyDescent="0.2">
      <c r="B410" s="198" t="str">
        <f>wld_az1_host8_fqdn</f>
        <v>Value Missing</v>
      </c>
      <c r="C410" s="109" t="str">
        <f t="shared" si="1"/>
        <v>10.13.11.101</v>
      </c>
      <c r="D410" s="196" t="str">
        <f>wld_az1_host8_mgmt_ip</f>
        <v>Value Missing</v>
      </c>
      <c r="E410" s="121" t="s">
        <v>806</v>
      </c>
    </row>
    <row r="411" spans="2:5" ht="20" customHeight="1" x14ac:dyDescent="0.2">
      <c r="B411" s="198" t="str">
        <f>wld_az1_host9_fqdn</f>
        <v>Value Missing</v>
      </c>
      <c r="C411" s="109" t="str">
        <f t="shared" si="1"/>
        <v>10.13.11.101</v>
      </c>
      <c r="D411" s="196" t="str">
        <f>wld_az1_host9_mgmt_ip</f>
        <v>Value Missing</v>
      </c>
      <c r="E411" s="121" t="s">
        <v>807</v>
      </c>
    </row>
    <row r="412" spans="2:5" ht="20" customHeight="1" x14ac:dyDescent="0.2">
      <c r="B412" s="198" t="str">
        <f>wld_az1_host10_fqdn</f>
        <v>Value Missing</v>
      </c>
      <c r="C412" s="109" t="str">
        <f t="shared" si="1"/>
        <v>10.13.11.101</v>
      </c>
      <c r="D412" s="196" t="str">
        <f>wld_az1_host10_mgmt_ip</f>
        <v>Value Missing</v>
      </c>
      <c r="E412" s="121" t="s">
        <v>808</v>
      </c>
    </row>
    <row r="413" spans="2:5" ht="20" customHeight="1" x14ac:dyDescent="0.2">
      <c r="B413" s="198" t="str">
        <f>wld_az1_host11_fqdn</f>
        <v>Value Missing</v>
      </c>
      <c r="C413" s="109" t="str">
        <f t="shared" si="1"/>
        <v>10.13.11.101</v>
      </c>
      <c r="D413" s="196" t="str">
        <f>wld_az1_host11_mgmt_ip</f>
        <v>Value Missing</v>
      </c>
      <c r="E413" s="121" t="s">
        <v>809</v>
      </c>
    </row>
    <row r="414" spans="2:5" ht="16" customHeight="1" x14ac:dyDescent="0.2">
      <c r="B414" s="198" t="str">
        <f>wld_az1_host12_fqdn</f>
        <v>Value Missing</v>
      </c>
      <c r="C414" s="109" t="str">
        <f t="shared" si="1"/>
        <v>10.13.11.101</v>
      </c>
      <c r="D414" s="196" t="str">
        <f>wld_az1_host12_mgmt_ip</f>
        <v>Value Missing</v>
      </c>
      <c r="E414" s="121" t="s">
        <v>810</v>
      </c>
    </row>
    <row r="415" spans="2:5" ht="20" customHeight="1" x14ac:dyDescent="0.2">
      <c r="B415" s="198" t="str">
        <f>wld_az1_host13_fqdn</f>
        <v>Value Missing</v>
      </c>
      <c r="C415" s="109" t="str">
        <f t="shared" si="1"/>
        <v>10.13.11.101</v>
      </c>
      <c r="D415" s="196" t="str">
        <f>wld_az1_host13_mgmt_ip</f>
        <v>Value Missing</v>
      </c>
      <c r="E415" s="121" t="s">
        <v>811</v>
      </c>
    </row>
    <row r="416" spans="2:5" ht="20" customHeight="1" x14ac:dyDescent="0.2">
      <c r="B416" s="198" t="str">
        <f>wld_az1_host14_fqdn</f>
        <v>Value Missing</v>
      </c>
      <c r="C416" s="109" t="str">
        <f t="shared" si="1"/>
        <v>10.13.11.101</v>
      </c>
      <c r="D416" s="196" t="str">
        <f>wld_az1_host14_mgmt_ip</f>
        <v>Value Missing</v>
      </c>
      <c r="E416" s="121" t="s">
        <v>812</v>
      </c>
    </row>
    <row r="417" spans="2:5" ht="20" customHeight="1" x14ac:dyDescent="0.2">
      <c r="B417" s="198" t="str">
        <f>wld_az1_host15_fqdn</f>
        <v>Value Missing</v>
      </c>
      <c r="C417" s="109" t="str">
        <f t="shared" si="1"/>
        <v>10.13.11.101</v>
      </c>
      <c r="D417" s="196" t="str">
        <f>wld_az1_host15_mgmt_ip</f>
        <v>Value Missing</v>
      </c>
      <c r="E417" s="121" t="s">
        <v>813</v>
      </c>
    </row>
    <row r="418" spans="2:5" ht="20" customHeight="1" x14ac:dyDescent="0.2">
      <c r="B418" s="198" t="str">
        <f>wld_az1_host16_fqdn</f>
        <v>Value Missing</v>
      </c>
      <c r="C418" s="109" t="str">
        <f t="shared" si="1"/>
        <v>10.13.11.101</v>
      </c>
      <c r="D418" s="196" t="str">
        <f>wld_az1_host16_mgmt_ip</f>
        <v>Value Missing</v>
      </c>
      <c r="E418" s="121" t="s">
        <v>814</v>
      </c>
    </row>
    <row r="419" spans="2:5" ht="20" customHeight="1" x14ac:dyDescent="0.2"/>
    <row r="420" spans="2:5" ht="20" customHeight="1" x14ac:dyDescent="0.2"/>
    <row r="421" spans="2:5" ht="20" customHeight="1" x14ac:dyDescent="0.2"/>
    <row r="422" spans="2:5" ht="20" customHeight="1" x14ac:dyDescent="0.2">
      <c r="B422" s="201"/>
      <c r="C422" s="201"/>
      <c r="D422" s="2"/>
    </row>
    <row r="423" spans="2:5" ht="20" customHeight="1" x14ac:dyDescent="0.2"/>
    <row r="424" spans="2:5" ht="20" customHeight="1" x14ac:dyDescent="0.2"/>
    <row r="425" spans="2:5" ht="20" customHeight="1" x14ac:dyDescent="0.2"/>
    <row r="426" spans="2:5" ht="20" customHeight="1" x14ac:dyDescent="0.2"/>
    <row r="427" spans="2:5" ht="20" customHeight="1" x14ac:dyDescent="0.2"/>
    <row r="428" spans="2:5" ht="20" customHeight="1" x14ac:dyDescent="0.2"/>
    <row r="429" spans="2:5" ht="20" customHeight="1" x14ac:dyDescent="0.2"/>
    <row r="430" spans="2:5" ht="20" customHeight="1" x14ac:dyDescent="0.2"/>
    <row r="431" spans="2:5" ht="20" customHeight="1" x14ac:dyDescent="0.2"/>
    <row r="432" spans="2:5" ht="20" customHeight="1" x14ac:dyDescent="0.2"/>
    <row r="433" ht="20" customHeight="1" x14ac:dyDescent="0.2"/>
    <row r="434" ht="20" customHeight="1" x14ac:dyDescent="0.2"/>
    <row r="435" ht="20" customHeight="1" x14ac:dyDescent="0.2"/>
    <row r="436" ht="20" customHeight="1" x14ac:dyDescent="0.2"/>
    <row r="437" ht="20" customHeight="1" x14ac:dyDescent="0.2"/>
    <row r="438" ht="20" customHeight="1" x14ac:dyDescent="0.2"/>
    <row r="439" ht="20" customHeight="1" x14ac:dyDescent="0.2"/>
    <row r="440" ht="20" customHeight="1" x14ac:dyDescent="0.2"/>
    <row r="441" ht="20" customHeight="1" x14ac:dyDescent="0.2"/>
    <row r="442" ht="20" customHeight="1" x14ac:dyDescent="0.2"/>
    <row r="443" ht="20" customHeight="1" x14ac:dyDescent="0.2"/>
    <row r="444" ht="20" customHeight="1" x14ac:dyDescent="0.2"/>
    <row r="445" ht="20" customHeight="1" x14ac:dyDescent="0.2"/>
    <row r="446" ht="20" customHeight="1" x14ac:dyDescent="0.2"/>
    <row r="447" ht="20" customHeight="1" x14ac:dyDescent="0.2"/>
    <row r="448" ht="20" customHeight="1" x14ac:dyDescent="0.2"/>
    <row r="449" ht="20" customHeight="1" x14ac:dyDescent="0.2"/>
    <row r="450" ht="20" customHeight="1" x14ac:dyDescent="0.2"/>
    <row r="451" ht="20" customHeight="1" x14ac:dyDescent="0.2"/>
    <row r="452" ht="20" customHeight="1" x14ac:dyDescent="0.2"/>
    <row r="453" ht="20" customHeight="1" x14ac:dyDescent="0.2"/>
    <row r="454" ht="20" customHeight="1" x14ac:dyDescent="0.2"/>
    <row r="455" ht="20" customHeight="1" x14ac:dyDescent="0.2"/>
    <row r="456" ht="16" customHeight="1" x14ac:dyDescent="0.2"/>
    <row r="457" ht="20" customHeight="1" x14ac:dyDescent="0.2"/>
    <row r="458" ht="16" customHeight="1" x14ac:dyDescent="0.2"/>
    <row r="459" ht="34"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row r="468" ht="20" customHeight="1" x14ac:dyDescent="0.2"/>
    <row r="469" ht="20" customHeight="1" x14ac:dyDescent="0.2"/>
    <row r="470" ht="20" customHeight="1" x14ac:dyDescent="0.2"/>
    <row r="471" ht="20" customHeight="1" x14ac:dyDescent="0.2"/>
    <row r="472" ht="20" customHeight="1" x14ac:dyDescent="0.2"/>
    <row r="473" ht="20" customHeight="1" x14ac:dyDescent="0.2"/>
    <row r="474" ht="20" customHeight="1" x14ac:dyDescent="0.2"/>
    <row r="475" ht="20" customHeight="1" x14ac:dyDescent="0.2"/>
    <row r="476" ht="20" customHeight="1" x14ac:dyDescent="0.2"/>
    <row r="477" ht="20" customHeight="1" x14ac:dyDescent="0.2"/>
    <row r="478" ht="20" customHeight="1" x14ac:dyDescent="0.2"/>
    <row r="479" ht="20" customHeight="1" x14ac:dyDescent="0.2"/>
    <row r="480" ht="20" customHeight="1" x14ac:dyDescent="0.2"/>
    <row r="481" ht="20" customHeight="1" x14ac:dyDescent="0.2"/>
    <row r="482" ht="20" customHeight="1" x14ac:dyDescent="0.2"/>
    <row r="483" ht="20" customHeight="1" x14ac:dyDescent="0.2"/>
    <row r="484" ht="20" customHeight="1" x14ac:dyDescent="0.2"/>
    <row r="485" ht="20" customHeight="1" x14ac:dyDescent="0.2"/>
    <row r="486" ht="20" customHeight="1" x14ac:dyDescent="0.2"/>
    <row r="487" ht="20" customHeight="1" x14ac:dyDescent="0.2"/>
    <row r="488" ht="20" customHeight="1" x14ac:dyDescent="0.2"/>
    <row r="489" ht="20" customHeight="1" x14ac:dyDescent="0.2"/>
    <row r="490" ht="20" customHeight="1" x14ac:dyDescent="0.2"/>
    <row r="491" ht="20" customHeight="1" x14ac:dyDescent="0.2"/>
    <row r="492" ht="20" customHeight="1" x14ac:dyDescent="0.2"/>
    <row r="493" ht="20" customHeight="1" x14ac:dyDescent="0.2"/>
    <row r="494" ht="20" customHeight="1" x14ac:dyDescent="0.2"/>
    <row r="495" ht="20" customHeight="1" x14ac:dyDescent="0.2"/>
    <row r="496" ht="20" customHeight="1" x14ac:dyDescent="0.2"/>
    <row r="497" ht="20" customHeight="1" x14ac:dyDescent="0.2"/>
    <row r="498" ht="20" customHeight="1" x14ac:dyDescent="0.2"/>
    <row r="499" ht="20" customHeight="1" x14ac:dyDescent="0.2"/>
    <row r="500" ht="20" customHeight="1" x14ac:dyDescent="0.2"/>
    <row r="501" ht="20" customHeight="1" x14ac:dyDescent="0.2"/>
    <row r="502" ht="20" customHeight="1" x14ac:dyDescent="0.2"/>
    <row r="503" ht="20" customHeight="1" x14ac:dyDescent="0.2"/>
    <row r="504" ht="20" customHeight="1" x14ac:dyDescent="0.2"/>
    <row r="505" ht="20" customHeight="1" x14ac:dyDescent="0.2"/>
    <row r="506" ht="20" customHeight="1" x14ac:dyDescent="0.2"/>
    <row r="507" ht="20" customHeight="1" x14ac:dyDescent="0.2"/>
    <row r="508" ht="20" customHeight="1" x14ac:dyDescent="0.2"/>
    <row r="509" ht="20" customHeight="1" x14ac:dyDescent="0.2"/>
    <row r="510" ht="20" customHeight="1" x14ac:dyDescent="0.2"/>
    <row r="511" ht="20" customHeight="1" x14ac:dyDescent="0.2"/>
    <row r="512" ht="20" customHeight="1" x14ac:dyDescent="0.2"/>
    <row r="513" spans="7:7" ht="20" customHeight="1" x14ac:dyDescent="0.2"/>
    <row r="514" spans="7:7" ht="20" customHeight="1" x14ac:dyDescent="0.2"/>
    <row r="515" spans="7:7" ht="16" customHeight="1" x14ac:dyDescent="0.2"/>
    <row r="516" spans="7:7" ht="16" customHeight="1" x14ac:dyDescent="0.2"/>
    <row r="517" spans="7:7" ht="16" customHeight="1" x14ac:dyDescent="0.2"/>
    <row r="518" spans="7:7" ht="34" customHeight="1" x14ac:dyDescent="0.2"/>
    <row r="519" spans="7:7" ht="20" customHeight="1" x14ac:dyDescent="0.2"/>
    <row r="520" spans="7:7" ht="20" customHeight="1" x14ac:dyDescent="0.2"/>
    <row r="521" spans="7:7" ht="20" customHeight="1" x14ac:dyDescent="0.2"/>
    <row r="522" spans="7:7" ht="20" customHeight="1" x14ac:dyDescent="0.2"/>
    <row r="523" spans="7:7" ht="20" customHeight="1" x14ac:dyDescent="0.2"/>
    <row r="524" spans="7:7" ht="20" customHeight="1" x14ac:dyDescent="0.2"/>
    <row r="525" spans="7:7" ht="20" customHeight="1" x14ac:dyDescent="0.2"/>
    <row r="526" spans="7:7" ht="20" customHeight="1" x14ac:dyDescent="0.2"/>
    <row r="527" spans="7:7" ht="20" customHeight="1" x14ac:dyDescent="0.2">
      <c r="G527" s="36"/>
    </row>
    <row r="528" spans="7:7" ht="20" customHeight="1" x14ac:dyDescent="0.2"/>
    <row r="529" ht="20" customHeight="1" x14ac:dyDescent="0.2"/>
    <row r="530" ht="20" customHeight="1" x14ac:dyDescent="0.2"/>
    <row r="531" ht="20" customHeight="1" x14ac:dyDescent="0.2"/>
    <row r="532" ht="20" customHeight="1" x14ac:dyDescent="0.2"/>
    <row r="533" ht="20" customHeight="1" x14ac:dyDescent="0.2"/>
    <row r="534" ht="20" customHeight="1" x14ac:dyDescent="0.2"/>
    <row r="535" ht="20" customHeight="1" x14ac:dyDescent="0.2"/>
    <row r="536" ht="20" customHeight="1" x14ac:dyDescent="0.2"/>
    <row r="537" ht="20" customHeight="1" x14ac:dyDescent="0.2"/>
    <row r="538" ht="20" customHeight="1" x14ac:dyDescent="0.2"/>
    <row r="539" ht="20" customHeight="1" x14ac:dyDescent="0.2"/>
    <row r="540" ht="20" customHeight="1" x14ac:dyDescent="0.2"/>
    <row r="541" ht="20" customHeight="1" x14ac:dyDescent="0.2"/>
    <row r="542" ht="20" customHeight="1" x14ac:dyDescent="0.2"/>
    <row r="543" ht="20" customHeight="1" x14ac:dyDescent="0.2"/>
    <row r="544" ht="20"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20" customHeight="1" x14ac:dyDescent="0.2"/>
    <row r="552" ht="20" customHeight="1" x14ac:dyDescent="0.2"/>
    <row r="553" ht="20" customHeight="1" x14ac:dyDescent="0.2"/>
    <row r="554" ht="20" customHeight="1" x14ac:dyDescent="0.2"/>
    <row r="555" ht="20" customHeight="1" x14ac:dyDescent="0.2"/>
    <row r="556" ht="20" customHeight="1" x14ac:dyDescent="0.2"/>
    <row r="557" ht="20" customHeight="1" x14ac:dyDescent="0.2"/>
    <row r="558" ht="20" customHeight="1" x14ac:dyDescent="0.2"/>
    <row r="559" ht="20" customHeight="1" x14ac:dyDescent="0.2"/>
    <row r="560" ht="20" customHeight="1" x14ac:dyDescent="0.2"/>
    <row r="561" ht="20" customHeight="1" x14ac:dyDescent="0.2"/>
    <row r="562" ht="20" customHeight="1" x14ac:dyDescent="0.2"/>
    <row r="563" ht="20" customHeight="1" x14ac:dyDescent="0.2"/>
    <row r="564" ht="20" customHeight="1" x14ac:dyDescent="0.2"/>
    <row r="565" ht="20" customHeight="1" x14ac:dyDescent="0.2"/>
    <row r="566" ht="20" customHeight="1" x14ac:dyDescent="0.2"/>
    <row r="567" ht="20" customHeight="1" x14ac:dyDescent="0.2"/>
    <row r="568" ht="20" customHeight="1" x14ac:dyDescent="0.2"/>
    <row r="569" ht="20" customHeight="1" x14ac:dyDescent="0.2"/>
    <row r="570" ht="20" customHeight="1" x14ac:dyDescent="0.2"/>
    <row r="571" ht="20" customHeight="1" x14ac:dyDescent="0.2"/>
    <row r="572" ht="20" customHeight="1" x14ac:dyDescent="0.2"/>
    <row r="573" ht="20" customHeight="1" x14ac:dyDescent="0.2"/>
    <row r="574" ht="16" customHeight="1" x14ac:dyDescent="0.2"/>
    <row r="575" ht="20" customHeight="1" x14ac:dyDescent="0.2"/>
    <row r="576" ht="16" customHeight="1" x14ac:dyDescent="0.2"/>
    <row r="577" spans="7:7" ht="34" customHeight="1" x14ac:dyDescent="0.2"/>
    <row r="578" spans="7:7" ht="20" customHeight="1" x14ac:dyDescent="0.2"/>
    <row r="579" spans="7:7" ht="34" customHeight="1" x14ac:dyDescent="0.2"/>
    <row r="580" spans="7:7" ht="20" customHeight="1" x14ac:dyDescent="0.2"/>
    <row r="581" spans="7:7" ht="20" customHeight="1" x14ac:dyDescent="0.2"/>
    <row r="582" spans="7:7" ht="20" customHeight="1" x14ac:dyDescent="0.2"/>
    <row r="583" spans="7:7" ht="20" customHeight="1" x14ac:dyDescent="0.2"/>
    <row r="584" spans="7:7" ht="20" customHeight="1" x14ac:dyDescent="0.2"/>
    <row r="585" spans="7:7" ht="20" customHeight="1" x14ac:dyDescent="0.2"/>
    <row r="586" spans="7:7" ht="20" customHeight="1" x14ac:dyDescent="0.2"/>
    <row r="587" spans="7:7" ht="16" customHeight="1" x14ac:dyDescent="0.2"/>
    <row r="588" spans="7:7" ht="34" customHeight="1" x14ac:dyDescent="0.2"/>
    <row r="589" spans="7:7" ht="16" customHeight="1" x14ac:dyDescent="0.2"/>
    <row r="590" spans="7:7" ht="34" customHeight="1" x14ac:dyDescent="0.2"/>
    <row r="591" spans="7:7" ht="20" customHeight="1" x14ac:dyDescent="0.2">
      <c r="G591" s="36"/>
    </row>
    <row r="592" spans="7:7" ht="34" customHeight="1" x14ac:dyDescent="0.2"/>
    <row r="593" spans="7:7" ht="20" customHeight="1" x14ac:dyDescent="0.2"/>
    <row r="594" spans="7:7" ht="20" customHeight="1" x14ac:dyDescent="0.2"/>
    <row r="595" spans="7:7" ht="20" customHeight="1" x14ac:dyDescent="0.2"/>
    <row r="596" spans="7:7" ht="20" customHeight="1" x14ac:dyDescent="0.2">
      <c r="G596" s="36"/>
    </row>
    <row r="597" spans="7:7" ht="20" customHeight="1" x14ac:dyDescent="0.2"/>
    <row r="598" spans="7:7" ht="20" customHeight="1" x14ac:dyDescent="0.2"/>
    <row r="599" spans="7:7" ht="20" customHeight="1" x14ac:dyDescent="0.2"/>
    <row r="600" spans="7:7" ht="20" customHeight="1" x14ac:dyDescent="0.2"/>
    <row r="601" spans="7:7" ht="20" customHeight="1" x14ac:dyDescent="0.2"/>
    <row r="602" spans="7:7" ht="20" customHeight="1" x14ac:dyDescent="0.2"/>
    <row r="603" spans="7:7" ht="20" customHeight="1" x14ac:dyDescent="0.2"/>
    <row r="604" spans="7:7" ht="20" customHeight="1" x14ac:dyDescent="0.2">
      <c r="G604" s="36"/>
    </row>
    <row r="605" spans="7:7" ht="20" customHeight="1" x14ac:dyDescent="0.2"/>
    <row r="606" spans="7:7" ht="20" customHeight="1" x14ac:dyDescent="0.2">
      <c r="G606" s="36"/>
    </row>
    <row r="607" spans="7:7" ht="20" customHeight="1" x14ac:dyDescent="0.2"/>
    <row r="608" spans="7:7" ht="20" customHeight="1" x14ac:dyDescent="0.2"/>
    <row r="609" spans="7:7" ht="20" customHeight="1" x14ac:dyDescent="0.2"/>
    <row r="610" spans="7:7" ht="20" customHeight="1" x14ac:dyDescent="0.2"/>
    <row r="611" spans="7:7" ht="20" customHeight="1" x14ac:dyDescent="0.2"/>
    <row r="612" spans="7:7" ht="20" customHeight="1" x14ac:dyDescent="0.2"/>
    <row r="613" spans="7:7" ht="20" customHeight="1" x14ac:dyDescent="0.2">
      <c r="G613" s="36"/>
    </row>
    <row r="614" spans="7:7" ht="20" customHeight="1" x14ac:dyDescent="0.2"/>
    <row r="615" spans="7:7" ht="20" customHeight="1" x14ac:dyDescent="0.2"/>
    <row r="616" spans="7:7" ht="20" customHeight="1" x14ac:dyDescent="0.2"/>
    <row r="617" spans="7:7" ht="20" customHeight="1" x14ac:dyDescent="0.2"/>
    <row r="618" spans="7:7" ht="20" customHeight="1" x14ac:dyDescent="0.2"/>
    <row r="619" spans="7:7" ht="20" customHeight="1" x14ac:dyDescent="0.2">
      <c r="G619" s="36"/>
    </row>
    <row r="620" spans="7:7" ht="20" customHeight="1" x14ac:dyDescent="0.2"/>
    <row r="621" spans="7:7" ht="20" customHeight="1" x14ac:dyDescent="0.2"/>
    <row r="622" spans="7:7" ht="20" customHeight="1" x14ac:dyDescent="0.2"/>
    <row r="623" spans="7:7" ht="20" customHeight="1" x14ac:dyDescent="0.2"/>
    <row r="624" spans="7:7" ht="20" customHeight="1" x14ac:dyDescent="0.2"/>
    <row r="625" spans="7:7" ht="20" customHeight="1" x14ac:dyDescent="0.2">
      <c r="G625" s="36"/>
    </row>
    <row r="626" spans="7:7" ht="20" customHeight="1" x14ac:dyDescent="0.2"/>
    <row r="627" spans="7:7" ht="20" customHeight="1" x14ac:dyDescent="0.2"/>
    <row r="628" spans="7:7" ht="20" customHeight="1" x14ac:dyDescent="0.2"/>
    <row r="629" spans="7:7" ht="20" customHeight="1" x14ac:dyDescent="0.2"/>
    <row r="630" spans="7:7" ht="20" customHeight="1" x14ac:dyDescent="0.2"/>
    <row r="631" spans="7:7" ht="20" customHeight="1" x14ac:dyDescent="0.2"/>
    <row r="632" spans="7:7" ht="20" customHeight="1" x14ac:dyDescent="0.2"/>
    <row r="633" spans="7:7" ht="20" customHeight="1" x14ac:dyDescent="0.2"/>
    <row r="634" spans="7:7" ht="20" customHeight="1" x14ac:dyDescent="0.2"/>
    <row r="635" spans="7:7" ht="20" customHeight="1" x14ac:dyDescent="0.2">
      <c r="G635" s="36"/>
    </row>
    <row r="636" spans="7:7" ht="20" customHeight="1" x14ac:dyDescent="0.2"/>
    <row r="637" spans="7:7" ht="20" customHeight="1" x14ac:dyDescent="0.2"/>
    <row r="638" spans="7:7" ht="20" customHeight="1" x14ac:dyDescent="0.2">
      <c r="G638" s="36"/>
    </row>
    <row r="639" spans="7:7" ht="20" customHeight="1" x14ac:dyDescent="0.2"/>
    <row r="640" spans="7:7" ht="20" customHeight="1" x14ac:dyDescent="0.2"/>
    <row r="641" spans="7:7" ht="20" customHeight="1" x14ac:dyDescent="0.2"/>
    <row r="642" spans="7:7" ht="20" customHeight="1" x14ac:dyDescent="0.2">
      <c r="G642" s="36"/>
    </row>
    <row r="643" spans="7:7" ht="20" customHeight="1" x14ac:dyDescent="0.2"/>
    <row r="644" spans="7:7" ht="20" customHeight="1" x14ac:dyDescent="0.2"/>
    <row r="645" spans="7:7" ht="20" customHeight="1" x14ac:dyDescent="0.2">
      <c r="G645" s="36"/>
    </row>
    <row r="646" spans="7:7" ht="20" customHeight="1" x14ac:dyDescent="0.2"/>
    <row r="647" spans="7:7" ht="20" customHeight="1" x14ac:dyDescent="0.2">
      <c r="G647" s="36"/>
    </row>
    <row r="648" spans="7:7" ht="20" customHeight="1" x14ac:dyDescent="0.2"/>
    <row r="649" spans="7:7" ht="20" customHeight="1" x14ac:dyDescent="0.2"/>
    <row r="650" spans="7:7" ht="20" customHeight="1" x14ac:dyDescent="0.2"/>
    <row r="651" spans="7:7" ht="16" customHeight="1" x14ac:dyDescent="0.2"/>
    <row r="652" spans="7:7" ht="20" customHeight="1" x14ac:dyDescent="0.2"/>
    <row r="653" spans="7:7" ht="16" customHeight="1" x14ac:dyDescent="0.2"/>
    <row r="654" spans="7:7" ht="34" customHeight="1" x14ac:dyDescent="0.2"/>
    <row r="655" spans="7:7" ht="20" customHeight="1" x14ac:dyDescent="0.2"/>
    <row r="656" spans="7:7" ht="16" customHeight="1" x14ac:dyDescent="0.2"/>
    <row r="657" spans="7:7" ht="34" customHeight="1" x14ac:dyDescent="0.2"/>
    <row r="658" spans="7:7" ht="20" customHeight="1" x14ac:dyDescent="0.2"/>
    <row r="659" spans="7:7" ht="20" customHeight="1" x14ac:dyDescent="0.2"/>
    <row r="660" spans="7:7" ht="20" customHeight="1" x14ac:dyDescent="0.2"/>
    <row r="661" spans="7:7" ht="20" customHeight="1" x14ac:dyDescent="0.2"/>
    <row r="662" spans="7:7" ht="20" customHeight="1" x14ac:dyDescent="0.2"/>
    <row r="663" spans="7:7" ht="20" customHeight="1" x14ac:dyDescent="0.2">
      <c r="G663" s="36"/>
    </row>
    <row r="664" spans="7:7" ht="20" customHeight="1" x14ac:dyDescent="0.2"/>
    <row r="665" spans="7:7" ht="20" customHeight="1" x14ac:dyDescent="0.2"/>
    <row r="666" spans="7:7" ht="20" customHeight="1" x14ac:dyDescent="0.2"/>
    <row r="667" spans="7:7" ht="20" customHeight="1" x14ac:dyDescent="0.2"/>
    <row r="668" spans="7:7" ht="20" customHeight="1" x14ac:dyDescent="0.2"/>
    <row r="669" spans="7:7" ht="16" customHeight="1" x14ac:dyDescent="0.2"/>
    <row r="670" spans="7:7" ht="34" customHeight="1" x14ac:dyDescent="0.2"/>
    <row r="671" spans="7:7" ht="16" customHeight="1" x14ac:dyDescent="0.2"/>
    <row r="672" spans="7:7" ht="34" customHeight="1" x14ac:dyDescent="0.2"/>
    <row r="673" ht="16" customHeight="1" x14ac:dyDescent="0.2"/>
    <row r="674" ht="34" customHeight="1" x14ac:dyDescent="0.2"/>
    <row r="675" ht="20" customHeight="1" x14ac:dyDescent="0.2"/>
    <row r="676" ht="20" customHeight="1" x14ac:dyDescent="0.2"/>
    <row r="677" ht="20" customHeight="1" x14ac:dyDescent="0.2"/>
    <row r="678" ht="20" customHeight="1" x14ac:dyDescent="0.2"/>
    <row r="679" ht="20" customHeight="1" x14ac:dyDescent="0.2"/>
    <row r="680" ht="20" customHeight="1" x14ac:dyDescent="0.2"/>
    <row r="681" ht="20" customHeight="1" x14ac:dyDescent="0.2"/>
    <row r="682" ht="20" customHeight="1" x14ac:dyDescent="0.2"/>
    <row r="683" ht="20" customHeight="1" x14ac:dyDescent="0.2"/>
    <row r="684" ht="20" customHeight="1" x14ac:dyDescent="0.2"/>
    <row r="685" ht="20" customHeight="1" x14ac:dyDescent="0.2"/>
    <row r="686" ht="16" customHeight="1" x14ac:dyDescent="0.2"/>
    <row r="687" ht="20" customHeight="1" x14ac:dyDescent="0.2"/>
    <row r="688" ht="16" customHeight="1" x14ac:dyDescent="0.2"/>
    <row r="689" ht="34" customHeight="1" x14ac:dyDescent="0.2"/>
    <row r="690" ht="20" customHeight="1" x14ac:dyDescent="0.2"/>
    <row r="691" ht="20" customHeight="1" x14ac:dyDescent="0.2"/>
    <row r="692" ht="20" customHeight="1" x14ac:dyDescent="0.2"/>
    <row r="693" ht="20" customHeight="1" x14ac:dyDescent="0.2"/>
    <row r="694" ht="20" customHeight="1" x14ac:dyDescent="0.2"/>
    <row r="695" ht="16" customHeight="1" x14ac:dyDescent="0.2"/>
    <row r="696" ht="34" customHeight="1" x14ac:dyDescent="0.2"/>
    <row r="697" ht="20" customHeight="1" x14ac:dyDescent="0.2"/>
    <row r="698" ht="20" customHeight="1" x14ac:dyDescent="0.2"/>
    <row r="699" ht="20" customHeight="1" x14ac:dyDescent="0.2"/>
    <row r="700" ht="20" customHeight="1" x14ac:dyDescent="0.2"/>
    <row r="701" ht="16" customHeight="1" x14ac:dyDescent="0.2"/>
    <row r="702" ht="34" customHeight="1" x14ac:dyDescent="0.2"/>
    <row r="703" ht="20" customHeight="1" x14ac:dyDescent="0.2"/>
    <row r="704" ht="20" customHeight="1" x14ac:dyDescent="0.2"/>
    <row r="705" spans="7:7" ht="20" customHeight="1" x14ac:dyDescent="0.2"/>
    <row r="706" spans="7:7" ht="20" customHeight="1" x14ac:dyDescent="0.2"/>
    <row r="707" spans="7:7" ht="16" customHeight="1" x14ac:dyDescent="0.2"/>
    <row r="708" spans="7:7" ht="34" customHeight="1" x14ac:dyDescent="0.2"/>
    <row r="709" spans="7:7" ht="20" customHeight="1" x14ac:dyDescent="0.2"/>
    <row r="710" spans="7:7" ht="20" customHeight="1" x14ac:dyDescent="0.2"/>
    <row r="711" spans="7:7" ht="20" customHeight="1" x14ac:dyDescent="0.2"/>
    <row r="712" spans="7:7" ht="20" customHeight="1" x14ac:dyDescent="0.2"/>
    <row r="713" spans="7:7" ht="20" customHeight="1" x14ac:dyDescent="0.2"/>
    <row r="714" spans="7:7" ht="20" customHeight="1" x14ac:dyDescent="0.2"/>
    <row r="715" spans="7:7" ht="20" customHeight="1" x14ac:dyDescent="0.2"/>
    <row r="716" spans="7:7" ht="20" customHeight="1" x14ac:dyDescent="0.2"/>
    <row r="717" spans="7:7" ht="20" customHeight="1" x14ac:dyDescent="0.2">
      <c r="G717" s="36"/>
    </row>
    <row r="718" spans="7:7" ht="20" customHeight="1" x14ac:dyDescent="0.2"/>
    <row r="719" spans="7:7" ht="20" customHeight="1" x14ac:dyDescent="0.2"/>
    <row r="720" spans="7:7" ht="20" customHeight="1" x14ac:dyDescent="0.2"/>
    <row r="721" spans="7:7" ht="20" customHeight="1" x14ac:dyDescent="0.2"/>
    <row r="722" spans="7:7" ht="20" customHeight="1" x14ac:dyDescent="0.2"/>
    <row r="723" spans="7:7" ht="20" customHeight="1" x14ac:dyDescent="0.2"/>
    <row r="724" spans="7:7" ht="16" customHeight="1" x14ac:dyDescent="0.2"/>
    <row r="725" spans="7:7" ht="34" customHeight="1" x14ac:dyDescent="0.2"/>
    <row r="726" spans="7:7" ht="20" customHeight="1" x14ac:dyDescent="0.2"/>
    <row r="727" spans="7:7" ht="16" customHeight="1" x14ac:dyDescent="0.2"/>
    <row r="728" spans="7:7" ht="20" customHeight="1" x14ac:dyDescent="0.2"/>
    <row r="729" spans="7:7" ht="16" customHeight="1" x14ac:dyDescent="0.2"/>
    <row r="730" spans="7:7" ht="34" customHeight="1" x14ac:dyDescent="0.2"/>
    <row r="731" spans="7:7" ht="20" customHeight="1" x14ac:dyDescent="0.2"/>
    <row r="732" spans="7:7" ht="20" customHeight="1" x14ac:dyDescent="0.2"/>
    <row r="733" spans="7:7" ht="20" customHeight="1" x14ac:dyDescent="0.2"/>
    <row r="734" spans="7:7" ht="20" customHeight="1" x14ac:dyDescent="0.2">
      <c r="G734" s="36"/>
    </row>
    <row r="735" spans="7:7" ht="20" customHeight="1" x14ac:dyDescent="0.2"/>
    <row r="736" spans="7:7" ht="20" customHeight="1" x14ac:dyDescent="0.2"/>
    <row r="737" spans="7:7" ht="20" customHeight="1" x14ac:dyDescent="0.2"/>
    <row r="738" spans="7:7" ht="20" customHeight="1" x14ac:dyDescent="0.2"/>
    <row r="739" spans="7:7" ht="20" customHeight="1" x14ac:dyDescent="0.2"/>
    <row r="740" spans="7:7" ht="20" customHeight="1" x14ac:dyDescent="0.2"/>
    <row r="741" spans="7:7" ht="16" customHeight="1" x14ac:dyDescent="0.2"/>
    <row r="742" spans="7:7" ht="20" customHeight="1" x14ac:dyDescent="0.2">
      <c r="G742" s="36"/>
    </row>
    <row r="743" spans="7:7" ht="16" customHeight="1" x14ac:dyDescent="0.2"/>
    <row r="744" spans="7:7" ht="34" customHeight="1" x14ac:dyDescent="0.2"/>
    <row r="745" spans="7:7" ht="16" customHeight="1" x14ac:dyDescent="0.2"/>
    <row r="746" spans="7:7" ht="36" customHeight="1" x14ac:dyDescent="0.2"/>
    <row r="747" spans="7:7" ht="20" customHeight="1" x14ac:dyDescent="0.2"/>
    <row r="748" spans="7:7" ht="20" customHeight="1" x14ac:dyDescent="0.2">
      <c r="G748" s="36"/>
    </row>
    <row r="749" spans="7:7" ht="20" customHeight="1" x14ac:dyDescent="0.2"/>
    <row r="750" spans="7:7" ht="20" customHeight="1" x14ac:dyDescent="0.2"/>
    <row r="751" spans="7:7" ht="20" customHeight="1" x14ac:dyDescent="0.2"/>
    <row r="752" spans="7:7" ht="20" customHeight="1" x14ac:dyDescent="0.2">
      <c r="G752" s="36"/>
    </row>
    <row r="753" spans="7:7" ht="20" customHeight="1" x14ac:dyDescent="0.2"/>
    <row r="754" spans="7:7" ht="20" customHeight="1" x14ac:dyDescent="0.2"/>
    <row r="755" spans="7:7" ht="20" customHeight="1" x14ac:dyDescent="0.2"/>
    <row r="756" spans="7:7" ht="20" customHeight="1" x14ac:dyDescent="0.2"/>
    <row r="757" spans="7:7" ht="20" customHeight="1" x14ac:dyDescent="0.2"/>
    <row r="758" spans="7:7" ht="20" customHeight="1" x14ac:dyDescent="0.2"/>
    <row r="759" spans="7:7" ht="20" customHeight="1" x14ac:dyDescent="0.2">
      <c r="G759" s="36"/>
    </row>
    <row r="760" spans="7:7" ht="20" customHeight="1" x14ac:dyDescent="0.2"/>
    <row r="761" spans="7:7" ht="20" customHeight="1" x14ac:dyDescent="0.2"/>
    <row r="762" spans="7:7" ht="20" customHeight="1" x14ac:dyDescent="0.2"/>
    <row r="763" spans="7:7" ht="20" customHeight="1" x14ac:dyDescent="0.2"/>
    <row r="764" spans="7:7" ht="20" customHeight="1" x14ac:dyDescent="0.2"/>
    <row r="765" spans="7:7" ht="20" customHeight="1" x14ac:dyDescent="0.2"/>
    <row r="766" spans="7:7" ht="20" customHeight="1" x14ac:dyDescent="0.2">
      <c r="G766" s="36"/>
    </row>
    <row r="767" spans="7:7" ht="20" customHeight="1" x14ac:dyDescent="0.2"/>
    <row r="768" spans="7:7" ht="20" customHeight="1" x14ac:dyDescent="0.2"/>
    <row r="769" spans="7:7" ht="20" customHeight="1" x14ac:dyDescent="0.2"/>
    <row r="770" spans="7:7" ht="20" customHeight="1" x14ac:dyDescent="0.2"/>
    <row r="771" spans="7:7" ht="20" customHeight="1" x14ac:dyDescent="0.2"/>
    <row r="772" spans="7:7" ht="20" customHeight="1" x14ac:dyDescent="0.2"/>
    <row r="773" spans="7:7" ht="20" customHeight="1" x14ac:dyDescent="0.2"/>
    <row r="774" spans="7:7" ht="20" customHeight="1" x14ac:dyDescent="0.2"/>
    <row r="775" spans="7:7" ht="20" customHeight="1" x14ac:dyDescent="0.2">
      <c r="G775" s="36"/>
    </row>
    <row r="776" spans="7:7" ht="20" customHeight="1" x14ac:dyDescent="0.2"/>
    <row r="777" spans="7:7" ht="20" customHeight="1" x14ac:dyDescent="0.2"/>
    <row r="778" spans="7:7" ht="20" customHeight="1" x14ac:dyDescent="0.2"/>
    <row r="779" spans="7:7" ht="20" customHeight="1" x14ac:dyDescent="0.2"/>
    <row r="780" spans="7:7" ht="20" customHeight="1" x14ac:dyDescent="0.2">
      <c r="G780" s="36"/>
    </row>
    <row r="781" spans="7:7" ht="20" customHeight="1" x14ac:dyDescent="0.2"/>
    <row r="782" spans="7:7" ht="20" customHeight="1" x14ac:dyDescent="0.2"/>
    <row r="783" spans="7:7" ht="20" customHeight="1" x14ac:dyDescent="0.2"/>
    <row r="784" spans="7:7" ht="20" customHeight="1" x14ac:dyDescent="0.2"/>
    <row r="785" spans="7:7" ht="20" customHeight="1" x14ac:dyDescent="0.2"/>
    <row r="786" spans="7:7" ht="20" customHeight="1" x14ac:dyDescent="0.2"/>
    <row r="787" spans="7:7" ht="20" customHeight="1" x14ac:dyDescent="0.2"/>
    <row r="788" spans="7:7" ht="20" customHeight="1" x14ac:dyDescent="0.2"/>
    <row r="789" spans="7:7" ht="20" customHeight="1" x14ac:dyDescent="0.2"/>
    <row r="790" spans="7:7" ht="20" customHeight="1" x14ac:dyDescent="0.2"/>
    <row r="791" spans="7:7" ht="20" customHeight="1" x14ac:dyDescent="0.2">
      <c r="G791" s="36"/>
    </row>
    <row r="792" spans="7:7" ht="20" customHeight="1" x14ac:dyDescent="0.2"/>
    <row r="793" spans="7:7" ht="20" customHeight="1" x14ac:dyDescent="0.2"/>
    <row r="794" spans="7:7" ht="20" customHeight="1" x14ac:dyDescent="0.2"/>
    <row r="795" spans="7:7" ht="20" customHeight="1" x14ac:dyDescent="0.2"/>
    <row r="796" spans="7:7" ht="16" customHeight="1" x14ac:dyDescent="0.2"/>
    <row r="797" spans="7:7" ht="34" customHeight="1" x14ac:dyDescent="0.2"/>
    <row r="798" spans="7:7" ht="16" customHeight="1" x14ac:dyDescent="0.2"/>
    <row r="799" spans="7:7" ht="34" customHeight="1" x14ac:dyDescent="0.2"/>
    <row r="800" spans="7:7" ht="20" customHeight="1" x14ac:dyDescent="0.2"/>
    <row r="801" spans="7:7" ht="20" customHeight="1" x14ac:dyDescent="0.2"/>
    <row r="802" spans="7:7" ht="20" customHeight="1" x14ac:dyDescent="0.2"/>
    <row r="803" spans="7:7" ht="20" customHeight="1" x14ac:dyDescent="0.2"/>
    <row r="804" spans="7:7" ht="20" customHeight="1" x14ac:dyDescent="0.2"/>
    <row r="805" spans="7:7" ht="20" customHeight="1" x14ac:dyDescent="0.2"/>
    <row r="806" spans="7:7" ht="20" customHeight="1" x14ac:dyDescent="0.2">
      <c r="G806" s="36"/>
    </row>
    <row r="807" spans="7:7" ht="20" customHeight="1" x14ac:dyDescent="0.2"/>
    <row r="808" spans="7:7" ht="20" customHeight="1" x14ac:dyDescent="0.2"/>
    <row r="809" spans="7:7" ht="20" customHeight="1" x14ac:dyDescent="0.2"/>
    <row r="810" spans="7:7" ht="20" customHeight="1" x14ac:dyDescent="0.2"/>
    <row r="811" spans="7:7" ht="20" customHeight="1" x14ac:dyDescent="0.2"/>
    <row r="812" spans="7:7" ht="20" customHeight="1" x14ac:dyDescent="0.2"/>
    <row r="813" spans="7:7" ht="20" customHeight="1" x14ac:dyDescent="0.2"/>
    <row r="814" spans="7:7" ht="16" customHeight="1" x14ac:dyDescent="0.2">
      <c r="G814" s="36"/>
    </row>
    <row r="815" spans="7:7" ht="20" customHeight="1" x14ac:dyDescent="0.2"/>
    <row r="816" spans="7:7" ht="16" customHeight="1" x14ac:dyDescent="0.2"/>
    <row r="817" spans="7:7" ht="34" customHeight="1" x14ac:dyDescent="0.2"/>
    <row r="818" spans="7:7" ht="20" customHeight="1" x14ac:dyDescent="0.2"/>
    <row r="819" spans="7:7" ht="20" customHeight="1" x14ac:dyDescent="0.2"/>
    <row r="820" spans="7:7" ht="20" customHeight="1" x14ac:dyDescent="0.2">
      <c r="G820" s="36"/>
    </row>
    <row r="821" spans="7:7" ht="20" customHeight="1" x14ac:dyDescent="0.2"/>
    <row r="822" spans="7:7" ht="16" customHeight="1" x14ac:dyDescent="0.2"/>
    <row r="823" spans="7:7" ht="20" customHeight="1" x14ac:dyDescent="0.2"/>
    <row r="824" spans="7:7" ht="16" customHeight="1" x14ac:dyDescent="0.2"/>
    <row r="825" spans="7:7" ht="34" customHeight="1" x14ac:dyDescent="0.2"/>
    <row r="826" spans="7:7" ht="20" customHeight="1" x14ac:dyDescent="0.2"/>
    <row r="827" spans="7:7" ht="20" customHeight="1" x14ac:dyDescent="0.2"/>
    <row r="828" spans="7:7" ht="16" customHeight="1" x14ac:dyDescent="0.2"/>
    <row r="829" spans="7:7" ht="20" customHeight="1" x14ac:dyDescent="0.2"/>
    <row r="830" spans="7:7" ht="16" customHeight="1" x14ac:dyDescent="0.2"/>
    <row r="831" spans="7:7" ht="34" customHeight="1" x14ac:dyDescent="0.2"/>
    <row r="832" spans="7:7" ht="16" customHeight="1" x14ac:dyDescent="0.2"/>
    <row r="833" ht="20" customHeight="1" x14ac:dyDescent="0.2"/>
    <row r="834" ht="16" customHeight="1" x14ac:dyDescent="0.2"/>
    <row r="835" ht="34" customHeight="1" x14ac:dyDescent="0.2"/>
    <row r="836" ht="20" customHeight="1" x14ac:dyDescent="0.2"/>
    <row r="837" ht="20" customHeight="1" x14ac:dyDescent="0.2"/>
    <row r="838" ht="20" customHeight="1" x14ac:dyDescent="0.2"/>
    <row r="839" ht="20" customHeight="1" x14ac:dyDescent="0.2"/>
    <row r="840" ht="20" customHeight="1" x14ac:dyDescent="0.2"/>
    <row r="841" ht="16" customHeight="1" x14ac:dyDescent="0.2"/>
    <row r="842" ht="34" customHeight="1" x14ac:dyDescent="0.2"/>
    <row r="843" ht="20" customHeight="1" x14ac:dyDescent="0.2"/>
    <row r="844" ht="20" customHeight="1" x14ac:dyDescent="0.2"/>
    <row r="845" ht="20" customHeight="1" x14ac:dyDescent="0.2"/>
    <row r="846" ht="16" customHeight="1" x14ac:dyDescent="0.2"/>
    <row r="847" ht="20" customHeight="1" x14ac:dyDescent="0.2"/>
    <row r="848" ht="20" customHeight="1" x14ac:dyDescent="0.2"/>
    <row r="849" spans="7:7" ht="20" customHeight="1" x14ac:dyDescent="0.2"/>
    <row r="850" spans="7:7" ht="20" customHeight="1" x14ac:dyDescent="0.2"/>
    <row r="851" spans="7:7" ht="20" customHeight="1" x14ac:dyDescent="0.2"/>
    <row r="852" spans="7:7" ht="20" customHeight="1" x14ac:dyDescent="0.2"/>
    <row r="853" spans="7:7" ht="20" customHeight="1" x14ac:dyDescent="0.2"/>
    <row r="854" spans="7:7" ht="20" customHeight="1" x14ac:dyDescent="0.2"/>
    <row r="855" spans="7:7" ht="16" customHeight="1" x14ac:dyDescent="0.2"/>
    <row r="856" spans="7:7" ht="20" customHeight="1" x14ac:dyDescent="0.2"/>
    <row r="857" spans="7:7" ht="16" customHeight="1" x14ac:dyDescent="0.2"/>
    <row r="858" spans="7:7" ht="34" customHeight="1" x14ac:dyDescent="0.2"/>
    <row r="859" spans="7:7" ht="20" customHeight="1" x14ac:dyDescent="0.2"/>
    <row r="860" spans="7:7" ht="16" customHeight="1" x14ac:dyDescent="0.2"/>
    <row r="861" spans="7:7" ht="20" customHeight="1" x14ac:dyDescent="0.2"/>
    <row r="862" spans="7:7" ht="16" customHeight="1" x14ac:dyDescent="0.2"/>
    <row r="863" spans="7:7" ht="34" customHeight="1" x14ac:dyDescent="0.2">
      <c r="G863" s="36"/>
    </row>
    <row r="864" spans="7:7" ht="20" customHeight="1" x14ac:dyDescent="0.2"/>
    <row r="865" spans="7:7" ht="20" customHeight="1" x14ac:dyDescent="0.2"/>
    <row r="866" spans="7:7" ht="20" customHeight="1" x14ac:dyDescent="0.2"/>
    <row r="867" spans="7:7" ht="20" customHeight="1" x14ac:dyDescent="0.2"/>
    <row r="868" spans="7:7" ht="20" customHeight="1" x14ac:dyDescent="0.2"/>
    <row r="869" spans="7:7" ht="20" customHeight="1" x14ac:dyDescent="0.2">
      <c r="G869" s="36"/>
    </row>
    <row r="870" spans="7:7" ht="20" customHeight="1" x14ac:dyDescent="0.2"/>
    <row r="871" spans="7:7" ht="16" customHeight="1" x14ac:dyDescent="0.2"/>
    <row r="872" spans="7:7" ht="20" customHeight="1" x14ac:dyDescent="0.2"/>
    <row r="873" spans="7:7" ht="16" customHeight="1" x14ac:dyDescent="0.2"/>
    <row r="874" spans="7:7" ht="34" customHeight="1" x14ac:dyDescent="0.2"/>
    <row r="875" spans="7:7" ht="20" customHeight="1" x14ac:dyDescent="0.2"/>
    <row r="876" spans="7:7" ht="20" customHeight="1" x14ac:dyDescent="0.2"/>
    <row r="877" spans="7:7" ht="20" customHeight="1" x14ac:dyDescent="0.2"/>
    <row r="878" spans="7:7" ht="20" customHeight="1" x14ac:dyDescent="0.2"/>
    <row r="879" spans="7:7" ht="20" customHeight="1" x14ac:dyDescent="0.2"/>
    <row r="880" spans="7:7" ht="20" customHeight="1" x14ac:dyDescent="0.2"/>
    <row r="881" ht="20" customHeight="1" x14ac:dyDescent="0.2"/>
    <row r="882" ht="20" customHeight="1" x14ac:dyDescent="0.2"/>
    <row r="883" ht="20" customHeight="1" x14ac:dyDescent="0.2"/>
    <row r="884" ht="20" customHeight="1" x14ac:dyDescent="0.2"/>
    <row r="885" ht="20" customHeight="1" x14ac:dyDescent="0.2"/>
    <row r="886" ht="16" customHeight="1" x14ac:dyDescent="0.2"/>
    <row r="887" ht="20" customHeight="1" x14ac:dyDescent="0.2"/>
    <row r="888" ht="16" customHeight="1" x14ac:dyDescent="0.2"/>
    <row r="889" ht="34" customHeight="1" x14ac:dyDescent="0.2"/>
    <row r="890" ht="20" customHeight="1" x14ac:dyDescent="0.2"/>
    <row r="891" ht="20" customHeight="1" x14ac:dyDescent="0.2"/>
    <row r="892" ht="20" customHeight="1" x14ac:dyDescent="0.2"/>
    <row r="893" ht="20" customHeight="1" x14ac:dyDescent="0.2"/>
    <row r="894" ht="16" customHeight="1" x14ac:dyDescent="0.2"/>
    <row r="895" ht="20" customHeight="1" x14ac:dyDescent="0.2"/>
    <row r="896" ht="16" customHeight="1" x14ac:dyDescent="0.2"/>
    <row r="897" ht="34" customHeight="1" x14ac:dyDescent="0.2"/>
    <row r="898" ht="20" customHeight="1" x14ac:dyDescent="0.2"/>
    <row r="899" ht="20" customHeight="1" x14ac:dyDescent="0.2"/>
    <row r="900" ht="16" customHeight="1" x14ac:dyDescent="0.2"/>
    <row r="901" ht="20" customHeight="1" x14ac:dyDescent="0.2"/>
    <row r="902" ht="16" customHeight="1" x14ac:dyDescent="0.2"/>
    <row r="903" ht="34" customHeight="1" x14ac:dyDescent="0.2"/>
    <row r="904" ht="20" customHeight="1" x14ac:dyDescent="0.2"/>
    <row r="905" ht="20" customHeight="1" x14ac:dyDescent="0.2"/>
    <row r="906" ht="20" customHeight="1" x14ac:dyDescent="0.2"/>
    <row r="907" ht="20" customHeight="1" x14ac:dyDescent="0.2"/>
    <row r="908" ht="20" customHeight="1" x14ac:dyDescent="0.2"/>
    <row r="909" ht="20" customHeight="1" x14ac:dyDescent="0.2"/>
    <row r="910" ht="20" customHeight="1" x14ac:dyDescent="0.2"/>
    <row r="911" ht="20" customHeight="1" x14ac:dyDescent="0.2"/>
    <row r="912" ht="20" customHeight="1" x14ac:dyDescent="0.2"/>
    <row r="913" ht="20" customHeight="1" x14ac:dyDescent="0.2"/>
    <row r="914" ht="20" customHeight="1" x14ac:dyDescent="0.2"/>
    <row r="915" ht="20" customHeight="1" x14ac:dyDescent="0.2"/>
    <row r="916" ht="20" customHeight="1" x14ac:dyDescent="0.2"/>
    <row r="917" ht="20" customHeight="1" x14ac:dyDescent="0.2"/>
    <row r="918" ht="20" customHeight="1" x14ac:dyDescent="0.2"/>
    <row r="919" ht="20" customHeight="1" x14ac:dyDescent="0.2"/>
    <row r="920" ht="20" customHeight="1" x14ac:dyDescent="0.2"/>
    <row r="921" ht="20" customHeight="1" x14ac:dyDescent="0.2"/>
    <row r="922" ht="20" customHeight="1" x14ac:dyDescent="0.2"/>
    <row r="923" ht="20" customHeight="1" x14ac:dyDescent="0.2"/>
    <row r="924" ht="20" customHeight="1" x14ac:dyDescent="0.2"/>
    <row r="925" ht="20" customHeight="1" x14ac:dyDescent="0.2"/>
    <row r="926" ht="20" customHeight="1" x14ac:dyDescent="0.2"/>
    <row r="927" ht="20" customHeight="1" x14ac:dyDescent="0.2"/>
    <row r="928" ht="20" customHeight="1" x14ac:dyDescent="0.2"/>
    <row r="929" ht="20" customHeight="1" x14ac:dyDescent="0.2"/>
    <row r="930" ht="20" customHeight="1" x14ac:dyDescent="0.2"/>
    <row r="931" ht="20" customHeight="1" x14ac:dyDescent="0.2"/>
    <row r="932" ht="20" customHeight="1" x14ac:dyDescent="0.2"/>
    <row r="933" ht="20" customHeight="1" x14ac:dyDescent="0.2"/>
    <row r="934" ht="20" customHeight="1" x14ac:dyDescent="0.2"/>
    <row r="935" ht="20" customHeight="1" x14ac:dyDescent="0.2"/>
    <row r="936" ht="20" customHeight="1" x14ac:dyDescent="0.2"/>
    <row r="937" ht="20" customHeight="1" x14ac:dyDescent="0.2"/>
    <row r="938" ht="20" customHeight="1" x14ac:dyDescent="0.2"/>
    <row r="939" ht="20" customHeight="1" x14ac:dyDescent="0.2"/>
    <row r="940" ht="20" customHeight="1" x14ac:dyDescent="0.2"/>
    <row r="941" ht="20" customHeight="1" x14ac:dyDescent="0.2"/>
    <row r="942" ht="20" customHeight="1" x14ac:dyDescent="0.2"/>
    <row r="943" ht="20" customHeight="1" x14ac:dyDescent="0.2"/>
    <row r="944" ht="20" customHeight="1" x14ac:dyDescent="0.2"/>
    <row r="945" ht="16" customHeight="1" x14ac:dyDescent="0.2"/>
    <row r="946" ht="34" customHeight="1" x14ac:dyDescent="0.2"/>
    <row r="947" ht="20" customHeight="1" x14ac:dyDescent="0.2"/>
    <row r="948" ht="20" customHeight="1" x14ac:dyDescent="0.2"/>
    <row r="949" ht="20" customHeight="1" x14ac:dyDescent="0.2"/>
    <row r="950" ht="20" customHeight="1" x14ac:dyDescent="0.2"/>
    <row r="951" ht="16" customHeight="1" x14ac:dyDescent="0.2"/>
    <row r="952" ht="34" customHeight="1" x14ac:dyDescent="0.2"/>
    <row r="953" ht="20" customHeight="1" x14ac:dyDescent="0.2"/>
    <row r="954" ht="20" customHeight="1" x14ac:dyDescent="0.2"/>
    <row r="955" ht="20" customHeight="1" x14ac:dyDescent="0.2"/>
    <row r="956" ht="20" customHeight="1" x14ac:dyDescent="0.2"/>
    <row r="957" ht="20" customHeight="1" x14ac:dyDescent="0.2"/>
  </sheetData>
  <sheetProtection algorithmName="SHA-512" hashValue="lMXdmH0shqcmTto/MvphWtqyW18hd0Yp/xisQzevWAo3E5ZJh1+x6S7P92TUvo1ecpNPYLbcR7VUHqfXkuvcdA==" saltValue="13uK5DAQzyU3r28gCU7z4w==" spinCount="100000" sheet="1" selectLockedCells="1"/>
  <mergeCells count="54">
    <mergeCell ref="B2:E2"/>
    <mergeCell ref="B61:E61"/>
    <mergeCell ref="B181:E181"/>
    <mergeCell ref="B184:E184"/>
    <mergeCell ref="B188:E188"/>
    <mergeCell ref="B3:E3"/>
    <mergeCell ref="B6:E6"/>
    <mergeCell ref="B20:E20"/>
    <mergeCell ref="B21:E21"/>
    <mergeCell ref="B25:E25"/>
    <mergeCell ref="B26:E26"/>
    <mergeCell ref="B52:E52"/>
    <mergeCell ref="B35:E35"/>
    <mergeCell ref="B36:E36"/>
    <mergeCell ref="B79:E79"/>
    <mergeCell ref="B94:E94"/>
    <mergeCell ref="B105:E105"/>
    <mergeCell ref="B54:E54"/>
    <mergeCell ref="B55:E55"/>
    <mergeCell ref="B80:E80"/>
    <mergeCell ref="B57:E57"/>
    <mergeCell ref="B83:E83"/>
    <mergeCell ref="B116:E116"/>
    <mergeCell ref="B271:E271"/>
    <mergeCell ref="B253:E253"/>
    <mergeCell ref="B233:E233"/>
    <mergeCell ref="B232:E232"/>
    <mergeCell ref="B252:E252"/>
    <mergeCell ref="B213:E213"/>
    <mergeCell ref="B212:E212"/>
    <mergeCell ref="B166:E166"/>
    <mergeCell ref="B155:E155"/>
    <mergeCell ref="B128:E128"/>
    <mergeCell ref="B129:E129"/>
    <mergeCell ref="B175:E175"/>
    <mergeCell ref="B158:E158"/>
    <mergeCell ref="B167:E167"/>
    <mergeCell ref="B174:E174"/>
    <mergeCell ref="B347:E347"/>
    <mergeCell ref="B345:E345"/>
    <mergeCell ref="B368:E368"/>
    <mergeCell ref="B378:E378"/>
    <mergeCell ref="B323:E323"/>
    <mergeCell ref="B391:E391"/>
    <mergeCell ref="B384:E384"/>
    <mergeCell ref="B372:E372"/>
    <mergeCell ref="B364:E364"/>
    <mergeCell ref="B355:E355"/>
    <mergeCell ref="B157:E157"/>
    <mergeCell ref="B335:E335"/>
    <mergeCell ref="B180:E180"/>
    <mergeCell ref="B318:E318"/>
    <mergeCell ref="B282:E282"/>
    <mergeCell ref="B185:E185"/>
  </mergeCells>
  <phoneticPr fontId="9" type="noConversion"/>
  <conditionalFormatting sqref="B10">
    <cfRule type="expression" dxfId="1317" priority="10">
      <formula>vcf_granular_option_chosen="VVF Deployment"</formula>
    </cfRule>
    <cfRule type="expression" dxfId="1316" priority="245">
      <formula>wld_domain_chosen="Deploy infrastructure only"</formula>
    </cfRule>
    <cfRule type="expression" dxfId="1315" priority="334">
      <formula>OR((wld_domain_chosen="Deploy Workload Domain with a Single-Rack / Multi-Rack Layer 2 Cluster"),(wld_domain_chosen="Deploy Workload Domain with a Multi-Rack Layer 3 Cluster"),(wld_domain_chosen="Import Workload Domain"))</formula>
    </cfRule>
    <cfRule type="expression" dxfId="1314" priority="335" stopIfTrue="1">
      <formula>wld_domain_chosen="Exclude"</formula>
    </cfRule>
  </conditionalFormatting>
  <conditionalFormatting sqref="B11 D11">
    <cfRule type="expression" dxfId="1313" priority="6">
      <formula>AND((wld_domain_chosen="Deploy infrastructure only"),(wld_compute_hosts_per_rack_chosen&lt;&gt;"Exclude"))</formula>
    </cfRule>
    <cfRule type="expression" dxfId="1312" priority="213" stopIfTrue="1">
      <formula>(wld_compute_hosts_per_rack_chosen="Exclude")</formula>
    </cfRule>
    <cfRule type="expression" dxfId="1311" priority="215">
      <formula>(vcf_version_result="Excluded")</formula>
    </cfRule>
    <cfRule type="expression" dxfId="1310" priority="275">
      <formula>(vcf_version_chosen&lt;&gt;"Exclude")</formula>
    </cfRule>
  </conditionalFormatting>
  <conditionalFormatting sqref="B11 D11:E11">
    <cfRule type="expression" dxfId="1309" priority="210">
      <formula>wld_compute_total_number_hosts&gt;64</formula>
    </cfRule>
  </conditionalFormatting>
  <conditionalFormatting sqref="B11">
    <cfRule type="expression" dxfId="1308" priority="110">
      <formula>$E$11="Required: Minimum Number of hosts must be selected"</formula>
    </cfRule>
  </conditionalFormatting>
  <conditionalFormatting sqref="B12 D12">
    <cfRule type="expression" dxfId="1307" priority="107">
      <formula>wld_multi_rack_count_chosen="Exclude"</formula>
    </cfRule>
    <cfRule type="expression" dxfId="1306" priority="109">
      <formula>(vcf_version_result="Excluded")</formula>
    </cfRule>
    <cfRule type="expression" dxfId="1305" priority="211">
      <formula>(vcf_version_chosen&lt;&gt;"Exclude")</formula>
    </cfRule>
  </conditionalFormatting>
  <conditionalFormatting sqref="B12 D12:E12">
    <cfRule type="expression" dxfId="1304" priority="105">
      <formula>AND((wld_multi_rack_count_chosen&lt;&gt;"Exclude"),(wld_multi_rack_count_result="Excluded"))</formula>
    </cfRule>
  </conditionalFormatting>
  <conditionalFormatting sqref="B12">
    <cfRule type="expression" dxfId="1303" priority="104">
      <formula>AND((wld_domain_chosen="Deploy Workload Domain with a Multi-Rack Layer 3 Cluster"),(wld_multi_rack_count_chosen="Exclude"))</formula>
    </cfRule>
  </conditionalFormatting>
  <conditionalFormatting sqref="B13 D13:E13">
    <cfRule type="expression" dxfId="1302" priority="263">
      <formula>AND((wld_dpg_separation_chosen&lt;&gt;"Exclude"),(wld_dpg_separation_result="Excluded"))</formula>
    </cfRule>
  </conditionalFormatting>
  <conditionalFormatting sqref="B13">
    <cfRule type="expression" dxfId="1301" priority="332">
      <formula>wld_dpg_separation_chosen="Include"</formula>
    </cfRule>
    <cfRule type="expression" dxfId="1300" priority="333">
      <formula>wld_dpg_separation_chosen="Exclude"</formula>
    </cfRule>
  </conditionalFormatting>
  <conditionalFormatting sqref="B13:B18 D15">
    <cfRule type="expression" dxfId="1299" priority="325" stopIfTrue="1">
      <formula>wld_domain_result="Excluded"</formula>
    </cfRule>
  </conditionalFormatting>
  <conditionalFormatting sqref="B14 D14:E14">
    <cfRule type="expression" dxfId="1298" priority="63">
      <formula>$E$14="Cause: Multi Rack Configuration is only supported with vSAN as Principal Storage or with vSAN Compute Clusters"</formula>
    </cfRule>
  </conditionalFormatting>
  <conditionalFormatting sqref="B14">
    <cfRule type="expression" dxfId="1297" priority="9">
      <formula>wld_domain_chosen="Deploy infrastructure only"</formula>
    </cfRule>
  </conditionalFormatting>
  <conditionalFormatting sqref="B15 D15">
    <cfRule type="expression" dxfId="1296" priority="106">
      <formula>wld_az1_reuse_vcf_networkpool_result="Excluded"</formula>
    </cfRule>
  </conditionalFormatting>
  <conditionalFormatting sqref="B16 D16:E16">
    <cfRule type="expression" dxfId="1295" priority="246">
      <formula>AND((wld_secondary_storage_chosen&lt;&gt;"Exclude"),(wld_secondary_storage_result="Excluded"))</formula>
    </cfRule>
  </conditionalFormatting>
  <conditionalFormatting sqref="B16">
    <cfRule type="expression" dxfId="1294" priority="328" stopIfTrue="1">
      <formula>wld_secondary_storage_chosen&lt;&gt;"Exclude"</formula>
    </cfRule>
    <cfRule type="expression" dxfId="1293" priority="330" stopIfTrue="1">
      <formula>wld_secondary_storage_chosen="Exclude"</formula>
    </cfRule>
  </conditionalFormatting>
  <conditionalFormatting sqref="B16:B18 B13:B14">
    <cfRule type="expression" dxfId="1292" priority="329">
      <formula>wld_domain_chosen="Exclude"</formula>
    </cfRule>
  </conditionalFormatting>
  <conditionalFormatting sqref="B17 D17:E17">
    <cfRule type="expression" dxfId="1291" priority="326">
      <formula>AND((wld_esxi_external_certs_chosen&lt;&gt;"Exclude"),(wld_esxi_external_certs_result="Excluded"))</formula>
    </cfRule>
  </conditionalFormatting>
  <conditionalFormatting sqref="B17">
    <cfRule type="expression" dxfId="1290" priority="327">
      <formula>wld_esxi_external_certs_chosen="Exclude"</formula>
    </cfRule>
    <cfRule type="expression" dxfId="1289" priority="840">
      <formula>wld_esxi_external_certs_chosen="Include"</formula>
    </cfRule>
  </conditionalFormatting>
  <conditionalFormatting sqref="B18 D18">
    <cfRule type="expression" dxfId="1288" priority="310">
      <formula>wld_iaas_result="Excluded"</formula>
    </cfRule>
    <cfRule type="expression" dxfId="1287" priority="324">
      <formula>wld_iaas_chosen="Include"</formula>
    </cfRule>
  </conditionalFormatting>
  <conditionalFormatting sqref="B18 D18:E18">
    <cfRule type="expression" dxfId="1286" priority="68">
      <formula>$E$18="Cause: vSphere Supervisor should be enabled after the you completed the stretched cluster configuration"</formula>
    </cfRule>
  </conditionalFormatting>
  <conditionalFormatting sqref="D10">
    <cfRule type="expression" dxfId="1284" priority="414">
      <formula>(wld_domain_result="Excluded")</formula>
    </cfRule>
    <cfRule type="expression" dxfId="1283" priority="856">
      <formula>AND((wld_domain_chosen&lt;&gt;"Exclude"),(wld_domain_result="Included"))</formula>
    </cfRule>
  </conditionalFormatting>
  <conditionalFormatting sqref="D13">
    <cfRule type="expression" dxfId="1282" priority="822" stopIfTrue="1">
      <formula>(wld_dpg_separation_result="Excluded")</formula>
    </cfRule>
    <cfRule type="expression" dxfId="1281" priority="823">
      <formula>(wld_dpg_separation_result="Included")</formula>
    </cfRule>
  </conditionalFormatting>
  <conditionalFormatting sqref="D13:D14 D16">
    <cfRule type="expression" dxfId="1280" priority="778">
      <formula>(vcf_version_result="Excluded")</formula>
    </cfRule>
  </conditionalFormatting>
  <conditionalFormatting sqref="D14">
    <cfRule type="expression" dxfId="1279" priority="331">
      <formula>wld_principal_storage_result="Excluded"</formula>
    </cfRule>
    <cfRule type="expression" dxfId="1278" priority="792">
      <formula>wld_principal_storage_result="Included"</formula>
    </cfRule>
  </conditionalFormatting>
  <conditionalFormatting sqref="D16">
    <cfRule type="expression" dxfId="1277" priority="835">
      <formula>(wld_secondary_storage_chosen="Exclude")</formula>
    </cfRule>
    <cfRule type="expression" dxfId="1276" priority="836">
      <formula>AND((wld_secondary_storage_chosen&lt;&gt;"Exclude"),(wld_secondary_storage_result="Included"))</formula>
    </cfRule>
  </conditionalFormatting>
  <conditionalFormatting sqref="D17">
    <cfRule type="expression" dxfId="1275" priority="841">
      <formula>(wld_esxi_external_certs_chosen="Exclude")</formula>
    </cfRule>
    <cfRule type="expression" dxfId="1274" priority="842">
      <formula>wld_esxi_external_certs_result="Included"</formula>
    </cfRule>
  </conditionalFormatting>
  <conditionalFormatting sqref="D18 D16">
    <cfRule type="expression" dxfId="1273" priority="834">
      <formula>(wld_domain_chosen="Exclude")</formula>
    </cfRule>
  </conditionalFormatting>
  <conditionalFormatting sqref="D23 D28:D33 D38:D50 D58:D60 D62:D77 D82 D84:D93 D95:D104 D106:D115 D131:D153 D160:D164 D169:D172 D177:D178 D182 D190:D210 D215:D230 D235:D250 D255:D256 D261:D292 D300:D302 D319:D322 D324:D334 D336:D343 D348:D354 D356:D360 D365:D367 D371 D373:D377 D379:D383 D385:D390 D393 D395:D398 D400:D401">
    <cfRule type="notContainsBlanks" dxfId="1271" priority="4984">
      <formula>LEN(TRIM(D23))&gt;0</formula>
    </cfRule>
  </conditionalFormatting>
  <conditionalFormatting sqref="D23 D28:D33 D38:D50">
    <cfRule type="expression" dxfId="1270" priority="253">
      <formula>wld_domain_chosen&lt;&gt;"Import Workload Domain"</formula>
    </cfRule>
  </conditionalFormatting>
  <conditionalFormatting sqref="D38:D43 D47">
    <cfRule type="expression" dxfId="1269" priority="250">
      <formula>wld_bf_nsx_existing_chosen="Selected"</formula>
    </cfRule>
  </conditionalFormatting>
  <conditionalFormatting sqref="D39:D43 D47">
    <cfRule type="expression" dxfId="1268" priority="251">
      <formula>wld_bf_nsx_join_manager_chosen="Join existing NSX Manager Instance"</formula>
    </cfRule>
  </conditionalFormatting>
  <conditionalFormatting sqref="D42:D43">
    <cfRule type="expression" dxfId="1267" priority="252">
      <formula>wld_bf_nsx_ha_mode_chosen="Single NSX Manager Appliance"</formula>
    </cfRule>
  </conditionalFormatting>
  <conditionalFormatting sqref="D45">
    <cfRule type="expression" dxfId="1266" priority="249">
      <formula>wld_bf_nsx_existing_chosen="Unselected"</formula>
    </cfRule>
  </conditionalFormatting>
  <conditionalFormatting sqref="D48:D50">
    <cfRule type="expression" dxfId="1265" priority="247">
      <formula>wld_bf_nsx_create_passwords_chosen="Selected"</formula>
    </cfRule>
  </conditionalFormatting>
  <conditionalFormatting sqref="D58:D60 D62:D77 D82 D84:D93 D95:D104 D106:D115 D117:D126">
    <cfRule type="expression" dxfId="1264" priority="7">
      <formula>wld_domain_deployment_type="Deploy infrastructure only"</formula>
    </cfRule>
  </conditionalFormatting>
  <conditionalFormatting sqref="D58:D60 D84:D89">
    <cfRule type="expression" dxfId="1263" priority="557">
      <formula>wld_domain_result="Excluded"</formula>
    </cfRule>
  </conditionalFormatting>
  <conditionalFormatting sqref="D62:D77">
    <cfRule type="expression" dxfId="1262" priority="605">
      <formula>wld_domain_result="Excluded"</formula>
    </cfRule>
  </conditionalFormatting>
  <conditionalFormatting sqref="D63">
    <cfRule type="expression" dxfId="1261" priority="193">
      <formula>AND((wld_domain_chosen="Deploy Workload Domain with a Multi-Rack Layer 3 Cluster"),(wld_compute_hosts_per_rack_chosen&lt;2))</formula>
    </cfRule>
  </conditionalFormatting>
  <conditionalFormatting sqref="D64">
    <cfRule type="expression" dxfId="1260" priority="194">
      <formula>wld_compute_hosts_per_rack_chosen&lt;3</formula>
    </cfRule>
  </conditionalFormatting>
  <conditionalFormatting sqref="D65">
    <cfRule type="expression" dxfId="1259" priority="195">
      <formula>wld_compute_hosts_per_rack_chosen&lt;4</formula>
    </cfRule>
  </conditionalFormatting>
  <conditionalFormatting sqref="D66">
    <cfRule type="expression" dxfId="1258" priority="196">
      <formula>wld_compute_hosts_per_rack_chosen&lt;5</formula>
    </cfRule>
  </conditionalFormatting>
  <conditionalFormatting sqref="D67">
    <cfRule type="expression" dxfId="1257" priority="197">
      <formula>wld_compute_hosts_per_rack_chosen&lt;6</formula>
    </cfRule>
  </conditionalFormatting>
  <conditionalFormatting sqref="D68">
    <cfRule type="expression" dxfId="1256" priority="198">
      <formula>wld_compute_hosts_per_rack_chosen&lt;7</formula>
    </cfRule>
  </conditionalFormatting>
  <conditionalFormatting sqref="D69">
    <cfRule type="expression" dxfId="1255" priority="199">
      <formula>wld_compute_hosts_per_rack_chosen&lt;8</formula>
    </cfRule>
  </conditionalFormatting>
  <conditionalFormatting sqref="D70">
    <cfRule type="expression" dxfId="1254" priority="200">
      <formula>wld_compute_hosts_per_rack_chosen&lt;9</formula>
    </cfRule>
  </conditionalFormatting>
  <conditionalFormatting sqref="D71">
    <cfRule type="expression" dxfId="1253" priority="201">
      <formula>wld_compute_hosts_per_rack_chosen&lt;10</formula>
    </cfRule>
  </conditionalFormatting>
  <conditionalFormatting sqref="D72">
    <cfRule type="expression" dxfId="1252" priority="202">
      <formula>wld_compute_hosts_per_rack_chosen&lt;11</formula>
    </cfRule>
  </conditionalFormatting>
  <conditionalFormatting sqref="D73">
    <cfRule type="expression" dxfId="1251" priority="203">
      <formula>wld_compute_hosts_per_rack_chosen&lt;12</formula>
    </cfRule>
  </conditionalFormatting>
  <conditionalFormatting sqref="D74">
    <cfRule type="expression" dxfId="1250" priority="204">
      <formula>wld_compute_hosts_per_rack_chosen&lt;13</formula>
    </cfRule>
  </conditionalFormatting>
  <conditionalFormatting sqref="D75">
    <cfRule type="expression" dxfId="1249" priority="205">
      <formula>wld_compute_hosts_per_rack_chosen&lt;14</formula>
    </cfRule>
  </conditionalFormatting>
  <conditionalFormatting sqref="D76">
    <cfRule type="expression" dxfId="1248" priority="206">
      <formula>wld_compute_hosts_per_rack_chosen&lt;15</formula>
    </cfRule>
  </conditionalFormatting>
  <conditionalFormatting sqref="D77">
    <cfRule type="expression" dxfId="1247" priority="207">
      <formula>wld_compute_hosts_per_rack_chosen&lt;16</formula>
    </cfRule>
  </conditionalFormatting>
  <conditionalFormatting sqref="D84:D93 D95:D104 D106:D115 D117:D126 D58:D60 D62:D77 D82 D131:D153 D160:D164 D169:D172 D177:D178 D182 D190:D210 D215:D230 D235:D250 D255:D256 D261:D292 D299:D302 D336:D343 D348:D354 D356:D360 D365:D367 D369:D371 D373:D377 D379:D383 D385:D390 D393 D395:D398 D400:D401">
    <cfRule type="expression" dxfId="1246" priority="67" stopIfTrue="1">
      <formula>wld_domain_result="Excluded"</formula>
    </cfRule>
  </conditionalFormatting>
  <conditionalFormatting sqref="D84:D93 D95:D104 D106:D115 D117:D126">
    <cfRule type="expression" dxfId="1245" priority="66">
      <formula>wld_az1_reuse_vcf_networkpool_chosen="Re-use an existing VCF Network Pool"</formula>
    </cfRule>
  </conditionalFormatting>
  <conditionalFormatting sqref="D87 D89 D92:D93">
    <cfRule type="expression" dxfId="1244" priority="36">
      <formula>wld_az1_vmotion_ip_scheme_chosen="IPv4"</formula>
    </cfRule>
  </conditionalFormatting>
  <conditionalFormatting sqref="D88 D90:D91">
    <cfRule type="expression" dxfId="1243" priority="32">
      <formula>wld_az1_vmotion_ip_scheme_chosen="IPv6"</formula>
    </cfRule>
  </conditionalFormatting>
  <conditionalFormatting sqref="D94 D98">
    <cfRule type="expression" dxfId="1242" priority="505">
      <formula>mgmt_domain_existing_vcenter_chosen="Selected"</formula>
    </cfRule>
    <cfRule type="containsBlanks" dxfId="1240" priority="507">
      <formula>LEN(TRIM(D94))=0</formula>
    </cfRule>
    <cfRule type="notContainsBlanks" dxfId="1239" priority="508">
      <formula>LEN(TRIM(D94))&gt;0</formula>
    </cfRule>
  </conditionalFormatting>
  <conditionalFormatting sqref="D95:D100">
    <cfRule type="expression" dxfId="1238" priority="518">
      <formula>wld_domain_result="Excluded"</formula>
    </cfRule>
  </conditionalFormatting>
  <conditionalFormatting sqref="D95:D104">
    <cfRule type="expression" dxfId="1237" priority="519">
      <formula>OR((wld_principal_storage_chosen="VMFS on Fibre Channel (FC)"),(wld_principal_storage_chosen="vSAN Storage Cluster"))</formula>
    </cfRule>
  </conditionalFormatting>
  <conditionalFormatting sqref="D98 D94">
    <cfRule type="expression" dxfId="1236" priority="504">
      <formula>input_mgmt_principal_storage_chosen="VMFS on Fibre Channel (FC)"</formula>
    </cfRule>
  </conditionalFormatting>
  <conditionalFormatting sqref="D98 D100 D103:D104">
    <cfRule type="expression" dxfId="1235" priority="35">
      <formula>wld_az1_principal_storage_ip_scheme_chosen="IPv4"</formula>
    </cfRule>
  </conditionalFormatting>
  <conditionalFormatting sqref="D101:D104">
    <cfRule type="expression" dxfId="1234" priority="373">
      <formula>wld_domain_result="Excluded"</formula>
    </cfRule>
  </conditionalFormatting>
  <conditionalFormatting sqref="D106:D115">
    <cfRule type="expression" dxfId="1233" priority="392" stopIfTrue="1">
      <formula>OR((wld_domain_result="Excluded"),(wld_secondary_storage_result="Excluded"))</formula>
    </cfRule>
  </conditionalFormatting>
  <conditionalFormatting sqref="D109 D111 D114:D115">
    <cfRule type="expression" dxfId="1232" priority="34">
      <formula>wld_az1_secondary_storage_ip_scheme_chosen="IPv4"</formula>
    </cfRule>
  </conditionalFormatting>
  <conditionalFormatting sqref="D110 D112:D113">
    <cfRule type="expression" dxfId="1231" priority="31">
      <formula>wld_az1_secondary_storage_ip_scheme_chosen="IPv6"</formula>
    </cfRule>
  </conditionalFormatting>
  <conditionalFormatting sqref="D117:D126">
    <cfRule type="expression" dxfId="1230" priority="65">
      <formula>wld_principal_storage_chosen&lt;&gt;"vSAN Storage Cluster"</formula>
    </cfRule>
    <cfRule type="containsBlanks" dxfId="1229" priority="92">
      <formula>LEN(TRIM(D117))=0</formula>
    </cfRule>
    <cfRule type="notContainsBlanks" dxfId="1227" priority="4982">
      <formula>LEN(TRIM(D117))&gt;0</formula>
    </cfRule>
  </conditionalFormatting>
  <conditionalFormatting sqref="D120 D122 D125:D126">
    <cfRule type="expression" dxfId="1226" priority="33">
      <formula>wld_az1_storage_cluster_ip_scheme_chosen="IPv4"</formula>
    </cfRule>
  </conditionalFormatting>
  <conditionalFormatting sqref="D121 D123:D124">
    <cfRule type="expression" dxfId="1225" priority="30">
      <formula>wld_az1_storage_cluster_ip_scheme_chosen="IPv6"</formula>
    </cfRule>
  </conditionalFormatting>
  <conditionalFormatting sqref="D131:D146">
    <cfRule type="expression" dxfId="1224" priority="159">
      <formula>wld_domain_result="Excluded"</formula>
    </cfRule>
  </conditionalFormatting>
  <conditionalFormatting sqref="D131:D153">
    <cfRule type="expression" dxfId="1223" priority="8">
      <formula>wld_domain_deployment_type="Deploy infrastructure only"</formula>
    </cfRule>
  </conditionalFormatting>
  <conditionalFormatting sqref="D132">
    <cfRule type="expression" dxfId="1222" priority="144">
      <formula>AND((wld_domain_chosen="Deploy Workload Domain with a Multi-Rack Layer 3 Cluster"),(wld_compute_hosts_per_rack_chosen&lt;2))</formula>
    </cfRule>
  </conditionalFormatting>
  <conditionalFormatting sqref="D133">
    <cfRule type="expression" dxfId="1221" priority="145">
      <formula>wld_compute_hosts_per_rack_chosen&lt;3</formula>
    </cfRule>
  </conditionalFormatting>
  <conditionalFormatting sqref="D134">
    <cfRule type="expression" dxfId="1220" priority="146">
      <formula>wld_compute_hosts_per_rack_chosen&lt;4</formula>
    </cfRule>
  </conditionalFormatting>
  <conditionalFormatting sqref="D135">
    <cfRule type="expression" dxfId="1219" priority="147">
      <formula>wld_compute_hosts_per_rack_chosen&lt;5</formula>
    </cfRule>
  </conditionalFormatting>
  <conditionalFormatting sqref="D136">
    <cfRule type="expression" dxfId="1218" priority="148">
      <formula>wld_compute_hosts_per_rack_chosen&lt;6</formula>
    </cfRule>
  </conditionalFormatting>
  <conditionalFormatting sqref="D137">
    <cfRule type="expression" dxfId="1217" priority="149">
      <formula>wld_compute_hosts_per_rack_chosen&lt;7</formula>
    </cfRule>
  </conditionalFormatting>
  <conditionalFormatting sqref="D138">
    <cfRule type="expression" dxfId="1216" priority="150">
      <formula>wld_compute_hosts_per_rack_chosen&lt;8</formula>
    </cfRule>
  </conditionalFormatting>
  <conditionalFormatting sqref="D139">
    <cfRule type="expression" dxfId="1215" priority="151">
      <formula>wld_compute_hosts_per_rack_chosen&lt;9</formula>
    </cfRule>
  </conditionalFormatting>
  <conditionalFormatting sqref="D140">
    <cfRule type="expression" dxfId="1214" priority="152">
      <formula>wld_compute_hosts_per_rack_chosen&lt;10</formula>
    </cfRule>
  </conditionalFormatting>
  <conditionalFormatting sqref="D141">
    <cfRule type="expression" dxfId="1213" priority="153">
      <formula>wld_compute_hosts_per_rack_chosen&lt;11</formula>
    </cfRule>
  </conditionalFormatting>
  <conditionalFormatting sqref="D142">
    <cfRule type="expression" dxfId="1212" priority="154">
      <formula>wld_compute_hosts_per_rack_chosen&lt;12</formula>
    </cfRule>
  </conditionalFormatting>
  <conditionalFormatting sqref="D143">
    <cfRule type="expression" dxfId="1211" priority="155">
      <formula>wld_compute_hosts_per_rack_chosen&lt;13</formula>
    </cfRule>
  </conditionalFormatting>
  <conditionalFormatting sqref="D144">
    <cfRule type="expression" dxfId="1210" priority="156">
      <formula>wld_compute_hosts_per_rack_chosen&lt;14</formula>
    </cfRule>
  </conditionalFormatting>
  <conditionalFormatting sqref="D145">
    <cfRule type="expression" dxfId="1209" priority="157">
      <formula>wld_compute_hosts_per_rack_chosen&lt;15</formula>
    </cfRule>
  </conditionalFormatting>
  <conditionalFormatting sqref="D146">
    <cfRule type="expression" dxfId="1208" priority="158">
      <formula>wld_compute_hosts_per_rack_chosen&lt;16</formula>
    </cfRule>
  </conditionalFormatting>
  <conditionalFormatting sqref="D148:D150">
    <cfRule type="expression" dxfId="1207" priority="216">
      <formula>AND((wld_principal_storage_chosen&lt;&gt;"vSAN-ESA"),(wld_principal_storage_chosen&lt;&gt;"vSAN-OSA"),(wld_principal_storage_chosen&lt;&gt;"vSAN Storage Cluster"),(wld_principal_storage_chosen&lt;&gt;"vSAN Compute Cluster"))</formula>
    </cfRule>
  </conditionalFormatting>
  <conditionalFormatting sqref="D162 D177:D178 D182 D215:D230 D235:D250 D255:D256 D261:D270 D272:D281 D283:D292 D294:D297 D299:D302 D304:D307 D309:D312 D314:D317 D319:D322 D324:D334 D336:D343 D348:D354 D356:D360">
    <cfRule type="expression" dxfId="1206" priority="29">
      <formula>wld_domain_deployment_type="Deploy Infrastructure only"</formula>
    </cfRule>
  </conditionalFormatting>
  <conditionalFormatting sqref="D170 D172 D200:D201">
    <cfRule type="expression" dxfId="1205" priority="480">
      <formula>wld_domain_password_creation_chosen="Selected"</formula>
    </cfRule>
  </conditionalFormatting>
  <conditionalFormatting sqref="D178 D348:D354 D356:D360">
    <cfRule type="expression" dxfId="1204" priority="233">
      <formula>wld_iaas_result="Excluded"</formula>
    </cfRule>
  </conditionalFormatting>
  <conditionalFormatting sqref="D187">
    <cfRule type="expression" dxfId="1203" priority="37">
      <formula>wld_domain_chosen="Import Workload Domain"</formula>
    </cfRule>
    <cfRule type="expression" dxfId="1202" priority="38" stopIfTrue="1">
      <formula>wld_domain_result="Excluded"</formula>
    </cfRule>
    <cfRule type="expression" dxfId="1201" priority="39">
      <formula>mgmt_domain_deployment_type_chosen="VMware vSphere Foundation"</formula>
    </cfRule>
    <cfRule type="expression" dxfId="1200" priority="40">
      <formula>wld_multirack_result="Included"</formula>
    </cfRule>
    <cfRule type="containsBlanks" dxfId="1199" priority="41">
      <formula>LEN(TRIM(D187))=0</formula>
    </cfRule>
    <cfRule type="notContainsBlanks" dxfId="1197" priority="43">
      <formula>LEN(TRIM(D187))&gt;0</formula>
    </cfRule>
  </conditionalFormatting>
  <conditionalFormatting sqref="D190:D197 D200:D210">
    <cfRule type="expression" dxfId="1196" priority="28">
      <formula>wld_cl01_nsxt_deployent_type_chosen="Join existing NSX Manager Instance"</formula>
    </cfRule>
  </conditionalFormatting>
  <conditionalFormatting sqref="D190:D210 D324:D334 B11:B18 D11:D18 D58:D60 D62:D77 D82 D84:D93 D95:D104 D131:D153 D160:D164 D169:D172 D177:D178 D182 D215:D230 D235:D250 D255:D256 D261:D292 D294:D297 D299:D302 D304:D307 D309:D312 D314:D317 D319:D322 D336:D343 D365:D367 D371 D373:D377 D379:D383 D385:D390 B393 D393 B395:B398 D395:D398 B400:B401 D400:D401 B403:B418 D403:D418">
    <cfRule type="expression" dxfId="1195" priority="5">
      <formula>wld_domain_chosen="Import Workload Domain"</formula>
    </cfRule>
  </conditionalFormatting>
  <conditionalFormatting sqref="D194:D197">
    <cfRule type="expression" dxfId="1194" priority="479">
      <formula>wld_nsx_ha_mode_chosen="Simple"</formula>
    </cfRule>
  </conditionalFormatting>
  <conditionalFormatting sqref="D203">
    <cfRule type="expression" dxfId="1193" priority="2">
      <formula>wld_nsx_vpc_type_chosen="VLAN backed VPC"</formula>
    </cfRule>
  </conditionalFormatting>
  <conditionalFormatting sqref="D204:D210">
    <cfRule type="expression" dxfId="1192" priority="4">
      <formula>AND((wld_nsx_vpc_type_chosen="VLAN backed VPC"),(wld_iaas_chosen="Exclude"))</formula>
    </cfRule>
    <cfRule type="expression" dxfId="1191" priority="609">
      <formula>wld_centralized_connectivity_chosen="Centralized Connectivity"</formula>
    </cfRule>
  </conditionalFormatting>
  <conditionalFormatting sqref="D209:D210">
    <cfRule type="expression" dxfId="1190" priority="1">
      <formula>wld_vna_esx_vmk_chosen="Unselected"</formula>
    </cfRule>
  </conditionalFormatting>
  <conditionalFormatting sqref="D215:D230 D261:D292 D255:D256 D356:D360 D182 D190:D210 D319:D322 D324:D334 D336:D343 D348:D354 D62:D77 D58:D60 D84:D93 D95:D104 D169:D172 D106:D115 D300:D302 D23 D28:D33 D38:D50 D177:D178 D131:D153 D235:D250 D371 D82 D160:D164 D365:D367 D373:D377 D379:D383 D385:D390 D393 D395:D398 D400:D401">
    <cfRule type="containsBlanks" dxfId="1189" priority="1231">
      <formula>LEN(TRIM(D23))=0</formula>
    </cfRule>
  </conditionalFormatting>
  <conditionalFormatting sqref="D216:D218">
    <cfRule type="expression" dxfId="1188" priority="219">
      <formula>AND((wld_principal_storage_chosen&lt;&gt;"vSAN-ESA"),(wld_principal_storage_chosen&lt;&gt;"vSAN Storage Cluster"))</formula>
    </cfRule>
  </conditionalFormatting>
  <conditionalFormatting sqref="D219">
    <cfRule type="expression" dxfId="1187" priority="610">
      <formula>AND((wld_principal_storage_chosen&lt;&gt;"vSAN-ESA"),(wld_principal_storage_chosen&lt;&gt;"vSAN-OSA"),(wld_principal_storage_chosen&lt;&gt;"vSAN Storage Cluster"))</formula>
    </cfRule>
  </conditionalFormatting>
  <conditionalFormatting sqref="D220">
    <cfRule type="expression" dxfId="1186" priority="311">
      <formula>$B$16&lt;&gt;"vSAN Storage Client Network"</formula>
    </cfRule>
  </conditionalFormatting>
  <conditionalFormatting sqref="D223:D225">
    <cfRule type="expression" dxfId="1184" priority="27">
      <formula>wld_cl01_vsan_dit_chosen="Unselected"</formula>
    </cfRule>
  </conditionalFormatting>
  <conditionalFormatting sqref="D224">
    <cfRule type="expression" dxfId="1183" priority="26">
      <formula>wld_cl01_vsan_dit_rekey_type_chosen="Custom"</formula>
    </cfRule>
  </conditionalFormatting>
  <conditionalFormatting sqref="D225">
    <cfRule type="expression" dxfId="1182" priority="25">
      <formula>wld_cl01_vsan_dit_rekey_type_chosen="Default"</formula>
    </cfRule>
  </conditionalFormatting>
  <conditionalFormatting sqref="D226">
    <cfRule type="expression" dxfId="1181" priority="736">
      <formula>(wld_principal_storage_chosen&lt;&gt;"vSAN-OSA")</formula>
    </cfRule>
  </conditionalFormatting>
  <conditionalFormatting sqref="D227">
    <cfRule type="expression" dxfId="1180" priority="731">
      <formula>OR((wld_domain_result="Excluded"),(wld_principal_storage_chosen&lt;&gt;"VMFS on Fibre Channel (FC)"))</formula>
    </cfRule>
  </conditionalFormatting>
  <conditionalFormatting sqref="D228:D230">
    <cfRule type="expression" dxfId="1179" priority="723">
      <formula>OR((wld_domain_result="Excluded"),(wld_principal_storage_chosen&lt;&gt;"NFSv3"))</formula>
    </cfRule>
  </conditionalFormatting>
  <conditionalFormatting sqref="D235:D250">
    <cfRule type="expression" dxfId="1178" priority="126">
      <formula>wld_domain_result="Excluded"</formula>
    </cfRule>
  </conditionalFormatting>
  <conditionalFormatting sqref="D236">
    <cfRule type="expression" dxfId="1177" priority="111">
      <formula>AND((wld_domain_chosen="Deploy Workload Domain with a Multi-Rack Layer 3 Cluster"),(wld_compute_hosts_per_rack_chosen&lt;2))</formula>
    </cfRule>
  </conditionalFormatting>
  <conditionalFormatting sqref="D237">
    <cfRule type="expression" dxfId="1176" priority="112">
      <formula>wld_compute_hosts_per_rack_chosen&lt;3</formula>
    </cfRule>
  </conditionalFormatting>
  <conditionalFormatting sqref="D238">
    <cfRule type="expression" dxfId="1175" priority="113">
      <formula>wld_compute_hosts_per_rack_chosen&lt;4</formula>
    </cfRule>
  </conditionalFormatting>
  <conditionalFormatting sqref="D239">
    <cfRule type="expression" dxfId="1174" priority="114">
      <formula>wld_compute_hosts_per_rack_chosen&lt;5</formula>
    </cfRule>
  </conditionalFormatting>
  <conditionalFormatting sqref="D240">
    <cfRule type="expression" dxfId="1173" priority="115">
      <formula>wld_compute_hosts_per_rack_chosen&lt;6</formula>
    </cfRule>
  </conditionalFormatting>
  <conditionalFormatting sqref="D241">
    <cfRule type="expression" dxfId="1172" priority="116">
      <formula>wld_compute_hosts_per_rack_chosen&lt;7</formula>
    </cfRule>
  </conditionalFormatting>
  <conditionalFormatting sqref="D242">
    <cfRule type="expression" dxfId="1171" priority="117">
      <formula>wld_compute_hosts_per_rack_chosen&lt;8</formula>
    </cfRule>
  </conditionalFormatting>
  <conditionalFormatting sqref="D243">
    <cfRule type="expression" dxfId="1170" priority="118">
      <formula>wld_compute_hosts_per_rack_chosen&lt;9</formula>
    </cfRule>
  </conditionalFormatting>
  <conditionalFormatting sqref="D244">
    <cfRule type="expression" dxfId="1169" priority="119">
      <formula>wld_compute_hosts_per_rack_chosen&lt;10</formula>
    </cfRule>
  </conditionalFormatting>
  <conditionalFormatting sqref="D245">
    <cfRule type="expression" dxfId="1168" priority="120">
      <formula>wld_compute_hosts_per_rack_chosen&lt;11</formula>
    </cfRule>
  </conditionalFormatting>
  <conditionalFormatting sqref="D246">
    <cfRule type="expression" dxfId="1167" priority="121">
      <formula>wld_compute_hosts_per_rack_chosen&lt;12</formula>
    </cfRule>
  </conditionalFormatting>
  <conditionalFormatting sqref="D247">
    <cfRule type="expression" dxfId="1166" priority="122">
      <formula>wld_compute_hosts_per_rack_chosen&lt;13</formula>
    </cfRule>
  </conditionalFormatting>
  <conditionalFormatting sqref="D248">
    <cfRule type="expression" dxfId="1165" priority="123">
      <formula>wld_compute_hosts_per_rack_chosen&lt;14</formula>
    </cfRule>
  </conditionalFormatting>
  <conditionalFormatting sqref="D249">
    <cfRule type="expression" dxfId="1164" priority="124">
      <formula>wld_compute_hosts_per_rack_chosen&lt;15</formula>
    </cfRule>
  </conditionalFormatting>
  <conditionalFormatting sqref="D250">
    <cfRule type="expression" dxfId="1163" priority="125">
      <formula>wld_compute_hosts_per_rack_chosen&lt;16</formula>
    </cfRule>
  </conditionalFormatting>
  <conditionalFormatting sqref="D261:D270 D272:D281">
    <cfRule type="expression" dxfId="1162" priority="679">
      <formula>wld_cl01_vds_profile_chosen="Custom Switch Configuration"</formula>
    </cfRule>
  </conditionalFormatting>
  <conditionalFormatting sqref="D261:D292 D309:D312 D294:D297 D299:D302 D304:D307 D336:D343 D84:D93 D95:D104 D106:D115 D160:D164 D177:D178 D182 D215:D230 D235:D250 D255:D256 D314:D317 D319:D322 D324:D334 D348:D354 D356:D360 D190:D210 D131:D153 D58:D60 D62:D77 D82 D23 D28:D33 D38:D50 D169:D172 D365:D367 D371 D373:D377 D379:D383 D385:D390 B393 D393 B395:B398 D395:D398 B400:B401 D400:D401 B403:B418 D403:D418">
    <cfRule type="expression" dxfId="1161" priority="57">
      <formula>mgmt_domain_deployment_type_chosen="VMware vSphere Foundation"</formula>
    </cfRule>
  </conditionalFormatting>
  <conditionalFormatting sqref="D264:D267">
    <cfRule type="expression" dxfId="1160" priority="56">
      <formula>wld_cl01_vds01_link_type_chosen="VDS Uplinks"</formula>
    </cfRule>
  </conditionalFormatting>
  <conditionalFormatting sqref="D270:D292 D319:D322 D326:D327 D215:D217 D182 D190:D197 D200:D210 D256">
    <cfRule type="expression" dxfId="1159" priority="868">
      <formula>wld_multirack_result="Included"</formula>
    </cfRule>
  </conditionalFormatting>
  <conditionalFormatting sqref="D270:D292 D356:D360 D256">
    <cfRule type="expression" dxfId="1158" priority="869">
      <formula>wld_domain_result="Excluded"</formula>
    </cfRule>
  </conditionalFormatting>
  <conditionalFormatting sqref="D271">
    <cfRule type="expression" dxfId="1157" priority="265">
      <formula>mgmt_host_overlay_addressing_chosen&lt;&gt;"IP Pool"</formula>
    </cfRule>
    <cfRule type="notContainsBlanks" dxfId="1156" priority="266" stopIfTrue="1">
      <formula>LEN(TRIM(D271))&gt;0</formula>
    </cfRule>
    <cfRule type="containsBlanks" dxfId="1155" priority="267">
      <formula>LEN(TRIM(D271))=0</formula>
    </cfRule>
  </conditionalFormatting>
  <conditionalFormatting sqref="D272:D280">
    <cfRule type="expression" dxfId="1154" priority="680" stopIfTrue="1">
      <formula>wld_cl01_vds_profile_chosen="Default"</formula>
    </cfRule>
  </conditionalFormatting>
  <conditionalFormatting sqref="D275:D278">
    <cfRule type="expression" dxfId="1153" priority="55">
      <formula>wld_cl01_vds02_link_type_chosen="VDS Uplinks"</formula>
    </cfRule>
  </conditionalFormatting>
  <conditionalFormatting sqref="D283:D291">
    <cfRule type="expression" dxfId="1152" priority="673">
      <formula>wld_cl01_vds_profile_chosen="NSX Traffic Separation"</formula>
    </cfRule>
    <cfRule type="expression" dxfId="1151" priority="676">
      <formula>wld_cl01_vds_profile_chosen="Storage Traffic Separation"</formula>
    </cfRule>
    <cfRule type="expression" dxfId="1150" priority="677">
      <formula>wld_cl01_vds_profile_chosen="Default"</formula>
    </cfRule>
  </conditionalFormatting>
  <conditionalFormatting sqref="D283:D292">
    <cfRule type="expression" dxfId="1149" priority="225">
      <formula>wld_cl01_vds_profile_chosen="vSAN Max Storage Traffic Separation"</formula>
    </cfRule>
    <cfRule type="expression" dxfId="1148" priority="672">
      <formula>wld_cl01_vds_profile_chosen="Custom Switch Configuration"</formula>
    </cfRule>
  </conditionalFormatting>
  <conditionalFormatting sqref="D286:D289">
    <cfRule type="expression" dxfId="1147" priority="54">
      <formula>wld_cl01_vds03_link_type_chosen="VDS Uplinks"</formula>
    </cfRule>
  </conditionalFormatting>
  <conditionalFormatting sqref="D292 D281">
    <cfRule type="expression" dxfId="1146" priority="1174">
      <formula>wld_cl01_vds_profile_chosen="Default"</formula>
    </cfRule>
  </conditionalFormatting>
  <conditionalFormatting sqref="D292 D319:D322 D326:D327 D338:D339 D341:D343 D221:D230">
    <cfRule type="expression" dxfId="1145" priority="722" stopIfTrue="1">
      <formula>wld_domain_result="Excluded"</formula>
    </cfRule>
  </conditionalFormatting>
  <conditionalFormatting sqref="D292">
    <cfRule type="expression" dxfId="1144" priority="1206">
      <formula xml:space="preserve"> wld_cl01_vds_profile_chosen ="NSX Traffic Separation"</formula>
    </cfRule>
    <cfRule type="expression" dxfId="1143" priority="1224">
      <formula xml:space="preserve"> wld_cl01_vds_profile_chosen ="Storage Traffic Separation"</formula>
    </cfRule>
  </conditionalFormatting>
  <conditionalFormatting sqref="D294:D297">
    <cfRule type="expression" dxfId="1142" priority="278" stopIfTrue="1">
      <formula>wld_domain_result="Excluded"</formula>
    </cfRule>
    <cfRule type="containsBlanks" dxfId="1141" priority="287">
      <formula>LEN(TRIM(D294))=0</formula>
    </cfRule>
    <cfRule type="notContainsBlanks" dxfId="1139" priority="689">
      <formula>LEN(TRIM(D294))&gt;0</formula>
    </cfRule>
  </conditionalFormatting>
  <conditionalFormatting sqref="D295:D297 D300:D302 D305:D307">
    <cfRule type="expression" dxfId="1138" priority="49">
      <formula>wld_cl01_vds01_link_type_chosen="VDS Lag"</formula>
    </cfRule>
  </conditionalFormatting>
  <conditionalFormatting sqref="D299">
    <cfRule type="containsBlanks" dxfId="1136" priority="309">
      <formula>LEN(TRIM(D299))=0</formula>
    </cfRule>
    <cfRule type="notContainsBlanks" dxfId="1135" priority="312">
      <formula>LEN(TRIM(D299))&gt;0</formula>
    </cfRule>
  </conditionalFormatting>
  <conditionalFormatting sqref="D304">
    <cfRule type="expression" dxfId="1134" priority="277">
      <formula>wld_cl01_vds_profile_chosen="custom"</formula>
    </cfRule>
  </conditionalFormatting>
  <conditionalFormatting sqref="D304:D307">
    <cfRule type="expression" dxfId="1133" priority="276" stopIfTrue="1">
      <formula>wld_domain_result="Excluded"</formula>
    </cfRule>
    <cfRule type="containsBlanks" dxfId="1132" priority="284">
      <formula>LEN(TRIM(D304))=0</formula>
    </cfRule>
    <cfRule type="notContainsBlanks" dxfId="1130" priority="286">
      <formula>LEN(TRIM(D304))&gt;0</formula>
    </cfRule>
  </conditionalFormatting>
  <conditionalFormatting sqref="D309">
    <cfRule type="expression" dxfId="1129" priority="274">
      <formula>wld_cl01_vds_profile_chosen="custom"</formula>
    </cfRule>
  </conditionalFormatting>
  <conditionalFormatting sqref="D309:D312 D314:D317">
    <cfRule type="expression" dxfId="1128" priority="273" stopIfTrue="1">
      <formula>wld_domain_result="Excluded"</formula>
    </cfRule>
    <cfRule type="containsBlanks" dxfId="1127" priority="281">
      <formula>LEN(TRIM(D309))=0</formula>
    </cfRule>
    <cfRule type="notContainsBlanks" dxfId="1125" priority="283">
      <formula>LEN(TRIM(D309))&gt;0</formula>
    </cfRule>
  </conditionalFormatting>
  <conditionalFormatting sqref="D310:D312">
    <cfRule type="expression" dxfId="1124" priority="50">
      <formula>AND((wld_cl01_vds_profile_chosen="Default"),(wld_cl01_vds01_link_type_chosen="VDS Lag"))</formula>
    </cfRule>
    <cfRule type="expression" dxfId="1123" priority="51">
      <formula>AND((wld_cl01_vds_profile_chosen="NSX Traffic Separation"),(wld_cl01_vds01_link_type_chosen="VDS Lag"))</formula>
    </cfRule>
    <cfRule type="expression" dxfId="1122" priority="52">
      <formula>AND((wld_cl01_vds_profile_chosen="Storage Traffic and NSX Traffic Separation"),(wld_cl01_vds02_link_type_chosen="VDS Lag"))</formula>
    </cfRule>
    <cfRule type="expression" dxfId="1121" priority="53">
      <formula>AND((wld_cl01_vds_profile_chosen="Storage Traffic Separation"),(wld_cl01_vds02_link_type_chosen="VDS Lag"))</formula>
    </cfRule>
  </conditionalFormatting>
  <conditionalFormatting sqref="D314">
    <cfRule type="expression" dxfId="1120" priority="224">
      <formula>wld_cl01_vds_profile_chosen="custom"</formula>
    </cfRule>
  </conditionalFormatting>
  <conditionalFormatting sqref="D314:D317">
    <cfRule type="expression" dxfId="1119" priority="90">
      <formula>OR((wld_domain_result="Excluded"),(wld_secondary_storage_result="Excluded"))</formula>
    </cfRule>
  </conditionalFormatting>
  <conditionalFormatting sqref="D320">
    <cfRule type="expression" dxfId="1118" priority="478">
      <formula>wld_nsx_default_operation_mode_chosen="Selected"</formula>
    </cfRule>
  </conditionalFormatting>
  <conditionalFormatting sqref="D324">
    <cfRule type="expression" dxfId="1117" priority="268">
      <formula>wld_domain_result="Excluded"</formula>
    </cfRule>
  </conditionalFormatting>
  <conditionalFormatting sqref="D324:D333">
    <cfRule type="expression" dxfId="1116" priority="61">
      <formula>wld_nsx_overlay_transport_zone_chosen="Unselected"</formula>
    </cfRule>
  </conditionalFormatting>
  <conditionalFormatting sqref="D324:D334 D319:D322 B393 B395:B398 B400:B401 B403:B418 D403:D418">
    <cfRule type="expression" dxfId="1115" priority="221">
      <formula>wld_domain_result="Excluded"</formula>
    </cfRule>
  </conditionalFormatting>
  <conditionalFormatting sqref="D325:D333">
    <cfRule type="expression" dxfId="1114" priority="3">
      <formula>wld_nsx_vpc_type_chosen="VLAN Backed VPC"</formula>
    </cfRule>
  </conditionalFormatting>
  <conditionalFormatting sqref="D326">
    <cfRule type="expression" dxfId="1113" priority="59">
      <formula>wld_cl01_vds_copy_profile_chosen="Unselected"</formula>
    </cfRule>
  </conditionalFormatting>
  <conditionalFormatting sqref="D327">
    <cfRule type="expression" dxfId="1112" priority="242" stopIfTrue="1">
      <formula>wld_domain_result="Excluded"</formula>
    </cfRule>
  </conditionalFormatting>
  <conditionalFormatting sqref="D327:D334 D336:D343 D319 D324 D262:D269 D273:D274 D279:D280 D284:D285 D290:D291 D300:D302 D295:D297 D305:D307 D310:D312 D315:D317">
    <cfRule type="expression" dxfId="1111" priority="269">
      <formula>wld_cl01_vds_copy_profile_chosen="Unselected"</formula>
    </cfRule>
  </conditionalFormatting>
  <conditionalFormatting sqref="D327:D334 D336:D343">
    <cfRule type="expression" dxfId="1110" priority="477">
      <formula>wld_host_overlay_addressing_chosen="DHCP"</formula>
    </cfRule>
  </conditionalFormatting>
  <conditionalFormatting sqref="D329:D334 D336:D343">
    <cfRule type="expression" dxfId="1109" priority="223">
      <formula>input_wld_az1_host_overlay_new_pool_chosen="Re-use an existing Pool"</formula>
    </cfRule>
  </conditionalFormatting>
  <conditionalFormatting sqref="D331:D332">
    <cfRule type="expression" dxfId="1108" priority="611">
      <formula>wld_domain_result="Excluded"</formula>
    </cfRule>
  </conditionalFormatting>
  <conditionalFormatting sqref="D334">
    <cfRule type="expression" dxfId="1107" priority="62">
      <formula>wld_nsx_vlan_transport_zone_chosen="Unselected"</formula>
    </cfRule>
  </conditionalFormatting>
  <conditionalFormatting sqref="D341:D343">
    <cfRule type="expression" dxfId="1106" priority="44">
      <formula>AND((wld_cl01_vds_profile_chosen="Default"),(wld_cl01_vds01_link_type_chosen="VDS Lag"))</formula>
    </cfRule>
    <cfRule type="expression" dxfId="1105" priority="45">
      <formula>AND((wld_cl01_vds_profile_chosen="NSX Traffic Separation"),(wld_cl01_vds02_link_type_chosen="VDS Lag"))</formula>
    </cfRule>
    <cfRule type="expression" dxfId="1104" priority="46">
      <formula>AND((wld_cl01_vds_profile_chosen="Storage Traffic and NSX Traffic Separation"),(wld_cl01_vds03_link_type_chosen="VDS Lag"))</formula>
    </cfRule>
    <cfRule type="expression" dxfId="1103" priority="47">
      <formula>AND((wld_cl01_vds_profile_chosen="Storage Traffic Separation"),(wld_cl01_vds01_link_type_chosen="VDS Lag"))</formula>
    </cfRule>
  </conditionalFormatting>
  <conditionalFormatting sqref="D343">
    <cfRule type="expression" dxfId="1102" priority="234" stopIfTrue="1">
      <formula>wld_domain_result="Excluded"</formula>
    </cfRule>
  </conditionalFormatting>
  <conditionalFormatting sqref="D348:D354">
    <cfRule type="expression" dxfId="1101" priority="648">
      <formula>wld_domain_result="Excluded"</formula>
    </cfRule>
  </conditionalFormatting>
  <conditionalFormatting sqref="D355">
    <cfRule type="expression" dxfId="1100" priority="307">
      <formula>mgmt_domain_existing_vcenter_chosen="Selected"</formula>
    </cfRule>
  </conditionalFormatting>
  <conditionalFormatting sqref="D369 D371">
    <cfRule type="containsBlanks" dxfId="1099" priority="82">
      <formula>LEN(TRIM(D369))=0</formula>
    </cfRule>
    <cfRule type="notContainsBlanks" dxfId="1097" priority="84">
      <formula>LEN(TRIM(D369))&gt;0</formula>
    </cfRule>
  </conditionalFormatting>
  <conditionalFormatting sqref="D370">
    <cfRule type="expression" dxfId="1096" priority="70">
      <formula>mgmt_domain_deployment_type_chosen="VMware vSphere Foundation"</formula>
    </cfRule>
    <cfRule type="containsBlanks" dxfId="1094" priority="75">
      <formula>LEN(TRIM(D370))=0</formula>
    </cfRule>
    <cfRule type="notContainsBlanks" dxfId="1093" priority="76">
      <formula>LEN(TRIM(D370))&gt;0</formula>
    </cfRule>
  </conditionalFormatting>
  <conditionalFormatting sqref="D378">
    <cfRule type="expression" dxfId="1092" priority="553">
      <formula>input_mgmt_principal_storage_chosen="VMFS on Fibre Channel (FC)"</formula>
    </cfRule>
    <cfRule type="expression" dxfId="1091" priority="554">
      <formula>mgmt_domain_existing_vcenter_chosen="Selected"</formula>
    </cfRule>
    <cfRule type="containsBlanks" dxfId="1089" priority="556">
      <formula>LEN(TRIM(D378))=0</formula>
    </cfRule>
  </conditionalFormatting>
  <conditionalFormatting sqref="D384 D364">
    <cfRule type="expression" dxfId="1088" priority="583">
      <formula>mgmt_domain_existing_vcenter_chosen="Selected"</formula>
    </cfRule>
  </conditionalFormatting>
  <conditionalFormatting sqref="D384 D378">
    <cfRule type="notContainsBlanks" dxfId="1087" priority="585">
      <formula>LEN(TRIM(D378))&gt;0</formula>
    </cfRule>
  </conditionalFormatting>
  <conditionalFormatting sqref="D384">
    <cfRule type="expression" dxfId="1086" priority="582">
      <formula>input_mgmt_principal_storage_chosen="VMFS on Fibre Channel (FC)"</formula>
    </cfRule>
    <cfRule type="containsBlanks" dxfId="1084" priority="586">
      <formula>LEN(TRIM(D384))=0</formula>
    </cfRule>
  </conditionalFormatting>
  <conditionalFormatting sqref="D403:D418">
    <cfRule type="containsBlanks" dxfId="1083" priority="303">
      <formula>LEN(TRIM(D403))=0</formula>
    </cfRule>
    <cfRule type="notContainsBlanks" dxfId="1081" priority="305">
      <formula>LEN(TRIM(D403))&gt;0</formula>
    </cfRule>
  </conditionalFormatting>
  <conditionalFormatting sqref="D10:E10">
    <cfRule type="expression" dxfId="1080" priority="222">
      <formula>AND((wld_domain_chosen&lt;&gt;"Exclude"),(wld_domain_result="Excluded"))</formula>
    </cfRule>
  </conditionalFormatting>
  <conditionalFormatting sqref="D11:E11 B11">
    <cfRule type="expression" dxfId="1079" priority="91">
      <formula>$E$11="Cause: Minimum number of hosts for storage type not selected"</formula>
    </cfRule>
  </conditionalFormatting>
  <conditionalFormatting sqref="D11:E11">
    <cfRule type="expression" dxfId="1078" priority="58">
      <formula>$E$11="Cause Number of Racks not selected"</formula>
    </cfRule>
  </conditionalFormatting>
  <conditionalFormatting sqref="E11">
    <cfRule type="expression" dxfId="1075" priority="214">
      <formula>vcf_version_result="Excluded"</formula>
    </cfRule>
  </conditionalFormatting>
  <conditionalFormatting sqref="E15">
    <cfRule type="expression" dxfId="1074" priority="100">
      <formula>AND((cluster_secondary_storage_chosen&lt;&gt;"Exclude"),(cluster_secondary_storage_result="Excluded"))</formula>
    </cfRule>
  </conditionalFormatting>
  <dataValidations count="35">
    <dataValidation type="list" allowBlank="1" showInputMessage="1" showErrorMessage="1" sqref="B13 B17:B18" xr:uid="{C69FA742-5038-9D45-BD6D-BB0D8DB6294F}">
      <formula1>"Include,Exclude"</formula1>
    </dataValidation>
    <dataValidation type="list" allowBlank="1" showInputMessage="1" showErrorMessage="1" sqref="B14" xr:uid="{D6D56BCB-BAC8-144A-BD1D-A17A62BB989D}">
      <formula1>table_vcf_version5x_wld_storage_type</formula1>
    </dataValidation>
    <dataValidation type="list" allowBlank="1" showInputMessage="1" showErrorMessage="1" sqref="D326" xr:uid="{EF3D963A-7663-544F-9EB3-8674082828F8}">
      <formula1>"DHCP,Static IP Pool"</formula1>
    </dataValidation>
    <dataValidation type="list" allowBlank="1" showInputMessage="1" showErrorMessage="1" sqref="D221" xr:uid="{50D86D43-8A2F-1C4D-AA6C-86B248D68CD8}">
      <formula1>storage_ftt</formula1>
    </dataValidation>
    <dataValidation type="list" allowBlank="1" showInputMessage="1" showErrorMessage="1" sqref="D45:D47 D222 D319 D256 D342:D343 D350 D226 D33 D164 D208" xr:uid="{DB1D3E94-76BC-7344-8465-8A08CA5B4D29}">
      <formula1>"Selected,Unselected"</formula1>
    </dataValidation>
    <dataValidation type="list" allowBlank="1" showInputMessage="1" showErrorMessage="1" sqref="D255" xr:uid="{24B50E16-71D5-D841-B7DF-D531900D7528}">
      <formula1>IF(wld_secondary_storage_chosen="vSAN Storage Client Network",wld_cl01_vds_vsanmax_preconfigured_profiles,wld_cl01_vds_standard_preconfigured_profiles)</formula1>
    </dataValidation>
    <dataValidation type="list" allowBlank="1" showInputMessage="1" showErrorMessage="1" sqref="D190" xr:uid="{7DC9F679-6AD0-7540-9D33-1A7F10D7D460}">
      <formula1>"Simple,High-Availability"</formula1>
    </dataValidation>
    <dataValidation type="list" allowBlank="1" showInputMessage="1" showErrorMessage="1" sqref="D191 D40" xr:uid="{39CFA6FA-D26E-3940-84FC-1698E5665786}">
      <formula1>"Medium,Large,Extra Large"</formula1>
    </dataValidation>
    <dataValidation type="list" allowBlank="1" showInputMessage="1" showErrorMessage="1" sqref="D203" xr:uid="{58E0498D-D09F-EA41-9794-C509CC262887}">
      <formula1>"Centralized Connectivity,Distributed Connectivity"</formula1>
    </dataValidation>
    <dataValidation type="list" allowBlank="1" showInputMessage="1" showErrorMessage="1" sqref="D320" xr:uid="{BE00C3CF-0EC7-3747-924D-1005FFC1B4A5}">
      <formula1>"Standard,Enhanced Datapath Standard,Enhanced Datapath Dedicated"</formula1>
    </dataValidation>
    <dataValidation type="list" allowBlank="1" showInputMessage="1" showErrorMessage="1" sqref="D341" xr:uid="{F83EFE87-B6BC-5B43-B9E6-363D1FF8D82A}">
      <formula1>"Load Balance Source,Failover Order,Load Balance Source MAC Address"</formula1>
    </dataValidation>
    <dataValidation type="list" allowBlank="1" showInputMessage="1" showErrorMessage="1" sqref="D295 D300 D305 D310 D315" xr:uid="{B083993B-9EF9-E041-9BEC-A73EFC409C62}">
      <formula1>"Route based on IP hash,Route based on source MAC hash,Route based on the source of the port ID,Use explicit failover order,Route Based on Physical NIC Load"</formula1>
    </dataValidation>
    <dataValidation type="list" allowBlank="1" showInputMessage="1" showErrorMessage="1" sqref="D296:D297 D301:D302 D306:D307 D311:D312 D316:D317" xr:uid="{BB7A99B6-B8E2-294A-94C3-B85D84BE5402}">
      <formula1>"Active,Standby,Unused"</formula1>
    </dataValidation>
    <dataValidation type="list" allowBlank="1" showInputMessage="1" showErrorMessage="1" sqref="B10" xr:uid="{C3E82A3E-227D-7645-9A07-82062784062D}">
      <formula1>"Deploy Workload Domain with a Single-Rack / Multi-Rack Layer 2 Cluster,Deploy Workload Domain with a Multi-Rack Layer 3 Cluster,Import Workload Domain,Deploy infrastructure only, Exclude"</formula1>
    </dataValidation>
    <dataValidation type="list" allowBlank="1" showInputMessage="1" showErrorMessage="1" sqref="D28" xr:uid="{9C10E4F4-6566-F347-A2D8-6EADC5ED1E01}">
      <formula1>"Select an existing standalone vCenter from the inventory,Specify an external vCenter"</formula1>
    </dataValidation>
    <dataValidation type="list" allowBlank="1" showInputMessage="1" showErrorMessage="1" sqref="D39" xr:uid="{87F64821-FCB3-264E-8521-0E2C18CD4E09}">
      <formula1>"Single NSX Manager Appliance,NSX Management Cluster"</formula1>
    </dataValidation>
    <dataValidation type="list" allowBlank="1" showInputMessage="1" showErrorMessage="1" sqref="D38" xr:uid="{5FB74951-652E-0540-95C0-4DD86575C66A}">
      <formula1>"Create new NSX Manager Instance,Join existing NSX Manager Instance"</formula1>
    </dataValidation>
    <dataValidation type="list" allowBlank="1" showInputMessage="1" showErrorMessage="1" sqref="B16" xr:uid="{4DCCB31F-5D38-DB4E-93F7-B7F9C5DC73D3}">
      <formula1>" Exclude,Secondary NFS Storage Network,vSAN Storage Client Network"</formula1>
    </dataValidation>
    <dataValidation type="list" allowBlank="1" showInputMessage="1" showErrorMessage="1" sqref="D327" xr:uid="{8B83AFD7-FD78-344E-9866-017561F5F3B5}">
      <formula1>"Re-use an existing Pool,Create New Static IP Pool"</formula1>
    </dataValidation>
    <dataValidation type="list" allowBlank="1" showInputMessage="1" showErrorMessage="1" sqref="B11" xr:uid="{58537510-C98B-154F-AF78-F31218AD69E8}">
      <formula1>"Exclude,1,2,3,4,5,6,7,8,9,10,11,12,13,14,15,16"</formula1>
    </dataValidation>
    <dataValidation type="list" allowBlank="1" showInputMessage="1" showErrorMessage="1" sqref="B12" xr:uid="{C5C624E1-83A7-974B-A650-2D93B34AFB89}">
      <formula1>"Exclude,3,4,5,6,7"</formula1>
    </dataValidation>
    <dataValidation type="list" allowBlank="1" showInputMessage="1" showErrorMessage="1" sqref="B15" xr:uid="{BF978FB1-2794-EC4D-992C-119DEA877D33}">
      <formula1>"Re-use an existing VCF Network Pool,Create a new VCF Network Pool"</formula1>
    </dataValidation>
    <dataValidation type="list" allowBlank="1" showInputMessage="1" showErrorMessage="1" sqref="D321:D322" xr:uid="{836A9167-0E1E-474B-AD1E-7DEFBAD967B6}">
      <formula1>"Selected, Unselected"</formula1>
    </dataValidation>
    <dataValidation type="list" allowBlank="1" showInputMessage="1" showErrorMessage="1" sqref="D263 D274 D285" xr:uid="{3BD18319-FA0D-AE40-8167-7F1880082CD2}">
      <formula1>"VDS Uplinks, VDS LAG"</formula1>
    </dataValidation>
    <dataValidation type="list" allowBlank="1" showInputMessage="1" showErrorMessage="1" sqref="D266 D277 D288" xr:uid="{12A1A6EA-2AB4-2E49-A69A-2230A1640E6A}">
      <formula1>lag_load_balancing</formula1>
    </dataValidation>
    <dataValidation type="list" allowBlank="1" showInputMessage="1" showErrorMessage="1" sqref="D265 D276 D287" xr:uid="{C087399E-F9C0-604F-BD5E-2F7DC58E9CD7}">
      <formula1>"Active,Passive"</formula1>
    </dataValidation>
    <dataValidation type="list" allowBlank="1" showInputMessage="1" showErrorMessage="1" sqref="D267 D278 D289" xr:uid="{4AB0891C-451C-E744-9F77-65F0EB53197F}">
      <formula1>"Slow,Fast"</formula1>
    </dataValidation>
    <dataValidation type="list" allowBlank="1" showInputMessage="1" showErrorMessage="1" sqref="D117 D106 D95 D84" xr:uid="{4DE1EA48-843F-1E42-802A-E1A4515086B1}">
      <formula1>"IPv4,IPv6"</formula1>
    </dataValidation>
    <dataValidation type="list" allowBlank="1" showInputMessage="1" showErrorMessage="1" sqref="D98 D109 D87 D120" xr:uid="{43DBBD9E-7B96-B242-ABF6-9C66EAC076ED}">
      <formula1>"Static,DHCP,SLAAC"</formula1>
    </dataValidation>
    <dataValidation type="list" allowBlank="1" showInputMessage="1" showErrorMessage="1" sqref="D187" xr:uid="{4AF1C979-86D2-FF46-9618-F3454D1BEADD}">
      <formula1>" Create new NSX Manager instance,Join existing NSX Manager instance"</formula1>
    </dataValidation>
    <dataValidation type="list" allowBlank="1" showInputMessage="1" showErrorMessage="1" sqref="D223" xr:uid="{A42E2DB1-8F4E-4944-A058-86C2D23BA24E}">
      <formula1>"Default,Custom"</formula1>
    </dataValidation>
    <dataValidation type="list" allowBlank="1" showInputMessage="1" showErrorMessage="1" sqref="D224" xr:uid="{7FB463A2-1334-4E4A-9CAF-5A7FB9E7B437}">
      <formula1>"6 Hours,12 hours,1 Day,3 Days,7 Days"</formula1>
    </dataValidation>
    <dataValidation type="list" allowBlank="1" showInputMessage="1" showErrorMessage="1" sqref="D163:D164" xr:uid="{557DCF3A-9617-954A-BF6B-AFF4A6A52715}">
      <formula1>"Exclude,Include"</formula1>
    </dataValidation>
    <dataValidation type="list" allowBlank="1" showInputMessage="1" showErrorMessage="1" sqref="D150" xr:uid="{9D37DC37-C220-134E-B52C-530F7FD41A3D}">
      <formula1>"Unselected,Selected"</formula1>
    </dataValidation>
    <dataValidation type="list" allowBlank="1" showInputMessage="1" showErrorMessage="1" sqref="D202" xr:uid="{85FA0167-4382-3245-9968-F3B81AAC6534}">
      <formula1>"Full Stack VPC, VLAN backed VPC"</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302" operator="containsText" id="{8E458A64-F139-2148-B9AC-6801F1148CAB}">
            <xm:f>NOT(ISERROR(SEARCH("Value Missing",B393)))</xm:f>
            <xm:f>"Value Missing"</xm:f>
            <x14:dxf>
              <font>
                <color theme="1"/>
              </font>
              <fill>
                <patternFill>
                  <bgColor rgb="FFFFBD29"/>
                </patternFill>
              </fill>
            </x14:dxf>
          </x14:cfRule>
          <xm:sqref>B393 B395:B398 B400:B401 B403:B418</xm:sqref>
        </x14:conditionalFormatting>
        <x14:conditionalFormatting xmlns:xm="http://schemas.microsoft.com/office/excel/2006/main">
          <x14:cfRule type="containsText" priority="1413" operator="containsText" id="{E1A0FA54-7B60-F140-9638-1278718DE86D}">
            <xm:f>NOT(ISERROR(SEARCH("Value Missing",D23)))</xm:f>
            <xm:f>"Value Missing"</xm:f>
            <x14:dxf>
              <fill>
                <patternFill>
                  <bgColor rgb="FFFFBE29"/>
                </patternFill>
              </fill>
            </x14:dxf>
          </x14:cfRule>
          <xm:sqref>D23 D28:D33 D38:D50 D58:D60 D62:D77 D82 D84:D93 D95:D104 D106:D115 D131:D153 D160:D164 D169:D172 D177:D178 D182 D190:D210 D215:D230 D235:D250 D255:D256 D261:D292 D300:D302 D319:D322 D324:D334 D336:D343 D348:D354 D356:D360 D365:D367 D371 D373:D377 D379:D383 D385:D390 D393 D395:D398 D400:D401</xm:sqref>
        </x14:conditionalFormatting>
        <x14:conditionalFormatting xmlns:xm="http://schemas.microsoft.com/office/excel/2006/main">
          <x14:cfRule type="containsText" priority="506" stopIfTrue="1" operator="containsText" id="{40434B6A-0257-0E46-B224-9CF37A75A142}">
            <xm:f>NOT(ISERROR(SEARCH("Value Missing",D94)))</xm:f>
            <xm:f>"Value Missing"</xm:f>
            <x14:dxf>
              <font>
                <color rgb="FF0E223A"/>
              </font>
              <fill>
                <patternFill>
                  <bgColor rgb="FFFFBE29"/>
                </patternFill>
              </fill>
            </x14:dxf>
          </x14:cfRule>
          <xm:sqref>D94 D98</xm:sqref>
        </x14:conditionalFormatting>
        <x14:conditionalFormatting xmlns:xm="http://schemas.microsoft.com/office/excel/2006/main">
          <x14:cfRule type="containsText" priority="290" operator="containsText" id="{9416E50C-0FE8-164F-8DE0-A04DDD0F3DCE}">
            <xm:f>NOT(ISERROR(SEARCH("Value Missing",D117)))</xm:f>
            <xm:f>"Value Missing"</xm:f>
            <x14:dxf>
              <font>
                <color theme="1"/>
              </font>
              <fill>
                <patternFill>
                  <bgColor rgb="FFFFBE29"/>
                </patternFill>
              </fill>
            </x14:dxf>
          </x14:cfRule>
          <xm:sqref>D117:D126</xm:sqref>
        </x14:conditionalFormatting>
        <x14:conditionalFormatting xmlns:xm="http://schemas.microsoft.com/office/excel/2006/main">
          <x14:cfRule type="containsText" priority="42" operator="containsText" id="{9C5BB011-4657-E741-92D3-DFA038F34CA7}">
            <xm:f>NOT(ISERROR(SEARCH("Value Missing",D187)))</xm:f>
            <xm:f>"Value Missing"</xm:f>
            <x14:dxf>
              <fill>
                <patternFill>
                  <bgColor rgb="FFFFBE29"/>
                </patternFill>
              </fill>
            </x14:dxf>
          </x14:cfRule>
          <xm:sqref>D187</xm:sqref>
        </x14:conditionalFormatting>
        <x14:conditionalFormatting xmlns:xm="http://schemas.microsoft.com/office/excel/2006/main">
          <x14:cfRule type="expression" priority="1230" stopIfTrue="1" id="{2AEFE8D6-BC38-944A-9C22-A50A87DBBA80}">
            <xm:f>IF(AND(wld_principal_storage_chosen&lt;&gt;"vSAN-OSA"),('Configure Workload Domain'!D$132&lt;&gt;"Included"))</xm:f>
            <x14:dxf>
              <font>
                <color rgb="FF4F5F69"/>
              </font>
              <fill>
                <patternFill>
                  <bgColor rgb="FF4F5F69"/>
                </patternFill>
              </fill>
            </x14:dxf>
          </x14:cfRule>
          <xm:sqref>D221</xm:sqref>
        </x14:conditionalFormatting>
        <x14:conditionalFormatting xmlns:xm="http://schemas.microsoft.com/office/excel/2006/main">
          <x14:cfRule type="containsText" priority="289" operator="containsText" id="{35D48073-BC1D-5F4B-9122-E2D774E9C5F2}">
            <xm:f>NOT(ISERROR(SEARCH("Value Missing",D294)))</xm:f>
            <xm:f>"Value Missing"</xm:f>
            <x14:dxf>
              <fill>
                <patternFill>
                  <bgColor rgb="FFFFBE29"/>
                </patternFill>
              </fill>
            </x14:dxf>
          </x14:cfRule>
          <xm:sqref>D294:D297</xm:sqref>
        </x14:conditionalFormatting>
        <x14:conditionalFormatting xmlns:xm="http://schemas.microsoft.com/office/excel/2006/main">
          <x14:cfRule type="containsText" priority="291" operator="containsText" id="{BA044D7F-9E71-9240-BF31-C51D76291FCF}">
            <xm:f>NOT(ISERROR(SEARCH("Value Missing",D299)))</xm:f>
            <xm:f>"Value Missing"</xm:f>
            <x14:dxf>
              <font>
                <color theme="1"/>
              </font>
              <fill>
                <patternFill>
                  <bgColor rgb="FFFFBE29"/>
                </patternFill>
              </fill>
            </x14:dxf>
          </x14:cfRule>
          <xm:sqref>D299</xm:sqref>
        </x14:conditionalFormatting>
        <x14:conditionalFormatting xmlns:xm="http://schemas.microsoft.com/office/excel/2006/main">
          <x14:cfRule type="containsText" priority="285" operator="containsText" id="{A00CB58A-0D87-E848-9778-9AB37B5B2B62}">
            <xm:f>NOT(ISERROR(SEARCH("Value Missing",D304)))</xm:f>
            <xm:f>"Value Missing"</xm:f>
            <x14:dxf>
              <fill>
                <patternFill>
                  <bgColor rgb="FFFFBE29"/>
                </patternFill>
              </fill>
            </x14:dxf>
          </x14:cfRule>
          <xm:sqref>D304:D307</xm:sqref>
        </x14:conditionalFormatting>
        <x14:conditionalFormatting xmlns:xm="http://schemas.microsoft.com/office/excel/2006/main">
          <x14:cfRule type="containsText" priority="282" operator="containsText" id="{6FFD0C25-8BE2-5347-9C99-40B2ED3B1F3C}">
            <xm:f>NOT(ISERROR(SEARCH("Value Missing",D309)))</xm:f>
            <xm:f>"Value Missing"</xm:f>
            <x14:dxf>
              <fill>
                <patternFill>
                  <bgColor rgb="FFFFBE29"/>
                </patternFill>
              </fill>
            </x14:dxf>
          </x14:cfRule>
          <xm:sqref>D309:D312 D314:D317</xm:sqref>
        </x14:conditionalFormatting>
        <x14:conditionalFormatting xmlns:xm="http://schemas.microsoft.com/office/excel/2006/main">
          <x14:cfRule type="containsText" priority="83" operator="containsText" id="{79E1736D-9BD8-F749-92AA-E3FB2D10062E}">
            <xm:f>NOT(ISERROR(SEARCH("Value Missing",D369)))</xm:f>
            <xm:f>"Value Missing"</xm:f>
            <x14:dxf>
              <font>
                <color theme="1"/>
              </font>
              <fill>
                <patternFill>
                  <bgColor rgb="FFFFBE29"/>
                </patternFill>
              </fill>
            </x14:dxf>
          </x14:cfRule>
          <xm:sqref>D369 D371</xm:sqref>
        </x14:conditionalFormatting>
        <x14:conditionalFormatting xmlns:xm="http://schemas.microsoft.com/office/excel/2006/main">
          <x14:cfRule type="containsText" priority="74" operator="containsText" id="{0D9B1FEE-ADF1-274D-9B0B-A60A5D72D714}">
            <xm:f>NOT(ISERROR(SEARCH("Value Missing",D370)))</xm:f>
            <xm:f>"Value Missing"</xm:f>
            <x14:dxf>
              <font>
                <color theme="1"/>
              </font>
              <fill>
                <patternFill>
                  <bgColor rgb="FFFFBE29"/>
                </patternFill>
              </fill>
            </x14:dxf>
          </x14:cfRule>
          <xm:sqref>D370</xm:sqref>
        </x14:conditionalFormatting>
        <x14:conditionalFormatting xmlns:xm="http://schemas.microsoft.com/office/excel/2006/main">
          <x14:cfRule type="containsText" priority="555" stopIfTrue="1" operator="containsText" id="{90F7590E-4447-E241-8E55-3945C5247009}">
            <xm:f>NOT(ISERROR(SEARCH("Value Missing",D378)))</xm:f>
            <xm:f>"Value Missing"</xm:f>
            <x14:dxf>
              <font>
                <color rgb="FF0E223A"/>
              </font>
              <fill>
                <patternFill>
                  <bgColor rgb="FFFFBE29"/>
                </patternFill>
              </fill>
            </x14:dxf>
          </x14:cfRule>
          <xm:sqref>D378</xm:sqref>
        </x14:conditionalFormatting>
        <x14:conditionalFormatting xmlns:xm="http://schemas.microsoft.com/office/excel/2006/main">
          <x14:cfRule type="containsText" priority="584" stopIfTrue="1" operator="containsText" id="{179192EE-6811-0D4C-A396-53C1717ABC7F}">
            <xm:f>NOT(ISERROR(SEARCH("Value Missing",D384)))</xm:f>
            <xm:f>"Value Missing"</xm:f>
            <x14:dxf>
              <font>
                <color rgb="FF0E223A"/>
              </font>
              <fill>
                <patternFill>
                  <bgColor rgb="FFFFBE29"/>
                </patternFill>
              </fill>
            </x14:dxf>
          </x14:cfRule>
          <xm:sqref>D384</xm:sqref>
        </x14:conditionalFormatting>
        <x14:conditionalFormatting xmlns:xm="http://schemas.microsoft.com/office/excel/2006/main">
          <x14:cfRule type="containsText" priority="304" operator="containsText" id="{5FFCC205-222C-C24B-B5F6-082C59B24C76}">
            <xm:f>NOT(ISERROR(SEARCH("Value Missing",D403)))</xm:f>
            <xm:f>"Value Missing"</xm:f>
            <x14:dxf>
              <fill>
                <patternFill>
                  <bgColor rgb="FFFFBE29"/>
                </patternFill>
              </fill>
            </x14:dxf>
          </x14:cfRule>
          <xm:sqref>D403:D418</xm:sqref>
        </x14:conditionalFormatting>
        <x14:conditionalFormatting xmlns:xm="http://schemas.microsoft.com/office/excel/2006/main">
          <x14:cfRule type="containsText" priority="60" operator="containsText" id="{1B6A5898-BA4E-A044-A1B2-B80EE537A58D}">
            <xm:f>NOT(ISERROR(SEARCH("Create VI Workload Domain or Deploy a new VCF fleet not selected on VCF &amp; VVF Planning Tab",E10)))</xm:f>
            <xm:f>"Create VI Workload Domain or Deploy a new VCF fleet not selected on VCF &amp; VVF Planning Tab"</xm:f>
            <x14:dxf>
              <fill>
                <patternFill>
                  <bgColor rgb="FFFFBE29"/>
                </patternFill>
              </fill>
            </x14:dxf>
          </x14:cfRule>
          <x14:cfRule type="containsText" priority="218" operator="containsText" id="{FEA29B4C-9953-AB4F-9ED7-02567C8A09D3}">
            <xm:f>NOT(ISERROR(SEARCH("Workload Domain will be deployed with a Multi-Rack Layer 3 Cluster - Additional Racks Tab must also be filled out",E10)))</xm:f>
            <xm:f>"Workload Domain will be deployed with a Multi-Rack Layer 3 Cluster - Additional Racks Tab must also be filled out"</xm:f>
            <x14:dxf>
              <font>
                <color theme="1"/>
              </font>
              <fill>
                <patternFill>
                  <bgColor rgb="FFFFBE29"/>
                </patternFill>
              </fill>
            </x14:dxf>
          </x14:cfRule>
          <xm:sqref>E10</xm:sqref>
        </x14:conditionalFormatting>
        <x14:conditionalFormatting xmlns:xm="http://schemas.microsoft.com/office/excel/2006/main">
          <x14:cfRule type="containsText" priority="69" operator="containsText" id="{1B123833-BB07-ED4E-A4CD-979CB605AFA0}">
            <xm:f>NOT(ISERROR(SEARCH("Note only Single Zone vSphere Supervisor with NSX VPC Networking can be deployed during WLD Creation",E18)))</xm:f>
            <xm:f>"Note only Single Zone vSphere Supervisor with NSX VPC Networking can be deployed during WLD Creation"</xm:f>
            <x14:dxf>
              <font>
                <color theme="1"/>
              </font>
              <fill>
                <patternFill>
                  <bgColor rgb="FFFFBE29"/>
                </patternFill>
              </fill>
            </x14:dxf>
          </x14:cfRule>
          <xm:sqref>E18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3677-57D8-E840-B7A4-080BCCBD88FE}">
  <sheetPr codeName="Sheet18">
    <tabColor theme="7" tint="0.59999389629810485"/>
  </sheetPr>
  <dimension ref="A1:J631"/>
  <sheetViews>
    <sheetView showGridLines="0" workbookViewId="0">
      <pane ySplit="8" topLeftCell="A9" activePane="bottomLeft" state="frozen"/>
      <selection pane="bottomLeft"/>
    </sheetView>
  </sheetViews>
  <sheetFormatPr baseColWidth="10" defaultRowHeight="16" x14ac:dyDescent="0.2"/>
  <cols>
    <col min="1" max="1" width="2.83203125" style="9" customWidth="1"/>
    <col min="2" max="4" width="75.83203125" style="2" customWidth="1"/>
    <col min="5" max="5" width="125.83203125" style="9" customWidth="1"/>
    <col min="6" max="8" width="10.83203125" style="9" customWidth="1"/>
    <col min="9" max="16384" width="10.83203125" style="9"/>
  </cols>
  <sheetData>
    <row r="1" spans="1:10" s="2" customFormat="1" ht="16" customHeight="1" x14ac:dyDescent="0.2">
      <c r="A1" s="1"/>
      <c r="F1" s="9"/>
      <c r="G1" s="9"/>
      <c r="H1" s="9"/>
      <c r="I1" s="9"/>
      <c r="J1" s="9"/>
    </row>
    <row r="2" spans="1:10" s="2" customFormat="1" ht="54" customHeight="1" x14ac:dyDescent="0.2">
      <c r="B2" s="593" t="s">
        <v>3386</v>
      </c>
      <c r="C2" s="594"/>
      <c r="D2" s="594"/>
      <c r="E2" s="595"/>
      <c r="F2" s="9"/>
      <c r="G2" s="9"/>
      <c r="H2" s="9"/>
      <c r="I2" s="9"/>
      <c r="J2" s="9"/>
    </row>
    <row r="3" spans="1:10" s="2" customFormat="1" ht="20" customHeight="1" x14ac:dyDescent="0.2">
      <c r="B3" s="596" t="s">
        <v>642</v>
      </c>
      <c r="C3" s="597"/>
      <c r="D3" s="597"/>
      <c r="E3" s="598"/>
      <c r="F3" s="9"/>
      <c r="G3" s="9"/>
      <c r="H3" s="9"/>
      <c r="I3" s="9"/>
      <c r="J3" s="9"/>
    </row>
    <row r="4" spans="1:10" s="2" customFormat="1" ht="17" thickBot="1" x14ac:dyDescent="0.25">
      <c r="B4" s="2" t="s">
        <v>815</v>
      </c>
      <c r="D4" s="11"/>
      <c r="E4" s="3"/>
      <c r="F4" s="3"/>
    </row>
    <row r="5" spans="1:10" ht="20" customHeight="1" thickBot="1" x14ac:dyDescent="0.25">
      <c r="B5" s="202" t="s">
        <v>3</v>
      </c>
      <c r="C5" s="202" t="s">
        <v>816</v>
      </c>
      <c r="D5" s="202" t="s">
        <v>689</v>
      </c>
      <c r="E5" s="202" t="s">
        <v>15</v>
      </c>
    </row>
    <row r="6" spans="1:10" s="25" customFormat="1" ht="10" customHeight="1" thickBot="1" x14ac:dyDescent="0.25">
      <c r="B6" s="203"/>
      <c r="C6" s="203"/>
      <c r="D6" s="203"/>
      <c r="E6" s="203"/>
    </row>
    <row r="7" spans="1:10" ht="20" customHeight="1" thickBot="1" x14ac:dyDescent="0.25">
      <c r="B7" s="202" t="s">
        <v>817</v>
      </c>
      <c r="C7" s="202" t="s">
        <v>3402</v>
      </c>
      <c r="D7" s="149"/>
      <c r="E7" s="149"/>
    </row>
    <row r="9" spans="1:10" ht="34" customHeight="1" x14ac:dyDescent="0.2">
      <c r="B9" s="556" t="s">
        <v>3403</v>
      </c>
      <c r="C9" s="557"/>
      <c r="D9" s="557"/>
      <c r="E9" s="558"/>
    </row>
    <row r="10" spans="1:10" ht="20" customHeight="1" x14ac:dyDescent="0.2">
      <c r="B10" s="63" t="s">
        <v>9</v>
      </c>
      <c r="C10" s="63" t="s">
        <v>10</v>
      </c>
      <c r="D10" s="63" t="s">
        <v>11</v>
      </c>
      <c r="E10" s="63" t="s">
        <v>12</v>
      </c>
    </row>
    <row r="11" spans="1:10" ht="20" customHeight="1" x14ac:dyDescent="0.2">
      <c r="B11" s="116" t="s">
        <v>13</v>
      </c>
      <c r="C11" s="8" t="s">
        <v>3</v>
      </c>
      <c r="D11" s="140" t="str">
        <f>IF(mgmt_domain_deployment_type_chosen="VMware vSphere Foundation","Excluded",
IF(mgmt_signed_certs_result="Excluded","Excluded",
IF(wld_signed_certs_chosen="Exclude","Excluded",IF(wld_domain_result="Included","Included","Excluded"))))</f>
        <v>Excluded</v>
      </c>
      <c r="E11" s="140" t="str">
        <f>IF(mgmt_domain_deployment_type_chosen="VMware vSphere Foundation","Cannot be performed on a VMware vSphere Foundation deployment",
IF(vcf_granular_option_chosen="Create Cluster","Create Workload Domain or Deploy a new VCF fleet not selected on VCF &amp; VVF Planning Tab",
IF(wld_domain_result="Excluded","Cause: Standard Workload Domain Required",
IF(vcf_granular_option_chosen="None Chosen","No Deployment Type Chosen",
IF(wld_signed_certs_chosen="Exclude","Cause: Not Selected. Signed certificates will not be deployed.",
IF(mgmt_signed_certs_result="Excluded","Cause: Management Domain Apply Signed Certificates not included",
IF(mgmt_signed_certs_chosen="Microsoft CA","Microsoft CA based signed certificates will be deployed Note: Ensure Managment Domain Sign Cert are configured ","OpenSSL CA based signed certificates will be deployed Note: Ensure Managment Domain Sign Cert are configured")))))))</f>
        <v>Cause: Standard Workload Domain Required</v>
      </c>
    </row>
    <row r="12" spans="1:10" ht="20" customHeight="1" x14ac:dyDescent="0.2">
      <c r="B12" s="116" t="s">
        <v>13</v>
      </c>
      <c r="C12" s="8" t="s">
        <v>3387</v>
      </c>
      <c r="D12" s="140" t="str">
        <f>IF(mgmt_domain_deployment_type_chosen="VMware vSphere Foundation","Excluded",
IF(wld_bgp_chosen="Exclude","Excluded",IF(wld_domain_result="Included","Included","Excluded")))</f>
        <v>Excluded</v>
      </c>
      <c r="E12" s="140" t="str">
        <f>IF(mgmt_domain_deployment_type_chosen="VMware vSphere Foundation","Cannot be performed on a VMware vSphere Foundation deployment",
IF(vcf_granular_option_chosen="None Chosen","No Deployment Type Chosen",
IF(wld_domain_result="Excluded","Cause: Standard Workload Domain Required",
IF(wld_bgp_chosen="Exclude","Cause: Not Selected. NSX Routing for Workload Domain will not be deployed",
IF(wld_domain_result="Excluded","Cause: Standard Workload Domain Required",
IF(wld_bgp_chosen="Centralized Connectivity","NSX Edge cluster will be created. EBGP will be used Suitable for environments where you need the full-scale of the NSX services.","Suitable for environments where you need a streamlined network configuration with limited NSX networking services"))))))</f>
        <v>Cause: Standard Workload Domain Required</v>
      </c>
    </row>
    <row r="13" spans="1:10" ht="20" customHeight="1" x14ac:dyDescent="0.2">
      <c r="B13" s="152" t="s">
        <v>13</v>
      </c>
      <c r="C13" s="8" t="s">
        <v>689</v>
      </c>
      <c r="D13" s="140" t="str">
        <f>IF(mgmt_domain_deployment_type_chosen="VMware vSphere Foundation","Excluded",
IF(AND((wld_supervisor_chosen&lt;&gt;"Exclude"),(wld_bgp_result="Excluded")),"Excluded",
IF(wld_supervisor_chosen="Exclude","Excluded",IF(wld_domain_result="Included","Included","Excluded"))))</f>
        <v>Excluded</v>
      </c>
      <c r="E13" s="140" t="str">
        <f>IF(wld_domain_result="Excluded","Cause: Standard Workload Domain Required",IF(AND((wld_supervisor_chosen&lt;&gt;"Exclude"),(wld_iaas_chosen="Include")),"Cause: You can choosen to enable vSphere Supervisor during the deployment of the Workload Domain",
IF(AND((wld_supervisor_chosen&lt;&gt;"Exclude"),(wld_bgp_chosen="Exclude")),"Cause: You have not enabled NSX Network Connectivity for Workload Domain","Casue: Not Selected. vSphere Supervisor will not be enabled")))</f>
        <v>Cause: Standard Workload Domain Required</v>
      </c>
    </row>
    <row r="14" spans="1:10" ht="20" customHeight="1" x14ac:dyDescent="0.2">
      <c r="B14" s="152" t="s">
        <v>13</v>
      </c>
      <c r="C14" s="8" t="s">
        <v>3395</v>
      </c>
      <c r="D14" s="140" t="str">
        <f>IF(mgmt_domain_deployment_type_chosen="VMware vSphere Foundation","Excluded",
IF(AND(vcf_granular_option_chosen&lt;&gt;"Deploy a new VCF fleet",vcf_granular_option_chosen&lt;&gt;"Deploy a VCF Instance in an existing VCF fleet",vcf_granular_option_chosen&lt;&gt;"Create Workload Domain",vcf_granular_option_chosen&lt;&gt;"One or More VVDs"),"Excluded",
IF(wld_avi_loadbalancer_chosen="Exclude","Excluded",IF(wld_domain_result="Excluded","Excluded","Included"))))</f>
        <v>Excluded</v>
      </c>
      <c r="E14" s="140" t="str">
        <f>IF(mgmt_domain_deployment_type_chosen="VMware vSphere Foundation","Cannot be performed on a VMware vSphere Foundation deployment",
IF(vcf_granular_option_chosen="Create Cluster","Cause: Standard Workload Domain Required",
IF(wld_domain_result="Excluded","Cause: Standard Workload Domain Required",
IF(vcf_granular_option_chosen="None Chosen","No Deployment Type Chosen",
IF(wld_avi_loadbalancer_chosen="Exclude","Cause: Not Selected. AVI Load Balancer will not be deployed","AVI Load Balancer will be deployed")))))</f>
        <v>Cause: Standard Workload Domain Required</v>
      </c>
    </row>
    <row r="15" spans="1:10" ht="20" customHeight="1" x14ac:dyDescent="0.2">
      <c r="B15" s="116" t="s">
        <v>13</v>
      </c>
      <c r="C15" s="140" t="s">
        <v>15</v>
      </c>
      <c r="D15" s="204" t="str">
        <f>IF(mgmt_domain_deployment_type_chosen="VMware vSphere Foundation","Excluded",
IF(wld_stretched_cluster_chosen="Exclude","Excluded",
IF(AND(wld_stretched_cluster_chosen="Include",AND(wld_principal_storage_chosen&lt;&gt;"vSAN-ESA",wld_principal_storage_chosen&lt;&gt;"vSAN-OSA",wld_principal_storage_chosen&lt;&gt;"vSAN Compute Cluster",wld_principal_storage_chosen&lt;&gt;"vSAN Storage Cluster")),"Excluded",
IF(AND((wld_domain_result="Included"),(wld_multirack_result="Included")),"Excluded",
IF(wld_domain_result="Excluded","Excluded",
IF(wld_iaas_chosen="Include","Excluded","Included"))))))</f>
        <v>Excluded</v>
      </c>
      <c r="E15" s="140" t="str">
        <f>IF(mgmt_domain_deployment_type_chosen="VMware vSphere Foundation","Cannot be performed on a VMware vSphere Foundation deployment",
IF(vcf_granular_option_chosen="None Chosen","No Deployment Type Chosen",
IF(wld_domain_result="Excluded","Cause: Standard Workload Domain Required",
IF(AND(wld_stretched_cluster_chosen="Include",AND(wld_principal_storage_chosen&lt;&gt;"vSAN-ESA",wld_principal_storage_chosen&lt;&gt;"vSAN-OSA",wld_principal_storage_chosen&lt;&gt;"vSAN Compute Cluster",wld_principal_storage_chosen&lt;&gt;"vSAN Storage Cluster")),"Stretched Cluster is only supported with vSAN as Principal Storage, vSAN Compute Clusters and vSAN Storage Clusters",
IF(wld_stretched_cluster_chosen="Exclude","Cause: Not Selected. Stretched Cluster will not be deployed.",
IF(wld_domain_result="Excluded","Cause: Standard Workload Domain Required",
IF(wld_iaas_chosen="Include","Cause: vSphere Supervisor should be enabled after the you completed the stretched cluster configuration",
IF(mgmt_stretched_cluster_chosen="Exclude","Note: Ensure MGMT Workload Domain is stretched ",
IF(AND((wld_domain_result="Included"),(wld_multirack_result&lt;&gt;"Excluded")),"Cause: Stretched Cluster is not supported with Multi Rack Layer 3 Cluster",
IF(wld_bgp_chosen="VLAN-Backed","Note: VLAN-backed routing requires L2 stretched VM Networks. Consider Overlay-backed instead.","Stretched Cluster will be deployed"))))))))))</f>
        <v>Cause: Standard Workload Domain Required</v>
      </c>
    </row>
    <row r="16" spans="1:10" ht="20" customHeight="1" x14ac:dyDescent="0.2">
      <c r="B16" s="116" t="s">
        <v>13</v>
      </c>
      <c r="C16" s="8" t="s">
        <v>817</v>
      </c>
      <c r="D16" s="140" t="str">
        <f>IF(mgmt_domain_deployment_type_chosen="VMware vSphere Foundation","Excluded",
IF(wld_nsxt_federation_chosen="Exclude","Excluded",
IF(AND((wld_nsxt_federation_chosen&lt;&gt;"Exclude"),(wld_multirack_calc="Include")),"Excluded",(IF(AND((wld_bgp_chosen="Centralized Connectivity"),(wld_bgp_result="Included")),"Included","Excluded")))))</f>
        <v>Excluded</v>
      </c>
      <c r="E16" s="140" t="str">
        <f>IF(mgmt_domain_deployment_type_chosen="VMware vSphere Foundation","Cannot be performed on a VMware vSphere Foundation deployment",
IF(vcf_granular_option_chosen="None Chosen","No Deployment Type Chosen",
IF(wld_domain_result="Excluded","Cause: Standard Workload Domain Required",
IF(wld_nsxt_federation_chosen="Exclude","Cause: Not Selected. NSX Federation for Workload Domain will not be deployed.",IF(wld_domain_result="Excluded","Cause: Standard Workload Domain Required",
IF(wld_bgp_chosen&lt;&gt;"Centralized Connectivity","Cause: NSX Centralized Connectivity for Wokrload Domain Required",
IF(AND((wld_nsxt_federation_chosen&lt;&gt;"Exclude"),(wld_multirack_calc="Include")),"Casue: NSX Federation is not supported with Multirack","NSX Federation is will be deployed")))))))</f>
        <v>Cause: Standard Workload Domain Required</v>
      </c>
    </row>
    <row r="17" spans="2:5" ht="16" customHeight="1" x14ac:dyDescent="0.2"/>
    <row r="18" spans="2:5" ht="34" customHeight="1" x14ac:dyDescent="0.2">
      <c r="B18" s="599" t="s">
        <v>3</v>
      </c>
      <c r="C18" s="600"/>
      <c r="D18" s="600"/>
      <c r="E18" s="600"/>
    </row>
    <row r="19" spans="2:5" ht="20" customHeight="1" x14ac:dyDescent="0.2">
      <c r="B19" s="592" t="s">
        <v>818</v>
      </c>
      <c r="C19" s="592"/>
      <c r="D19" s="592"/>
      <c r="E19" s="592"/>
    </row>
    <row r="20" spans="2:5" ht="20" customHeight="1" x14ac:dyDescent="0.2">
      <c r="B20" s="63" t="s">
        <v>18</v>
      </c>
      <c r="C20" s="63" t="s">
        <v>19</v>
      </c>
      <c r="D20" s="63" t="s">
        <v>20</v>
      </c>
      <c r="E20" s="63" t="s">
        <v>21</v>
      </c>
    </row>
    <row r="21" spans="2:5" ht="20" customHeight="1" x14ac:dyDescent="0.2">
      <c r="B21" s="4" t="s">
        <v>57</v>
      </c>
      <c r="C21" s="65" t="str">
        <f>sample_ca_algorithm</f>
        <v>RSA</v>
      </c>
      <c r="D21" s="8" t="str">
        <f>ca_algorithm</f>
        <v>Value Missing</v>
      </c>
      <c r="E21" s="311" t="str">
        <f>IF(wld_signed_certs_result="Included","Values are defined in the Management Domain Post Deploy Tab - Click to link","")</f>
        <v/>
      </c>
    </row>
    <row r="22" spans="2:5" ht="20" customHeight="1" x14ac:dyDescent="0.2">
      <c r="B22" s="4" t="s">
        <v>71</v>
      </c>
      <c r="C22" s="65">
        <f>sample_ca_key_size</f>
        <v>4096</v>
      </c>
      <c r="D22" s="8" t="str">
        <f>ca_key_size</f>
        <v>Value Missing</v>
      </c>
      <c r="E22" s="4"/>
    </row>
    <row r="23" spans="2:5" ht="20" customHeight="1" x14ac:dyDescent="0.2">
      <c r="B23" s="4" t="s">
        <v>69</v>
      </c>
      <c r="C23" s="65" t="str">
        <f>sample_ca_email_address</f>
        <v>administrator@rainpole.io</v>
      </c>
      <c r="D23" s="8" t="str">
        <f>ca_email_address</f>
        <v>Value Missing</v>
      </c>
      <c r="E23" s="4"/>
    </row>
    <row r="24" spans="2:5" ht="20" customHeight="1" x14ac:dyDescent="0.2">
      <c r="B24" s="4" t="s">
        <v>61</v>
      </c>
      <c r="C24" s="65" t="str">
        <f>sample_ca_organization_unit</f>
        <v>Rainpole</v>
      </c>
      <c r="D24" s="8" t="str">
        <f>ca_organization_unit</f>
        <v>Value Missing</v>
      </c>
      <c r="E24" s="4"/>
    </row>
    <row r="25" spans="2:5" ht="20" customHeight="1" x14ac:dyDescent="0.2">
      <c r="B25" s="4" t="s">
        <v>76</v>
      </c>
      <c r="C25" s="65" t="str">
        <f>sample_ca_organization</f>
        <v>IT</v>
      </c>
      <c r="D25" s="8" t="str">
        <f>ca_organization</f>
        <v>Value Missing</v>
      </c>
      <c r="E25" s="4"/>
    </row>
    <row r="26" spans="2:5" ht="20" customHeight="1" x14ac:dyDescent="0.2">
      <c r="B26" s="4" t="s">
        <v>67</v>
      </c>
      <c r="C26" s="65" t="str">
        <f>sample_ca_locality</f>
        <v>San Francisco</v>
      </c>
      <c r="D26" s="8" t="str">
        <f>ca_locality</f>
        <v>Value Missing</v>
      </c>
      <c r="E26" s="4"/>
    </row>
    <row r="27" spans="2:5" ht="20" customHeight="1" x14ac:dyDescent="0.2">
      <c r="B27" s="4" t="s">
        <v>65</v>
      </c>
      <c r="C27" s="65" t="str">
        <f>sample_ca_state</f>
        <v>CA</v>
      </c>
      <c r="D27" s="8" t="str">
        <f>ca_state</f>
        <v>Value Missing</v>
      </c>
      <c r="E27" s="4"/>
    </row>
    <row r="28" spans="2:5" ht="20" customHeight="1" x14ac:dyDescent="0.2">
      <c r="B28" s="4" t="s">
        <v>63</v>
      </c>
      <c r="C28" s="65" t="str">
        <f>sample_ca_country</f>
        <v>US</v>
      </c>
      <c r="D28" s="8" t="str">
        <f>ca_country</f>
        <v>Value Missing</v>
      </c>
      <c r="E28" s="4"/>
    </row>
    <row r="29" spans="2:5" ht="16" customHeight="1" x14ac:dyDescent="0.2"/>
    <row r="30" spans="2:5" ht="34" customHeight="1" x14ac:dyDescent="0.2">
      <c r="B30" s="575" t="s">
        <v>819</v>
      </c>
      <c r="C30" s="576"/>
      <c r="D30" s="576"/>
      <c r="E30" s="577"/>
    </row>
    <row r="31" spans="2:5" ht="20" customHeight="1" x14ac:dyDescent="0.2">
      <c r="B31" s="537" t="s">
        <v>81</v>
      </c>
      <c r="C31" s="538"/>
      <c r="D31" s="538"/>
      <c r="E31" s="539"/>
    </row>
    <row r="32" spans="2:5" ht="20" customHeight="1" x14ac:dyDescent="0.2">
      <c r="B32" s="63" t="s">
        <v>18</v>
      </c>
      <c r="C32" s="63" t="s">
        <v>19</v>
      </c>
      <c r="D32" s="63" t="s">
        <v>20</v>
      </c>
      <c r="E32" s="63" t="s">
        <v>21</v>
      </c>
    </row>
    <row r="33" spans="1:7" ht="20" customHeight="1" x14ac:dyDescent="0.2">
      <c r="A33" s="147"/>
      <c r="B33" s="605" t="s">
        <v>3229</v>
      </c>
      <c r="C33" s="606"/>
      <c r="D33" s="606"/>
      <c r="E33" s="607"/>
      <c r="F33" s="147"/>
      <c r="G33" s="147"/>
    </row>
    <row r="34" spans="1:7" ht="20" customHeight="1" x14ac:dyDescent="0.2">
      <c r="A34" s="147"/>
      <c r="B34" s="30" t="s">
        <v>82</v>
      </c>
      <c r="C34" s="192" t="s">
        <v>3230</v>
      </c>
      <c r="D34" s="355"/>
      <c r="E34" s="194"/>
      <c r="F34" s="147"/>
      <c r="G34" s="147"/>
    </row>
    <row r="35" spans="1:7" ht="20" customHeight="1" x14ac:dyDescent="0.2">
      <c r="B35" s="568" t="s">
        <v>82</v>
      </c>
      <c r="C35" s="569"/>
      <c r="D35" s="569"/>
      <c r="E35" s="570"/>
    </row>
    <row r="36" spans="1:7" ht="20" customHeight="1" x14ac:dyDescent="0.2">
      <c r="B36" s="4" t="s">
        <v>82</v>
      </c>
      <c r="C36" s="65" t="s">
        <v>83</v>
      </c>
      <c r="D36" s="8" t="str">
        <f>wld_bgp_chosen</f>
        <v>Exclude</v>
      </c>
      <c r="E36" s="4"/>
    </row>
    <row r="37" spans="1:7" ht="20" customHeight="1" x14ac:dyDescent="0.2">
      <c r="B37" s="568" t="s">
        <v>88</v>
      </c>
      <c r="C37" s="569"/>
      <c r="D37" s="569"/>
      <c r="E37" s="570"/>
    </row>
    <row r="38" spans="1:7" ht="20" customHeight="1" x14ac:dyDescent="0.2">
      <c r="B38" s="4" t="s">
        <v>89</v>
      </c>
      <c r="C38" s="65" t="str">
        <f>CONCATENATE(this_instance,"-w0",wld_domain_number_chosen,"-ec01")</f>
        <v>sfo-w01-ec01</v>
      </c>
      <c r="D38" s="66"/>
      <c r="E38" s="4"/>
    </row>
    <row r="39" spans="1:7" ht="20" customHeight="1" x14ac:dyDescent="0.2">
      <c r="B39" s="4" t="s">
        <v>90</v>
      </c>
      <c r="C39" s="65">
        <v>1700</v>
      </c>
      <c r="D39" s="114"/>
      <c r="E39" s="8" t="s">
        <v>820</v>
      </c>
    </row>
    <row r="40" spans="1:7" ht="20" customHeight="1" x14ac:dyDescent="0.2">
      <c r="B40" s="4" t="s">
        <v>91</v>
      </c>
      <c r="C40" s="65" t="s">
        <v>639</v>
      </c>
      <c r="D40" s="66" t="s">
        <v>639</v>
      </c>
      <c r="E40" s="4"/>
    </row>
    <row r="41" spans="1:7" ht="20" customHeight="1" x14ac:dyDescent="0.2">
      <c r="B41" s="568" t="s">
        <v>93</v>
      </c>
      <c r="C41" s="569"/>
      <c r="D41" s="569"/>
      <c r="E41" s="570"/>
    </row>
    <row r="42" spans="1:7" ht="20" customHeight="1" x14ac:dyDescent="0.2">
      <c r="B42" s="4" t="s">
        <v>94</v>
      </c>
      <c r="C42" s="205" t="str">
        <f>CONCATENATE(this_instance,"-w0",wld_domain_number_chosen,"-en01",".",sample_child_dns_zone)</f>
        <v>sfo-w01-en01.sfo.rainpole.io</v>
      </c>
      <c r="D42" s="206"/>
      <c r="E42" s="8"/>
    </row>
    <row r="43" spans="1:7" ht="20" customHeight="1" x14ac:dyDescent="0.2">
      <c r="B43" s="4" t="s">
        <v>95</v>
      </c>
      <c r="C43" s="65" t="str">
        <f>sample_wld_cl01_cluster</f>
        <v>sfo-w01-cl01</v>
      </c>
      <c r="D43" s="134" t="str">
        <f>wld_cl01_cluster</f>
        <v>Value Missing</v>
      </c>
      <c r="E43" s="328" t="s">
        <v>821</v>
      </c>
    </row>
    <row r="44" spans="1:7" ht="20" customHeight="1" x14ac:dyDescent="0.2">
      <c r="B44" s="4" t="s">
        <v>97</v>
      </c>
      <c r="C44" s="65" t="str">
        <f>CONCATENATE(this_instance,"-w0",wld_domain_number_chosen,"-cl01-rp-ec01")</f>
        <v>sfo-w01-cl01-rp-ec01</v>
      </c>
      <c r="D44" s="114"/>
      <c r="E44" s="8" t="s">
        <v>98</v>
      </c>
    </row>
    <row r="45" spans="1:7" ht="20" customHeight="1" x14ac:dyDescent="0.2">
      <c r="B45" s="4" t="s">
        <v>99</v>
      </c>
      <c r="C45" s="65" t="s">
        <v>100</v>
      </c>
      <c r="D45" s="114" t="s">
        <v>100</v>
      </c>
      <c r="E45" s="8"/>
    </row>
    <row r="46" spans="1:7" ht="20" customHeight="1" x14ac:dyDescent="0.2">
      <c r="B46" s="4" t="s">
        <v>101</v>
      </c>
      <c r="C46" s="65" t="str">
        <f>CONCATENATE(sample_wld_sddc_domain,"-host-group-affinity-rule-ec01-en01")</f>
        <v>sfo-w01-host-group-affinity-rule-ec01-en01</v>
      </c>
      <c r="D46" s="114"/>
      <c r="E46" s="8" t="s">
        <v>822</v>
      </c>
    </row>
    <row r="47" spans="1:7" ht="20" customHeight="1" x14ac:dyDescent="0.2">
      <c r="B47" s="4" t="s">
        <v>823</v>
      </c>
      <c r="C47" s="65" t="str">
        <f>sample_wld_cl01_vsan_datastore</f>
        <v>sfo-w01-sfo-w01-cl01-vsan01</v>
      </c>
      <c r="D47" s="134" t="str">
        <f>wld_cl01_vsan_datastore</f>
        <v>Value Missing</v>
      </c>
      <c r="E47" s="328" t="s">
        <v>824</v>
      </c>
    </row>
    <row r="48" spans="1:7" ht="20" customHeight="1" x14ac:dyDescent="0.2">
      <c r="B48" s="23" t="s">
        <v>3237</v>
      </c>
      <c r="C48" s="357" t="s">
        <v>3238</v>
      </c>
      <c r="D48" s="114" t="s">
        <v>3238</v>
      </c>
      <c r="E48" s="328"/>
    </row>
    <row r="49" spans="2:5" ht="20" customHeight="1" x14ac:dyDescent="0.2">
      <c r="B49" s="4" t="s">
        <v>104</v>
      </c>
      <c r="C49" s="109" t="s">
        <v>105</v>
      </c>
      <c r="D49" s="66" t="s">
        <v>105</v>
      </c>
      <c r="E49" s="8"/>
    </row>
    <row r="50" spans="2:5" ht="20" customHeight="1" x14ac:dyDescent="0.2">
      <c r="B50" s="4" t="s">
        <v>108</v>
      </c>
      <c r="C50" s="207" t="str">
        <f>IF(wld_dpg_separation_result="Included",CONCATENATE(prefix_wld_az1_cidr,"10.135","/",INT(RIGHT(sample_wld_az1_mgmt_vm_gateway_cidr,LEN(sample_wld_az1_mgmt_vm_gateway_cidr)-FIND("/",sample_wld_az1_mgmt_vm_gateway_cidr)))),CONCATENATE(prefix_wld_az1_cidr,"11.135","/",INT(RIGHT(sample_wld_az1_mgmt_vm_gateway_cidr,LEN(sample_wld_az1_mgmt_vm_gateway_cidr)-FIND("/",sample_wld_az1_mgmt_vm_gateway_cidr)))))</f>
        <v>10.13.11.135/24</v>
      </c>
      <c r="D50" s="66"/>
      <c r="E50" s="8"/>
    </row>
    <row r="51" spans="2:5" ht="20" customHeight="1" x14ac:dyDescent="0.2">
      <c r="B51" s="4" t="s">
        <v>109</v>
      </c>
      <c r="C51" s="207" t="str">
        <f>IF(wld_dpg_separation_result="Included",CONCATENATE(prefix_wld_az1_cidr,"10.1"),CONCATENATE(prefix_wld_az1_cidr,"11.1"))</f>
        <v>10.13.11.1</v>
      </c>
      <c r="D51" s="8" t="str">
        <f>wld_az1_mgmt_vm_gateway_ip</f>
        <v>Value Missing</v>
      </c>
      <c r="E51" s="328" t="s">
        <v>826</v>
      </c>
    </row>
    <row r="52" spans="2:5" ht="20" customHeight="1" x14ac:dyDescent="0.2">
      <c r="B52" s="4" t="s">
        <v>106</v>
      </c>
      <c r="C52" s="207" t="str">
        <f>sample_wld_cl01_az1_mgmt_vm_pg</f>
        <v>sfo-w01-cl01-vds01-pg-vm-mgmt</v>
      </c>
      <c r="D52" s="134" t="str">
        <f>wld_cl01_az1_mgmt_vm_pg</f>
        <v>Value Missing</v>
      </c>
      <c r="E52" s="328" t="s">
        <v>825</v>
      </c>
    </row>
    <row r="53" spans="2:5" ht="20" customHeight="1" x14ac:dyDescent="0.2">
      <c r="B53" s="4" t="s">
        <v>110</v>
      </c>
      <c r="C53" s="65" t="s">
        <v>111</v>
      </c>
      <c r="D53" s="114" t="s">
        <v>111</v>
      </c>
      <c r="E53" s="8"/>
    </row>
    <row r="54" spans="2:5" ht="20" customHeight="1" x14ac:dyDescent="0.2">
      <c r="B54" s="521" t="s">
        <v>827</v>
      </c>
      <c r="C54" s="522"/>
      <c r="D54" s="522"/>
      <c r="E54" s="523"/>
    </row>
    <row r="55" spans="2:5" ht="20" customHeight="1" x14ac:dyDescent="0.2">
      <c r="B55" s="4" t="s">
        <v>113</v>
      </c>
      <c r="C55" s="65" t="s">
        <v>828</v>
      </c>
      <c r="D55" s="114"/>
      <c r="E55" s="8" t="s">
        <v>114</v>
      </c>
    </row>
    <row r="56" spans="2:5" ht="20" customHeight="1" x14ac:dyDescent="0.2">
      <c r="B56" s="23" t="s">
        <v>113</v>
      </c>
      <c r="C56" s="65" t="s">
        <v>829</v>
      </c>
      <c r="D56" s="114"/>
      <c r="E56" s="8" t="s">
        <v>835</v>
      </c>
    </row>
    <row r="57" spans="2:5" ht="20" customHeight="1" x14ac:dyDescent="0.2">
      <c r="B57" s="23" t="s">
        <v>115</v>
      </c>
      <c r="C57" s="65" t="s">
        <v>829</v>
      </c>
      <c r="D57" s="114"/>
      <c r="E57" s="8" t="s">
        <v>114</v>
      </c>
    </row>
    <row r="58" spans="2:5" ht="20" customHeight="1" x14ac:dyDescent="0.2">
      <c r="B58" s="30" t="s">
        <v>115</v>
      </c>
      <c r="C58" s="65" t="s">
        <v>828</v>
      </c>
      <c r="D58" s="114"/>
      <c r="E58" s="8" t="s">
        <v>835</v>
      </c>
    </row>
    <row r="59" spans="2:5" ht="20" customHeight="1" x14ac:dyDescent="0.2">
      <c r="B59" s="4" t="s">
        <v>116</v>
      </c>
      <c r="C59" s="103" t="str">
        <f>CONCATENATE(prefix_wld_az1_vlan,"19")</f>
        <v>1319</v>
      </c>
      <c r="D59" s="66"/>
      <c r="E59" s="8"/>
    </row>
    <row r="60" spans="2:5" ht="20" customHeight="1" x14ac:dyDescent="0.2">
      <c r="B60" s="4" t="s">
        <v>3239</v>
      </c>
      <c r="C60" s="103" t="s">
        <v>3119</v>
      </c>
      <c r="D60" s="114" t="s">
        <v>3203</v>
      </c>
      <c r="E60" s="8" t="str">
        <f>IF(wld_az1_en1_uplink_ip_assignment_chosen="IPv6","NSX does not support EVPN, Multicast Routing, Service Insertion and Federation functionalities when you use IPv6 as the IP Address Type ","")</f>
        <v xml:space="preserve">NSX does not support EVPN, Multicast Routing, Service Insertion and Federation functionalities when you use IPv6 as the IP Address Type </v>
      </c>
    </row>
    <row r="61" spans="2:5" ht="20" customHeight="1" x14ac:dyDescent="0.2">
      <c r="B61" s="4" t="s">
        <v>117</v>
      </c>
      <c r="C61" s="65" t="s">
        <v>118</v>
      </c>
      <c r="D61" s="114" t="s">
        <v>2871</v>
      </c>
      <c r="E61" s="8"/>
    </row>
    <row r="62" spans="2:5" ht="20" customHeight="1" x14ac:dyDescent="0.2">
      <c r="B62" s="4" t="s">
        <v>119</v>
      </c>
      <c r="C62" s="109" t="str">
        <f>CONCATENATE(sample_wld_sddc_domain,"-ip-pool02-edge")</f>
        <v>sfo-w01-ip-pool02-edge</v>
      </c>
      <c r="D62" s="66"/>
      <c r="E62" s="8"/>
    </row>
    <row r="63" spans="2:5" ht="20" customHeight="1" x14ac:dyDescent="0.2">
      <c r="B63" s="4" t="s">
        <v>120</v>
      </c>
      <c r="C63" s="103" t="str">
        <f>CONCATENATE(prefix_wld_az1_cidr,"19.2")</f>
        <v>10.13.19.2</v>
      </c>
      <c r="D63" s="66"/>
      <c r="E63" s="8"/>
    </row>
    <row r="64" spans="2:5" ht="20" customHeight="1" x14ac:dyDescent="0.2">
      <c r="B64" s="4" t="s">
        <v>121</v>
      </c>
      <c r="C64" s="103" t="str">
        <f>CONCATENATE(prefix_wld_az1_cidr,"19.5")</f>
        <v>10.13.19.5</v>
      </c>
      <c r="D64" s="66"/>
      <c r="E64" s="8"/>
    </row>
    <row r="65" spans="2:5" ht="20" customHeight="1" x14ac:dyDescent="0.2">
      <c r="B65" s="4" t="s">
        <v>122</v>
      </c>
      <c r="C65" s="109" t="str">
        <f>CONCATENATE(prefix_wld_az1_cidr,"19.2")</f>
        <v>10.13.19.2</v>
      </c>
      <c r="D65" s="66"/>
      <c r="E65" s="8" t="s">
        <v>830</v>
      </c>
    </row>
    <row r="66" spans="2:5" ht="20" customHeight="1" x14ac:dyDescent="0.2">
      <c r="B66" s="4" t="s">
        <v>123</v>
      </c>
      <c r="C66" s="109" t="str">
        <f>CONCATENATE(prefix_wld_az1_cidr,"19.3")</f>
        <v>10.13.19.3</v>
      </c>
      <c r="D66" s="66"/>
      <c r="E66" s="8" t="s">
        <v>831</v>
      </c>
    </row>
    <row r="67" spans="2:5" ht="20" customHeight="1" x14ac:dyDescent="0.2">
      <c r="B67" s="4" t="s">
        <v>447</v>
      </c>
      <c r="C67" s="103" t="str">
        <f>CONCATENATE(prefix_wld_az1_cidr,"19.0/24")</f>
        <v>10.13.19.0/24</v>
      </c>
      <c r="D67" s="66"/>
      <c r="E67" s="8"/>
    </row>
    <row r="68" spans="2:5" ht="20" customHeight="1" x14ac:dyDescent="0.2">
      <c r="B68" s="4" t="s">
        <v>124</v>
      </c>
      <c r="C68" s="103" t="str">
        <f>CONCATENATE(prefix_wld_az1_cidr,"19.1")</f>
        <v>10.13.19.1</v>
      </c>
      <c r="D68" s="66"/>
      <c r="E68" s="8"/>
    </row>
    <row r="69" spans="2:5" ht="20" customHeight="1" x14ac:dyDescent="0.2">
      <c r="B69" s="4" t="s">
        <v>125</v>
      </c>
      <c r="C69" s="65" t="s">
        <v>126</v>
      </c>
      <c r="D69" s="114"/>
      <c r="E69" s="8"/>
    </row>
    <row r="70" spans="2:5" ht="20" customHeight="1" x14ac:dyDescent="0.2">
      <c r="B70" s="568" t="s">
        <v>127</v>
      </c>
      <c r="C70" s="569"/>
      <c r="D70" s="569"/>
      <c r="E70" s="570"/>
    </row>
    <row r="71" spans="2:5" ht="20" customHeight="1" x14ac:dyDescent="0.2">
      <c r="B71" s="4" t="s">
        <v>128</v>
      </c>
      <c r="C71" s="109" t="str">
        <f>CONCATENATE(this_instance,"-w0",wld_domain_number_chosen,"-en02",".",sample_child_dns_zone)</f>
        <v>sfo-w01-en02.sfo.rainpole.io</v>
      </c>
      <c r="D71" s="66"/>
      <c r="E71" s="8"/>
    </row>
    <row r="72" spans="2:5" ht="20" customHeight="1" x14ac:dyDescent="0.2">
      <c r="B72" s="4" t="s">
        <v>95</v>
      </c>
      <c r="C72" s="65" t="str">
        <f>sample_wld_cl01_cluster</f>
        <v>sfo-w01-cl01</v>
      </c>
      <c r="D72" s="134" t="str">
        <f>wld_cl01_cluster</f>
        <v>Value Missing</v>
      </c>
      <c r="E72" s="328" t="s">
        <v>821</v>
      </c>
    </row>
    <row r="73" spans="2:5" ht="20" customHeight="1" x14ac:dyDescent="0.2">
      <c r="B73" s="4" t="s">
        <v>97</v>
      </c>
      <c r="C73" s="65" t="str">
        <f>sample_wld_ec_rp_name</f>
        <v>sfo-w01-cl01-rp-ec01</v>
      </c>
      <c r="D73" s="134" t="str">
        <f>wld_ec_rp_name</f>
        <v>Value Missing</v>
      </c>
      <c r="E73" s="328" t="s">
        <v>98</v>
      </c>
    </row>
    <row r="74" spans="2:5" ht="20" customHeight="1" x14ac:dyDescent="0.2">
      <c r="B74" s="4" t="s">
        <v>99</v>
      </c>
      <c r="C74" s="65" t="s">
        <v>100</v>
      </c>
      <c r="D74" s="134" t="str">
        <f>wld_ec01_host_group_affinity_rule_chosen</f>
        <v>No</v>
      </c>
      <c r="E74" s="8" t="s">
        <v>832</v>
      </c>
    </row>
    <row r="75" spans="2:5" ht="20" customHeight="1" x14ac:dyDescent="0.2">
      <c r="B75" s="4" t="s">
        <v>101</v>
      </c>
      <c r="C75" s="65" t="str">
        <f>CONCATENATE(sample_wld_sddc_domain,"-host-group-affinity-rule-ec01-en02")</f>
        <v>sfo-w01-host-group-affinity-rule-ec01-en02</v>
      </c>
      <c r="D75" s="114"/>
      <c r="E75" s="8" t="s">
        <v>833</v>
      </c>
    </row>
    <row r="76" spans="2:5" ht="20" customHeight="1" x14ac:dyDescent="0.2">
      <c r="B76" s="4" t="s">
        <v>823</v>
      </c>
      <c r="C76" s="65" t="str">
        <f>sample_wld_cl01_vsan_datastore</f>
        <v>sfo-w01-sfo-w01-cl01-vsan01</v>
      </c>
      <c r="D76" s="134" t="str">
        <f>wld_cl01_vsan_datastore</f>
        <v>Value Missing</v>
      </c>
      <c r="E76" s="328" t="s">
        <v>824</v>
      </c>
    </row>
    <row r="77" spans="2:5" ht="20" customHeight="1" x14ac:dyDescent="0.2">
      <c r="B77" s="4" t="s">
        <v>104</v>
      </c>
      <c r="C77" s="109" t="s">
        <v>105</v>
      </c>
      <c r="D77" s="66" t="s">
        <v>105</v>
      </c>
      <c r="E77" s="294"/>
    </row>
    <row r="78" spans="2:5" ht="20" customHeight="1" x14ac:dyDescent="0.2">
      <c r="B78" s="4" t="s">
        <v>106</v>
      </c>
      <c r="C78" s="109" t="str">
        <f>sample_wld_cl01_az1_mgmt_vm_pg</f>
        <v>sfo-w01-cl01-vds01-pg-vm-mgmt</v>
      </c>
      <c r="D78" s="8" t="str">
        <f>wld_cl01_az1_mgmt_vm_pg</f>
        <v>Value Missing</v>
      </c>
      <c r="E78" s="328" t="s">
        <v>825</v>
      </c>
    </row>
    <row r="79" spans="2:5" ht="20" customHeight="1" x14ac:dyDescent="0.2">
      <c r="B79" s="4" t="s">
        <v>131</v>
      </c>
      <c r="C79" s="109" t="str">
        <f>IF(wld_dpg_separation_result="Included",CONCATENATE(prefix_wld_az1_cidr,"10.136","/",INT(RIGHT(sample_wld_az1_mgmt_vm_gateway_cidr,LEN(sample_wld_az1_mgmt_vm_gateway_cidr)-FIND("/",sample_wld_az1_mgmt_vm_gateway_cidr)))),CONCATENATE(prefix_wld_az1_cidr,"11.136","/",INT(RIGHT(sample_wld_az1_mgmt_vm_gateway_cidr,LEN(sample_wld_az1_mgmt_vm_gateway_cidr)-FIND("/",sample_wld_az1_mgmt_vm_gateway_cidr)))))</f>
        <v>10.13.11.136/24</v>
      </c>
      <c r="D79" s="114"/>
      <c r="E79" s="8"/>
    </row>
    <row r="80" spans="2:5" ht="20" customHeight="1" x14ac:dyDescent="0.2">
      <c r="B80" s="4" t="s">
        <v>132</v>
      </c>
      <c r="C80" s="65" t="str">
        <f>sample_wld_az1_mgmt_vm_gateway_cidr</f>
        <v>10.13.11.1/24</v>
      </c>
      <c r="D80" s="134" t="str">
        <f>wld_az1_mgmt_vm_gateway_ip</f>
        <v>Value Missing</v>
      </c>
      <c r="E80" s="328" t="s">
        <v>826</v>
      </c>
    </row>
    <row r="81" spans="2:5" ht="20" customHeight="1" x14ac:dyDescent="0.2">
      <c r="B81" s="4" t="s">
        <v>110</v>
      </c>
      <c r="C81" s="65" t="s">
        <v>140</v>
      </c>
      <c r="D81" s="134" t="str">
        <f>wld_ec01_use_host_overlay_chosen</f>
        <v xml:space="preserve">Unselected </v>
      </c>
      <c r="E81" s="183" t="s">
        <v>834</v>
      </c>
    </row>
    <row r="82" spans="2:5" ht="20" customHeight="1" x14ac:dyDescent="0.2">
      <c r="B82" s="521" t="s">
        <v>827</v>
      </c>
      <c r="C82" s="522"/>
      <c r="D82" s="522"/>
      <c r="E82" s="523"/>
    </row>
    <row r="83" spans="2:5" ht="20" customHeight="1" x14ac:dyDescent="0.2">
      <c r="B83" s="4" t="s">
        <v>113</v>
      </c>
      <c r="C83" s="65" t="s">
        <v>828</v>
      </c>
      <c r="D83" s="114"/>
      <c r="E83" s="8" t="s">
        <v>114</v>
      </c>
    </row>
    <row r="84" spans="2:5" ht="20" customHeight="1" x14ac:dyDescent="0.2">
      <c r="B84" s="23" t="s">
        <v>113</v>
      </c>
      <c r="C84" s="65" t="s">
        <v>829</v>
      </c>
      <c r="D84" s="114"/>
      <c r="E84" s="8" t="s">
        <v>835</v>
      </c>
    </row>
    <row r="85" spans="2:5" ht="20" customHeight="1" x14ac:dyDescent="0.2">
      <c r="B85" s="23" t="s">
        <v>115</v>
      </c>
      <c r="C85" s="65" t="s">
        <v>828</v>
      </c>
      <c r="D85" s="114"/>
      <c r="E85" s="8" t="s">
        <v>114</v>
      </c>
    </row>
    <row r="86" spans="2:5" ht="20" customHeight="1" x14ac:dyDescent="0.2">
      <c r="B86" s="30" t="s">
        <v>115</v>
      </c>
      <c r="C86" s="65" t="s">
        <v>829</v>
      </c>
      <c r="D86" s="114"/>
      <c r="E86" s="8" t="s">
        <v>835</v>
      </c>
    </row>
    <row r="87" spans="2:5" ht="20" customHeight="1" x14ac:dyDescent="0.2">
      <c r="B87" s="4" t="s">
        <v>116</v>
      </c>
      <c r="C87" s="103" t="str">
        <f>sample_wld_az1_edge_overlay_vlan</f>
        <v>1319</v>
      </c>
      <c r="D87" s="8" t="str">
        <f>wld_az1_edge_overlay_vlan</f>
        <v>Value Missing</v>
      </c>
      <c r="E87" s="183" t="s">
        <v>3354</v>
      </c>
    </row>
    <row r="88" spans="2:5" ht="20" customHeight="1" x14ac:dyDescent="0.2">
      <c r="B88" s="4" t="s">
        <v>117</v>
      </c>
      <c r="C88" s="65" t="s">
        <v>118</v>
      </c>
      <c r="D88" s="134" t="str">
        <f>wld_az1_en1_edge_overlay_network_ip_allocation_chosen</f>
        <v>IP Pool</v>
      </c>
      <c r="E88" s="183" t="s">
        <v>834</v>
      </c>
    </row>
    <row r="89" spans="2:5" ht="20" customHeight="1" x14ac:dyDescent="0.2">
      <c r="B89" s="4" t="s">
        <v>119</v>
      </c>
      <c r="C89" s="65" t="str">
        <f>sample_wld_az1_edge_overlay_network_pool_name</f>
        <v>sfo-w01-ip-pool02-edge</v>
      </c>
      <c r="D89" s="134" t="str">
        <f>wld_az1_edge_overlay_network_pool_name</f>
        <v>Value Missing</v>
      </c>
      <c r="E89" s="8" t="str">
        <f>IF(mgmt_az1_en1_edge_overlay_network_ip_allocation_chosen&lt;&gt;"IP Pool","Inputs are masked out and only required if IP Pools are required","Value is set based on IP Pool Name for Edge node 1 ")</f>
        <v xml:space="preserve">Value is set based on IP Pool Name for Edge node 1 </v>
      </c>
    </row>
    <row r="90" spans="2:5" ht="20" customHeight="1" x14ac:dyDescent="0.2">
      <c r="B90" s="4" t="s">
        <v>836</v>
      </c>
      <c r="C90" s="109" t="str">
        <f>CONCATENATE(prefix_wld_az1_cidr,"19.4")</f>
        <v>10.13.19.4</v>
      </c>
      <c r="D90" s="66"/>
      <c r="E90" s="8" t="s">
        <v>837</v>
      </c>
    </row>
    <row r="91" spans="2:5" ht="20" customHeight="1" x14ac:dyDescent="0.2">
      <c r="B91" s="4" t="s">
        <v>838</v>
      </c>
      <c r="C91" s="109" t="str">
        <f>CONCATENATE(prefix_wld_az1_cidr,"19.5")</f>
        <v>10.13.19.5</v>
      </c>
      <c r="D91" s="66"/>
      <c r="E91" s="8" t="s">
        <v>839</v>
      </c>
    </row>
    <row r="92" spans="2:5" ht="20" customHeight="1" x14ac:dyDescent="0.2">
      <c r="B92" s="4" t="s">
        <v>124</v>
      </c>
      <c r="C92" s="65" t="str">
        <f>sample_wld_az1_edge_overlay_gateway_ip</f>
        <v>10.13.19.1</v>
      </c>
      <c r="D92" s="8" t="str">
        <f>wld_az1_edge_overlay_gateway_ip</f>
        <v>Value Missing</v>
      </c>
      <c r="E92" s="8"/>
    </row>
    <row r="93" spans="2:5" ht="20" customHeight="1" x14ac:dyDescent="0.2">
      <c r="B93" s="4" t="s">
        <v>125</v>
      </c>
      <c r="C93" s="65" t="str">
        <f>sample_wld_az1_edge_overlay_mask</f>
        <v>255.255.255.0</v>
      </c>
      <c r="D93" s="134" t="str">
        <f>wld_az1_edge_overlay_mask</f>
        <v>Value Missing</v>
      </c>
      <c r="E93" s="183" t="s">
        <v>834</v>
      </c>
    </row>
    <row r="94" spans="2:5" ht="20" customHeight="1" x14ac:dyDescent="0.2">
      <c r="B94" s="521" t="s">
        <v>3252</v>
      </c>
      <c r="C94" s="522"/>
      <c r="D94" s="522"/>
      <c r="E94" s="523"/>
    </row>
    <row r="95" spans="2:5" ht="20" customHeight="1" x14ac:dyDescent="0.2">
      <c r="B95" s="4" t="s">
        <v>3232</v>
      </c>
      <c r="C95" s="65" t="s">
        <v>111</v>
      </c>
      <c r="D95" s="114" t="s">
        <v>154</v>
      </c>
      <c r="E95" s="8"/>
    </row>
    <row r="96" spans="2:5" ht="20" customHeight="1" x14ac:dyDescent="0.2">
      <c r="B96" s="4" t="s">
        <v>136</v>
      </c>
      <c r="C96" s="65" t="s">
        <v>137</v>
      </c>
      <c r="D96" s="66"/>
      <c r="E96" s="8"/>
    </row>
    <row r="97" spans="2:5" ht="20" customHeight="1" x14ac:dyDescent="0.2">
      <c r="B97" s="4" t="s">
        <v>138</v>
      </c>
      <c r="C97" s="65" t="s">
        <v>137</v>
      </c>
      <c r="D97" s="66"/>
      <c r="E97" s="8"/>
    </row>
    <row r="98" spans="2:5" ht="20" customHeight="1" x14ac:dyDescent="0.2">
      <c r="B98" s="521" t="s">
        <v>139</v>
      </c>
      <c r="C98" s="522"/>
      <c r="D98" s="522"/>
      <c r="E98" s="523"/>
    </row>
    <row r="99" spans="2:5" ht="20" customHeight="1" x14ac:dyDescent="0.2">
      <c r="B99" s="4" t="s">
        <v>141</v>
      </c>
      <c r="C99" s="153" t="str">
        <f>CONCATENATE(this_instance,"-w0",wld_domain_number_chosen,"-ec01-t0-gw01")</f>
        <v>sfo-w01-ec01-t0-gw01</v>
      </c>
      <c r="D99" s="66"/>
      <c r="E99" s="4"/>
    </row>
    <row r="100" spans="2:5" ht="20" customHeight="1" x14ac:dyDescent="0.2">
      <c r="B100" s="4" t="s">
        <v>142</v>
      </c>
      <c r="C100" s="65" t="s">
        <v>3541</v>
      </c>
      <c r="D100" s="114" t="s">
        <v>3540</v>
      </c>
      <c r="E100" s="4"/>
    </row>
    <row r="101" spans="2:5" ht="20" customHeight="1" x14ac:dyDescent="0.2">
      <c r="B101" s="4" t="s">
        <v>144</v>
      </c>
      <c r="C101" s="65" t="s">
        <v>145</v>
      </c>
      <c r="D101" s="114" t="s">
        <v>145</v>
      </c>
      <c r="E101" s="4"/>
    </row>
    <row r="102" spans="2:5" ht="20" customHeight="1" x14ac:dyDescent="0.2">
      <c r="B102" s="4" t="s">
        <v>146</v>
      </c>
      <c r="C102" s="103" t="str">
        <f>IF(mgmt_domain_chosen="First Instance","65102","65202")</f>
        <v>65102</v>
      </c>
      <c r="D102" s="66"/>
      <c r="E102" s="4"/>
    </row>
    <row r="103" spans="2:5" ht="20" customHeight="1" x14ac:dyDescent="0.2">
      <c r="B103" s="521" t="s">
        <v>147</v>
      </c>
      <c r="C103" s="522"/>
      <c r="D103" s="522"/>
      <c r="E103" s="523"/>
    </row>
    <row r="104" spans="2:5" ht="20" customHeight="1" x14ac:dyDescent="0.2">
      <c r="B104" s="67" t="s">
        <v>148</v>
      </c>
      <c r="C104" s="103" t="str">
        <f>CONCATENATE(prefix_wld_az1_vlan,"17")</f>
        <v>1317</v>
      </c>
      <c r="D104" s="66"/>
      <c r="E104" s="8" t="s">
        <v>149</v>
      </c>
    </row>
    <row r="105" spans="2:5" ht="20" customHeight="1" x14ac:dyDescent="0.2">
      <c r="B105" s="67" t="s">
        <v>3647</v>
      </c>
      <c r="C105" s="109" t="str">
        <f>CONCATENATE(prefix_wld_az1_cidr,"17.2","/",INT(RIGHT(sample_wld_az1_uplink01_cidr,LEN(sample_wld_az1_uplink01_cidr)-FIND("/",sample_wld_az1_uplink01_cidr))))</f>
        <v>10.13.17.2/24</v>
      </c>
      <c r="D105" s="66"/>
      <c r="E105" s="8" t="s">
        <v>841</v>
      </c>
    </row>
    <row r="106" spans="2:5" ht="20" customHeight="1" x14ac:dyDescent="0.2">
      <c r="B106" s="67" t="s">
        <v>152</v>
      </c>
      <c r="C106" s="103" t="str">
        <f>CONCATENATE(prefix_wld_az1_cidr,"17.10")</f>
        <v>10.13.17.10</v>
      </c>
      <c r="D106" s="66"/>
      <c r="E106" s="8" t="s">
        <v>163</v>
      </c>
    </row>
    <row r="107" spans="2:5" ht="20" customHeight="1" x14ac:dyDescent="0.2">
      <c r="B107" s="67" t="s">
        <v>153</v>
      </c>
      <c r="C107" s="65" t="s">
        <v>154</v>
      </c>
      <c r="D107" s="66" t="s">
        <v>154</v>
      </c>
      <c r="E107" s="290"/>
    </row>
    <row r="108" spans="2:5" ht="20" customHeight="1" x14ac:dyDescent="0.2">
      <c r="B108" s="67" t="s">
        <v>155</v>
      </c>
      <c r="C108" s="103">
        <v>9000</v>
      </c>
      <c r="D108" s="66"/>
      <c r="E108" s="290"/>
    </row>
    <row r="109" spans="2:5" ht="20" customHeight="1" x14ac:dyDescent="0.2">
      <c r="B109" s="67" t="s">
        <v>156</v>
      </c>
      <c r="C109" s="103" t="str">
        <f>IF(wld_domain_chosen="First Domain",CONCATENATE(asn_start,asn_instance,asn_wld_az1,1),IF(wld_nsxt_federation_result="Included",CONCATENATE(asn_start,asn_instance,asn_wld_az1,1),CONCATENATE(asn_start,asn_instance,asn_wld_az1,1)))</f>
        <v>65131</v>
      </c>
      <c r="D109" s="66"/>
      <c r="E109" s="290"/>
    </row>
    <row r="110" spans="2:5" ht="20" customHeight="1" x14ac:dyDescent="0.2">
      <c r="B110" s="67" t="s">
        <v>157</v>
      </c>
      <c r="C110" s="103" t="s">
        <v>31</v>
      </c>
      <c r="D110" s="66"/>
      <c r="E110" s="290"/>
    </row>
    <row r="111" spans="2:5" ht="20" customHeight="1" x14ac:dyDescent="0.2">
      <c r="B111" s="67" t="s">
        <v>158</v>
      </c>
      <c r="C111" s="103" t="str">
        <f>CONCATENATE(prefix_wld_az1_vlan,"18")</f>
        <v>1318</v>
      </c>
      <c r="D111" s="66"/>
      <c r="E111" s="290" t="s">
        <v>159</v>
      </c>
    </row>
    <row r="112" spans="2:5" ht="20" customHeight="1" x14ac:dyDescent="0.2">
      <c r="B112" s="67" t="s">
        <v>150</v>
      </c>
      <c r="C112" s="109" t="str">
        <f>CONCATENATE(prefix_wld_az1_cidr,"18.2","/",INT(RIGHT(sample_wld_az1_uplink02_cidr,LEN(sample_wld_az1_uplink02_cidr)-FIND("/",sample_wld_az1_uplink02_cidr))))</f>
        <v>10.13.18.2/24</v>
      </c>
      <c r="D112" s="66"/>
      <c r="E112" s="290" t="s">
        <v>842</v>
      </c>
    </row>
    <row r="113" spans="2:5" ht="20" customHeight="1" x14ac:dyDescent="0.2">
      <c r="B113" s="67" t="s">
        <v>152</v>
      </c>
      <c r="C113" s="103" t="str">
        <f>CONCATENATE(prefix_wld_az1_cidr,"18.10")</f>
        <v>10.13.18.10</v>
      </c>
      <c r="D113" s="66"/>
      <c r="E113" s="290" t="s">
        <v>843</v>
      </c>
    </row>
    <row r="114" spans="2:5" ht="20" customHeight="1" x14ac:dyDescent="0.2">
      <c r="B114" s="67" t="s">
        <v>153</v>
      </c>
      <c r="C114" s="65" t="s">
        <v>154</v>
      </c>
      <c r="D114" s="8" t="str">
        <f>wld_en01_bfd_chosen</f>
        <v>Selected</v>
      </c>
      <c r="E114" s="290"/>
    </row>
    <row r="115" spans="2:5" ht="20" customHeight="1" x14ac:dyDescent="0.2">
      <c r="B115" s="67" t="s">
        <v>155</v>
      </c>
      <c r="C115" s="103">
        <v>9000</v>
      </c>
      <c r="D115" s="66"/>
      <c r="E115" s="290"/>
    </row>
    <row r="116" spans="2:5" ht="20" customHeight="1" x14ac:dyDescent="0.2">
      <c r="B116" s="67" t="s">
        <v>156</v>
      </c>
      <c r="C116" s="103" t="str">
        <f>IF(wld_domain_chosen="First Domain",CONCATENATE(asn_start,asn_instance,asn_wld_az1,1),IF(wld_nsxt_federation_result="Included",CONCATENATE(asn_start,asn_instance,asn_wld_az1,1),CONCATENATE(asn_start,asn_instance,asn_wld_az1,1)))</f>
        <v>65131</v>
      </c>
      <c r="D116" s="66"/>
      <c r="E116" s="8"/>
    </row>
    <row r="117" spans="2:5" ht="20" customHeight="1" x14ac:dyDescent="0.2">
      <c r="B117" s="67" t="s">
        <v>157</v>
      </c>
      <c r="C117" s="103" t="s">
        <v>31</v>
      </c>
      <c r="D117" s="66"/>
      <c r="E117" s="8"/>
    </row>
    <row r="118" spans="2:5" ht="20" customHeight="1" x14ac:dyDescent="0.2">
      <c r="B118" s="521" t="s">
        <v>161</v>
      </c>
      <c r="C118" s="522"/>
      <c r="D118" s="522"/>
      <c r="E118" s="523"/>
    </row>
    <row r="119" spans="2:5" ht="20" customHeight="1" x14ac:dyDescent="0.2">
      <c r="B119" s="23" t="s">
        <v>148</v>
      </c>
      <c r="C119" s="65" t="str">
        <f>sample_wld_az1_uplink01_vlan</f>
        <v>1317</v>
      </c>
      <c r="D119" s="134" t="str">
        <f>wld_az1_uplink01_vlan</f>
        <v>Value Missing</v>
      </c>
      <c r="E119" s="183" t="s">
        <v>149</v>
      </c>
    </row>
    <row r="120" spans="2:5" ht="20" customHeight="1" x14ac:dyDescent="0.2">
      <c r="B120" s="23" t="s">
        <v>3647</v>
      </c>
      <c r="C120" s="109" t="str">
        <f>CONCATENATE(prefix_wld_az1_cidr,"17.3","/",INT(RIGHT(sample_wld_az1_uplink01_cidr,LEN(sample_wld_az1_uplink01_cidr)-FIND("/",sample_wld_az1_uplink01_cidr))))</f>
        <v>10.13.17.3/24</v>
      </c>
      <c r="D120" s="66"/>
      <c r="E120" s="8" t="s">
        <v>162</v>
      </c>
    </row>
    <row r="121" spans="2:5" ht="20" customHeight="1" x14ac:dyDescent="0.2">
      <c r="B121" s="23" t="s">
        <v>152</v>
      </c>
      <c r="C121" s="65" t="str">
        <f>sample_wld_az1_tor1_peer_ip</f>
        <v>10.13.17.10</v>
      </c>
      <c r="D121" s="134" t="str">
        <f>wld_az1_tor1_peer_ip</f>
        <v>Value Missing</v>
      </c>
      <c r="E121" s="8" t="s">
        <v>163</v>
      </c>
    </row>
    <row r="122" spans="2:5" ht="20" customHeight="1" x14ac:dyDescent="0.2">
      <c r="B122" s="23" t="s">
        <v>153</v>
      </c>
      <c r="C122" s="65" t="s">
        <v>154</v>
      </c>
      <c r="D122" s="66" t="s">
        <v>154</v>
      </c>
      <c r="E122" s="259" t="s">
        <v>834</v>
      </c>
    </row>
    <row r="123" spans="2:5" ht="20" customHeight="1" x14ac:dyDescent="0.2">
      <c r="B123" s="23" t="s">
        <v>155</v>
      </c>
      <c r="C123" s="65">
        <f>sample_wld_az1_uplink01_mtu</f>
        <v>9000</v>
      </c>
      <c r="D123" s="312" t="str">
        <f>wld_az1_uplink01_mtu</f>
        <v>Value Missing</v>
      </c>
      <c r="E123" s="259" t="s">
        <v>834</v>
      </c>
    </row>
    <row r="124" spans="2:5" ht="20" customHeight="1" x14ac:dyDescent="0.2">
      <c r="B124" s="23" t="s">
        <v>156</v>
      </c>
      <c r="C124" s="65" t="str">
        <f>sample_wld_az1_tor1_peer_asn</f>
        <v>65131</v>
      </c>
      <c r="D124" s="134" t="str">
        <f>wld_az1_tor1_peer_asn</f>
        <v>Value Missing</v>
      </c>
      <c r="E124" s="259" t="s">
        <v>834</v>
      </c>
    </row>
    <row r="125" spans="2:5" ht="20" customHeight="1" x14ac:dyDescent="0.2">
      <c r="B125" s="23" t="s">
        <v>157</v>
      </c>
      <c r="C125" s="65" t="str">
        <f>sample_wld_az1_tor1_peer_bgp_password</f>
        <v>VMw@re1!</v>
      </c>
      <c r="D125" s="134" t="str">
        <f>wld_az1_tor1_peer_bgp_password</f>
        <v>Value Missing</v>
      </c>
      <c r="E125" s="259" t="s">
        <v>834</v>
      </c>
    </row>
    <row r="126" spans="2:5" ht="20" customHeight="1" x14ac:dyDescent="0.2">
      <c r="B126" s="23" t="s">
        <v>158</v>
      </c>
      <c r="C126" s="65" t="str">
        <f>sample_wld_az1_uplink02_vlan</f>
        <v>1318</v>
      </c>
      <c r="D126" s="134" t="str">
        <f>wld_az1_uplink02_vlan</f>
        <v>Value Missing</v>
      </c>
      <c r="E126" s="8" t="s">
        <v>159</v>
      </c>
    </row>
    <row r="127" spans="2:5" ht="20" customHeight="1" x14ac:dyDescent="0.2">
      <c r="B127" s="23" t="s">
        <v>150</v>
      </c>
      <c r="C127" s="109" t="str">
        <f>CONCATENATE(prefix_wld_az1_cidr,"18.3","/",INT(RIGHT(sample_wld_az1_uplink02_cidr,LEN(sample_wld_az1_uplink02_cidr)-FIND("/",sample_wld_az1_uplink02_cidr))))</f>
        <v>10.13.18.3/24</v>
      </c>
      <c r="D127" s="66"/>
      <c r="E127" s="8" t="s">
        <v>160</v>
      </c>
    </row>
    <row r="128" spans="2:5" ht="20" customHeight="1" x14ac:dyDescent="0.2">
      <c r="B128" s="23" t="s">
        <v>152</v>
      </c>
      <c r="C128" s="65" t="str">
        <f>sample_wld_az1_tor2_peer_ip</f>
        <v>10.13.18.10</v>
      </c>
      <c r="D128" s="134" t="str">
        <f>wld_az1_tor2_peer_ip</f>
        <v>Value Missing</v>
      </c>
      <c r="E128" s="8" t="s">
        <v>844</v>
      </c>
    </row>
    <row r="129" spans="2:5" ht="20" customHeight="1" x14ac:dyDescent="0.2">
      <c r="B129" s="23" t="s">
        <v>153</v>
      </c>
      <c r="C129" s="65" t="s">
        <v>154</v>
      </c>
      <c r="D129" s="8" t="str">
        <f>wld_en02_bfd_chosen</f>
        <v>Selected</v>
      </c>
      <c r="E129" s="309"/>
    </row>
    <row r="130" spans="2:5" ht="20" customHeight="1" x14ac:dyDescent="0.2">
      <c r="B130" s="23" t="s">
        <v>155</v>
      </c>
      <c r="C130" s="65">
        <f>sample_wld_az1_uplink02_mtu</f>
        <v>9000</v>
      </c>
      <c r="D130" s="312" t="str">
        <f>wld_az1_uplink02_mtu</f>
        <v>Value Missing</v>
      </c>
      <c r="E130" s="290" t="s">
        <v>834</v>
      </c>
    </row>
    <row r="131" spans="2:5" ht="20" customHeight="1" x14ac:dyDescent="0.2">
      <c r="B131" s="23" t="s">
        <v>156</v>
      </c>
      <c r="C131" s="65" t="str">
        <f>sample_wld_az1_tor2_peer_asn</f>
        <v>65131</v>
      </c>
      <c r="D131" s="134" t="str">
        <f>wld_az1_tor2_peer_asn</f>
        <v>Value Missing</v>
      </c>
      <c r="E131" s="290" t="s">
        <v>834</v>
      </c>
    </row>
    <row r="132" spans="2:5" ht="20" customHeight="1" x14ac:dyDescent="0.2">
      <c r="B132" s="23" t="s">
        <v>157</v>
      </c>
      <c r="C132" s="65" t="str">
        <f>sample_wld_az1_tor2_peer_bgp_password</f>
        <v>VMw@re1!</v>
      </c>
      <c r="D132" s="134" t="str">
        <f>wld_az1_tor2_peer_bgp_password</f>
        <v>Value Missing</v>
      </c>
      <c r="E132" s="290" t="s">
        <v>834</v>
      </c>
    </row>
    <row r="133" spans="2:5" ht="20" customHeight="1" x14ac:dyDescent="0.2">
      <c r="B133" s="568" t="s">
        <v>84</v>
      </c>
      <c r="C133" s="569"/>
      <c r="D133" s="569"/>
      <c r="E133" s="570"/>
    </row>
    <row r="134" spans="2:5" ht="20" customHeight="1" x14ac:dyDescent="0.2">
      <c r="B134" s="67" t="s">
        <v>85</v>
      </c>
      <c r="C134" s="65" t="str">
        <f>CONCATENATE(prefix_wld_az1_vlan,98)</f>
        <v>1398</v>
      </c>
      <c r="D134" s="66"/>
      <c r="E134" s="8" t="str">
        <f>IF(wld_bgp_chosen="Centralized Connectivity","Inputs are masked out and only required if Distributed Connectivity Gateway Type is chosen from the Post-Deployment Options","Needs to be a routable network is customers envoirnment" )</f>
        <v>Needs to be a routable network is customers envoirnment</v>
      </c>
    </row>
    <row r="135" spans="2:5" ht="20" customHeight="1" x14ac:dyDescent="0.2">
      <c r="B135" s="67" t="s">
        <v>86</v>
      </c>
      <c r="C135" s="65" t="str">
        <f>CONCATENATE(prefix_wld_az1_cidr,"98.1/24")</f>
        <v>10.13.98.1/24</v>
      </c>
      <c r="D135" s="66"/>
      <c r="E135" s="4"/>
    </row>
    <row r="136" spans="2:5" ht="20" customHeight="1" x14ac:dyDescent="0.2">
      <c r="B136" s="537" t="s">
        <v>169</v>
      </c>
      <c r="C136" s="549"/>
      <c r="D136" s="538"/>
      <c r="E136" s="539"/>
    </row>
    <row r="137" spans="2:5" ht="20" customHeight="1" x14ac:dyDescent="0.2">
      <c r="B137" s="4" t="s">
        <v>3294</v>
      </c>
      <c r="C137" s="65" t="str">
        <f>CONCATENATE(this_instance,"-w0",wld_domain_number_chosen,"-vpc01-ext-ip-block")</f>
        <v>sfo-w01-vpc01-ext-ip-block</v>
      </c>
      <c r="D137" s="114"/>
      <c r="E137" s="8" t="s">
        <v>170</v>
      </c>
    </row>
    <row r="138" spans="2:5" ht="20" customHeight="1" x14ac:dyDescent="0.2">
      <c r="B138" s="4" t="s">
        <v>3253</v>
      </c>
      <c r="C138" s="65" t="s">
        <v>3254</v>
      </c>
      <c r="D138" s="114"/>
      <c r="E138" s="8" t="s">
        <v>172</v>
      </c>
    </row>
    <row r="139" spans="2:5" ht="20" customHeight="1" x14ac:dyDescent="0.2">
      <c r="B139" s="4" t="s">
        <v>170</v>
      </c>
      <c r="C139" s="65" t="str">
        <f>IF(wld_bgp_chosen="Distributed Connectivity",CONCATENATE(prefix_wld_az1_cidr,"98.0/24"),IF(mgmt_domain_chosen="First Instance","192.168.41.0/24","192.168.51.0/24"))</f>
        <v>192.168.41.0/24</v>
      </c>
      <c r="D139" s="114"/>
      <c r="E139" s="8"/>
    </row>
    <row r="140" spans="2:5" ht="20" customHeight="1" x14ac:dyDescent="0.2">
      <c r="B140" s="4" t="s">
        <v>3255</v>
      </c>
      <c r="C140" s="65" t="s">
        <v>3293</v>
      </c>
      <c r="D140" s="114"/>
      <c r="E140" s="8"/>
    </row>
    <row r="141" spans="2:5" ht="20" customHeight="1" x14ac:dyDescent="0.2">
      <c r="B141" s="4" t="s">
        <v>3256</v>
      </c>
      <c r="C141" s="65" t="s">
        <v>100</v>
      </c>
      <c r="D141" s="114"/>
      <c r="E141" s="8" t="s">
        <v>171</v>
      </c>
    </row>
    <row r="142" spans="2:5" ht="20" customHeight="1" x14ac:dyDescent="0.2">
      <c r="B142" s="4" t="s">
        <v>3295</v>
      </c>
      <c r="C142" s="65" t="str">
        <f>CONCATENATE(this_instance,"-w0",wld_domain_number_chosen,"-vpc01-priv-ip-block")</f>
        <v>sfo-w01-vpc01-priv-ip-block</v>
      </c>
      <c r="D142" s="114"/>
      <c r="E142" s="8"/>
    </row>
    <row r="143" spans="2:5" ht="20" customHeight="1" x14ac:dyDescent="0.2">
      <c r="B143" s="4" t="s">
        <v>3253</v>
      </c>
      <c r="C143" s="65" t="s">
        <v>3292</v>
      </c>
      <c r="D143" s="114"/>
      <c r="E143" s="8"/>
    </row>
    <row r="144" spans="2:5" ht="20" customHeight="1" x14ac:dyDescent="0.2">
      <c r="B144" s="4" t="s">
        <v>172</v>
      </c>
      <c r="C144" s="65" t="str">
        <f>sample_wld_cl01_supervisor_private_transit_gateway_cidr</f>
        <v>172.30.0.0/16</v>
      </c>
      <c r="D144" s="114"/>
      <c r="E144" s="8"/>
    </row>
    <row r="145" spans="2:5" ht="20" customHeight="1" x14ac:dyDescent="0.2">
      <c r="B145" s="4" t="s">
        <v>3255</v>
      </c>
      <c r="C145" s="105" t="s">
        <v>3293</v>
      </c>
      <c r="D145" s="114"/>
      <c r="E145" s="8"/>
    </row>
    <row r="146" spans="2:5" ht="20" customHeight="1" x14ac:dyDescent="0.2">
      <c r="B146" s="4" t="s">
        <v>3256</v>
      </c>
      <c r="C146" s="167" t="s">
        <v>100</v>
      </c>
      <c r="D146" s="114"/>
      <c r="E146" s="8" t="s">
        <v>173</v>
      </c>
    </row>
    <row r="147" spans="2:5" ht="20" customHeight="1" x14ac:dyDescent="0.2">
      <c r="B147" s="537" t="s">
        <v>3288</v>
      </c>
      <c r="C147" s="549"/>
      <c r="D147" s="538"/>
      <c r="E147" s="539"/>
    </row>
    <row r="148" spans="2:5" ht="20" customHeight="1" x14ac:dyDescent="0.2">
      <c r="B148" s="4" t="s">
        <v>200</v>
      </c>
      <c r="C148" s="65" t="str">
        <f>CONCATENATE(this_instance,"-w0",wld_domain_number_chosen,"-vna01")</f>
        <v>sfo-w01-vna01</v>
      </c>
      <c r="D148" s="66"/>
      <c r="E148" s="8"/>
    </row>
    <row r="149" spans="2:5" ht="20" customHeight="1" x14ac:dyDescent="0.2">
      <c r="B149" s="4" t="s">
        <v>3283</v>
      </c>
      <c r="C149" s="65" t="s">
        <v>92</v>
      </c>
      <c r="D149" s="66" t="s">
        <v>92</v>
      </c>
      <c r="E149" s="8"/>
    </row>
    <row r="150" spans="2:5" ht="20" customHeight="1" x14ac:dyDescent="0.2">
      <c r="B150" s="537" t="s">
        <v>3290</v>
      </c>
      <c r="C150" s="549"/>
      <c r="D150" s="538"/>
      <c r="E150" s="539"/>
    </row>
    <row r="151" spans="2:5" ht="20" customHeight="1" x14ac:dyDescent="0.2">
      <c r="B151" s="4" t="s">
        <v>3284</v>
      </c>
      <c r="C151" s="65" t="str">
        <f>CONCATENATE(this_instance,"-w0",wld_domain_number_chosen,"-vna01",".",sample_child_dns_zone)</f>
        <v>sfo-w01-vna01.sfo.rainpole.io</v>
      </c>
      <c r="D151" s="66"/>
      <c r="E151" s="8"/>
    </row>
    <row r="152" spans="2:5" ht="20" customHeight="1" x14ac:dyDescent="0.2">
      <c r="B152" s="4" t="s">
        <v>3285</v>
      </c>
      <c r="C152" s="65" t="str">
        <f>CONCATENATE(this_instance,"-w0",wld_domain_number_chosen,"-cl01")</f>
        <v>sfo-w01-cl01</v>
      </c>
      <c r="D152" s="8" t="str">
        <f>wld_cl01_cluster</f>
        <v>Value Missing</v>
      </c>
      <c r="E152" s="328" t="s">
        <v>821</v>
      </c>
    </row>
    <row r="153" spans="2:5" ht="20" customHeight="1" x14ac:dyDescent="0.2">
      <c r="B153" s="4" t="s">
        <v>97</v>
      </c>
      <c r="C153" s="65" t="str">
        <f>CONCATENATE(this_instance,"-w0",wld_domain_number_chosen,"-cl01-rp-vna01")</f>
        <v>sfo-w01-cl01-rp-vna01</v>
      </c>
      <c r="D153" s="66"/>
      <c r="E153" s="8" t="s">
        <v>98</v>
      </c>
    </row>
    <row r="154" spans="2:5" ht="20" customHeight="1" x14ac:dyDescent="0.2">
      <c r="B154" s="4" t="s">
        <v>823</v>
      </c>
      <c r="C154" s="65" t="str">
        <f>IF(wld_principal_storage_chosen="VMFS on Fibre Channel (FC)",CONCATENATE(this_instance,"-w0",wld_domain_number_chosen,"-ds-vmfs01"),IF(wld_principal_storage_chosen="NFSv3",CONCATENATE(this_instance,"-w0",wld_domain_number_chosen,"-m01-cl01-ds-nfs01"),CONCATENATE(this_instance,"-w0",wld_domain_number_chosen,"-cl01-ds-vsan01")))</f>
        <v>sfo-w01-cl01-ds-vsan01</v>
      </c>
      <c r="D154" s="8" t="str">
        <f>wld_cl01_vsan_datastore</f>
        <v>Value Missing</v>
      </c>
      <c r="E154" s="328" t="s">
        <v>824</v>
      </c>
    </row>
    <row r="155" spans="2:5" ht="20" customHeight="1" x14ac:dyDescent="0.2">
      <c r="B155" s="4" t="s">
        <v>3286</v>
      </c>
      <c r="C155" s="65" t="s">
        <v>3119</v>
      </c>
      <c r="D155" s="66" t="s">
        <v>3119</v>
      </c>
      <c r="E155" s="8"/>
    </row>
    <row r="156" spans="2:5" ht="20" customHeight="1" x14ac:dyDescent="0.2">
      <c r="B156" s="4" t="s">
        <v>3237</v>
      </c>
      <c r="C156" s="65" t="s">
        <v>105</v>
      </c>
      <c r="D156" s="66" t="s">
        <v>105</v>
      </c>
      <c r="E156" s="8"/>
    </row>
    <row r="157" spans="2:5" ht="20" customHeight="1" x14ac:dyDescent="0.2">
      <c r="B157" s="4" t="s">
        <v>3287</v>
      </c>
      <c r="C157" s="65" t="str">
        <f>IF(wld_dpg_separation_result="Included",CONCATENATE(prefix_wld_az1_cidr,"10.",(137 + (30*(wld_domain_number_chosen - 1))),"/24"),CONCATENATE(prefix_wld_az1_cidr,"11.",(137 + (30*(wld_domain_number_chosen - 1))),"/24"))</f>
        <v>10.13.11.137/24</v>
      </c>
      <c r="D157" s="66"/>
      <c r="E157" s="8"/>
    </row>
    <row r="158" spans="2:5" ht="20" customHeight="1" x14ac:dyDescent="0.2">
      <c r="B158" s="4" t="s">
        <v>243</v>
      </c>
      <c r="C158" s="65" t="str">
        <f>IF(wld_dpg_separation_result="Included",CONCATENATE(prefix_wld_az1_cidr,"11.1"),CONCATENATE(prefix_wld_az1_cidr,"10.1"))</f>
        <v>10.13.10.1</v>
      </c>
      <c r="D158" s="8" t="str">
        <f>wld_az1_mgmt_vm_gateway_ip</f>
        <v>Value Missing</v>
      </c>
      <c r="E158" s="328" t="s">
        <v>826</v>
      </c>
    </row>
    <row r="159" spans="2:5" ht="20" customHeight="1" x14ac:dyDescent="0.2">
      <c r="B159" s="4" t="s">
        <v>106</v>
      </c>
      <c r="C159" s="65" t="str">
        <f>CONCATENATE(this_instance,"-w0",wld_domain_number_chosen,"-cl01-vds01-pg-vm-mgmt")</f>
        <v>sfo-w01-cl01-vds01-pg-vm-mgmt</v>
      </c>
      <c r="D159" s="8" t="str">
        <f>wld_cl01_az1_mgmt_vm_pg</f>
        <v>Value Missing</v>
      </c>
      <c r="E159" s="328" t="s">
        <v>825</v>
      </c>
    </row>
    <row r="160" spans="2:5" ht="20" customHeight="1" x14ac:dyDescent="0.2">
      <c r="B160" s="537" t="s">
        <v>3289</v>
      </c>
      <c r="C160" s="549"/>
      <c r="D160" s="538"/>
      <c r="E160" s="539"/>
    </row>
    <row r="161" spans="2:5" ht="20" customHeight="1" x14ac:dyDescent="0.2">
      <c r="B161" s="4" t="s">
        <v>3284</v>
      </c>
      <c r="C161" s="65" t="str">
        <f>CONCATENATE(this_instance,"-w0",wld_domain_number_chosen,"-vna02",".",sample_child_dns_zone)</f>
        <v>sfo-w01-vna02.sfo.rainpole.io</v>
      </c>
      <c r="D161" s="66"/>
      <c r="E161" s="8"/>
    </row>
    <row r="162" spans="2:5" ht="20" customHeight="1" x14ac:dyDescent="0.2">
      <c r="B162" s="4" t="s">
        <v>3285</v>
      </c>
      <c r="C162" s="65" t="str">
        <f>CONCATENATE(this_instance,"-w0",wld_domain_number_chosen,"-cl01")</f>
        <v>sfo-w01-cl01</v>
      </c>
      <c r="D162" s="8" t="str">
        <f>wld_cl01_cluster</f>
        <v>Value Missing</v>
      </c>
      <c r="E162" s="328" t="s">
        <v>821</v>
      </c>
    </row>
    <row r="163" spans="2:5" ht="20" customHeight="1" x14ac:dyDescent="0.2">
      <c r="B163" s="4" t="s">
        <v>97</v>
      </c>
      <c r="C163" s="65" t="str">
        <f>CONCATENATE(this_instance,"-w0",wld_domain_number_chosen,"-cl01-rp-vna01")</f>
        <v>sfo-w01-cl01-rp-vna01</v>
      </c>
      <c r="D163" s="8" t="str" cm="1">
        <f t="array" ref="D163">wld_vna_rp_name</f>
        <v>Value Missing</v>
      </c>
      <c r="E163" s="8" t="s">
        <v>98</v>
      </c>
    </row>
    <row r="164" spans="2:5" ht="20" customHeight="1" x14ac:dyDescent="0.2">
      <c r="B164" s="4" t="s">
        <v>823</v>
      </c>
      <c r="C164" s="65" t="str">
        <f>IF(wld_principal_storage_chosen="VMFS on Fibre Channel (FC)",CONCATENATE(this_instance,"-w0",wld_domain_number_chosen,"-ds-vmfs01"),IF(wld_principal_storage_chosen="NFSv3",CONCATENATE(this_instance,"-w0",wld_domain_number_chosen,"-m01-cl01-ds-nfs01"),CONCATENATE(this_instance,"-w0",wld_domain_number_chosen,"-cl01-ds-vsan01")))</f>
        <v>sfo-w01-cl01-ds-vsan01</v>
      </c>
      <c r="D164" s="8" t="str">
        <f>wld_cl01_vsan_datastore</f>
        <v>Value Missing</v>
      </c>
      <c r="E164" s="328" t="s">
        <v>824</v>
      </c>
    </row>
    <row r="165" spans="2:5" ht="20" customHeight="1" x14ac:dyDescent="0.2">
      <c r="B165" s="4" t="s">
        <v>3286</v>
      </c>
      <c r="C165" s="65" t="s">
        <v>3119</v>
      </c>
      <c r="D165" s="8" t="str">
        <f>wld_vna_ip_assignment_address_type_chosen</f>
        <v>IPv4</v>
      </c>
      <c r="E165" s="8"/>
    </row>
    <row r="166" spans="2:5" ht="20" customHeight="1" x14ac:dyDescent="0.2">
      <c r="B166" s="4" t="s">
        <v>3237</v>
      </c>
      <c r="C166" s="65" t="s">
        <v>105</v>
      </c>
      <c r="D166" s="8" t="str">
        <f>wld_vna_ip_assignment_chosen</f>
        <v>Static</v>
      </c>
      <c r="E166" s="8"/>
    </row>
    <row r="167" spans="2:5" ht="20" customHeight="1" x14ac:dyDescent="0.2">
      <c r="B167" s="4" t="s">
        <v>3287</v>
      </c>
      <c r="C167" s="65" t="str">
        <f>IF(wld_dpg_separation_result="Included",CONCATENATE(prefix_wld_az1_cidr,"10.",(138 + (30*(wld_domain_number_chosen - 1))),"/24"),CONCATENATE(prefix_wld_az1_cidr,"11.",(138 + (30*(wld_domain_number_chosen - 1))),"/24"))</f>
        <v>10.13.11.138/24</v>
      </c>
      <c r="D167" s="66"/>
      <c r="E167" s="8"/>
    </row>
    <row r="168" spans="2:5" ht="20" customHeight="1" x14ac:dyDescent="0.2">
      <c r="B168" s="4" t="s">
        <v>243</v>
      </c>
      <c r="C168" s="65" t="str">
        <f>IF(wld_dpg_separation_result="Included",CONCATENATE(prefix_wld_az1_cidr,"10.1"),CONCATENATE(prefix_wld_az1_cidr,"11.1"))</f>
        <v>10.13.11.1</v>
      </c>
      <c r="D168" s="8" t="str">
        <f>wld_az1_mgmt_vm_gateway_ip</f>
        <v>Value Missing</v>
      </c>
      <c r="E168" s="328" t="s">
        <v>826</v>
      </c>
    </row>
    <row r="169" spans="2:5" ht="20" customHeight="1" x14ac:dyDescent="0.2">
      <c r="B169" s="4" t="s">
        <v>106</v>
      </c>
      <c r="C169" s="65" t="str">
        <f>CONCATENATE(this_instance,"-w0",wld_domain_number_chosen,"-cl01-vds01-pg-vm-mgmt")</f>
        <v>sfo-w01-cl01-vds01-pg-vm-mgmt</v>
      </c>
      <c r="D169" s="8" t="str">
        <f>wld_cl01_az1_mgmt_vm_pg</f>
        <v>Value Missing</v>
      </c>
      <c r="E169" s="328" t="s">
        <v>825</v>
      </c>
    </row>
    <row r="170" spans="2:5" ht="20" customHeight="1" x14ac:dyDescent="0.2">
      <c r="B170" s="537" t="s">
        <v>174</v>
      </c>
      <c r="C170" s="538"/>
      <c r="D170" s="538"/>
      <c r="E170" s="539"/>
    </row>
    <row r="171" spans="2:5" ht="20" customHeight="1" x14ac:dyDescent="0.2">
      <c r="B171" s="4" t="s">
        <v>175</v>
      </c>
      <c r="C171" s="103" t="s">
        <v>176</v>
      </c>
      <c r="D171" s="116" t="s">
        <v>176</v>
      </c>
      <c r="E171" s="4" t="str">
        <f>IF(wld_ec_api_chosen="Exclude","","Use the JSON Generator to create the JSON Spec ")</f>
        <v xml:space="preserve">Use the JSON Generator to create the JSON Spec </v>
      </c>
    </row>
    <row r="172" spans="2:5" ht="20" customHeight="1" x14ac:dyDescent="0.2">
      <c r="B172" s="521" t="s">
        <v>177</v>
      </c>
      <c r="C172" s="522"/>
      <c r="D172" s="522"/>
      <c r="E172" s="523"/>
    </row>
    <row r="173" spans="2:5" ht="20" customHeight="1" x14ac:dyDescent="0.2">
      <c r="B173" s="4" t="s">
        <v>178</v>
      </c>
      <c r="C173" s="103" t="str">
        <f>CONCATENATE(sample_wld_sddc_domain,"-cl01-vds01","-pg-uplink01")</f>
        <v>sfo-w01-cl01-vds01-pg-uplink01</v>
      </c>
      <c r="D173" s="66"/>
      <c r="E173" s="43" t="s">
        <v>845</v>
      </c>
    </row>
    <row r="174" spans="2:5" ht="20" customHeight="1" x14ac:dyDescent="0.2">
      <c r="B174" s="4" t="s">
        <v>180</v>
      </c>
      <c r="C174" s="103" t="str">
        <f>CONCATENATE(prefix_wld_az1_cidr,"17.1")</f>
        <v>10.13.17.1</v>
      </c>
      <c r="D174" s="66"/>
      <c r="E174" s="42"/>
    </row>
    <row r="175" spans="2:5" ht="20" customHeight="1" x14ac:dyDescent="0.2">
      <c r="B175" s="4" t="s">
        <v>181</v>
      </c>
      <c r="C175" s="103" t="str">
        <f>CONCATENATE(prefix_wld_az1_cidr,"17.0/24")</f>
        <v>10.13.17.0/24</v>
      </c>
      <c r="D175" s="66"/>
      <c r="E175" s="42"/>
    </row>
    <row r="176" spans="2:5" ht="20" customHeight="1" x14ac:dyDescent="0.2">
      <c r="B176" s="521" t="s">
        <v>182</v>
      </c>
      <c r="C176" s="522"/>
      <c r="D176" s="522"/>
      <c r="E176" s="523"/>
    </row>
    <row r="177" spans="2:5" ht="20" customHeight="1" x14ac:dyDescent="0.2">
      <c r="B177" s="4" t="s">
        <v>178</v>
      </c>
      <c r="C177" s="103" t="str">
        <f>CONCATENATE(sample_wld_sddc_domain,"-cl01-vds01","-pg-uplink02")</f>
        <v>sfo-w01-cl01-vds01-pg-uplink02</v>
      </c>
      <c r="D177" s="66"/>
      <c r="E177" s="43" t="s">
        <v>845</v>
      </c>
    </row>
    <row r="178" spans="2:5" ht="20" customHeight="1" x14ac:dyDescent="0.2">
      <c r="B178" s="4" t="s">
        <v>180</v>
      </c>
      <c r="C178" s="103" t="str">
        <f>CONCATENATE(prefix_wld_az1_cidr,"18.1")</f>
        <v>10.13.18.1</v>
      </c>
      <c r="D178" s="66"/>
      <c r="E178" s="42"/>
    </row>
    <row r="179" spans="2:5" ht="20" customHeight="1" x14ac:dyDescent="0.2">
      <c r="B179" s="4" t="s">
        <v>181</v>
      </c>
      <c r="C179" s="103" t="str">
        <f>CONCATENATE(prefix_wld_az1_cidr,"18.0/24")</f>
        <v>10.13.18.0/24</v>
      </c>
      <c r="D179" s="66"/>
      <c r="E179" s="42"/>
    </row>
    <row r="180" spans="2:5" ht="20" customHeight="1" x14ac:dyDescent="0.2">
      <c r="B180" s="521" t="s">
        <v>183</v>
      </c>
      <c r="C180" s="522"/>
      <c r="D180" s="522"/>
      <c r="E180" s="523"/>
    </row>
    <row r="181" spans="2:5" ht="20" customHeight="1" x14ac:dyDescent="0.2">
      <c r="B181" s="4" t="s">
        <v>155</v>
      </c>
      <c r="C181" s="103">
        <v>9000</v>
      </c>
      <c r="D181" s="66"/>
      <c r="E181" s="42"/>
    </row>
    <row r="182" spans="2:5" ht="16" customHeight="1" thickBot="1" x14ac:dyDescent="0.25"/>
    <row r="183" spans="2:5" ht="34" customHeight="1" thickBot="1" x14ac:dyDescent="0.25">
      <c r="B183" s="562" t="s">
        <v>3298</v>
      </c>
      <c r="C183" s="563"/>
      <c r="D183" s="563"/>
      <c r="E183" s="564"/>
    </row>
    <row r="184" spans="2:5" ht="20" customHeight="1" x14ac:dyDescent="0.2">
      <c r="B184" s="537" t="s">
        <v>3309</v>
      </c>
      <c r="C184" s="538"/>
      <c r="D184" s="538"/>
      <c r="E184" s="539"/>
    </row>
    <row r="185" spans="2:5" ht="20" customHeight="1" x14ac:dyDescent="0.2">
      <c r="B185" s="4" t="s">
        <v>3299</v>
      </c>
      <c r="C185" s="103" t="s">
        <v>3303</v>
      </c>
      <c r="D185" s="116" t="s">
        <v>3325</v>
      </c>
      <c r="E185" s="42"/>
    </row>
    <row r="186" spans="2:5" ht="20" customHeight="1" x14ac:dyDescent="0.2">
      <c r="B186" s="537" t="s">
        <v>3300</v>
      </c>
      <c r="C186" s="538"/>
      <c r="D186" s="538"/>
      <c r="E186" s="539"/>
    </row>
    <row r="187" spans="2:5" ht="20" customHeight="1" x14ac:dyDescent="0.2">
      <c r="B187" s="4" t="s">
        <v>3300</v>
      </c>
      <c r="C187" s="103" t="s">
        <v>3301</v>
      </c>
      <c r="D187" s="116" t="s">
        <v>3301</v>
      </c>
      <c r="E187" s="42"/>
    </row>
    <row r="188" spans="2:5" ht="20" customHeight="1" x14ac:dyDescent="0.2">
      <c r="B188" s="4" t="s">
        <v>3302</v>
      </c>
      <c r="C188" s="103" t="str">
        <f>CONCATENATE(this_instance,"-w01-sn01")</f>
        <v>sfo-w01-sn01</v>
      </c>
      <c r="D188" s="116"/>
      <c r="E188" s="42"/>
    </row>
    <row r="189" spans="2:5" ht="20" customHeight="1" x14ac:dyDescent="0.2">
      <c r="B189" s="4" t="s">
        <v>3304</v>
      </c>
      <c r="C189" s="103" t="s">
        <v>154</v>
      </c>
      <c r="D189" s="116" t="s">
        <v>154</v>
      </c>
      <c r="E189" s="42"/>
    </row>
    <row r="190" spans="2:5" ht="20" customHeight="1" x14ac:dyDescent="0.2">
      <c r="B190" s="4" t="s">
        <v>1635</v>
      </c>
      <c r="C190" s="103" t="str">
        <f>CONCATENATE(this_instance,"-w0",wld_domain_number_chosen,"-cl01")</f>
        <v>sfo-w01-cl01</v>
      </c>
      <c r="D190" s="116" t="str">
        <f>mgmt_cl01_cluster</f>
        <v>Value Missing</v>
      </c>
      <c r="E190" s="42"/>
    </row>
    <row r="191" spans="2:5" ht="20" customHeight="1" x14ac:dyDescent="0.2">
      <c r="B191" s="4" t="s">
        <v>3305</v>
      </c>
      <c r="C191" s="103" t="str">
        <f>CONCATENATE(this_instance,"-w0",wld_domain_number_chosen,"-zn01")</f>
        <v>sfo-w01-zn01</v>
      </c>
      <c r="D191" s="116"/>
      <c r="E191" s="42"/>
    </row>
    <row r="192" spans="2:5" ht="20" customHeight="1" x14ac:dyDescent="0.2">
      <c r="B192" s="537" t="s">
        <v>708</v>
      </c>
      <c r="C192" s="538"/>
      <c r="D192" s="538"/>
      <c r="E192" s="539"/>
    </row>
    <row r="193" spans="2:5" ht="20" customHeight="1" x14ac:dyDescent="0.2">
      <c r="B193" s="4" t="s">
        <v>3306</v>
      </c>
      <c r="C193" s="103" t="str">
        <f>CONCATENATE(this_instance,"-w0",wld_domain_number_chosen,"-cl01","- Optimal Datastore Default Policy - AutoRAID")</f>
        <v>sfo-w01-cl01- Optimal Datastore Default Policy - AutoRAID</v>
      </c>
      <c r="D193" s="116"/>
      <c r="E193" s="42"/>
    </row>
    <row r="194" spans="2:5" ht="20" customHeight="1" x14ac:dyDescent="0.2">
      <c r="B194" s="4" t="s">
        <v>3307</v>
      </c>
      <c r="C194" s="103" t="str">
        <f>CONCATENATE(this_instance,"-w0",wld_domain_number_chosen,"-cl01","- Optimal Datastore Default Policy - AutoRAID")</f>
        <v>sfo-w01-cl01- Optimal Datastore Default Policy - AutoRAID</v>
      </c>
      <c r="D194" s="116"/>
      <c r="E194" s="42"/>
    </row>
    <row r="195" spans="2:5" ht="20" customHeight="1" x14ac:dyDescent="0.2">
      <c r="B195" s="4" t="s">
        <v>3308</v>
      </c>
      <c r="C195" s="103" t="str">
        <f>CONCATENATE(this_instance,"-w0",wld_domain_number_chosen,"-cl01","- Optimal Datastore Default Policy - AutoRAID")</f>
        <v>sfo-w01-cl01- Optimal Datastore Default Policy - AutoRAID</v>
      </c>
      <c r="D195" s="116"/>
      <c r="E195" s="42"/>
    </row>
    <row r="196" spans="2:5" ht="20" customHeight="1" x14ac:dyDescent="0.2">
      <c r="B196" s="537" t="s">
        <v>269</v>
      </c>
      <c r="C196" s="538"/>
      <c r="D196" s="538"/>
      <c r="E196" s="539"/>
    </row>
    <row r="197" spans="2:5" ht="20" customHeight="1" x14ac:dyDescent="0.2">
      <c r="B197" s="4" t="s">
        <v>3310</v>
      </c>
      <c r="C197" s="103" t="s">
        <v>105</v>
      </c>
      <c r="D197" s="116" t="s">
        <v>105</v>
      </c>
      <c r="E197" s="42"/>
    </row>
    <row r="198" spans="2:5" ht="20" customHeight="1" x14ac:dyDescent="0.2">
      <c r="B198" s="4" t="s">
        <v>241</v>
      </c>
      <c r="C198" s="103" t="str">
        <f>CONCATENATE(this_instance,"-w0",wld_domain_number_chosen,"-cl01-vds01-pg-vm-mgmt")</f>
        <v>sfo-w01-cl01-vds01-pg-vm-mgmt</v>
      </c>
      <c r="D198" s="116" t="str">
        <f>wld_cl01_az1_mgmt_vm_pg</f>
        <v>Value Missing</v>
      </c>
      <c r="E198" s="42"/>
    </row>
    <row r="199" spans="2:5" ht="20" customHeight="1" x14ac:dyDescent="0.2">
      <c r="B199" s="4" t="s">
        <v>3311</v>
      </c>
      <c r="C199" s="103" t="str">
        <f>IF(mgmt_dpg_reuse_result="Excluded",CONCATENATE(prefix_wld_az1_cidr,"10.201"," - ",prefix_mgmt_az1_cidr,"10.205"),CONCATENATE(prefix_wld_az1_cidr,"11.201"," - ",prefix_wld_az1_cidr,"11.205"))</f>
        <v>10.13.11.201 - 10.13.11.205</v>
      </c>
      <c r="D199" s="116"/>
      <c r="E199" s="42"/>
    </row>
    <row r="200" spans="2:5" ht="20" customHeight="1" x14ac:dyDescent="0.2">
      <c r="B200" s="4" t="s">
        <v>242</v>
      </c>
      <c r="C200" s="103" t="s">
        <v>126</v>
      </c>
      <c r="D200" s="116" t="str">
        <f>wld_az1_mgmt_vm_mask</f>
        <v>Value Missing</v>
      </c>
      <c r="E200" s="42"/>
    </row>
    <row r="201" spans="2:5" ht="20" customHeight="1" x14ac:dyDescent="0.2">
      <c r="B201" s="4" t="s">
        <v>180</v>
      </c>
      <c r="C201" s="103" t="str">
        <f>IF(mgmt_dpg_reuse_result="Excluded",CONCATENATE(prefix_wld_az1_cidr,"10.1"),CONCATENATE(prefix_wld_az1_cidr,"11.1"))</f>
        <v>10.13.11.1</v>
      </c>
      <c r="D201" s="116" t="str">
        <f>wld_az1_mgmt_vm_gateway_ip</f>
        <v>Value Missing</v>
      </c>
      <c r="E201" s="42"/>
    </row>
    <row r="202" spans="2:5" ht="20" customHeight="1" x14ac:dyDescent="0.2">
      <c r="B202" s="4" t="s">
        <v>555</v>
      </c>
      <c r="C202" s="103" t="str">
        <f>IF(mgmt_dpg_reuse_result="Included",CONCATENATE(prefix_mgmt_az1_cidr,"10.4",",",,prefix_mgmt_az1_cidr,"10.5"),CONCATENATE(prefix_mgmt_az1_cidr,"11.4",",",,prefix_mgmt_az1_cidr,"11.5"))</f>
        <v>10.11.10.4,10.11.10.5</v>
      </c>
      <c r="D202" s="116"/>
      <c r="E202" s="42"/>
    </row>
    <row r="203" spans="2:5" ht="20" customHeight="1" x14ac:dyDescent="0.2">
      <c r="B203" s="4" t="s">
        <v>3312</v>
      </c>
      <c r="C203" s="103" t="str">
        <f>CONCATENATE(this_instance,".rainpole.io",",","rainpole.io")</f>
        <v>sfo.rainpole.io,rainpole.io</v>
      </c>
      <c r="D203" s="116"/>
      <c r="E203" s="42"/>
    </row>
    <row r="204" spans="2:5" ht="20" customHeight="1" x14ac:dyDescent="0.2">
      <c r="B204" s="4" t="s">
        <v>3313</v>
      </c>
      <c r="C204" s="103" t="str">
        <f>CONCATENATE("ntp0.",this_instance,".rainpole.io",",","ntp1.",this_instance,".rainpole.io")</f>
        <v>ntp0.sfo.rainpole.io,ntp1.sfo.rainpole.io</v>
      </c>
      <c r="D204" s="116"/>
      <c r="E204" s="42"/>
    </row>
    <row r="205" spans="2:5" ht="20" customHeight="1" x14ac:dyDescent="0.2">
      <c r="B205" s="537" t="s">
        <v>3314</v>
      </c>
      <c r="C205" s="538"/>
      <c r="D205" s="538"/>
      <c r="E205" s="539"/>
    </row>
    <row r="206" spans="2:5" ht="20" customHeight="1" x14ac:dyDescent="0.2">
      <c r="B206" s="4" t="s">
        <v>780</v>
      </c>
      <c r="C206" s="103" t="s">
        <v>724</v>
      </c>
      <c r="D206" s="116"/>
      <c r="E206" s="42"/>
    </row>
    <row r="207" spans="2:5" ht="20" customHeight="1" x14ac:dyDescent="0.2">
      <c r="B207" s="4" t="s">
        <v>781</v>
      </c>
      <c r="C207" s="103" t="s">
        <v>3320</v>
      </c>
      <c r="D207" s="116"/>
      <c r="E207" s="42"/>
    </row>
    <row r="208" spans="2:5" ht="20" customHeight="1" x14ac:dyDescent="0.2">
      <c r="B208" s="4" t="s">
        <v>3315</v>
      </c>
      <c r="C208" s="65" t="str">
        <f>CONCATENATE(this_instance,"-w0",wld_domain_number_chosen,"-vpc01-ext-ip-block")</f>
        <v>sfo-w01-vpc01-ext-ip-block</v>
      </c>
      <c r="D208" s="116"/>
      <c r="E208" s="42"/>
    </row>
    <row r="209" spans="2:5" ht="20" customHeight="1" x14ac:dyDescent="0.2">
      <c r="B209" s="4" t="s">
        <v>3316</v>
      </c>
      <c r="C209" s="65" t="str">
        <f>CONCATENATE(this_instance,"-w0",wld_domain_number_chosen,"-vpc01-priv-ip-block")</f>
        <v>sfo-w01-vpc01-priv-ip-block</v>
      </c>
      <c r="D209" s="116"/>
      <c r="E209" s="42"/>
    </row>
    <row r="210" spans="2:5" ht="20" customHeight="1" x14ac:dyDescent="0.2">
      <c r="B210" s="4" t="s">
        <v>3317</v>
      </c>
      <c r="C210" s="103" t="s">
        <v>3326</v>
      </c>
      <c r="D210" s="116"/>
      <c r="E210" s="42"/>
    </row>
    <row r="211" spans="2:5" ht="20" customHeight="1" x14ac:dyDescent="0.2">
      <c r="B211" s="4" t="s">
        <v>776</v>
      </c>
      <c r="C211" s="103" t="s">
        <v>3327</v>
      </c>
      <c r="D211" s="116"/>
      <c r="E211" s="42"/>
    </row>
    <row r="212" spans="2:5" ht="20" customHeight="1" x14ac:dyDescent="0.2">
      <c r="B212" s="4" t="s">
        <v>3318</v>
      </c>
      <c r="C212" s="103" t="str">
        <f>IF(mgmt_dpg_reuse_result="Included",CONCATENATE(prefix_mgmt_az1_cidr,"10.4",",",,prefix_mgmt_az1_cidr,"10.5"),CONCATENATE(prefix_mgmt_az1_cidr,"11.4",",",,prefix_mgmt_az1_cidr,"11.5"))</f>
        <v>10.11.10.4,10.11.10.5</v>
      </c>
      <c r="D212" s="116"/>
      <c r="E212" s="42"/>
    </row>
    <row r="213" spans="2:5" ht="20" customHeight="1" x14ac:dyDescent="0.2">
      <c r="B213" s="4" t="s">
        <v>3319</v>
      </c>
      <c r="C213" s="103" t="str">
        <f>CONCATENATE("ntp0.",this_instance,".rainpole.io"," , ","ntp0.",this_instance,".rainpole.io")</f>
        <v>ntp0.sfo.rainpole.io , ntp0.sfo.rainpole.io</v>
      </c>
      <c r="D213" s="116"/>
      <c r="E213" s="42"/>
    </row>
    <row r="214" spans="2:5" ht="20" customHeight="1" x14ac:dyDescent="0.2">
      <c r="B214" s="537" t="s">
        <v>3321</v>
      </c>
      <c r="C214" s="538"/>
      <c r="D214" s="538"/>
      <c r="E214" s="539"/>
    </row>
    <row r="215" spans="2:5" ht="20" customHeight="1" x14ac:dyDescent="0.2">
      <c r="B215" s="4" t="s">
        <v>3322</v>
      </c>
      <c r="C215" s="103" t="s">
        <v>529</v>
      </c>
      <c r="D215" s="116" t="s">
        <v>529</v>
      </c>
      <c r="E215" s="42"/>
    </row>
    <row r="216" spans="2:5" ht="20" customHeight="1" x14ac:dyDescent="0.2">
      <c r="B216" s="4" t="s">
        <v>3323</v>
      </c>
      <c r="C216" s="103" t="str">
        <f>CONCATENATE(this_instance,"-w0",wld_domain_number_chosen,"-supervisor.",sample_child_dns_zone)</f>
        <v>sfo-w01-supervisor.sfo.rainpole.io</v>
      </c>
      <c r="D216" s="116"/>
      <c r="E216" s="42"/>
    </row>
    <row r="217" spans="2:5" ht="20" customHeight="1" x14ac:dyDescent="0.2">
      <c r="B217" s="9"/>
      <c r="C217" s="9"/>
      <c r="D217" s="9"/>
    </row>
    <row r="218" spans="2:5" ht="34" customHeight="1" x14ac:dyDescent="0.2">
      <c r="B218" s="556" t="s">
        <v>184</v>
      </c>
      <c r="C218" s="557"/>
      <c r="D218" s="557"/>
      <c r="E218" s="558"/>
    </row>
    <row r="219" spans="2:5" ht="20" customHeight="1" x14ac:dyDescent="0.2">
      <c r="B219" s="537" t="s">
        <v>846</v>
      </c>
      <c r="C219" s="538"/>
      <c r="D219" s="538"/>
      <c r="E219" s="539"/>
    </row>
    <row r="220" spans="2:5" ht="20" customHeight="1" x14ac:dyDescent="0.2">
      <c r="B220" s="63" t="s">
        <v>18</v>
      </c>
      <c r="C220" s="63" t="s">
        <v>19</v>
      </c>
      <c r="D220" s="63" t="s">
        <v>20</v>
      </c>
      <c r="E220" s="63" t="s">
        <v>21</v>
      </c>
    </row>
    <row r="221" spans="2:5" ht="20" customHeight="1" x14ac:dyDescent="0.2">
      <c r="B221" s="537" t="s">
        <v>185</v>
      </c>
      <c r="C221" s="538"/>
      <c r="D221" s="538"/>
      <c r="E221" s="539"/>
    </row>
    <row r="222" spans="2:5" ht="20" customHeight="1" x14ac:dyDescent="0.2">
      <c r="B222" s="4" t="s">
        <v>186</v>
      </c>
      <c r="C222" s="65" t="s">
        <v>3706</v>
      </c>
      <c r="D222" s="1"/>
      <c r="E222" s="4"/>
    </row>
    <row r="223" spans="2:5" ht="20" customHeight="1" x14ac:dyDescent="0.2">
      <c r="B223" s="537" t="s">
        <v>187</v>
      </c>
      <c r="C223" s="538"/>
      <c r="D223" s="538"/>
      <c r="E223" s="539"/>
    </row>
    <row r="224" spans="2:5" ht="20" customHeight="1" x14ac:dyDescent="0.2">
      <c r="B224" s="4" t="s">
        <v>3715</v>
      </c>
      <c r="C224" s="65" t="s">
        <v>529</v>
      </c>
      <c r="D224" s="66" t="s">
        <v>529</v>
      </c>
      <c r="E224" s="4"/>
    </row>
    <row r="225" spans="2:7" ht="20" customHeight="1" x14ac:dyDescent="0.2">
      <c r="B225" s="537" t="s">
        <v>188</v>
      </c>
      <c r="C225" s="538"/>
      <c r="D225" s="538"/>
      <c r="E225" s="539"/>
    </row>
    <row r="226" spans="2:7" ht="20" customHeight="1" x14ac:dyDescent="0.2">
      <c r="B226" s="4" t="s">
        <v>189</v>
      </c>
      <c r="C226" s="65" t="s">
        <v>137</v>
      </c>
      <c r="D226" s="66"/>
      <c r="E226" s="4"/>
    </row>
    <row r="227" spans="2:7" ht="20" customHeight="1" x14ac:dyDescent="0.2">
      <c r="B227" s="4" t="s">
        <v>3716</v>
      </c>
      <c r="C227" s="65" t="s">
        <v>137</v>
      </c>
      <c r="D227" s="66"/>
      <c r="E227" s="4"/>
    </row>
    <row r="228" spans="2:7" ht="20" customHeight="1" x14ac:dyDescent="0.2">
      <c r="B228" s="4" t="s">
        <v>665</v>
      </c>
      <c r="C228" s="65" t="s">
        <v>3215</v>
      </c>
      <c r="D228" s="66" t="s">
        <v>3215</v>
      </c>
      <c r="E228" s="4"/>
    </row>
    <row r="229" spans="2:7" ht="20" customHeight="1" x14ac:dyDescent="0.2">
      <c r="B229" s="4" t="s">
        <v>191</v>
      </c>
      <c r="C229" s="109" t="str">
        <f>IF(mgmt_dpg_reuse_result="Included",CONCATENATE(prefix_mgmt_az1_cidr,"10.",(152 + (30*(wld_domain_number_chosen - 1)))),CONCATENATE(prefix_mgmt_az1_cidr,"11.",(152 + (30*(wld_domain_number_chosen - 1)))))</f>
        <v>10.11.10.152</v>
      </c>
      <c r="D229" s="66"/>
      <c r="E229" s="4"/>
    </row>
    <row r="230" spans="2:7" ht="20" customHeight="1" x14ac:dyDescent="0.2">
      <c r="B230" s="4" t="s">
        <v>193</v>
      </c>
      <c r="C230" s="109" t="str">
        <f>IF(mgmt_dpg_reuse_result="Included",CONCATENATE(prefix_mgmt_az1_cidr,"10.",(153 + (30*(wld_domain_number_chosen - 1)))),CONCATENATE(prefix_mgmt_az1_cidr,"11.",(153 + (30*(wld_domain_number_chosen - 1)))))</f>
        <v>10.11.10.153</v>
      </c>
      <c r="D230" s="66"/>
      <c r="E230" s="4"/>
    </row>
    <row r="231" spans="2:7" ht="20" customHeight="1" x14ac:dyDescent="0.2">
      <c r="B231" s="4" t="s">
        <v>195</v>
      </c>
      <c r="C231" s="109" t="str">
        <f>IF(mgmt_dpg_reuse_result="Included",CONCATENATE(prefix_mgmt_az1_cidr,"10.",(154 + (30*(wld_domain_number_chosen - 1)))),CONCATENATE(prefix_mgmt_az1_cidr,"11.",(154 + (30*(wld_domain_number_chosen - 1)))))</f>
        <v>10.11.10.154</v>
      </c>
      <c r="D231" s="66"/>
      <c r="E231" s="4"/>
    </row>
    <row r="232" spans="2:7" ht="20" customHeight="1" x14ac:dyDescent="0.2">
      <c r="B232" s="4" t="s">
        <v>197</v>
      </c>
      <c r="C232" s="109" t="str">
        <f>IF(mgmt_dpg_reuse_result="Included",CONCATENATE(prefix_mgmt_az1_cidr,"10.",(151 + (30*(wld_domain_number_chosen - 1)))),CONCATENATE(prefix_mgmt_az1_cidr,"11.",(151 + (30*(wld_domain_number_chosen - 1)))))</f>
        <v>10.11.10.151</v>
      </c>
      <c r="D232" s="66"/>
      <c r="E232" s="4"/>
    </row>
    <row r="233" spans="2:7" ht="20" customHeight="1" x14ac:dyDescent="0.2">
      <c r="B233" s="4" t="s">
        <v>199</v>
      </c>
      <c r="C233" s="65" t="str">
        <f>CONCATENATE(this_instance,"-w0",wld_domain_number_chosen,"-avilb01",".",sample_child_dns_zone)</f>
        <v>sfo-w01-avilb01.sfo.rainpole.io</v>
      </c>
      <c r="D233" s="66"/>
      <c r="E233" s="4"/>
    </row>
    <row r="234" spans="2:7" ht="20" customHeight="1" x14ac:dyDescent="0.2">
      <c r="B234" s="4" t="s">
        <v>200</v>
      </c>
      <c r="C234" s="65" t="str">
        <f>CONCATENATE(this_instance,"-w01-cl01-avilb01")</f>
        <v>sfo-w01-cl01-avilb01</v>
      </c>
      <c r="D234" s="66"/>
      <c r="E234" s="4"/>
    </row>
    <row r="235" spans="2:7" ht="16" customHeight="1" x14ac:dyDescent="0.2"/>
    <row r="236" spans="2:7" ht="34" customHeight="1" x14ac:dyDescent="0.2">
      <c r="B236" s="575" t="s">
        <v>3061</v>
      </c>
      <c r="C236" s="576"/>
      <c r="D236" s="576"/>
      <c r="E236" s="577"/>
    </row>
    <row r="237" spans="2:7" ht="16" customHeight="1" x14ac:dyDescent="0.2">
      <c r="G237" s="36"/>
    </row>
    <row r="238" spans="2:7" ht="34" customHeight="1" x14ac:dyDescent="0.2">
      <c r="B238" s="559" t="s">
        <v>684</v>
      </c>
      <c r="C238" s="560"/>
      <c r="D238" s="560"/>
      <c r="E238" s="561"/>
    </row>
    <row r="239" spans="2:7" ht="20" customHeight="1" x14ac:dyDescent="0.2">
      <c r="B239" s="592"/>
      <c r="C239" s="592"/>
      <c r="D239" s="592"/>
      <c r="E239" s="592"/>
    </row>
    <row r="240" spans="2:7" ht="20" customHeight="1" x14ac:dyDescent="0.2">
      <c r="B240" s="63" t="s">
        <v>18</v>
      </c>
      <c r="C240" s="63" t="s">
        <v>19</v>
      </c>
      <c r="D240" s="63" t="s">
        <v>20</v>
      </c>
      <c r="E240" s="63" t="s">
        <v>21</v>
      </c>
    </row>
    <row r="241" spans="2:5" ht="20" customHeight="1" x14ac:dyDescent="0.2">
      <c r="B241" s="521" t="s">
        <v>202</v>
      </c>
      <c r="C241" s="522"/>
      <c r="D241" s="522"/>
      <c r="E241" s="523"/>
    </row>
    <row r="242" spans="2:5" ht="20" customHeight="1" x14ac:dyDescent="0.2">
      <c r="B242" s="4" t="s">
        <v>85</v>
      </c>
      <c r="C242" s="103" t="str">
        <f>CONCATENATE(prefix_wld_az2_vlan,"11")</f>
        <v>1411</v>
      </c>
      <c r="D242" s="66"/>
      <c r="E242" s="113"/>
    </row>
    <row r="243" spans="2:5" ht="20" customHeight="1" x14ac:dyDescent="0.2">
      <c r="B243" s="4" t="s">
        <v>180</v>
      </c>
      <c r="C243" s="103" t="str">
        <f>CONCATENATE(prefix_wld_az2_cidr,"11.1")</f>
        <v>10.14.11.1</v>
      </c>
      <c r="D243" s="66"/>
      <c r="E243" s="42"/>
    </row>
    <row r="244" spans="2:5" ht="20" customHeight="1" x14ac:dyDescent="0.2">
      <c r="B244" s="4" t="s">
        <v>181</v>
      </c>
      <c r="C244" s="103" t="str">
        <f>CONCATENATE(prefix_wld_az2_cidr,"11.0/24")</f>
        <v>10.14.11.0/24</v>
      </c>
      <c r="D244" s="66"/>
      <c r="E244" s="42"/>
    </row>
    <row r="245" spans="2:5" ht="20" customHeight="1" x14ac:dyDescent="0.2">
      <c r="B245" s="4" t="s">
        <v>155</v>
      </c>
      <c r="C245" s="103">
        <v>1500</v>
      </c>
      <c r="D245" s="66"/>
      <c r="E245" s="42"/>
    </row>
    <row r="246" spans="2:5" ht="20" customHeight="1" x14ac:dyDescent="0.2">
      <c r="B246" s="546" t="s">
        <v>203</v>
      </c>
      <c r="C246" s="547"/>
      <c r="D246" s="547"/>
      <c r="E246" s="548"/>
    </row>
    <row r="247" spans="2:5" ht="20" customHeight="1" x14ac:dyDescent="0.2">
      <c r="B247" s="23" t="s">
        <v>204</v>
      </c>
      <c r="C247" s="109" t="str">
        <f>CONCATENATE(prefix_wld_az2_cidr,"11.101")</f>
        <v>10.14.11.101</v>
      </c>
      <c r="D247" s="66"/>
      <c r="E247" s="162" t="s">
        <v>205</v>
      </c>
    </row>
    <row r="248" spans="2:5" ht="20" customHeight="1" x14ac:dyDescent="0.2">
      <c r="B248" s="23" t="s">
        <v>206</v>
      </c>
      <c r="C248" s="109" t="str">
        <f>CONCATENATE(prefix_wld_az2_cidr,"11.102")</f>
        <v>10.14.11.102</v>
      </c>
      <c r="D248" s="66"/>
      <c r="E248" s="162" t="s">
        <v>207</v>
      </c>
    </row>
    <row r="249" spans="2:5" ht="20" customHeight="1" x14ac:dyDescent="0.2">
      <c r="B249" s="23" t="s">
        <v>208</v>
      </c>
      <c r="C249" s="109" t="str">
        <f>CONCATENATE(prefix_wld_az2_cidr,"11.103")</f>
        <v>10.14.11.103</v>
      </c>
      <c r="D249" s="66"/>
      <c r="E249" s="162" t="s">
        <v>209</v>
      </c>
    </row>
    <row r="250" spans="2:5" ht="20" customHeight="1" x14ac:dyDescent="0.2">
      <c r="B250" s="23" t="s">
        <v>210</v>
      </c>
      <c r="C250" s="109" t="str">
        <f>CONCATENATE(prefix_wld_az2_cidr,"11.104")</f>
        <v>10.14.11.104</v>
      </c>
      <c r="D250" s="66"/>
      <c r="E250" s="162" t="s">
        <v>211</v>
      </c>
    </row>
    <row r="251" spans="2:5" ht="20" customHeight="1" x14ac:dyDescent="0.2">
      <c r="B251" s="23" t="s">
        <v>212</v>
      </c>
      <c r="C251" s="109" t="str">
        <f>CONCATENATE(prefix_wld_az2_cidr,"11.105")</f>
        <v>10.14.11.105</v>
      </c>
      <c r="D251" s="66"/>
      <c r="E251" s="162" t="s">
        <v>213</v>
      </c>
    </row>
    <row r="252" spans="2:5" ht="20" customHeight="1" x14ac:dyDescent="0.2">
      <c r="B252" s="23" t="s">
        <v>214</v>
      </c>
      <c r="C252" s="109" t="str">
        <f>CONCATENATE(prefix_wld_az2_cidr,"11.106")</f>
        <v>10.14.11.106</v>
      </c>
      <c r="D252" s="66"/>
      <c r="E252" s="162" t="s">
        <v>215</v>
      </c>
    </row>
    <row r="253" spans="2:5" ht="20" customHeight="1" x14ac:dyDescent="0.2">
      <c r="B253" s="23" t="s">
        <v>216</v>
      </c>
      <c r="C253" s="109" t="str">
        <f>CONCATENATE(prefix_wld_az2_cidr,"11.107")</f>
        <v>10.14.11.107</v>
      </c>
      <c r="D253" s="66"/>
      <c r="E253" s="162" t="s">
        <v>217</v>
      </c>
    </row>
    <row r="254" spans="2:5" ht="20" customHeight="1" x14ac:dyDescent="0.2">
      <c r="B254" s="23" t="s">
        <v>218</v>
      </c>
      <c r="C254" s="109" t="str">
        <f>CONCATENATE(prefix_wld_az2_cidr,"11.108")</f>
        <v>10.14.11.108</v>
      </c>
      <c r="D254" s="66"/>
      <c r="E254" s="162" t="s">
        <v>219</v>
      </c>
    </row>
    <row r="255" spans="2:5" ht="20" customHeight="1" x14ac:dyDescent="0.2">
      <c r="B255" s="23" t="s">
        <v>220</v>
      </c>
      <c r="C255" s="109" t="str">
        <f>CONCATENATE(prefix_wld_az2_cidr,"11.109")</f>
        <v>10.14.11.109</v>
      </c>
      <c r="D255" s="66"/>
      <c r="E255" s="162" t="s">
        <v>221</v>
      </c>
    </row>
    <row r="256" spans="2:5" ht="20" customHeight="1" x14ac:dyDescent="0.2">
      <c r="B256" s="23" t="s">
        <v>222</v>
      </c>
      <c r="C256" s="109" t="str">
        <f>CONCATENATE(prefix_wld_az2_cidr,"11.110")</f>
        <v>10.14.11.110</v>
      </c>
      <c r="D256" s="66"/>
      <c r="E256" s="162" t="s">
        <v>223</v>
      </c>
    </row>
    <row r="257" spans="2:7" ht="20" customHeight="1" x14ac:dyDescent="0.2">
      <c r="B257" s="23" t="s">
        <v>224</v>
      </c>
      <c r="C257" s="109" t="str">
        <f>CONCATENATE(prefix_wld_az2_cidr,"11.111")</f>
        <v>10.14.11.111</v>
      </c>
      <c r="D257" s="66"/>
      <c r="E257" s="162" t="s">
        <v>225</v>
      </c>
    </row>
    <row r="258" spans="2:7" ht="20" customHeight="1" x14ac:dyDescent="0.2">
      <c r="B258" s="23" t="s">
        <v>226</v>
      </c>
      <c r="C258" s="109" t="str">
        <f>CONCATENATE(prefix_wld_az2_cidr,"11.112")</f>
        <v>10.14.11.112</v>
      </c>
      <c r="D258" s="66"/>
      <c r="E258" s="162" t="s">
        <v>227</v>
      </c>
    </row>
    <row r="259" spans="2:7" ht="20" customHeight="1" x14ac:dyDescent="0.2">
      <c r="B259" s="23" t="s">
        <v>228</v>
      </c>
      <c r="C259" s="109" t="str">
        <f>CONCATENATE(prefix_wld_az2_cidr,"11.113")</f>
        <v>10.14.11.113</v>
      </c>
      <c r="D259" s="66"/>
      <c r="E259" s="162" t="s">
        <v>229</v>
      </c>
    </row>
    <row r="260" spans="2:7" ht="20" customHeight="1" x14ac:dyDescent="0.2">
      <c r="B260" s="23" t="s">
        <v>230</v>
      </c>
      <c r="C260" s="109" t="str">
        <f>CONCATENATE(prefix_wld_az2_cidr,"11.114")</f>
        <v>10.14.11.114</v>
      </c>
      <c r="D260" s="66"/>
      <c r="E260" s="162" t="s">
        <v>231</v>
      </c>
    </row>
    <row r="261" spans="2:7" ht="20" customHeight="1" x14ac:dyDescent="0.2">
      <c r="B261" s="23" t="s">
        <v>232</v>
      </c>
      <c r="C261" s="109" t="str">
        <f>CONCATENATE(prefix_wld_az2_cidr,"11.115")</f>
        <v>10.14.11.115</v>
      </c>
      <c r="D261" s="66"/>
      <c r="E261" s="162" t="s">
        <v>233</v>
      </c>
    </row>
    <row r="262" spans="2:7" ht="20" customHeight="1" x14ac:dyDescent="0.2">
      <c r="B262" s="23" t="s">
        <v>234</v>
      </c>
      <c r="C262" s="109" t="str">
        <f>CONCATENATE(prefix_wld_az2_cidr,"11.116")</f>
        <v>10.14.11.116</v>
      </c>
      <c r="D262" s="66"/>
      <c r="E262" s="162" t="s">
        <v>235</v>
      </c>
    </row>
    <row r="263" spans="2:7" ht="16" customHeight="1" x14ac:dyDescent="0.2">
      <c r="D263" s="1"/>
      <c r="G263" s="36"/>
    </row>
    <row r="264" spans="2:7" ht="34" customHeight="1" x14ac:dyDescent="0.2">
      <c r="B264" s="559" t="s">
        <v>685</v>
      </c>
      <c r="C264" s="560"/>
      <c r="D264" s="560"/>
      <c r="E264" s="561"/>
    </row>
    <row r="265" spans="2:7" ht="20" customHeight="1" x14ac:dyDescent="0.2">
      <c r="B265" s="592"/>
      <c r="C265" s="592"/>
      <c r="D265" s="592"/>
      <c r="E265" s="592"/>
    </row>
    <row r="266" spans="2:7" ht="20" customHeight="1" x14ac:dyDescent="0.2">
      <c r="B266" s="63" t="s">
        <v>18</v>
      </c>
      <c r="C266" s="63" t="s">
        <v>19</v>
      </c>
      <c r="D266" s="63" t="s">
        <v>20</v>
      </c>
      <c r="E266" s="63" t="s">
        <v>21</v>
      </c>
    </row>
    <row r="267" spans="2:7" ht="20" customHeight="1" x14ac:dyDescent="0.2">
      <c r="B267" s="4" t="s">
        <v>237</v>
      </c>
      <c r="C267" s="65" t="s">
        <v>238</v>
      </c>
      <c r="D267" s="66" t="s">
        <v>238</v>
      </c>
      <c r="E267" s="4" t="str">
        <f>IF(wld_az2_reuse_vcf_networkpool_chosen="Re-use an existing VCF Network Pool","An exisiting VCF Network Pool will be reused for Host TEP assignment","A new VCF Network Pool will be created")</f>
        <v>A new VCF Network Pool will be created</v>
      </c>
    </row>
    <row r="268" spans="2:7" ht="20" customHeight="1" x14ac:dyDescent="0.2">
      <c r="B268" s="23" t="s">
        <v>239</v>
      </c>
      <c r="C268" s="103" t="str">
        <f>CONCATENATE(this_instance,"02-w0",wld_domain_number_chosen,"-r01-network-pool-01")</f>
        <v>sfo02-w01-r01-network-pool-01</v>
      </c>
      <c r="D268" s="66"/>
      <c r="E268" s="42"/>
    </row>
    <row r="269" spans="2:7" ht="20" customHeight="1" x14ac:dyDescent="0.2">
      <c r="B269" s="521" t="s">
        <v>240</v>
      </c>
      <c r="C269" s="522"/>
      <c r="D269" s="522"/>
      <c r="E269" s="523"/>
    </row>
    <row r="270" spans="2:7" ht="20" customHeight="1" x14ac:dyDescent="0.2">
      <c r="B270" s="4" t="s">
        <v>85</v>
      </c>
      <c r="C270" s="103" t="str">
        <f>CONCATENATE(prefix_wld_az2_vlan,"12")</f>
        <v>1412</v>
      </c>
      <c r="D270" s="66"/>
      <c r="E270" s="113"/>
    </row>
    <row r="271" spans="2:7" ht="20" customHeight="1" x14ac:dyDescent="0.2">
      <c r="B271" s="4" t="s">
        <v>155</v>
      </c>
      <c r="C271" s="103">
        <v>9000</v>
      </c>
      <c r="D271" s="66"/>
      <c r="E271" s="42"/>
    </row>
    <row r="272" spans="2:7" ht="20" customHeight="1" x14ac:dyDescent="0.2">
      <c r="B272" s="4" t="s">
        <v>241</v>
      </c>
      <c r="C272" s="103" t="str">
        <f>CONCATENATE(prefix_wld_az2_cidr,"12.0")</f>
        <v>10.14.12.0</v>
      </c>
      <c r="D272" s="66"/>
      <c r="E272" s="42"/>
    </row>
    <row r="273" spans="2:5" ht="20" customHeight="1" x14ac:dyDescent="0.2">
      <c r="B273" s="4" t="s">
        <v>274</v>
      </c>
      <c r="C273" s="103" t="s">
        <v>126</v>
      </c>
      <c r="D273" s="66"/>
      <c r="E273" s="42"/>
    </row>
    <row r="274" spans="2:5" ht="20" customHeight="1" x14ac:dyDescent="0.2">
      <c r="B274" s="4" t="s">
        <v>180</v>
      </c>
      <c r="C274" s="103" t="str">
        <f>CONCATENATE(prefix_wld_az2_cidr,"12.1")</f>
        <v>10.14.12.1</v>
      </c>
      <c r="D274" s="66"/>
      <c r="E274" s="42"/>
    </row>
    <row r="275" spans="2:5" ht="20" customHeight="1" x14ac:dyDescent="0.2">
      <c r="B275" s="23" t="s">
        <v>244</v>
      </c>
      <c r="C275" s="103" t="str">
        <f>CONCATENATE(prefix_wld_az2_cidr,"12.101")</f>
        <v>10.14.12.101</v>
      </c>
      <c r="D275" s="66"/>
      <c r="E275" s="42"/>
    </row>
    <row r="276" spans="2:5" ht="20" customHeight="1" x14ac:dyDescent="0.2">
      <c r="B276" s="23" t="s">
        <v>245</v>
      </c>
      <c r="C276" s="103" t="str">
        <f>CONCATENATE(prefix_wld_az2_cidr,"12.116")</f>
        <v>10.14.12.116</v>
      </c>
      <c r="D276" s="66"/>
      <c r="E276" s="42"/>
    </row>
    <row r="277" spans="2:5" ht="20" customHeight="1" x14ac:dyDescent="0.2">
      <c r="B277" s="521" t="s">
        <v>246</v>
      </c>
      <c r="C277" s="522"/>
      <c r="D277" s="522"/>
      <c r="E277" s="523"/>
    </row>
    <row r="278" spans="2:5" ht="20" customHeight="1" x14ac:dyDescent="0.2">
      <c r="B278" s="4" t="s">
        <v>85</v>
      </c>
      <c r="C278" s="103" t="str">
        <f>CONCATENATE(prefix_wld_az2_vlan,"13")</f>
        <v>1413</v>
      </c>
      <c r="D278" s="66"/>
      <c r="E278" s="42"/>
    </row>
    <row r="279" spans="2:5" ht="20" customHeight="1" x14ac:dyDescent="0.2">
      <c r="B279" s="4" t="s">
        <v>155</v>
      </c>
      <c r="C279" s="103">
        <v>9000</v>
      </c>
      <c r="D279" s="66"/>
      <c r="E279" s="42"/>
    </row>
    <row r="280" spans="2:5" ht="20" customHeight="1" x14ac:dyDescent="0.2">
      <c r="B280" s="4" t="s">
        <v>241</v>
      </c>
      <c r="C280" s="103" t="str">
        <f>CONCATENATE(prefix_wld_az2_cidr,"13.0")</f>
        <v>10.14.13.0</v>
      </c>
      <c r="D280" s="66"/>
      <c r="E280" s="80"/>
    </row>
    <row r="281" spans="2:5" ht="20" customHeight="1" x14ac:dyDescent="0.2">
      <c r="B281" s="4" t="s">
        <v>274</v>
      </c>
      <c r="C281" s="103" t="s">
        <v>126</v>
      </c>
      <c r="D281" s="66"/>
      <c r="E281" s="80"/>
    </row>
    <row r="282" spans="2:5" ht="20" customHeight="1" x14ac:dyDescent="0.2">
      <c r="B282" s="4" t="s">
        <v>180</v>
      </c>
      <c r="C282" s="103" t="str">
        <f>CONCATENATE(prefix_wld_az2_cidr,"13.1")</f>
        <v>10.14.13.1</v>
      </c>
      <c r="D282" s="66"/>
      <c r="E282" s="42" t="str">
        <f>IF(AND(mgmt_stretched_cluster_result="Included",mgmt_dpg_reuse_result="Excluded"),"Stretched L2","")</f>
        <v/>
      </c>
    </row>
    <row r="283" spans="2:5" ht="20" customHeight="1" x14ac:dyDescent="0.2">
      <c r="B283" s="23" t="s">
        <v>244</v>
      </c>
      <c r="C283" s="103" t="str">
        <f>CONCATENATE(prefix_wld_az2_cidr,"13.101")</f>
        <v>10.14.13.101</v>
      </c>
      <c r="D283" s="66"/>
      <c r="E283" s="80"/>
    </row>
    <row r="284" spans="2:5" ht="20" customHeight="1" x14ac:dyDescent="0.2">
      <c r="B284" s="23" t="s">
        <v>245</v>
      </c>
      <c r="C284" s="103" t="str">
        <f>CONCATENATE(prefix_wld_az2_cidr,"13.116")</f>
        <v>10.14.13.116</v>
      </c>
      <c r="D284" s="66"/>
      <c r="E284" s="80"/>
    </row>
    <row r="285" spans="2:5" ht="20" customHeight="1" x14ac:dyDescent="0.2">
      <c r="B285" s="521" t="str">
        <f>IF(wld_secondary_storage_chosen="Secondary NFS Storage Network","NFS Storage Network","vSAN Storage Client")</f>
        <v>vSAN Storage Client</v>
      </c>
      <c r="C285" s="522"/>
      <c r="D285" s="522"/>
      <c r="E285" s="523"/>
    </row>
    <row r="286" spans="2:5" ht="20" customHeight="1" x14ac:dyDescent="0.2">
      <c r="B286" s="4" t="s">
        <v>85</v>
      </c>
      <c r="C286" s="103" t="str">
        <f>CONCATENATE(prefix_wld_az2_vlan,"15")</f>
        <v>1415</v>
      </c>
      <c r="D286" s="66"/>
      <c r="E286" s="42"/>
    </row>
    <row r="287" spans="2:5" ht="20" customHeight="1" x14ac:dyDescent="0.2">
      <c r="B287" s="4" t="s">
        <v>155</v>
      </c>
      <c r="C287" s="103">
        <v>9000</v>
      </c>
      <c r="D287" s="66"/>
      <c r="E287" s="80"/>
    </row>
    <row r="288" spans="2:5" ht="20" customHeight="1" x14ac:dyDescent="0.2">
      <c r="B288" s="4" t="s">
        <v>241</v>
      </c>
      <c r="C288" s="103" t="str">
        <f>CONCATENATE(prefix_wld_az2_cidr,"15.0")</f>
        <v>10.14.15.0</v>
      </c>
      <c r="D288" s="66"/>
      <c r="E288" s="42"/>
    </row>
    <row r="289" spans="2:5" ht="20" customHeight="1" x14ac:dyDescent="0.2">
      <c r="B289" s="4" t="s">
        <v>274</v>
      </c>
      <c r="C289" s="103" t="s">
        <v>126</v>
      </c>
      <c r="D289" s="66"/>
      <c r="E289" s="42"/>
    </row>
    <row r="290" spans="2:5" ht="20" customHeight="1" x14ac:dyDescent="0.2">
      <c r="B290" s="4" t="s">
        <v>180</v>
      </c>
      <c r="C290" s="103" t="str">
        <f>CONCATENATE(prefix_wld_az2_cidr,"15.1")</f>
        <v>10.14.15.1</v>
      </c>
      <c r="D290" s="66"/>
      <c r="E290" s="42" t="str">
        <f>IF(AND(mgmt_stretched_cluster_result="Included",mgmt_dpg_reuse_result="Excluded"),"Stretched L2","")</f>
        <v/>
      </c>
    </row>
    <row r="291" spans="2:5" ht="20" customHeight="1" x14ac:dyDescent="0.2">
      <c r="B291" s="23" t="s">
        <v>244</v>
      </c>
      <c r="C291" s="103" t="str">
        <f>CONCATENATE(prefix_wld_az2_cidr,"15.101")</f>
        <v>10.14.15.101</v>
      </c>
      <c r="D291" s="66"/>
      <c r="E291" s="80"/>
    </row>
    <row r="292" spans="2:5" ht="20" customHeight="1" x14ac:dyDescent="0.2">
      <c r="B292" s="23" t="s">
        <v>245</v>
      </c>
      <c r="C292" s="103" t="str">
        <f>CONCATENATE(prefix_wld_az2_cidr,"15.116")</f>
        <v>10.14.15.116</v>
      </c>
      <c r="D292" s="66"/>
      <c r="E292" s="80"/>
    </row>
    <row r="293" spans="2:5" ht="20" customHeight="1" x14ac:dyDescent="0.2">
      <c r="B293" s="521" t="s">
        <v>686</v>
      </c>
      <c r="C293" s="522"/>
      <c r="D293" s="522"/>
      <c r="E293" s="523"/>
    </row>
    <row r="294" spans="2:5" ht="20" customHeight="1" x14ac:dyDescent="0.2">
      <c r="B294" s="4" t="s">
        <v>85</v>
      </c>
      <c r="C294" s="103" t="str">
        <f>CONCATENATE(prefix_wld_az2_vlan,"16")</f>
        <v>1416</v>
      </c>
      <c r="D294" s="66"/>
      <c r="E294" s="42"/>
    </row>
    <row r="295" spans="2:5" ht="20" customHeight="1" x14ac:dyDescent="0.2">
      <c r="B295" s="4" t="s">
        <v>155</v>
      </c>
      <c r="C295" s="103">
        <v>9000</v>
      </c>
      <c r="D295" s="66"/>
      <c r="E295" s="80"/>
    </row>
    <row r="296" spans="2:5" ht="20" customHeight="1" x14ac:dyDescent="0.2">
      <c r="B296" s="4" t="s">
        <v>241</v>
      </c>
      <c r="C296" s="103" t="str">
        <f>CONCATENATE(prefix_wld_az2_cidr,"16.0")</f>
        <v>10.14.16.0</v>
      </c>
      <c r="D296" s="66"/>
      <c r="E296" s="42"/>
    </row>
    <row r="297" spans="2:5" ht="20" customHeight="1" x14ac:dyDescent="0.2">
      <c r="B297" s="4" t="s">
        <v>274</v>
      </c>
      <c r="C297" s="103" t="s">
        <v>126</v>
      </c>
      <c r="D297" s="66"/>
      <c r="E297" s="42"/>
    </row>
    <row r="298" spans="2:5" ht="20" customHeight="1" x14ac:dyDescent="0.2">
      <c r="B298" s="4" t="s">
        <v>180</v>
      </c>
      <c r="C298" s="103" t="str">
        <f>CONCATENATE(prefix_wld_az2_cidr,"16.1")</f>
        <v>10.14.16.1</v>
      </c>
      <c r="D298" s="66"/>
      <c r="E298" s="42" t="str">
        <f>IF(AND(mgmt_stretched_cluster_result="Included",mgmt_dpg_reuse_result="Excluded"),"Stretched L2","")</f>
        <v/>
      </c>
    </row>
    <row r="299" spans="2:5" ht="20" customHeight="1" x14ac:dyDescent="0.2">
      <c r="B299" s="23" t="s">
        <v>244</v>
      </c>
      <c r="C299" s="103" t="str">
        <f>CONCATENATE(prefix_wld_az2_cidr,"16.101")</f>
        <v>10.14.16.101</v>
      </c>
      <c r="D299" s="66"/>
      <c r="E299" s="80"/>
    </row>
    <row r="300" spans="2:5" ht="20" customHeight="1" x14ac:dyDescent="0.2">
      <c r="B300" s="23" t="s">
        <v>245</v>
      </c>
      <c r="C300" s="103" t="str">
        <f>CONCATENATE(prefix_wld_az2_cidr,"16.116")</f>
        <v>10.14.16.116</v>
      </c>
      <c r="D300" s="66"/>
      <c r="E300" s="80"/>
    </row>
    <row r="301" spans="2:5" ht="16" customHeight="1" x14ac:dyDescent="0.2"/>
    <row r="302" spans="2:5" ht="34" customHeight="1" x14ac:dyDescent="0.2">
      <c r="B302" s="559" t="s">
        <v>687</v>
      </c>
      <c r="C302" s="560"/>
      <c r="D302" s="560"/>
      <c r="E302" s="561"/>
    </row>
    <row r="303" spans="2:5" ht="20" customHeight="1" x14ac:dyDescent="0.2">
      <c r="B303" s="592"/>
      <c r="C303" s="592"/>
      <c r="D303" s="592"/>
      <c r="E303" s="592"/>
    </row>
    <row r="304" spans="2:5" ht="20" customHeight="1" x14ac:dyDescent="0.2">
      <c r="B304" s="63" t="s">
        <v>18</v>
      </c>
      <c r="C304" s="63" t="s">
        <v>19</v>
      </c>
      <c r="D304" s="63" t="s">
        <v>20</v>
      </c>
      <c r="E304" s="63" t="s">
        <v>21</v>
      </c>
    </row>
    <row r="305" spans="2:5" ht="20" customHeight="1" x14ac:dyDescent="0.2">
      <c r="B305" s="23" t="s">
        <v>204</v>
      </c>
      <c r="C305" s="179" t="str">
        <f>CONCATENATE(this_instance,"02-w0",wld_domain_number_chosen,"-r01-esx01",".",sample_child_dns_zone)</f>
        <v>sfo02-w01-r01-esx01.sfo.rainpole.io</v>
      </c>
      <c r="D305" s="208"/>
      <c r="E305" s="42"/>
    </row>
    <row r="306" spans="2:5" ht="20" customHeight="1" x14ac:dyDescent="0.2">
      <c r="B306" s="23" t="s">
        <v>206</v>
      </c>
      <c r="C306" s="209" t="str">
        <f>CONCATENATE(this_instance,"02-w0",wld_domain_number_chosen,"-r01-esx02",".",sample_child_dns_zone)</f>
        <v>sfo02-w01-r01-esx02.sfo.rainpole.io</v>
      </c>
      <c r="D306" s="208"/>
      <c r="E306" s="42"/>
    </row>
    <row r="307" spans="2:5" ht="20" customHeight="1" x14ac:dyDescent="0.2">
      <c r="B307" s="23" t="s">
        <v>208</v>
      </c>
      <c r="C307" s="209" t="str">
        <f>CONCATENATE(this_instance,"02-w0",wld_domain_number_chosen,"-r01-esx03",".",sample_child_dns_zone)</f>
        <v>sfo02-w01-r01-esx03.sfo.rainpole.io</v>
      </c>
      <c r="D307" s="208"/>
      <c r="E307" s="42"/>
    </row>
    <row r="308" spans="2:5" ht="20" customHeight="1" x14ac:dyDescent="0.2">
      <c r="B308" s="23" t="s">
        <v>210</v>
      </c>
      <c r="C308" s="209" t="str">
        <f>CONCATENATE(this_instance,"02-w0",wld_domain_number_chosen,"-r01-esx04",".",sample_child_dns_zone)</f>
        <v>sfo02-w01-r01-esx04.sfo.rainpole.io</v>
      </c>
      <c r="D308" s="208"/>
      <c r="E308" s="42"/>
    </row>
    <row r="309" spans="2:5" ht="20" customHeight="1" x14ac:dyDescent="0.2">
      <c r="B309" s="23" t="s">
        <v>212</v>
      </c>
      <c r="C309" s="209" t="str">
        <f>CONCATENATE(this_instance,"02-w0",wld_domain_number_chosen,"-r01-esx05",".",sample_child_dns_zone)</f>
        <v>sfo02-w01-r01-esx05.sfo.rainpole.io</v>
      </c>
      <c r="D309" s="208"/>
      <c r="E309" s="42"/>
    </row>
    <row r="310" spans="2:5" ht="20" customHeight="1" x14ac:dyDescent="0.2">
      <c r="B310" s="23" t="s">
        <v>214</v>
      </c>
      <c r="C310" s="209" t="str">
        <f>CONCATENATE(this_instance,"02-w0",wld_domain_number_chosen,"-r01-esx06",".",sample_child_dns_zone)</f>
        <v>sfo02-w01-r01-esx06.sfo.rainpole.io</v>
      </c>
      <c r="D310" s="208"/>
      <c r="E310" s="42"/>
    </row>
    <row r="311" spans="2:5" ht="20" customHeight="1" x14ac:dyDescent="0.2">
      <c r="B311" s="23" t="s">
        <v>216</v>
      </c>
      <c r="C311" s="209" t="str">
        <f>CONCATENATE(this_instance,"02-w0",wld_domain_number_chosen,"-r01-esx07",".",sample_child_dns_zone)</f>
        <v>sfo02-w01-r01-esx07.sfo.rainpole.io</v>
      </c>
      <c r="D311" s="208"/>
      <c r="E311" s="42"/>
    </row>
    <row r="312" spans="2:5" ht="20" customHeight="1" x14ac:dyDescent="0.2">
      <c r="B312" s="23" t="s">
        <v>218</v>
      </c>
      <c r="C312" s="209" t="str">
        <f>CONCATENATE(this_instance,"02-w0",wld_domain_number_chosen,"-r01-esx08",".",sample_child_dns_zone)</f>
        <v>sfo02-w01-r01-esx08.sfo.rainpole.io</v>
      </c>
      <c r="D312" s="208"/>
      <c r="E312" s="42"/>
    </row>
    <row r="313" spans="2:5" ht="20" customHeight="1" x14ac:dyDescent="0.2">
      <c r="B313" s="23" t="s">
        <v>220</v>
      </c>
      <c r="C313" s="209" t="str">
        <f>CONCATENATE(this_instance,"02-w0",wld_domain_number_chosen,"-r01-esx09",".",sample_child_dns_zone)</f>
        <v>sfo02-w01-r01-esx09.sfo.rainpole.io</v>
      </c>
      <c r="D313" s="208"/>
      <c r="E313" s="42"/>
    </row>
    <row r="314" spans="2:5" ht="20" customHeight="1" x14ac:dyDescent="0.2">
      <c r="B314" s="23" t="s">
        <v>222</v>
      </c>
      <c r="C314" s="209" t="str">
        <f>CONCATENATE(this_instance,"02-w0",wld_domain_number_chosen,"-r01-esx10",".",sample_child_dns_zone)</f>
        <v>sfo02-w01-r01-esx10.sfo.rainpole.io</v>
      </c>
      <c r="D314" s="208"/>
      <c r="E314" s="42"/>
    </row>
    <row r="315" spans="2:5" ht="20" customHeight="1" x14ac:dyDescent="0.2">
      <c r="B315" s="23" t="s">
        <v>224</v>
      </c>
      <c r="C315" s="209" t="str">
        <f>CONCATENATE(this_instance,"02-w0",wld_domain_number_chosen,"-r01-esx11",".",sample_child_dns_zone)</f>
        <v>sfo02-w01-r01-esx11.sfo.rainpole.io</v>
      </c>
      <c r="D315" s="208"/>
      <c r="E315" s="42"/>
    </row>
    <row r="316" spans="2:5" ht="20" customHeight="1" x14ac:dyDescent="0.2">
      <c r="B316" s="23" t="s">
        <v>226</v>
      </c>
      <c r="C316" s="209" t="str">
        <f>CONCATENATE(this_instance,"02-w0",wld_domain_number_chosen,"-r01-esx12",".",sample_child_dns_zone)</f>
        <v>sfo02-w01-r01-esx12.sfo.rainpole.io</v>
      </c>
      <c r="D316" s="208"/>
      <c r="E316" s="42"/>
    </row>
    <row r="317" spans="2:5" ht="20" customHeight="1" x14ac:dyDescent="0.2">
      <c r="B317" s="23" t="s">
        <v>228</v>
      </c>
      <c r="C317" s="209" t="str">
        <f>CONCATENATE(this_instance,"02-w0",wld_domain_number_chosen,"-r01-esx13",".",sample_child_dns_zone)</f>
        <v>sfo02-w01-r01-esx13.sfo.rainpole.io</v>
      </c>
      <c r="D317" s="208"/>
      <c r="E317" s="42"/>
    </row>
    <row r="318" spans="2:5" ht="20" customHeight="1" x14ac:dyDescent="0.2">
      <c r="B318" s="23" t="s">
        <v>230</v>
      </c>
      <c r="C318" s="209" t="str">
        <f>CONCATENATE(this_instance,"02-w0",wld_domain_number_chosen,"-r01-esx14",".",sample_child_dns_zone)</f>
        <v>sfo02-w01-r01-esx14.sfo.rainpole.io</v>
      </c>
      <c r="D318" s="208"/>
      <c r="E318" s="42"/>
    </row>
    <row r="319" spans="2:5" ht="20" customHeight="1" x14ac:dyDescent="0.2">
      <c r="B319" s="23" t="s">
        <v>232</v>
      </c>
      <c r="C319" s="209" t="str">
        <f>CONCATENATE(this_instance,"02-w0",wld_domain_number_chosen,"-r01-esx15",".",sample_child_dns_zone)</f>
        <v>sfo02-w01-r01-esx15.sfo.rainpole.io</v>
      </c>
      <c r="D319" s="208"/>
      <c r="E319" s="42"/>
    </row>
    <row r="320" spans="2:5" ht="20" customHeight="1" x14ac:dyDescent="0.2">
      <c r="B320" s="23" t="s">
        <v>234</v>
      </c>
      <c r="C320" s="209" t="str">
        <f>CONCATENATE(this_instance,"02-w0",wld_domain_number_chosen,"-r01-esx16",".",sample_child_dns_zone)</f>
        <v>sfo02-w01-r01-esx16.sfo.rainpole.io</v>
      </c>
      <c r="D320" s="208"/>
      <c r="E320" s="42"/>
    </row>
    <row r="321" spans="2:5" ht="20" customHeight="1" x14ac:dyDescent="0.2">
      <c r="B321" s="23" t="s">
        <v>253</v>
      </c>
      <c r="C321" s="100" t="s">
        <v>647</v>
      </c>
      <c r="D321" s="210" t="str">
        <f>IF(wld_principal_storage_chosen="vSAN-ESA","Selected","Unselected")</f>
        <v>Selected</v>
      </c>
      <c r="E321" s="42"/>
    </row>
    <row r="322" spans="2:5" ht="20" customHeight="1" x14ac:dyDescent="0.2">
      <c r="B322" s="23" t="s">
        <v>255</v>
      </c>
      <c r="C322" s="100" t="s">
        <v>256</v>
      </c>
      <c r="D322" s="208" t="s">
        <v>256</v>
      </c>
      <c r="E322" s="42"/>
    </row>
    <row r="323" spans="2:5" ht="20" customHeight="1" x14ac:dyDescent="0.2">
      <c r="B323" s="23" t="s">
        <v>257</v>
      </c>
      <c r="C323" s="100" t="s">
        <v>154</v>
      </c>
      <c r="D323" s="210" t="str">
        <f>IF(OR(wld_principal_storage_chosen="vSAN-ESA",wld_principal_storage_chosen="vSAN Storage Cluster"),"Selected","Unselected")</f>
        <v>Selected</v>
      </c>
      <c r="E323" s="42"/>
    </row>
    <row r="324" spans="2:5" ht="20" customHeight="1" x14ac:dyDescent="0.2">
      <c r="B324" s="23" t="s">
        <v>239</v>
      </c>
      <c r="C324" s="100" t="str">
        <f>sample_wld_az2_pool_name</f>
        <v>sfo02-w01-r01-network-pool-01</v>
      </c>
      <c r="D324" s="210" t="str">
        <f>wld_az2_pool_name</f>
        <v>Value Missing</v>
      </c>
      <c r="E324" s="42"/>
    </row>
    <row r="325" spans="2:5" ht="20" customHeight="1" x14ac:dyDescent="0.2">
      <c r="B325" s="23" t="s">
        <v>47</v>
      </c>
      <c r="C325" s="100" t="s">
        <v>258</v>
      </c>
      <c r="D325" s="208"/>
      <c r="E325" s="42"/>
    </row>
    <row r="326" spans="2:5" ht="20" customHeight="1" x14ac:dyDescent="0.2">
      <c r="B326" s="23" t="s">
        <v>30</v>
      </c>
      <c r="C326" s="100" t="s">
        <v>31</v>
      </c>
      <c r="D326" s="208"/>
      <c r="E326" s="42"/>
    </row>
    <row r="327" spans="2:5" ht="16" customHeight="1" x14ac:dyDescent="0.2">
      <c r="B327" s="201"/>
      <c r="C327" s="201"/>
      <c r="D327" s="201"/>
    </row>
    <row r="328" spans="2:5" ht="20" customHeight="1" x14ac:dyDescent="0.2">
      <c r="B328" s="521" t="s">
        <v>847</v>
      </c>
      <c r="C328" s="522"/>
      <c r="D328" s="522"/>
      <c r="E328" s="523"/>
    </row>
    <row r="329" spans="2:5" ht="20" customHeight="1" x14ac:dyDescent="0.2">
      <c r="B329" s="63" t="s">
        <v>18</v>
      </c>
      <c r="C329" s="63" t="s">
        <v>19</v>
      </c>
      <c r="D329" s="63" t="s">
        <v>20</v>
      </c>
      <c r="E329" s="63" t="s">
        <v>21</v>
      </c>
    </row>
    <row r="330" spans="2:5" ht="20" customHeight="1" x14ac:dyDescent="0.2">
      <c r="B330" s="4" t="s">
        <v>85</v>
      </c>
      <c r="C330" s="103" t="str">
        <f>IF(mgmt_dpg_reuse_result="Included",CONCATENATE(prefix_wld_witness_vlan,"10"),CONCATENATE(prefix_wld_witness_vlan,"11"))</f>
        <v>2110</v>
      </c>
      <c r="D330" s="66"/>
      <c r="E330" s="42"/>
    </row>
    <row r="331" spans="2:5" ht="20" customHeight="1" x14ac:dyDescent="0.2">
      <c r="B331" s="4" t="s">
        <v>180</v>
      </c>
      <c r="C331" s="65" t="str">
        <f>IF(mgmt_dpg_reuse_result="Included",CONCATENATE(prefix_wld_witness_cidr,"10.1"),CONCATENATE(prefix_wld_witness_cidr,"11.1"))</f>
        <v>10.21.10.1</v>
      </c>
      <c r="D331" s="66"/>
      <c r="E331" s="42" t="str">
        <f>IF(AND(mgmt_stretched_cluster_result="Included",mgmt_dpg_reuse_result="Excluded"),"Stretched L2","")</f>
        <v/>
      </c>
    </row>
    <row r="332" spans="2:5" ht="20" customHeight="1" x14ac:dyDescent="0.2">
      <c r="B332" s="4" t="s">
        <v>181</v>
      </c>
      <c r="C332" s="103" t="str">
        <f>IF(mgmt_dpg_reuse_result="Included",CONCATENATE(prefix_wld_witness_cidr,"10.0/24"),CONCATENATE(prefix_wld_witness_cidr,"11.0/24"))</f>
        <v>10.21.10.0/24</v>
      </c>
      <c r="D332" s="66"/>
      <c r="E332" s="42"/>
    </row>
    <row r="333" spans="2:5" ht="20" customHeight="1" x14ac:dyDescent="0.2">
      <c r="B333" s="4" t="s">
        <v>155</v>
      </c>
      <c r="C333" s="65">
        <f>sample_wld_witnessaz_mgmt_mtu</f>
        <v>1500</v>
      </c>
      <c r="D333" s="208"/>
      <c r="E333" s="42"/>
    </row>
    <row r="334" spans="2:5" ht="20" customHeight="1" x14ac:dyDescent="0.2"/>
    <row r="335" spans="2:5" ht="34" customHeight="1" x14ac:dyDescent="0.2">
      <c r="B335" s="559" t="s">
        <v>2965</v>
      </c>
      <c r="C335" s="560"/>
      <c r="D335" s="560"/>
      <c r="E335" s="561"/>
    </row>
    <row r="336" spans="2:5" ht="20" customHeight="1" x14ac:dyDescent="0.2">
      <c r="B336" s="336"/>
      <c r="C336" s="337"/>
      <c r="D336" s="337"/>
      <c r="E336" s="338"/>
    </row>
    <row r="337" spans="2:5" ht="20" customHeight="1" x14ac:dyDescent="0.2">
      <c r="B337" s="63" t="s">
        <v>18</v>
      </c>
      <c r="C337" s="63" t="s">
        <v>19</v>
      </c>
      <c r="D337" s="63" t="s">
        <v>20</v>
      </c>
      <c r="E337" s="63" t="s">
        <v>21</v>
      </c>
    </row>
    <row r="338" spans="2:5" ht="20" customHeight="1" x14ac:dyDescent="0.2">
      <c r="B338" s="4" t="s">
        <v>262</v>
      </c>
      <c r="C338" s="153" t="str">
        <f>CONCATENATE(other_instance,"-m01-vc01.",other_instance,".rainpole.io")</f>
        <v>lax-m01-vc01.lax.rainpole.io</v>
      </c>
      <c r="D338" s="66"/>
      <c r="E338" s="4"/>
    </row>
    <row r="339" spans="2:5" ht="20" customHeight="1" x14ac:dyDescent="0.2">
      <c r="B339" s="4" t="s">
        <v>264</v>
      </c>
      <c r="C339" s="109" t="str">
        <f>IF(mgmt_dpg_reuse_result="Included",CONCATENATE(prefix_other_region_az1_cidr,"10.70"),CONCATENATE(prefix_other_region_az1_cidr,"11.70"))</f>
        <v>10.21.10.70</v>
      </c>
      <c r="D339" s="66"/>
      <c r="E339" s="4"/>
    </row>
    <row r="340" spans="2:5" ht="20" customHeight="1" x14ac:dyDescent="0.2">
      <c r="B340" s="4" t="s">
        <v>265</v>
      </c>
      <c r="C340" s="153" t="str">
        <f>CONCATENATE(this_instance,"-w0",wld_domain_number_chosen,"-cl01-vsw01")</f>
        <v>sfo-w01-cl01-vsw01</v>
      </c>
      <c r="D340" s="66"/>
      <c r="E340" s="4"/>
    </row>
    <row r="341" spans="2:5" ht="20" customHeight="1" x14ac:dyDescent="0.2">
      <c r="B341" s="4" t="s">
        <v>266</v>
      </c>
      <c r="C341" s="65" t="str">
        <f>CONCATENATE(other_instance,"-m01-cl01")</f>
        <v>lax-m01-cl01</v>
      </c>
      <c r="D341" s="66"/>
      <c r="E341" s="4"/>
    </row>
    <row r="342" spans="2:5" ht="20" customHeight="1" x14ac:dyDescent="0.2">
      <c r="B342" s="4" t="s">
        <v>267</v>
      </c>
      <c r="C342" s="65" t="str">
        <f>CONCATENATE(other_instance,"-fd-mgmt")</f>
        <v>lax-fd-mgmt</v>
      </c>
      <c r="D342" s="66"/>
      <c r="E342" s="4"/>
    </row>
    <row r="343" spans="2:5" ht="20" customHeight="1" x14ac:dyDescent="0.2">
      <c r="B343" s="4" t="s">
        <v>268</v>
      </c>
      <c r="C343" s="65" t="str">
        <f>CONCATENATE(other_instance,"-m01-cl01-ds-vsan01")</f>
        <v>lax-m01-cl01-ds-vsan01</v>
      </c>
      <c r="D343" s="66"/>
      <c r="E343" s="4"/>
    </row>
    <row r="344" spans="2:5" ht="20" customHeight="1" x14ac:dyDescent="0.2">
      <c r="B344" s="4" t="s">
        <v>269</v>
      </c>
      <c r="C344" s="65" t="str">
        <f>CONCATENATE(other_instance,"01-m01-cl01-vds01-pg-vm-mgmt")</f>
        <v>lax01-m01-cl01-vds01-pg-vm-mgmt</v>
      </c>
      <c r="D344" s="66"/>
      <c r="E344" s="4"/>
    </row>
    <row r="345" spans="2:5" ht="20" customHeight="1" x14ac:dyDescent="0.2">
      <c r="B345" s="4" t="s">
        <v>270</v>
      </c>
      <c r="C345" s="65" t="str">
        <f>sample_wld_witness_mgmt_pg</f>
        <v>lax01-m01-cl01-vds01-pg-vm-mgmt</v>
      </c>
      <c r="D345" s="210" t="str">
        <f>wld_witness_mgmt_pg</f>
        <v>Value Missing</v>
      </c>
      <c r="E345" s="4"/>
    </row>
    <row r="346" spans="2:5" ht="20" customHeight="1" x14ac:dyDescent="0.2">
      <c r="B346" s="4" t="s">
        <v>271</v>
      </c>
      <c r="C346" s="65" t="s">
        <v>31</v>
      </c>
      <c r="D346" s="156"/>
      <c r="E346" s="8" t="s">
        <v>848</v>
      </c>
    </row>
    <row r="347" spans="2:5" ht="20" customHeight="1" x14ac:dyDescent="0.2">
      <c r="B347" s="4" t="s">
        <v>849</v>
      </c>
      <c r="C347" s="153" t="str">
        <f>IF(mgmt_dpg_reuse_result="Included",CONCATENATE(prefix_other_region_az1_cidr,"10.",(218 + wld_domain_number_chosen)),CONCATENATE(prefix_other_region_az1_cidr,"11.",(218 + wld_domain_number_chosen)))</f>
        <v>10.21.10.219</v>
      </c>
      <c r="D347" s="66"/>
      <c r="E347" s="4"/>
    </row>
    <row r="348" spans="2:5" ht="20" customHeight="1" x14ac:dyDescent="0.2">
      <c r="B348" s="4" t="s">
        <v>274</v>
      </c>
      <c r="C348" s="65" t="s">
        <v>126</v>
      </c>
      <c r="D348" s="66"/>
      <c r="E348" s="4"/>
    </row>
    <row r="349" spans="2:5" ht="20" customHeight="1" x14ac:dyDescent="0.2">
      <c r="B349" s="4" t="s">
        <v>180</v>
      </c>
      <c r="C349" s="65" t="str">
        <f>sample_wld_witnessaz_mgmt_gateway_ip</f>
        <v>10.21.10.1</v>
      </c>
      <c r="D349" s="8" t="str">
        <f>wld_witnessaz_mgmt_gateway_ip</f>
        <v>Value Missing</v>
      </c>
      <c r="E349" s="4"/>
    </row>
    <row r="350" spans="2:5" ht="20" customHeight="1" x14ac:dyDescent="0.2">
      <c r="B350" s="4" t="s">
        <v>275</v>
      </c>
      <c r="C350" s="65" t="str">
        <f>sample_child_dns_zone</f>
        <v>sfo.rainpole.io</v>
      </c>
      <c r="D350" s="66"/>
      <c r="E350" s="4"/>
    </row>
    <row r="351" spans="2:5" ht="20" customHeight="1" x14ac:dyDescent="0.2">
      <c r="B351" s="4" t="s">
        <v>276</v>
      </c>
      <c r="C351" s="65" t="str">
        <f>sample_wld_witness_hostname</f>
        <v>sfo-w01-cl01-vsw01</v>
      </c>
      <c r="D351" s="8" t="str">
        <f>wld_witness_hostname</f>
        <v>Value Missing</v>
      </c>
      <c r="E351" s="4"/>
    </row>
    <row r="352" spans="2:5" ht="20" customHeight="1" x14ac:dyDescent="0.2">
      <c r="B352" s="4" t="s">
        <v>277</v>
      </c>
      <c r="C352" s="65" t="str">
        <f>IF(mgmt_dpg_reuse_result="Included",CONCATENATE(prefix_other_region_az1_cidr,"10.4"),CONCATENATE(prefix_other_region_az1_cidr,"11.4"))</f>
        <v>10.21.10.4</v>
      </c>
      <c r="D352" s="66"/>
      <c r="E352" s="42"/>
    </row>
    <row r="353" spans="2:5" ht="20" customHeight="1" x14ac:dyDescent="0.2">
      <c r="B353" s="4" t="s">
        <v>279</v>
      </c>
      <c r="C353" s="65" t="str">
        <f>IF(mgmt_dpg_reuse_result="Included",CONCATENATE(prefix_other_region_az1_cidr,"10.5"),CONCATENATE(prefix_other_region_az1_cidr,"11.5"))</f>
        <v>10.21.10.5</v>
      </c>
      <c r="D353" s="66"/>
      <c r="E353" s="42"/>
    </row>
    <row r="354" spans="2:5" ht="20" customHeight="1" x14ac:dyDescent="0.2">
      <c r="B354" s="4" t="s">
        <v>281</v>
      </c>
      <c r="C354" s="65" t="str">
        <f>CONCATENATE("ntp0.",other_instance,".rainpole.io")</f>
        <v>ntp0.lax.rainpole.io</v>
      </c>
      <c r="D354" s="66"/>
      <c r="E354" s="4"/>
    </row>
    <row r="355" spans="2:5" ht="20" customHeight="1" x14ac:dyDescent="0.2">
      <c r="B355" s="4" t="s">
        <v>282</v>
      </c>
      <c r="C355" s="65" t="str">
        <f>CONCATENATE("ntp1.",other_instance,".rainpole.io")</f>
        <v>ntp1.lax.rainpole.io</v>
      </c>
      <c r="D355" s="66"/>
      <c r="E355" s="4"/>
    </row>
    <row r="356" spans="2:5" ht="20" customHeight="1" x14ac:dyDescent="0.2">
      <c r="B356" s="553" t="s">
        <v>283</v>
      </c>
      <c r="C356" s="554"/>
      <c r="D356" s="554"/>
      <c r="E356" s="555"/>
    </row>
    <row r="357" spans="2:5" ht="20" customHeight="1" x14ac:dyDescent="0.2">
      <c r="B357" s="63" t="s">
        <v>18</v>
      </c>
      <c r="C357" s="63" t="s">
        <v>19</v>
      </c>
      <c r="D357" s="63" t="s">
        <v>20</v>
      </c>
      <c r="E357" s="63" t="s">
        <v>21</v>
      </c>
    </row>
    <row r="358" spans="2:5" ht="20" customHeight="1" x14ac:dyDescent="0.2">
      <c r="B358" s="4" t="s">
        <v>262</v>
      </c>
      <c r="C358" s="65" t="str">
        <f>sample_wld_vc_fqdn</f>
        <v>sfo-w01-vc01.sfo.rainpole.io</v>
      </c>
      <c r="D358" s="8" t="str">
        <f>wld_vc_fqdn</f>
        <v>Value Missing</v>
      </c>
      <c r="E358" s="4"/>
    </row>
    <row r="359" spans="2:5" ht="20" customHeight="1" x14ac:dyDescent="0.2">
      <c r="B359" s="4" t="s">
        <v>284</v>
      </c>
      <c r="C359" s="65" t="str">
        <f>CONCATENATE(this_instance,"-w0",wld_domain_number_chosen,"-dc")</f>
        <v>sfo-w01-dc</v>
      </c>
      <c r="D359" s="66"/>
      <c r="E359" s="4"/>
    </row>
    <row r="360" spans="2:5" ht="20" customHeight="1" x14ac:dyDescent="0.2">
      <c r="B360" s="4" t="s">
        <v>39</v>
      </c>
      <c r="C360" s="65" t="str">
        <f>CONCATENATE(sample_wld_witness_hostname,".",sample_child_dns_zone)</f>
        <v>sfo-w01-cl01-vsw01.sfo.rainpole.io</v>
      </c>
      <c r="D360" s="66"/>
      <c r="E360" s="4"/>
    </row>
    <row r="361" spans="2:5" ht="20" customHeight="1" x14ac:dyDescent="0.2">
      <c r="B361" s="4" t="s">
        <v>285</v>
      </c>
      <c r="C361" s="65" t="str">
        <f>sample_wld_witness_root_password</f>
        <v>VMw@re1!</v>
      </c>
      <c r="D361" s="8" t="str">
        <f>wld_witness_root_password</f>
        <v>Value Missing</v>
      </c>
      <c r="E361" s="4"/>
    </row>
    <row r="362" spans="2:5" ht="20" customHeight="1" x14ac:dyDescent="0.2">
      <c r="B362" s="553" t="s">
        <v>286</v>
      </c>
      <c r="C362" s="554"/>
      <c r="D362" s="554"/>
      <c r="E362" s="555"/>
    </row>
    <row r="363" spans="2:5" ht="20" customHeight="1" x14ac:dyDescent="0.2">
      <c r="B363" s="63" t="s">
        <v>18</v>
      </c>
      <c r="C363" s="63" t="s">
        <v>19</v>
      </c>
      <c r="D363" s="63" t="s">
        <v>20</v>
      </c>
      <c r="E363" s="63" t="s">
        <v>21</v>
      </c>
    </row>
    <row r="364" spans="2:5" ht="20" customHeight="1" x14ac:dyDescent="0.2">
      <c r="B364" s="4" t="s">
        <v>262</v>
      </c>
      <c r="C364" s="65" t="str">
        <f>sample_wld_vc_fqdn</f>
        <v>sfo-w01-vc01.sfo.rainpole.io</v>
      </c>
      <c r="D364" s="8" t="str">
        <f>wld_vc_fqdn</f>
        <v>Value Missing</v>
      </c>
      <c r="E364" s="4"/>
    </row>
    <row r="365" spans="2:5" ht="20" customHeight="1" x14ac:dyDescent="0.2">
      <c r="B365" s="4" t="s">
        <v>287</v>
      </c>
      <c r="C365" s="65" t="str">
        <f>sample_wld_witness_hostname</f>
        <v>sfo-w01-cl01-vsw01</v>
      </c>
      <c r="D365" s="8" t="str">
        <f>wld_witness_hostname</f>
        <v>Value Missing</v>
      </c>
      <c r="E365" s="4"/>
    </row>
    <row r="366" spans="2:5" ht="20" customHeight="1" x14ac:dyDescent="0.2">
      <c r="B366" s="4" t="s">
        <v>288</v>
      </c>
      <c r="C366" s="65" t="str">
        <f>IF(AND((NOT(ISBLANK(sample_mgmt_witness_ntp2_server))),(sample_mgmt_witness_ntp2_server &lt;&gt; "n/a")),CONCATENATE(sample_mgmt_witness_ntp1_server,",",sample_mgmt_witness_ntp2_server),sample_mgmt_witness_ntp1_server)</f>
        <v>ntp0.sfo.rainpole.io,ntp1.sfo.rainpole.io</v>
      </c>
      <c r="D366" s="8" t="str">
        <f>IF(AND((NOT(ISBLANK(witness_ntp2_server))),(witness_ntp2_server&lt;&gt;"n/a"),(witness_ntp2_server&lt;&gt;"")),CONCATENATE(witness_ntp1_server,",",witness_ntp2_server,witness_ntp1_server))</f>
        <v>Value Missing,Value MissingValue Missing</v>
      </c>
      <c r="E366" s="42"/>
    </row>
    <row r="367" spans="2:5" ht="20" customHeight="1" x14ac:dyDescent="0.2">
      <c r="B367" s="553" t="s">
        <v>289</v>
      </c>
      <c r="C367" s="554"/>
      <c r="D367" s="554"/>
      <c r="E367" s="555"/>
    </row>
    <row r="368" spans="2:5" ht="20" customHeight="1" x14ac:dyDescent="0.2">
      <c r="B368" s="63" t="s">
        <v>18</v>
      </c>
      <c r="C368" s="63" t="s">
        <v>19</v>
      </c>
      <c r="D368" s="63" t="s">
        <v>20</v>
      </c>
      <c r="E368" s="63" t="s">
        <v>21</v>
      </c>
    </row>
    <row r="369" spans="2:5" ht="20" customHeight="1" x14ac:dyDescent="0.2">
      <c r="B369" s="4" t="s">
        <v>262</v>
      </c>
      <c r="C369" s="65" t="str">
        <f>sample_wld_vc_fqdn</f>
        <v>sfo-w01-vc01.sfo.rainpole.io</v>
      </c>
      <c r="D369" s="8" t="str">
        <f>mgmt_vc_fqdn</f>
        <v>Value Missing</v>
      </c>
      <c r="E369" s="4"/>
    </row>
    <row r="370" spans="2:5" ht="20" customHeight="1" x14ac:dyDescent="0.2">
      <c r="B370" s="4" t="s">
        <v>284</v>
      </c>
      <c r="C370" s="65" t="str">
        <f>sample_wld_datacenter</f>
        <v>sfo-w01-dc</v>
      </c>
      <c r="D370" s="8" t="str">
        <f>wld_datacenter</f>
        <v>Value Missing</v>
      </c>
      <c r="E370" s="4"/>
    </row>
    <row r="371" spans="2:5" ht="20" customHeight="1" x14ac:dyDescent="0.2">
      <c r="B371" s="4" t="s">
        <v>291</v>
      </c>
      <c r="C371" s="65" t="str">
        <f>sample_wld_witness_hostname</f>
        <v>sfo-w01-cl01-vsw01</v>
      </c>
      <c r="D371" s="8" t="str">
        <f>wld_witness_hostname</f>
        <v>Value Missing</v>
      </c>
      <c r="E371" s="4"/>
    </row>
    <row r="372" spans="2:5" ht="20" customHeight="1" x14ac:dyDescent="0.2">
      <c r="B372" s="97"/>
      <c r="C372" s="343"/>
      <c r="D372" s="102"/>
      <c r="E372" s="97"/>
    </row>
    <row r="373" spans="2:5" ht="34" customHeight="1" x14ac:dyDescent="0.2">
      <c r="B373" s="559" t="s">
        <v>2964</v>
      </c>
      <c r="C373" s="560"/>
      <c r="D373" s="560"/>
      <c r="E373" s="561"/>
    </row>
    <row r="374" spans="2:5" ht="20" customHeight="1" x14ac:dyDescent="0.2">
      <c r="B374" s="336"/>
      <c r="C374" s="337"/>
      <c r="D374" s="337"/>
      <c r="E374" s="338"/>
    </row>
    <row r="375" spans="2:5" ht="20" customHeight="1" x14ac:dyDescent="0.2">
      <c r="B375" s="63" t="s">
        <v>18</v>
      </c>
      <c r="C375" s="63" t="s">
        <v>19</v>
      </c>
      <c r="D375" s="63" t="s">
        <v>20</v>
      </c>
      <c r="E375" s="63" t="s">
        <v>21</v>
      </c>
    </row>
    <row r="376" spans="2:5" ht="20" customHeight="1" x14ac:dyDescent="0.2">
      <c r="B376" s="28" t="str">
        <f t="array" ref="B376:B391">wld_az2_host_fqdns</f>
        <v>Value Missing</v>
      </c>
      <c r="C376" s="65" t="s">
        <v>293</v>
      </c>
      <c r="D376" s="66"/>
      <c r="E376" s="8" t="s">
        <v>3667</v>
      </c>
    </row>
    <row r="377" spans="2:5" ht="20" customHeight="1" x14ac:dyDescent="0.2">
      <c r="B377" s="4" t="str">
        <v>Value Missing</v>
      </c>
      <c r="C377" s="65" t="s">
        <v>295</v>
      </c>
      <c r="D377" s="66"/>
      <c r="E377" s="8" t="s">
        <v>3667</v>
      </c>
    </row>
    <row r="378" spans="2:5" ht="20" customHeight="1" x14ac:dyDescent="0.2">
      <c r="B378" s="4" t="str">
        <v>Value Missing</v>
      </c>
      <c r="C378" s="65" t="s">
        <v>297</v>
      </c>
      <c r="D378" s="66"/>
      <c r="E378" s="8" t="s">
        <v>3667</v>
      </c>
    </row>
    <row r="379" spans="2:5" ht="20" customHeight="1" x14ac:dyDescent="0.2">
      <c r="B379" s="4" t="str">
        <v>Value Missing</v>
      </c>
      <c r="C379" s="65" t="s">
        <v>299</v>
      </c>
      <c r="D379" s="66"/>
      <c r="E379" s="8" t="s">
        <v>3667</v>
      </c>
    </row>
    <row r="380" spans="2:5" ht="20" customHeight="1" x14ac:dyDescent="0.2">
      <c r="B380" s="4" t="str">
        <v>Value Missing</v>
      </c>
      <c r="C380" s="65" t="s">
        <v>850</v>
      </c>
      <c r="D380" s="66"/>
      <c r="E380" s="8"/>
    </row>
    <row r="381" spans="2:5" ht="20" customHeight="1" x14ac:dyDescent="0.2">
      <c r="B381" s="4" t="str">
        <v>Value Missing</v>
      </c>
      <c r="C381" s="65" t="s">
        <v>851</v>
      </c>
      <c r="D381" s="66"/>
      <c r="E381" s="8"/>
    </row>
    <row r="382" spans="2:5" ht="20" customHeight="1" x14ac:dyDescent="0.2">
      <c r="B382" s="4" t="str">
        <v>Value Missing</v>
      </c>
      <c r="C382" s="65" t="s">
        <v>852</v>
      </c>
      <c r="D382" s="66"/>
      <c r="E382" s="8"/>
    </row>
    <row r="383" spans="2:5" ht="20" customHeight="1" x14ac:dyDescent="0.2">
      <c r="B383" s="4" t="str">
        <v>Value Missing</v>
      </c>
      <c r="C383" s="65" t="s">
        <v>853</v>
      </c>
      <c r="D383" s="66"/>
      <c r="E383" s="8"/>
    </row>
    <row r="384" spans="2:5" ht="20" customHeight="1" x14ac:dyDescent="0.2">
      <c r="B384" s="4" t="str">
        <v>Value Missing</v>
      </c>
      <c r="C384" s="65" t="s">
        <v>854</v>
      </c>
      <c r="D384" s="66"/>
      <c r="E384" s="8"/>
    </row>
    <row r="385" spans="2:5" ht="20" customHeight="1" x14ac:dyDescent="0.2">
      <c r="B385" s="4" t="str">
        <v>Value Missing</v>
      </c>
      <c r="C385" s="65" t="s">
        <v>855</v>
      </c>
      <c r="D385" s="66"/>
      <c r="E385" s="8"/>
    </row>
    <row r="386" spans="2:5" ht="20" customHeight="1" x14ac:dyDescent="0.2">
      <c r="B386" s="4" t="str">
        <v>Value Missing</v>
      </c>
      <c r="C386" s="65" t="s">
        <v>856</v>
      </c>
      <c r="D386" s="66"/>
      <c r="E386" s="8"/>
    </row>
    <row r="387" spans="2:5" ht="20" customHeight="1" x14ac:dyDescent="0.2">
      <c r="B387" s="4" t="str">
        <v>Value Missing</v>
      </c>
      <c r="C387" s="65" t="s">
        <v>857</v>
      </c>
      <c r="D387" s="66"/>
      <c r="E387" s="8"/>
    </row>
    <row r="388" spans="2:5" ht="20" customHeight="1" x14ac:dyDescent="0.2">
      <c r="B388" s="4" t="str">
        <v>Value Missing</v>
      </c>
      <c r="C388" s="65" t="s">
        <v>858</v>
      </c>
      <c r="D388" s="66"/>
      <c r="E388" s="8"/>
    </row>
    <row r="389" spans="2:5" ht="20" customHeight="1" x14ac:dyDescent="0.2">
      <c r="B389" s="4" t="str">
        <v>Value Missing</v>
      </c>
      <c r="C389" s="65" t="s">
        <v>859</v>
      </c>
      <c r="D389" s="66"/>
      <c r="E389" s="8"/>
    </row>
    <row r="390" spans="2:5" ht="20" customHeight="1" x14ac:dyDescent="0.2">
      <c r="B390" s="4" t="str">
        <v>Value Missing</v>
      </c>
      <c r="C390" s="65" t="s">
        <v>860</v>
      </c>
      <c r="D390" s="66"/>
      <c r="E390" s="8"/>
    </row>
    <row r="391" spans="2:5" ht="20" customHeight="1" x14ac:dyDescent="0.2">
      <c r="B391" s="4" t="str">
        <v>Value Missing</v>
      </c>
      <c r="C391" s="65" t="s">
        <v>861</v>
      </c>
      <c r="D391" s="66"/>
      <c r="E391" s="8"/>
    </row>
    <row r="392" spans="2:5" ht="20" customHeight="1" x14ac:dyDescent="0.2">
      <c r="B392" s="4" t="s">
        <v>325</v>
      </c>
      <c r="C392" s="65" t="str">
        <f>CONCATENATE(this_instance,"02-",sample_wld_cl01_cluster,"-r01-network-profile")</f>
        <v>sfo02-sfo-w01-cl01-r01-network-profile</v>
      </c>
      <c r="D392" s="66"/>
      <c r="E392" s="211"/>
    </row>
    <row r="393" spans="2:5" ht="20" customHeight="1" x14ac:dyDescent="0.2">
      <c r="B393" s="4" t="s">
        <v>326</v>
      </c>
      <c r="C393" s="65" t="s">
        <v>327</v>
      </c>
      <c r="D393" s="66" t="s">
        <v>327</v>
      </c>
      <c r="E393" s="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94" spans="2:5" ht="20" customHeight="1" x14ac:dyDescent="0.2">
      <c r="B394" s="4" t="s">
        <v>328</v>
      </c>
      <c r="C394" s="65" t="str">
        <f>CONCATENATE(this_instance,"02-w0",wld_domain_number_chosen,"-r01-ip-pool01-host")</f>
        <v>sfo02-w01-r01-ip-pool01-host</v>
      </c>
      <c r="D394" s="66"/>
      <c r="E394" s="4"/>
    </row>
    <row r="395" spans="2:5" ht="20" customHeight="1" x14ac:dyDescent="0.2">
      <c r="B395" s="4" t="s">
        <v>329</v>
      </c>
      <c r="C395" s="65" t="str">
        <f>CONCATENATE(this_instance,"02-w0",wld_domain_number_chosen,"-r01-uplink-profile01")</f>
        <v>sfo02-w01-r01-uplink-profile01</v>
      </c>
      <c r="D395" s="66"/>
      <c r="E395" s="4"/>
    </row>
    <row r="396" spans="2:5" ht="20" customHeight="1" x14ac:dyDescent="0.2">
      <c r="B396" s="23" t="s">
        <v>330</v>
      </c>
      <c r="C396" s="65" t="str">
        <f>CONCATENATE(prefix_wld_az2_vlan,"14")</f>
        <v>1414</v>
      </c>
      <c r="D396" s="66"/>
      <c r="E396" s="4"/>
    </row>
    <row r="397" spans="2:5" ht="20" customHeight="1" x14ac:dyDescent="0.2">
      <c r="B397" s="4" t="s">
        <v>331</v>
      </c>
      <c r="C397" s="103" t="str">
        <f>CONCATENATE(prefix_wld_az2_cidr,"14.1")</f>
        <v>10.14.14.1</v>
      </c>
      <c r="D397" s="66"/>
      <c r="E397" s="42" t="str">
        <f>IF(AND(mgmt_stretched_cluster_result="Included",mgmt_dpg_reuse_result="Excluded"),"Stretched L2","")</f>
        <v/>
      </c>
    </row>
    <row r="398" spans="2:5" ht="20" customHeight="1" x14ac:dyDescent="0.2">
      <c r="B398" s="4" t="s">
        <v>332</v>
      </c>
      <c r="C398" s="103" t="str">
        <f>CONCATENATE(prefix_wld_az2_cidr,"14.0/24")</f>
        <v>10.14.14.0/24</v>
      </c>
      <c r="D398" s="66"/>
      <c r="E398" s="42"/>
    </row>
    <row r="399" spans="2:5" ht="20" customHeight="1" x14ac:dyDescent="0.2">
      <c r="B399" s="4" t="s">
        <v>333</v>
      </c>
      <c r="C399" s="103">
        <v>9000</v>
      </c>
      <c r="D399" s="66"/>
      <c r="E399" s="80"/>
    </row>
    <row r="400" spans="2:5" ht="20" customHeight="1" x14ac:dyDescent="0.2">
      <c r="B400" s="23" t="s">
        <v>244</v>
      </c>
      <c r="C400" s="103" t="str">
        <f>CONCATENATE(prefix_wld_az2_cidr,"14.101")</f>
        <v>10.14.14.101</v>
      </c>
      <c r="D400" s="66"/>
      <c r="E400" s="80"/>
    </row>
    <row r="401" spans="2:5" ht="20" customHeight="1" x14ac:dyDescent="0.2">
      <c r="B401" s="23" t="s">
        <v>245</v>
      </c>
      <c r="C401" s="103" t="str">
        <f>CONCATENATE(prefix_wld_az2_cidr,"14.132")</f>
        <v>10.14.14.132</v>
      </c>
      <c r="D401" s="66"/>
      <c r="E401" s="80"/>
    </row>
    <row r="402" spans="2:5" ht="20" customHeight="1" x14ac:dyDescent="0.2">
      <c r="B402" s="4" t="s">
        <v>862</v>
      </c>
      <c r="C402" s="65" t="str">
        <f>sample_wld_witness_fqdn</f>
        <v>sfo-w01-cl01-vsw01.sfo.rainpole.io</v>
      </c>
      <c r="D402" s="8" t="str">
        <f>wld_witness_fqdn</f>
        <v>Value Missing</v>
      </c>
      <c r="E402" s="4"/>
    </row>
    <row r="403" spans="2:5" ht="20" customHeight="1" x14ac:dyDescent="0.2">
      <c r="B403" s="4" t="s">
        <v>338</v>
      </c>
      <c r="C403" s="65" t="str">
        <f>sample_wld_witnessaz_mgmt_cidr</f>
        <v>10.21.10.0/24</v>
      </c>
      <c r="D403" s="8" t="str">
        <f>wld_witnessaz_mgmt_cidr</f>
        <v>Value Missing</v>
      </c>
      <c r="E403" s="4"/>
    </row>
    <row r="404" spans="2:5" ht="20" customHeight="1" x14ac:dyDescent="0.2">
      <c r="B404" s="4" t="s">
        <v>336</v>
      </c>
      <c r="C404" s="65" t="str">
        <f>sample_wld_witness_ip</f>
        <v>10.21.10.219</v>
      </c>
      <c r="D404" s="8" t="str">
        <f>wld_witness_mgmt_ip</f>
        <v>Value Missing</v>
      </c>
      <c r="E404" s="4"/>
    </row>
    <row r="405" spans="2:5" ht="20" customHeight="1" x14ac:dyDescent="0.2">
      <c r="B405" s="4" t="s">
        <v>341</v>
      </c>
      <c r="C405" s="65" t="s">
        <v>340</v>
      </c>
      <c r="D405" s="66"/>
      <c r="E405" s="8"/>
    </row>
    <row r="406" spans="2:5" ht="20" customHeight="1" x14ac:dyDescent="0.2">
      <c r="B406" s="468"/>
      <c r="C406" s="468"/>
      <c r="D406" s="468"/>
      <c r="E406" s="468"/>
    </row>
    <row r="407" spans="2:5" ht="34" customHeight="1" x14ac:dyDescent="0.2">
      <c r="B407" s="559" t="s">
        <v>2963</v>
      </c>
      <c r="C407" s="560"/>
      <c r="D407" s="560"/>
      <c r="E407" s="561"/>
    </row>
    <row r="408" spans="2:5" ht="20" customHeight="1" x14ac:dyDescent="0.2">
      <c r="B408" s="339" t="s">
        <v>342</v>
      </c>
      <c r="C408" s="340"/>
      <c r="D408" s="340"/>
      <c r="E408" s="340"/>
    </row>
    <row r="409" spans="2:5" ht="20" customHeight="1" x14ac:dyDescent="0.2">
      <c r="B409" s="63" t="s">
        <v>18</v>
      </c>
      <c r="C409" s="63" t="s">
        <v>19</v>
      </c>
      <c r="D409" s="63" t="s">
        <v>20</v>
      </c>
      <c r="E409" s="63" t="s">
        <v>21</v>
      </c>
    </row>
    <row r="410" spans="2:5" ht="20" customHeight="1" x14ac:dyDescent="0.2">
      <c r="B410" s="4" t="s">
        <v>343</v>
      </c>
      <c r="C410" s="65" t="str">
        <f>sample_wld_nsxt_vip_fqdn</f>
        <v>sfo-w01-nsx01.sfo.rainpole.io</v>
      </c>
      <c r="D410" s="8" t="str">
        <f>wld_nsxt_vip_fqdn</f>
        <v>Value Missing</v>
      </c>
      <c r="E410" s="4" t="str">
        <f>IF(wld_bgp_chosen&lt;&gt;"Centralized Connectivity", "These sections are masked out as NSX connectivity has not be configured or selected in Post-Deployment Options","")</f>
        <v>These sections are masked out as NSX connectivity has not be configured or selected in Post-Deployment Options</v>
      </c>
    </row>
    <row r="411" spans="2:5" ht="20" customHeight="1" x14ac:dyDescent="0.2">
      <c r="B411" s="604" t="s">
        <v>344</v>
      </c>
      <c r="C411" s="592"/>
      <c r="D411" s="592"/>
      <c r="E411" s="592"/>
    </row>
    <row r="412" spans="2:5" ht="20" customHeight="1" x14ac:dyDescent="0.2">
      <c r="B412" s="63" t="s">
        <v>18</v>
      </c>
      <c r="C412" s="63" t="s">
        <v>19</v>
      </c>
      <c r="D412" s="63" t="s">
        <v>20</v>
      </c>
      <c r="E412" s="63" t="s">
        <v>21</v>
      </c>
    </row>
    <row r="413" spans="2:5" ht="20" customHeight="1" x14ac:dyDescent="0.2">
      <c r="B413" s="4" t="s">
        <v>343</v>
      </c>
      <c r="C413" s="65" t="str">
        <f>sample_wld_nsxt_vip_fqdn</f>
        <v>sfo-w01-nsx01.sfo.rainpole.io</v>
      </c>
      <c r="D413" s="8" t="str">
        <f>wld_nsxt_vip_fqdn</f>
        <v>Value Missing</v>
      </c>
      <c r="E413" s="4"/>
    </row>
    <row r="414" spans="2:5" ht="20" customHeight="1" x14ac:dyDescent="0.2">
      <c r="B414" s="4" t="s">
        <v>345</v>
      </c>
      <c r="C414" s="65" t="str">
        <f>sample_wld_en_asn</f>
        <v>65102</v>
      </c>
      <c r="D414" s="8" t="str">
        <f>wld_en_asn</f>
        <v>Value Missing</v>
      </c>
      <c r="E414" s="4"/>
    </row>
    <row r="415" spans="2:5" ht="20" customHeight="1" x14ac:dyDescent="0.2">
      <c r="B415" s="604" t="s">
        <v>346</v>
      </c>
      <c r="C415" s="592"/>
      <c r="D415" s="592"/>
      <c r="E415" s="592"/>
    </row>
    <row r="416" spans="2:5" ht="20" customHeight="1" x14ac:dyDescent="0.2">
      <c r="B416" s="63" t="s">
        <v>18</v>
      </c>
      <c r="C416" s="63" t="s">
        <v>19</v>
      </c>
      <c r="D416" s="63" t="s">
        <v>20</v>
      </c>
      <c r="E416" s="63" t="s">
        <v>21</v>
      </c>
    </row>
    <row r="417" spans="2:5" ht="20" customHeight="1" x14ac:dyDescent="0.2">
      <c r="B417" s="4" t="s">
        <v>343</v>
      </c>
      <c r="C417" s="65" t="str">
        <f>sample_wld_nsxt_vip_fqdn</f>
        <v>sfo-w01-nsx01.sfo.rainpole.io</v>
      </c>
      <c r="D417" s="8" t="str">
        <f>wld_nsxt_vip_fqdn</f>
        <v>Value Missing</v>
      </c>
      <c r="E417" s="4"/>
    </row>
    <row r="418" spans="2:5" ht="20" customHeight="1" x14ac:dyDescent="0.2">
      <c r="B418" s="4" t="s">
        <v>347</v>
      </c>
      <c r="C418" s="103" t="str">
        <f>CONCATENATE(prefix_wld_az1_cidr,"17.11")</f>
        <v>10.13.17.11</v>
      </c>
      <c r="D418" s="66"/>
      <c r="E418" s="4"/>
    </row>
    <row r="419" spans="2:5" ht="20" customHeight="1" x14ac:dyDescent="0.2">
      <c r="B419" s="4" t="s">
        <v>348</v>
      </c>
      <c r="C419" s="103" t="str">
        <f>CONCATENATE(asn_start,asn_instance,asn_wld_az2,1)</f>
        <v>65141</v>
      </c>
      <c r="D419" s="66"/>
      <c r="E419" s="4"/>
    </row>
    <row r="420" spans="2:5" ht="20" customHeight="1" x14ac:dyDescent="0.2">
      <c r="B420" s="4" t="s">
        <v>349</v>
      </c>
      <c r="C420" s="65" t="str">
        <f>sample_wld_az1_en1_uplink01_interface_cidr</f>
        <v>10.13.17.2/24</v>
      </c>
      <c r="D420" s="8" t="str">
        <f>wld_az1_en1_uplink01_interface_cidr</f>
        <v>Value Missing</v>
      </c>
      <c r="E420" s="4"/>
    </row>
    <row r="421" spans="2:5" ht="20" customHeight="1" x14ac:dyDescent="0.2">
      <c r="B421" s="4" t="s">
        <v>350</v>
      </c>
      <c r="C421" s="65" t="str">
        <f>sample_wld_az1_en2_uplink01_interface_cidr</f>
        <v>10.13.17.3/24</v>
      </c>
      <c r="D421" s="8" t="str">
        <f>wld_az1_en2_uplink01_interface_cidr</f>
        <v>Value Missing</v>
      </c>
      <c r="E421" s="4"/>
    </row>
    <row r="422" spans="2:5" ht="20" customHeight="1" x14ac:dyDescent="0.2">
      <c r="B422" s="4" t="s">
        <v>351</v>
      </c>
      <c r="C422" s="103" t="s">
        <v>31</v>
      </c>
      <c r="D422" s="66"/>
      <c r="E422" s="4"/>
    </row>
    <row r="423" spans="2:5" ht="20" customHeight="1" x14ac:dyDescent="0.2">
      <c r="B423" s="4" t="s">
        <v>352</v>
      </c>
      <c r="C423" s="103" t="str">
        <f>CONCATENATE(prefix_wld_az1_cidr,"18.11")</f>
        <v>10.13.18.11</v>
      </c>
      <c r="D423" s="66"/>
      <c r="E423" s="4"/>
    </row>
    <row r="424" spans="2:5" ht="20" customHeight="1" x14ac:dyDescent="0.2">
      <c r="B424" s="4" t="s">
        <v>353</v>
      </c>
      <c r="C424" s="103" t="str">
        <f>CONCATENATE(asn_start,asn_instance,asn_wld_az2,1)</f>
        <v>65141</v>
      </c>
      <c r="D424" s="66"/>
      <c r="E424" s="4"/>
    </row>
    <row r="425" spans="2:5" ht="20" customHeight="1" x14ac:dyDescent="0.2">
      <c r="B425" s="4" t="s">
        <v>349</v>
      </c>
      <c r="C425" s="65" t="str">
        <f>sample_wld_az1_en1_uplink02_interface_cidr</f>
        <v>10.13.18.2/24</v>
      </c>
      <c r="D425" s="8" t="str">
        <f>wld_az1_en1_uplink02_interface_cidr</f>
        <v>Value Missing</v>
      </c>
      <c r="E425" s="4"/>
    </row>
    <row r="426" spans="2:5" ht="20" customHeight="1" x14ac:dyDescent="0.2">
      <c r="B426" s="4" t="s">
        <v>350</v>
      </c>
      <c r="C426" s="65" t="str">
        <f>sample_wld_az1_en2_uplink02_interface_cidr</f>
        <v>10.13.18.3/24</v>
      </c>
      <c r="D426" s="8" t="str">
        <f>wld_az1_en2_uplink02_interface_cidr</f>
        <v>Value Missing</v>
      </c>
      <c r="E426" s="4"/>
    </row>
    <row r="427" spans="2:5" ht="20" customHeight="1" x14ac:dyDescent="0.2">
      <c r="B427" s="4" t="s">
        <v>351</v>
      </c>
      <c r="C427" s="103" t="s">
        <v>31</v>
      </c>
      <c r="D427" s="66"/>
      <c r="E427" s="4"/>
    </row>
    <row r="428" spans="2:5" ht="16" customHeight="1" x14ac:dyDescent="0.2"/>
    <row r="429" spans="2:5" ht="34" customHeight="1" x14ac:dyDescent="0.2">
      <c r="B429" s="573" t="s">
        <v>817</v>
      </c>
      <c r="C429" s="574"/>
      <c r="D429" s="574"/>
      <c r="E429" s="574"/>
    </row>
    <row r="430" spans="2:5" ht="20" customHeight="1" x14ac:dyDescent="0.2">
      <c r="B430" s="604" t="s">
        <v>354</v>
      </c>
      <c r="C430" s="592"/>
      <c r="D430" s="592"/>
      <c r="E430" s="592"/>
    </row>
    <row r="431" spans="2:5" ht="20" customHeight="1" x14ac:dyDescent="0.2">
      <c r="B431" s="63" t="s">
        <v>18</v>
      </c>
      <c r="C431" s="63" t="s">
        <v>19</v>
      </c>
      <c r="D431" s="63" t="s">
        <v>20</v>
      </c>
      <c r="E431" s="63" t="s">
        <v>21</v>
      </c>
    </row>
    <row r="432" spans="2:5" ht="20" customHeight="1" x14ac:dyDescent="0.2">
      <c r="B432" s="23" t="s">
        <v>355</v>
      </c>
      <c r="C432" s="65" t="str">
        <f>sample_mgmt_vc_fqdn</f>
        <v>sfo-m01-vc01.sfo.rainpole.io</v>
      </c>
      <c r="D432" s="8" t="str">
        <f>mgmt_vc_fqdn</f>
        <v>Value Missing</v>
      </c>
      <c r="E432" s="4"/>
    </row>
    <row r="433" spans="2:5" ht="20" customHeight="1" x14ac:dyDescent="0.2">
      <c r="B433" s="553" t="s">
        <v>356</v>
      </c>
      <c r="C433" s="554"/>
      <c r="D433" s="554"/>
      <c r="E433" s="555"/>
    </row>
    <row r="434" spans="2:5" ht="20" customHeight="1" x14ac:dyDescent="0.2">
      <c r="B434" s="30" t="s">
        <v>863</v>
      </c>
      <c r="C434" s="109" t="str">
        <f>CONCATENATE(this_instance,"-w0",wld_domain_number_chosen,"-nsx-gm01a")</f>
        <v>sfo-w01-nsx-gm01a</v>
      </c>
      <c r="D434" s="66"/>
      <c r="E434" s="4"/>
    </row>
    <row r="435" spans="2:5" ht="20" customHeight="1" x14ac:dyDescent="0.2">
      <c r="B435" s="30" t="s">
        <v>864</v>
      </c>
      <c r="C435" s="65" t="str">
        <f>sample_mgmt_datacenter</f>
        <v>sfo-m01-dc01</v>
      </c>
      <c r="D435" s="8" t="str">
        <f>mgmt_datacenter</f>
        <v>Value Missing</v>
      </c>
      <c r="E435" s="4"/>
    </row>
    <row r="436" spans="2:5" ht="20" customHeight="1" x14ac:dyDescent="0.2">
      <c r="B436" s="30" t="s">
        <v>865</v>
      </c>
      <c r="C436" s="65" t="str">
        <f>sample_mgmt_cl01_cluster</f>
        <v>sfo-m01-cl01</v>
      </c>
      <c r="D436" s="8" t="str">
        <f>mgmt_cl01_cluster</f>
        <v>Value Missing</v>
      </c>
      <c r="E436" s="4"/>
    </row>
    <row r="437" spans="2:5" ht="20" customHeight="1" x14ac:dyDescent="0.2">
      <c r="B437" s="30" t="s">
        <v>866</v>
      </c>
      <c r="C437" s="65" t="s">
        <v>639</v>
      </c>
      <c r="D437" s="66" t="s">
        <v>639</v>
      </c>
      <c r="E437" s="4"/>
    </row>
    <row r="438" spans="2:5" ht="20" customHeight="1" x14ac:dyDescent="0.2">
      <c r="B438" s="30" t="s">
        <v>867</v>
      </c>
      <c r="C438" s="65" t="str">
        <f>sample_mgmt_cl01_vsan_datastore</f>
        <v>sfo-m01-cl01-ds-vsan01</v>
      </c>
      <c r="D438" s="8" t="str">
        <f>mgmt_cl01_vsan_datastore</f>
        <v>Value Missing</v>
      </c>
      <c r="E438" s="4"/>
    </row>
    <row r="439" spans="2:5" ht="20" customHeight="1" x14ac:dyDescent="0.2">
      <c r="B439" s="30" t="s">
        <v>868</v>
      </c>
      <c r="C439" s="65" t="str">
        <f>sample_mgmt_cl01_az1_mgmt_vm_pg</f>
        <v>sfo-m01-cl01-vds01-pg-vm-mgmt</v>
      </c>
      <c r="D439" s="8" t="str">
        <f>mgmt_cl01_az1_mgmt_vm_pg</f>
        <v>Value Missing</v>
      </c>
      <c r="E439" s="4"/>
    </row>
    <row r="440" spans="2:5" ht="20" customHeight="1" x14ac:dyDescent="0.2">
      <c r="B440" s="30" t="s">
        <v>869</v>
      </c>
      <c r="C440" s="65" t="s">
        <v>137</v>
      </c>
      <c r="D440" s="66"/>
      <c r="E440" s="4"/>
    </row>
    <row r="441" spans="2:5" ht="20" customHeight="1" x14ac:dyDescent="0.2">
      <c r="B441" s="30" t="s">
        <v>870</v>
      </c>
      <c r="C441" s="65" t="s">
        <v>137</v>
      </c>
      <c r="D441" s="66"/>
      <c r="E441" s="4"/>
    </row>
    <row r="442" spans="2:5" ht="20" customHeight="1" x14ac:dyDescent="0.2">
      <c r="B442" s="30" t="s">
        <v>871</v>
      </c>
      <c r="C442" s="65" t="s">
        <v>137</v>
      </c>
      <c r="D442" s="66"/>
      <c r="E442" s="4"/>
    </row>
    <row r="443" spans="2:5" ht="20" customHeight="1" x14ac:dyDescent="0.2">
      <c r="B443" s="30" t="s">
        <v>872</v>
      </c>
      <c r="C443" s="65" t="str">
        <f>CONCATENATE(sample_wld_nsxt_global_mgra_hostname,".",sample_child_dns_zone)</f>
        <v>sfo-w01-nsx-gm01a.sfo.rainpole.io</v>
      </c>
      <c r="D443" s="66"/>
      <c r="E443" s="4"/>
    </row>
    <row r="444" spans="2:5" ht="20" customHeight="1" x14ac:dyDescent="0.2">
      <c r="B444" s="30" t="s">
        <v>873</v>
      </c>
      <c r="C444" s="109" t="str">
        <f>IF(mgmt_dpg_reuse_result="Included",CONCATENATE(prefix_mgmt_az1_cidr,"10.",(142 + (30*(wld_domain_number_chosen - 1)))),CONCATENATE(prefix_mgmt_az1_cidr,"11.",(142 + (30*(wld_domain_number_chosen - 1)))))</f>
        <v>10.11.10.142</v>
      </c>
      <c r="D444" s="66"/>
      <c r="E444" s="4"/>
    </row>
    <row r="445" spans="2:5" ht="20" customHeight="1" x14ac:dyDescent="0.2">
      <c r="B445" s="30" t="s">
        <v>874</v>
      </c>
      <c r="C445" s="65" t="s">
        <v>126</v>
      </c>
      <c r="D445" s="8" t="str">
        <f>mgmt_az1_mgmt_vm_mask</f>
        <v>Value Missing</v>
      </c>
      <c r="E445" s="4"/>
    </row>
    <row r="446" spans="2:5" ht="20" customHeight="1" x14ac:dyDescent="0.2">
      <c r="B446" s="30" t="s">
        <v>875</v>
      </c>
      <c r="C446" s="65" t="str">
        <f>sample_mgmt_az1_mgmt_vm_gateway_cidr</f>
        <v>10.11.10.1/24</v>
      </c>
      <c r="D446" s="8" t="str">
        <f>mgmt_az1_mgmt_vm_gateway_ip</f>
        <v>Value Missing</v>
      </c>
      <c r="E446" s="4"/>
    </row>
    <row r="447" spans="2:5" ht="20" customHeight="1" x14ac:dyDescent="0.2">
      <c r="B447" s="30" t="s">
        <v>876</v>
      </c>
      <c r="C447" s="65" t="str">
        <f>CONCATENATE(sample_region_dns1_ip,",",sample_region_dns2_ip)</f>
        <v>10.11.10.4,10.11.10.5</v>
      </c>
      <c r="D447" s="8" t="str">
        <f>IF(ISBLANK(input_region_dns1_ip),"Value Missing",CONCATENATE(region_dns1_ip,",",IF(ISBLANK(input_region_dns2_ip),"Value Missing",region_dns2_ip)))</f>
        <v>Value Missing</v>
      </c>
      <c r="E447" s="4"/>
    </row>
    <row r="448" spans="2:5" ht="20" customHeight="1" x14ac:dyDescent="0.2">
      <c r="B448" s="30" t="s">
        <v>877</v>
      </c>
      <c r="C448" s="65" t="str">
        <f>CONCATENATE(sample_child_dns_zone,",",sample_parent_dns_zone)</f>
        <v>sfo.rainpole.io,rainpole.io</v>
      </c>
      <c r="D448" s="8" t="str">
        <f>child_dns_zone</f>
        <v>Value Missing</v>
      </c>
      <c r="E448" s="4"/>
    </row>
    <row r="449" spans="2:5" ht="20" customHeight="1" x14ac:dyDescent="0.2">
      <c r="B449" s="30" t="s">
        <v>878</v>
      </c>
      <c r="C449" s="65" t="str">
        <f>IF(AND((NOT(ISBLANK(sample_region_ntp2_server))),(sample_region_ntp2_server &lt;&gt; "n/a")),CONCATENATE(sample_region_ntp1_server,",",sample_region_ntp2_server),sample_region_ntp1_server)</f>
        <v>ntp0.sfo.rainpole.io,ntp1.sfo.rainpole.io</v>
      </c>
      <c r="D449" s="8" t="str">
        <f>IF(AND((NOT(ISBLANK(region_ntp2_server))),(region_ntp2_server &lt;&gt; "n/a")),CONCATENATE(region_ntp1_server,",",region_ntp2_server),region_ntp1_server)</f>
        <v>Value Missing,Value Missing</v>
      </c>
      <c r="E449" s="4"/>
    </row>
    <row r="450" spans="2:5" ht="20" customHeight="1" x14ac:dyDescent="0.2">
      <c r="B450" s="553" t="s">
        <v>374</v>
      </c>
      <c r="C450" s="554"/>
      <c r="D450" s="554"/>
      <c r="E450" s="555"/>
    </row>
    <row r="451" spans="2:5" ht="20" customHeight="1" x14ac:dyDescent="0.2">
      <c r="B451" s="30" t="s">
        <v>879</v>
      </c>
      <c r="C451" s="109" t="str">
        <f>CONCATENATE(this_instance,"-w0",wld_domain_number_chosen,"-nsx-gm01b")</f>
        <v>sfo-w01-nsx-gm01b</v>
      </c>
      <c r="D451" s="66"/>
      <c r="E451" s="4"/>
    </row>
    <row r="452" spans="2:5" ht="20" customHeight="1" x14ac:dyDescent="0.2">
      <c r="B452" s="30" t="s">
        <v>880</v>
      </c>
      <c r="C452" s="65" t="str">
        <f>sample_mgmt_datacenter</f>
        <v>sfo-m01-dc01</v>
      </c>
      <c r="D452" s="8" t="str">
        <f>mgmt_datacenter</f>
        <v>Value Missing</v>
      </c>
      <c r="E452" s="4"/>
    </row>
    <row r="453" spans="2:5" ht="20" customHeight="1" x14ac:dyDescent="0.2">
      <c r="B453" s="30" t="s">
        <v>881</v>
      </c>
      <c r="C453" s="65" t="str">
        <f>sample_mgmt_cl01_cluster</f>
        <v>sfo-m01-cl01</v>
      </c>
      <c r="D453" s="8" t="str">
        <f>mgmt_cl01_cluster</f>
        <v>Value Missing</v>
      </c>
      <c r="E453" s="4"/>
    </row>
    <row r="454" spans="2:5" ht="20" customHeight="1" x14ac:dyDescent="0.2">
      <c r="B454" s="30" t="s">
        <v>882</v>
      </c>
      <c r="C454" s="65" t="s">
        <v>639</v>
      </c>
      <c r="D454" s="8" t="str">
        <f>D437</f>
        <v>Large</v>
      </c>
      <c r="E454" s="4"/>
    </row>
    <row r="455" spans="2:5" ht="20" customHeight="1" x14ac:dyDescent="0.2">
      <c r="B455" s="30" t="s">
        <v>883</v>
      </c>
      <c r="C455" s="65" t="str">
        <f>sample_mgmt_cl01_vsan_datastore</f>
        <v>sfo-m01-cl01-ds-vsan01</v>
      </c>
      <c r="D455" s="8" t="str">
        <f>mgmt_cl01_vsan_datastore</f>
        <v>Value Missing</v>
      </c>
      <c r="E455" s="4"/>
    </row>
    <row r="456" spans="2:5" ht="20" customHeight="1" x14ac:dyDescent="0.2">
      <c r="B456" s="30" t="s">
        <v>884</v>
      </c>
      <c r="C456" s="65" t="str">
        <f>sample_mgmt_cl01_az1_mgmt_vm_pg</f>
        <v>sfo-m01-cl01-vds01-pg-vm-mgmt</v>
      </c>
      <c r="D456" s="8" t="str">
        <f>mgmt_cl01_az1_mgmt_vm_pg</f>
        <v>Value Missing</v>
      </c>
      <c r="E456" s="4"/>
    </row>
    <row r="457" spans="2:5" ht="20" customHeight="1" x14ac:dyDescent="0.2">
      <c r="B457" s="30" t="s">
        <v>885</v>
      </c>
      <c r="C457" s="65" t="str">
        <f>sample_wld_nsxt_gm_root_password</f>
        <v>VMw@re1!VMw@re1!</v>
      </c>
      <c r="D457" s="8" t="str">
        <f t="array" ref="D457">wld_nsxt_gm_root_password</f>
        <v>Value Missing</v>
      </c>
      <c r="E457" s="4"/>
    </row>
    <row r="458" spans="2:5" ht="20" customHeight="1" x14ac:dyDescent="0.2">
      <c r="B458" s="30" t="s">
        <v>886</v>
      </c>
      <c r="C458" s="65" t="str">
        <f>sample_wld_nsxt_gm_admin_password</f>
        <v>VMw@re1!VMw@re1!</v>
      </c>
      <c r="D458" s="8" t="str">
        <f t="array" ref="D458">wld_nsxt_gm_admin_password</f>
        <v>Value Missing</v>
      </c>
      <c r="E458" s="4"/>
    </row>
    <row r="459" spans="2:5" ht="20" customHeight="1" x14ac:dyDescent="0.2">
      <c r="B459" s="30" t="s">
        <v>887</v>
      </c>
      <c r="C459" s="65" t="str">
        <f>sample_wld_nsxt_gm_audit_password</f>
        <v>VMw@re1!VMw@re1!</v>
      </c>
      <c r="D459" s="8" t="str">
        <f t="array" ref="D459">wld_nsxt_gm_audit_password</f>
        <v>Value Missing</v>
      </c>
      <c r="E459" s="4"/>
    </row>
    <row r="460" spans="2:5" ht="20" customHeight="1" x14ac:dyDescent="0.2">
      <c r="B460" s="30" t="s">
        <v>888</v>
      </c>
      <c r="C460" s="65" t="str">
        <f>CONCATENATE(sample_wld_nsxt_global_mgrb_hostname,".",sample_child_dns_zone)</f>
        <v>sfo-w01-nsx-gm01b.sfo.rainpole.io</v>
      </c>
      <c r="D460" s="66"/>
      <c r="E460" s="4"/>
    </row>
    <row r="461" spans="2:5" ht="20" customHeight="1" x14ac:dyDescent="0.2">
      <c r="B461" s="30" t="s">
        <v>889</v>
      </c>
      <c r="C461" s="109" t="str">
        <f>IF(mgmt_dpg_reuse_result="Included",CONCATENATE(prefix_mgmt_az1_cidr,"10.",(143 + (30*(wld_domain_number_chosen - 1)))),CONCATENATE(prefix_mgmt_az1_cidr,"11.",(143 + (30*(wld_domain_number_chosen - 1)))))</f>
        <v>10.11.10.143</v>
      </c>
      <c r="D461" s="8"/>
      <c r="E461" s="4"/>
    </row>
    <row r="462" spans="2:5" ht="20" customHeight="1" x14ac:dyDescent="0.2">
      <c r="B462" s="30" t="s">
        <v>890</v>
      </c>
      <c r="C462" s="65" t="s">
        <v>126</v>
      </c>
      <c r="D462" s="8" t="str">
        <f>mgmt_az1_mgmt_vm_mask</f>
        <v>Value Missing</v>
      </c>
      <c r="E462" s="4"/>
    </row>
    <row r="463" spans="2:5" ht="20" customHeight="1" x14ac:dyDescent="0.2">
      <c r="B463" s="30" t="s">
        <v>891</v>
      </c>
      <c r="C463" s="65" t="str">
        <f>sample_mgmt_az1_mgmt_vm_gateway_cidr</f>
        <v>10.11.10.1/24</v>
      </c>
      <c r="D463" s="8" t="str">
        <f>mgmt_az1_mgmt_vm_gateway_ip</f>
        <v>Value Missing</v>
      </c>
      <c r="E463" s="4"/>
    </row>
    <row r="464" spans="2:5" ht="20" customHeight="1" x14ac:dyDescent="0.2">
      <c r="B464" s="30" t="s">
        <v>892</v>
      </c>
      <c r="C464" s="65" t="str">
        <f>CONCATENATE(sample_region_dns1_ip,",",sample_region_dns2_ip)</f>
        <v>10.11.10.4,10.11.10.5</v>
      </c>
      <c r="D464" s="8" t="str">
        <f>IF(ISBLANK(input_region_dns1_ip),"Value Missing",CONCATENATE(region_dns1_ip,",",IF(ISBLANK(region_dns2_ip),"Value Missing",region_dns2_ip)))</f>
        <v>Value Missing</v>
      </c>
      <c r="E464" s="4"/>
    </row>
    <row r="465" spans="2:5" ht="20" customHeight="1" x14ac:dyDescent="0.2">
      <c r="B465" s="30" t="s">
        <v>893</v>
      </c>
      <c r="C465" s="65" t="str">
        <f>CONCATENATE(sample_child_dns_zone,",",sample_parent_dns_zone)</f>
        <v>sfo.rainpole.io,rainpole.io</v>
      </c>
      <c r="D465" s="8" t="str">
        <f>CONCATENATE(child_dns_zone,",",parent_dns_zone)</f>
        <v>Value Missing,Value Missing</v>
      </c>
      <c r="E465" s="4"/>
    </row>
    <row r="466" spans="2:5" ht="20" customHeight="1" x14ac:dyDescent="0.2">
      <c r="B466" s="30" t="s">
        <v>894</v>
      </c>
      <c r="C466" s="65" t="str">
        <f>IF(AND((NOT(ISBLANK(sample_region_ntp2_server))),(sample_region_ntp2_server &lt;&gt; "n/a")),CONCATENATE(sample_region_ntp1_server,",",sample_region_ntp2_server),sample_region_ntp1_server)</f>
        <v>ntp0.sfo.rainpole.io,ntp1.sfo.rainpole.io</v>
      </c>
      <c r="D466" s="8" t="str">
        <f>IF(AND((NOT(ISBLANK(region_ntp2_server))),(region_ntp2_server &lt;&gt; "n/a")),CONCATENATE(region_ntp1_server,",",region_ntp2_server),region_ntp1_server)</f>
        <v>Value Missing,Value Missing</v>
      </c>
      <c r="E466" s="4"/>
    </row>
    <row r="467" spans="2:5" ht="20" customHeight="1" x14ac:dyDescent="0.2">
      <c r="B467" s="553" t="s">
        <v>391</v>
      </c>
      <c r="C467" s="554"/>
      <c r="D467" s="554"/>
      <c r="E467" s="555"/>
    </row>
    <row r="468" spans="2:5" ht="20" customHeight="1" x14ac:dyDescent="0.2">
      <c r="B468" s="30" t="s">
        <v>895</v>
      </c>
      <c r="C468" s="109" t="str">
        <f>CONCATENATE(this_instance,"-w0",wld_domain_number_chosen,"-nsx-gm01c")</f>
        <v>sfo-w01-nsx-gm01c</v>
      </c>
      <c r="D468" s="66"/>
      <c r="E468" s="4"/>
    </row>
    <row r="469" spans="2:5" ht="20" customHeight="1" x14ac:dyDescent="0.2">
      <c r="B469" s="30" t="s">
        <v>896</v>
      </c>
      <c r="C469" s="65" t="str">
        <f>sample_mgmt_datacenter</f>
        <v>sfo-m01-dc01</v>
      </c>
      <c r="D469" s="8" t="str">
        <f>mgmt_datacenter</f>
        <v>Value Missing</v>
      </c>
      <c r="E469" s="4"/>
    </row>
    <row r="470" spans="2:5" ht="20" customHeight="1" x14ac:dyDescent="0.2">
      <c r="B470" s="30" t="s">
        <v>897</v>
      </c>
      <c r="C470" s="65" t="str">
        <f>sample_mgmt_cl01_cluster</f>
        <v>sfo-m01-cl01</v>
      </c>
      <c r="D470" s="8" t="str">
        <f>mgmt_cl01_cluster</f>
        <v>Value Missing</v>
      </c>
      <c r="E470" s="4"/>
    </row>
    <row r="471" spans="2:5" ht="20" customHeight="1" x14ac:dyDescent="0.2">
      <c r="B471" s="30" t="s">
        <v>898</v>
      </c>
      <c r="C471" s="65" t="s">
        <v>639</v>
      </c>
      <c r="D471" s="8" t="str">
        <f>D437</f>
        <v>Large</v>
      </c>
      <c r="E471" s="4"/>
    </row>
    <row r="472" spans="2:5" ht="20" customHeight="1" x14ac:dyDescent="0.2">
      <c r="B472" s="30" t="s">
        <v>899</v>
      </c>
      <c r="C472" s="65" t="str">
        <f>sample_mgmt_cl01_vsan_datastore</f>
        <v>sfo-m01-cl01-ds-vsan01</v>
      </c>
      <c r="D472" s="8" t="str">
        <f>mgmt_cl01_vsan_datastore</f>
        <v>Value Missing</v>
      </c>
      <c r="E472" s="4"/>
    </row>
    <row r="473" spans="2:5" ht="20" customHeight="1" x14ac:dyDescent="0.2">
      <c r="B473" s="30" t="s">
        <v>900</v>
      </c>
      <c r="C473" s="65" t="str">
        <f>sample_mgmt_cl01_az1_mgmt_vm_pg</f>
        <v>sfo-m01-cl01-vds01-pg-vm-mgmt</v>
      </c>
      <c r="D473" s="8" t="str">
        <f>mgmt_cl01_az1_mgmt_vm_pg</f>
        <v>Value Missing</v>
      </c>
      <c r="E473" s="4"/>
    </row>
    <row r="474" spans="2:5" ht="20" customHeight="1" x14ac:dyDescent="0.2">
      <c r="B474" s="30" t="s">
        <v>901</v>
      </c>
      <c r="C474" s="65" t="str">
        <f>sample_wld_nsxt_gm_root_password</f>
        <v>VMw@re1!VMw@re1!</v>
      </c>
      <c r="D474" s="8" t="str">
        <f t="array" ref="D474">wld_nsxt_gm_root_password</f>
        <v>Value Missing</v>
      </c>
      <c r="E474" s="4"/>
    </row>
    <row r="475" spans="2:5" ht="20" customHeight="1" x14ac:dyDescent="0.2">
      <c r="B475" s="30" t="s">
        <v>902</v>
      </c>
      <c r="C475" s="65" t="str">
        <f>sample_wld_nsxt_gm_admin_password</f>
        <v>VMw@re1!VMw@re1!</v>
      </c>
      <c r="D475" s="8" t="str">
        <f t="array" ref="D475">wld_nsxt_gm_admin_password</f>
        <v>Value Missing</v>
      </c>
      <c r="E475" s="4"/>
    </row>
    <row r="476" spans="2:5" ht="20" customHeight="1" x14ac:dyDescent="0.2">
      <c r="B476" s="30" t="s">
        <v>903</v>
      </c>
      <c r="C476" s="65" t="str">
        <f>sample_wld_nsxt_gm_audit_password</f>
        <v>VMw@re1!VMw@re1!</v>
      </c>
      <c r="D476" s="8" t="str">
        <f t="array" ref="D476">wld_nsxt_gm_audit_password</f>
        <v>Value Missing</v>
      </c>
      <c r="E476" s="4"/>
    </row>
    <row r="477" spans="2:5" ht="20" customHeight="1" x14ac:dyDescent="0.2">
      <c r="B477" s="30" t="s">
        <v>904</v>
      </c>
      <c r="C477" s="65" t="str">
        <f>CONCATENATE(sample_wld_nsxt_global_mgrc_hostname,".",sample_child_dns_zone)</f>
        <v>sfo-w01-nsx-gm01c.sfo.rainpole.io</v>
      </c>
      <c r="D477" s="66"/>
      <c r="E477" s="4"/>
    </row>
    <row r="478" spans="2:5" ht="20" customHeight="1" x14ac:dyDescent="0.2">
      <c r="B478" s="30" t="s">
        <v>905</v>
      </c>
      <c r="C478" s="109" t="str">
        <f>IF(mgmt_dpg_reuse_result="Included",CONCATENATE(prefix_mgmt_az1_cidr,"10.",(144 + (30*(wld_domain_number_chosen - 1)))),CONCATENATE(prefix_mgmt_az1_cidr,"11.",(144 + (30*(wld_domain_number_chosen - 1)))))</f>
        <v>10.11.10.144</v>
      </c>
      <c r="D478" s="66"/>
      <c r="E478" s="4"/>
    </row>
    <row r="479" spans="2:5" ht="20" customHeight="1" x14ac:dyDescent="0.2">
      <c r="B479" s="30" t="s">
        <v>906</v>
      </c>
      <c r="C479" s="65" t="s">
        <v>126</v>
      </c>
      <c r="D479" s="8" t="str">
        <f>mgmt_az1_mgmt_vm_mask</f>
        <v>Value Missing</v>
      </c>
      <c r="E479" s="4"/>
    </row>
    <row r="480" spans="2:5" ht="20" customHeight="1" x14ac:dyDescent="0.2">
      <c r="B480" s="30" t="s">
        <v>907</v>
      </c>
      <c r="C480" s="65" t="str">
        <f>sample_mgmt_az1_mgmt_vm_gateway_cidr</f>
        <v>10.11.10.1/24</v>
      </c>
      <c r="D480" s="8" t="str">
        <f>mgmt_az1_mgmt_vm_gateway_ip</f>
        <v>Value Missing</v>
      </c>
      <c r="E480" s="4"/>
    </row>
    <row r="481" spans="2:5" ht="20" customHeight="1" x14ac:dyDescent="0.2">
      <c r="B481" s="30" t="s">
        <v>908</v>
      </c>
      <c r="C481" s="65" t="str">
        <f>CONCATENATE(sample_region_dns1_ip,",",sample_region_dns2_ip)</f>
        <v>10.11.10.4,10.11.10.5</v>
      </c>
      <c r="D481" s="8" t="str">
        <f>IF(ISBLANK(region_dns1_ip),"Value Missing",_xlfn.CONCAT(region_dns1_ip,",",IF(ISBLANK(region_dns2_ip),"Value Missing",region_dns2_ip)))</f>
        <v>Value Missing,Value Missing</v>
      </c>
      <c r="E481" s="4"/>
    </row>
    <row r="482" spans="2:5" ht="20" customHeight="1" x14ac:dyDescent="0.2">
      <c r="B482" s="30" t="s">
        <v>909</v>
      </c>
      <c r="C482" s="65" t="str">
        <f>CONCATENATE(sample_child_dns_zone,",",sample_parent_dns_zone)</f>
        <v>sfo.rainpole.io,rainpole.io</v>
      </c>
      <c r="D482" s="8" t="str">
        <f>CONCATENATE(child_dns_zone,",",parent_dns_zone)</f>
        <v>Value Missing,Value Missing</v>
      </c>
      <c r="E482" s="4"/>
    </row>
    <row r="483" spans="2:5" ht="20" customHeight="1" x14ac:dyDescent="0.2">
      <c r="B483" s="30" t="s">
        <v>910</v>
      </c>
      <c r="C483" s="65" t="str">
        <f>IF(AND((NOT(ISBLANK(sample_region_ntp2_server))),(sample_region_ntp2_server &lt;&gt; "n/a")),CONCATENATE(sample_region_ntp1_server,",",sample_region_ntp2_server),sample_region_ntp1_server)</f>
        <v>ntp0.sfo.rainpole.io,ntp1.sfo.rainpole.io</v>
      </c>
      <c r="D483" s="8" t="str">
        <f>IF(AND((NOT(ISBLANK(region_ntp2_server))),(region_ntp2_server &lt;&gt; "n/a")),CONCATENATE(region_ntp1_server,",",region_ntp2_server),region_ntp1_server)</f>
        <v>Value Missing,Value Missing</v>
      </c>
      <c r="E483" s="4"/>
    </row>
    <row r="484" spans="2:5" ht="20" customHeight="1" x14ac:dyDescent="0.2">
      <c r="B484" s="30" t="s">
        <v>408</v>
      </c>
      <c r="C484" s="65" t="str">
        <f>CONCATENATE(sample_wld_nsxt_global_mgra_hostname,".",sample_child_dns_zone)</f>
        <v>sfo-w01-nsx-gm01a.sfo.rainpole.io</v>
      </c>
      <c r="D484" s="8" t="str">
        <f>wld_nsxt_global_mgra_fqdn</f>
        <v>Value Missing</v>
      </c>
      <c r="E484" s="4"/>
    </row>
    <row r="485" spans="2:5" ht="16" customHeight="1" x14ac:dyDescent="0.2"/>
    <row r="486" spans="2:5" ht="20" customHeight="1" x14ac:dyDescent="0.2">
      <c r="B486" s="604" t="s">
        <v>409</v>
      </c>
      <c r="C486" s="592"/>
      <c r="D486" s="592"/>
      <c r="E486" s="592"/>
    </row>
    <row r="487" spans="2:5" ht="20" customHeight="1" x14ac:dyDescent="0.2">
      <c r="B487" s="63" t="s">
        <v>18</v>
      </c>
      <c r="C487" s="63" t="s">
        <v>19</v>
      </c>
      <c r="D487" s="63" t="s">
        <v>20</v>
      </c>
      <c r="E487" s="63" t="s">
        <v>21</v>
      </c>
    </row>
    <row r="488" spans="2:5" ht="20" customHeight="1" x14ac:dyDescent="0.2">
      <c r="B488" s="23" t="s">
        <v>355</v>
      </c>
      <c r="C488" s="65" t="str">
        <f>sample_mgmt_vc_fqdn</f>
        <v>sfo-m01-vc01.sfo.rainpole.io</v>
      </c>
      <c r="D488" s="8" t="str">
        <f>mgmt_vc_fqdn</f>
        <v>Value Missing</v>
      </c>
      <c r="E488" s="4"/>
    </row>
    <row r="489" spans="2:5" ht="20" customHeight="1" x14ac:dyDescent="0.2">
      <c r="B489" s="23" t="s">
        <v>410</v>
      </c>
      <c r="C489" s="153" t="s">
        <v>911</v>
      </c>
      <c r="D489" s="66"/>
      <c r="E489" s="87"/>
    </row>
    <row r="490" spans="2:5" ht="20" customHeight="1" x14ac:dyDescent="0.2">
      <c r="B490" s="23" t="s">
        <v>912</v>
      </c>
      <c r="C490" s="153" t="s">
        <v>913</v>
      </c>
      <c r="D490" s="66"/>
      <c r="E490" s="87"/>
    </row>
    <row r="491" spans="2:5" ht="20" customHeight="1" x14ac:dyDescent="0.2">
      <c r="B491" s="23" t="s">
        <v>414</v>
      </c>
      <c r="C491" s="65" t="str">
        <f>CONCATENATE(sample_wld_nsxt_global_mgrb_hostname,".",sample_child_dns_zone)</f>
        <v>sfo-w01-nsx-gm01b.sfo.rainpole.io</v>
      </c>
      <c r="D491" s="8" t="str">
        <f>wld_nsxt_global_mgrb_fqdn</f>
        <v>Value Missing</v>
      </c>
      <c r="E491" s="87"/>
    </row>
    <row r="492" spans="2:5" ht="20" customHeight="1" x14ac:dyDescent="0.2">
      <c r="B492" s="23" t="s">
        <v>415</v>
      </c>
      <c r="C492" s="65" t="str">
        <f>sample_wld_nsxt_global_mgra_ip</f>
        <v>10.11.10.142</v>
      </c>
      <c r="D492" s="8" t="str">
        <f>wld_nsxt_global_mgra_ip</f>
        <v>Value Missing</v>
      </c>
      <c r="E492" s="87"/>
    </row>
    <row r="493" spans="2:5" ht="20" customHeight="1" x14ac:dyDescent="0.2">
      <c r="B493" s="23" t="s">
        <v>416</v>
      </c>
      <c r="C493" s="65" t="str">
        <f>sample_wld_nsxt_global_mgr_cluster_id</f>
        <v>da3bd7dc-aa06-4f2d-a9e1-0c4999354c9b</v>
      </c>
      <c r="D493" s="8" t="str">
        <f>wld_nsxt_global_mgr_cluster_id</f>
        <v>Value Missing</v>
      </c>
      <c r="E493" s="87"/>
    </row>
    <row r="494" spans="2:5" ht="20" customHeight="1" x14ac:dyDescent="0.2">
      <c r="B494" s="23" t="s">
        <v>417</v>
      </c>
      <c r="C494" s="65" t="s">
        <v>418</v>
      </c>
      <c r="D494" s="8"/>
      <c r="E494" s="87"/>
    </row>
    <row r="495" spans="2:5" ht="20" customHeight="1" x14ac:dyDescent="0.2">
      <c r="B495" s="23" t="s">
        <v>419</v>
      </c>
      <c r="C495" s="65" t="str">
        <f>sample_nsxt_gm_admin_password</f>
        <v>VMw@re1!VMw@re1!</v>
      </c>
      <c r="D495" s="8" t="str">
        <f>nsxt_gm_admin_password</f>
        <v>Value Missing</v>
      </c>
      <c r="E495" s="87"/>
    </row>
    <row r="496" spans="2:5" ht="20" customHeight="1" x14ac:dyDescent="0.2">
      <c r="B496" s="23" t="s">
        <v>420</v>
      </c>
      <c r="C496" s="65" t="str">
        <f>sample_wld_nsxt_global_mgr_vmca_signed_thumbprint</f>
        <v>d7a6264cd8f74033e851944a205110afdeb046386af42ce47240939c417acb93</v>
      </c>
      <c r="D496" s="8" t="str">
        <f>wld_nsxt_global_mgr_vmca_signed_thumbprint</f>
        <v>Value Missing</v>
      </c>
      <c r="E496" s="87"/>
    </row>
    <row r="497" spans="2:5" ht="20" customHeight="1" x14ac:dyDescent="0.2">
      <c r="B497" s="23" t="s">
        <v>421</v>
      </c>
      <c r="C497" s="65" t="str">
        <f>CONCATENATE(sample_wld_nsxt_global_mgrc_hostname,".",sample_child_dns_zone)</f>
        <v>sfo-w01-nsx-gm01c.sfo.rainpole.io</v>
      </c>
      <c r="D497" s="8" t="str">
        <f>wld_nsxt_global_mgrc_fqdn</f>
        <v>Value Missing</v>
      </c>
      <c r="E497" s="87"/>
    </row>
    <row r="498" spans="2:5" ht="20" customHeight="1" x14ac:dyDescent="0.2">
      <c r="B498" s="23" t="s">
        <v>914</v>
      </c>
      <c r="C498" s="65" t="str">
        <f>sample_wld_nsxt_global_mgra_ip</f>
        <v>10.11.10.142</v>
      </c>
      <c r="D498" s="8" t="str">
        <f>wld_nsxt_global_mgra_ip</f>
        <v>Value Missing</v>
      </c>
      <c r="E498" s="87"/>
    </row>
    <row r="499" spans="2:5" ht="20" customHeight="1" x14ac:dyDescent="0.2">
      <c r="B499" s="23" t="s">
        <v>915</v>
      </c>
      <c r="C499" s="65" t="str">
        <f>sample_wld_nsxt_global_mgr_cluster_id</f>
        <v>da3bd7dc-aa06-4f2d-a9e1-0c4999354c9b</v>
      </c>
      <c r="D499" s="8" t="str">
        <f>wld_nsxt_global_mgr_cluster_id</f>
        <v>Value Missing</v>
      </c>
      <c r="E499" s="87"/>
    </row>
    <row r="500" spans="2:5" ht="20" customHeight="1" x14ac:dyDescent="0.2">
      <c r="B500" s="23" t="s">
        <v>424</v>
      </c>
      <c r="C500" s="65" t="s">
        <v>418</v>
      </c>
      <c r="D500" s="8"/>
      <c r="E500" s="87"/>
    </row>
    <row r="501" spans="2:5" ht="20" customHeight="1" x14ac:dyDescent="0.2">
      <c r="B501" s="23" t="s">
        <v>425</v>
      </c>
      <c r="C501" s="65" t="str">
        <f>sample_nsxt_gm_admin_password</f>
        <v>VMw@re1!VMw@re1!</v>
      </c>
      <c r="D501" s="8" t="str">
        <f>nsxt_gm_admin_password</f>
        <v>Value Missing</v>
      </c>
      <c r="E501" s="87"/>
    </row>
    <row r="502" spans="2:5" ht="20" customHeight="1" x14ac:dyDescent="0.2">
      <c r="B502" s="23" t="s">
        <v>426</v>
      </c>
      <c r="C502" s="65" t="str">
        <f>sample_wld_nsxt_global_mgr_vmca_signed_thumbprint</f>
        <v>d7a6264cd8f74033e851944a205110afdeb046386af42ce47240939c417acb93</v>
      </c>
      <c r="D502" s="8" t="str">
        <f>wld_nsxt_global_mgr_vmca_signed_thumbprint</f>
        <v>Value Missing</v>
      </c>
      <c r="E502" s="87"/>
    </row>
    <row r="503" spans="2:5" ht="16" customHeight="1" x14ac:dyDescent="0.2"/>
    <row r="504" spans="2:5" ht="20" customHeight="1" x14ac:dyDescent="0.2">
      <c r="B504" s="553" t="s">
        <v>427</v>
      </c>
      <c r="C504" s="554"/>
      <c r="D504" s="554"/>
      <c r="E504" s="555"/>
    </row>
    <row r="505" spans="2:5" ht="20" customHeight="1" x14ac:dyDescent="0.2">
      <c r="B505" s="63" t="s">
        <v>18</v>
      </c>
      <c r="C505" s="63" t="s">
        <v>19</v>
      </c>
      <c r="D505" s="63" t="s">
        <v>20</v>
      </c>
      <c r="E505" s="63" t="s">
        <v>21</v>
      </c>
    </row>
    <row r="506" spans="2:5" ht="20" customHeight="1" x14ac:dyDescent="0.2">
      <c r="B506" s="4" t="s">
        <v>355</v>
      </c>
      <c r="C506" s="65" t="str">
        <f>sample_mgmt_vc_fqdn</f>
        <v>sfo-m01-vc01.sfo.rainpole.io</v>
      </c>
      <c r="D506" s="8" t="str">
        <f>mgmt_vc_fqdn</f>
        <v>Value Missing</v>
      </c>
      <c r="E506" s="4"/>
    </row>
    <row r="507" spans="2:5" ht="20" customHeight="1" x14ac:dyDescent="0.2">
      <c r="B507" s="4" t="s">
        <v>250</v>
      </c>
      <c r="C507" s="65" t="str">
        <f>CONCATENATE(sample_wld_sddc_domain,"-anti-affinity-rule-nsx-global-managers")</f>
        <v>sfo-w01-anti-affinity-rule-nsx-global-managers</v>
      </c>
      <c r="D507" s="66"/>
      <c r="E507" s="4"/>
    </row>
    <row r="508" spans="2:5" ht="20" customHeight="1" x14ac:dyDescent="0.2">
      <c r="B508" s="4" t="s">
        <v>428</v>
      </c>
      <c r="C508" s="65" t="str">
        <f>sample_wld_nsxt_global_mgra_hostname</f>
        <v>sfo-w01-nsx-gm01a</v>
      </c>
      <c r="D508" s="8" t="str">
        <f>wld_nsxt_global_mgra_hostname</f>
        <v>Value Missing</v>
      </c>
      <c r="E508" s="4"/>
    </row>
    <row r="509" spans="2:5" ht="20" customHeight="1" x14ac:dyDescent="0.2">
      <c r="B509" s="4" t="s">
        <v>429</v>
      </c>
      <c r="C509" s="65" t="str">
        <f>sample_wld_nsxt_global_mgrb_hostname</f>
        <v>sfo-w01-nsx-gm01b</v>
      </c>
      <c r="D509" s="8" t="str">
        <f>wld_nsxt_global_mgrb_hostname</f>
        <v>Value Missing</v>
      </c>
      <c r="E509" s="4"/>
    </row>
    <row r="510" spans="2:5" ht="20" customHeight="1" x14ac:dyDescent="0.2">
      <c r="B510" s="4" t="s">
        <v>430</v>
      </c>
      <c r="C510" s="65" t="str">
        <f>sample_wld_nsxt_global_mgrc_hostname</f>
        <v>sfo-w01-nsx-gm01c</v>
      </c>
      <c r="D510" s="8" t="str">
        <f>wld_nsxt_global_mgrc_hostname</f>
        <v>Value Missing</v>
      </c>
      <c r="E510" s="4"/>
    </row>
    <row r="511" spans="2:5" ht="16" customHeight="1" x14ac:dyDescent="0.2"/>
    <row r="512" spans="2:5" ht="20" customHeight="1" x14ac:dyDescent="0.2">
      <c r="B512" s="553" t="s">
        <v>431</v>
      </c>
      <c r="C512" s="554"/>
      <c r="D512" s="554"/>
      <c r="E512" s="555"/>
    </row>
    <row r="513" spans="2:5" ht="20" customHeight="1" x14ac:dyDescent="0.2">
      <c r="B513" s="63" t="s">
        <v>18</v>
      </c>
      <c r="C513" s="63" t="s">
        <v>19</v>
      </c>
      <c r="D513" s="63" t="s">
        <v>20</v>
      </c>
      <c r="E513" s="63" t="s">
        <v>21</v>
      </c>
    </row>
    <row r="514" spans="2:5" ht="20" customHeight="1" x14ac:dyDescent="0.2">
      <c r="B514" s="4" t="s">
        <v>432</v>
      </c>
      <c r="C514" s="65" t="str">
        <f>CONCATENATE(sample_wld_nsxt_global_mgra_hostname,".",sample_child_dns_zone)</f>
        <v>sfo-w01-nsx-gm01a.sfo.rainpole.io</v>
      </c>
      <c r="D514" s="8" t="str">
        <f>wld_nsxt_global_mgra_fqdn</f>
        <v>Value Missing</v>
      </c>
      <c r="E514" s="4"/>
    </row>
    <row r="515" spans="2:5" ht="20" customHeight="1" x14ac:dyDescent="0.2">
      <c r="B515" s="4" t="s">
        <v>433</v>
      </c>
      <c r="C515" s="109" t="str">
        <f>IF(mgmt_dpg_reuse_result="Included",CONCATENATE(prefix_mgmt_az1_cidr,"10.",(141 + (30*(wld_domain_number_chosen - 1)))),CONCATENATE(prefix_mgmt_az1_cidr,"11.",(141 + (30*(wld_domain_number_chosen - 1)))))</f>
        <v>10.11.10.141</v>
      </c>
      <c r="D515" s="66"/>
      <c r="E515" s="4"/>
    </row>
    <row r="516" spans="2:5" ht="20" customHeight="1" x14ac:dyDescent="0.2">
      <c r="B516" s="4" t="s">
        <v>434</v>
      </c>
      <c r="C516" s="109" t="str">
        <f>CONCATENATE(this_instance,"-w0",wld_domain_number_chosen,"-nsx-gm01",".",sample_child_dns_zone)</f>
        <v>sfo-w01-nsx-gm01.sfo.rainpole.io</v>
      </c>
      <c r="D516" s="66"/>
      <c r="E516" s="87"/>
    </row>
    <row r="517" spans="2:5" ht="16" customHeight="1" x14ac:dyDescent="0.2"/>
    <row r="518" spans="2:5" ht="20" customHeight="1" x14ac:dyDescent="0.2">
      <c r="B518" s="553" t="s">
        <v>435</v>
      </c>
      <c r="C518" s="554"/>
      <c r="D518" s="554"/>
      <c r="E518" s="555"/>
    </row>
    <row r="519" spans="2:5" ht="20" customHeight="1" x14ac:dyDescent="0.2">
      <c r="B519" s="63" t="s">
        <v>18</v>
      </c>
      <c r="C519" s="63" t="s">
        <v>19</v>
      </c>
      <c r="D519" s="63" t="s">
        <v>20</v>
      </c>
      <c r="E519" s="63" t="s">
        <v>21</v>
      </c>
    </row>
    <row r="520" spans="2:5" ht="20" customHeight="1" x14ac:dyDescent="0.2">
      <c r="B520" s="4" t="s">
        <v>434</v>
      </c>
      <c r="C520" s="65" t="str">
        <f>sample_wld_nsxt_gm_vip_fqdn</f>
        <v>sfo-w01-nsx-gm01.sfo.rainpole.io</v>
      </c>
      <c r="D520" s="8" t="str">
        <f>wld_nsxt_gm_vip_fqdn</f>
        <v>Value Missing</v>
      </c>
      <c r="E520" s="87"/>
    </row>
    <row r="521" spans="2:5" ht="16" customHeight="1" x14ac:dyDescent="0.2"/>
    <row r="522" spans="2:5" ht="20" customHeight="1" x14ac:dyDescent="0.2">
      <c r="B522" s="553" t="s">
        <v>436</v>
      </c>
      <c r="C522" s="554"/>
      <c r="D522" s="554"/>
      <c r="E522" s="555"/>
    </row>
    <row r="523" spans="2:5" ht="20" customHeight="1" x14ac:dyDescent="0.2">
      <c r="B523" s="63" t="s">
        <v>18</v>
      </c>
      <c r="C523" s="63" t="s">
        <v>19</v>
      </c>
      <c r="D523" s="63" t="s">
        <v>20</v>
      </c>
      <c r="E523" s="63" t="s">
        <v>21</v>
      </c>
    </row>
    <row r="524" spans="2:5" ht="20" customHeight="1" x14ac:dyDescent="0.2">
      <c r="B524" s="4" t="s">
        <v>434</v>
      </c>
      <c r="C524" s="65" t="str">
        <f>sample_wld_nsxt_gm_vip_fqdn</f>
        <v>sfo-w01-nsx-gm01.sfo.rainpole.io</v>
      </c>
      <c r="D524" s="8" t="str">
        <f>wld_nsxt_gm_vip_fqdn</f>
        <v>Value Missing</v>
      </c>
      <c r="E524" s="87"/>
    </row>
    <row r="525" spans="2:5" ht="20" customHeight="1" x14ac:dyDescent="0.2">
      <c r="B525" s="4" t="s">
        <v>437</v>
      </c>
      <c r="C525" s="153" t="s">
        <v>916</v>
      </c>
      <c r="D525" s="66"/>
      <c r="E525" s="87"/>
    </row>
    <row r="526" spans="2:5" ht="20" customHeight="1" x14ac:dyDescent="0.2">
      <c r="B526" s="4" t="s">
        <v>432</v>
      </c>
      <c r="C526" s="65" t="str">
        <f>CONCATENATE(sample_wld_nsxt_global_mgra_hostname,".",sample_child_dns_zone)</f>
        <v>sfo-w01-nsx-gm01a.sfo.rainpole.io</v>
      </c>
      <c r="D526" s="8" t="str">
        <f>wld_nsxt_global_mgra_fqdn</f>
        <v>Value Missing</v>
      </c>
      <c r="E526" s="4"/>
    </row>
    <row r="527" spans="2:5" ht="20" customHeight="1" x14ac:dyDescent="0.2">
      <c r="B527" s="4" t="s">
        <v>439</v>
      </c>
      <c r="C527" s="65" t="str">
        <f>sample_wld_nsxt_global_mgr_certificate_id</f>
        <v>b900065b-aeb5-457e-aca6-4612b17d06d9</v>
      </c>
      <c r="D527" s="8" t="str">
        <f>wld_nsxt_global_mgr_certificate_id</f>
        <v>Value Missing</v>
      </c>
      <c r="E527" s="87"/>
    </row>
    <row r="528" spans="2:5" ht="16" customHeight="1" x14ac:dyDescent="0.2"/>
    <row r="529" spans="2:5" ht="20" customHeight="1" x14ac:dyDescent="0.2">
      <c r="B529" s="553" t="s">
        <v>440</v>
      </c>
      <c r="C529" s="554"/>
      <c r="D529" s="554"/>
      <c r="E529" s="555"/>
    </row>
    <row r="530" spans="2:5" ht="20" customHeight="1" x14ac:dyDescent="0.2">
      <c r="B530" s="63" t="s">
        <v>18</v>
      </c>
      <c r="C530" s="63" t="s">
        <v>19</v>
      </c>
      <c r="D530" s="63" t="s">
        <v>20</v>
      </c>
      <c r="E530" s="63" t="s">
        <v>21</v>
      </c>
    </row>
    <row r="531" spans="2:5" ht="20" customHeight="1" x14ac:dyDescent="0.2">
      <c r="B531" s="4" t="s">
        <v>434</v>
      </c>
      <c r="C531" s="65" t="str">
        <f>sample_wld_nsxt_gm_vip_fqdn</f>
        <v>sfo-w01-nsx-gm01.sfo.rainpole.io</v>
      </c>
      <c r="D531" s="8" t="str">
        <f>wld_nsxt_gm_vip_fqdn</f>
        <v>Value Missing</v>
      </c>
      <c r="E531" s="87"/>
    </row>
    <row r="532" spans="2:5" ht="20" customHeight="1" x14ac:dyDescent="0.2">
      <c r="B532" s="4" t="s">
        <v>441</v>
      </c>
      <c r="C532" s="65" t="str">
        <f>CONCATENATE(sample_wld_nsxt_global_mgrb_hostname,".",sample_child_dns_zone)</f>
        <v>sfo-w01-nsx-gm01b.sfo.rainpole.io</v>
      </c>
      <c r="D532" s="8" t="str">
        <f>wld_nsxt_global_mgrb_fqdn</f>
        <v>Value Missing</v>
      </c>
      <c r="E532" s="4"/>
    </row>
    <row r="533" spans="2:5" ht="20" customHeight="1" x14ac:dyDescent="0.2">
      <c r="B533" s="4" t="s">
        <v>442</v>
      </c>
      <c r="C533" s="65" t="str">
        <f>CONCATENATE(sample_wld_nsxt_global_mgrc_hostname,".",sample_child_dns_zone)</f>
        <v>sfo-w01-nsx-gm01c.sfo.rainpole.io</v>
      </c>
      <c r="D533" s="8" t="str">
        <f>wld_nsxt_global_mgrc_fqdn</f>
        <v>Value Missing</v>
      </c>
      <c r="E533" s="4"/>
    </row>
    <row r="534" spans="2:5" ht="20" customHeight="1" x14ac:dyDescent="0.2">
      <c r="B534" s="4" t="s">
        <v>439</v>
      </c>
      <c r="C534" s="65" t="str">
        <f>sample_wld_nsxt_global_mgr_certificate_id</f>
        <v>b900065b-aeb5-457e-aca6-4612b17d06d9</v>
      </c>
      <c r="D534" s="8" t="str">
        <f>wld_nsxt_global_mgr_certificate_id</f>
        <v>Value Missing</v>
      </c>
      <c r="E534" s="87"/>
    </row>
    <row r="535" spans="2:5" ht="16" customHeight="1" x14ac:dyDescent="0.2"/>
    <row r="536" spans="2:5" ht="20" customHeight="1" x14ac:dyDescent="0.2">
      <c r="B536" s="553" t="s">
        <v>443</v>
      </c>
      <c r="C536" s="554"/>
      <c r="D536" s="554"/>
      <c r="E536" s="555"/>
    </row>
    <row r="537" spans="2:5" ht="20" customHeight="1" x14ac:dyDescent="0.2">
      <c r="B537" s="63" t="s">
        <v>250</v>
      </c>
      <c r="C537" s="63" t="s">
        <v>251</v>
      </c>
      <c r="D537" s="119" t="s">
        <v>20</v>
      </c>
      <c r="E537" s="63" t="s">
        <v>252</v>
      </c>
    </row>
    <row r="538" spans="2:5" ht="20" customHeight="1" x14ac:dyDescent="0.2">
      <c r="B538" s="4" t="s">
        <v>444</v>
      </c>
      <c r="C538" s="65" t="str">
        <f>sample_wld_nsxt_vip_fqdn</f>
        <v>sfo-w01-nsx01.sfo.rainpole.io</v>
      </c>
      <c r="D538" s="8" t="str">
        <f>wld_nsxt_vip_fqdn</f>
        <v>Value Missing</v>
      </c>
      <c r="E538" s="4"/>
    </row>
    <row r="539" spans="2:5" ht="20" customHeight="1" x14ac:dyDescent="0.2">
      <c r="B539" s="4" t="s">
        <v>250</v>
      </c>
      <c r="C539" s="103" t="str">
        <f>CONCATENATE(this_instance,"-w0",wld_domain_number_chosen,"-r01-ip-pool-rtep")</f>
        <v>sfo-w01-r01-ip-pool-rtep</v>
      </c>
      <c r="D539" s="66"/>
      <c r="E539" s="4"/>
    </row>
    <row r="540" spans="2:5" ht="20" customHeight="1" x14ac:dyDescent="0.2">
      <c r="B540" s="23" t="s">
        <v>445</v>
      </c>
      <c r="C540" s="103" t="str">
        <f>CONCATENATE(prefix_wld_az1_cidr,"20.101")</f>
        <v>10.13.20.101</v>
      </c>
      <c r="D540" s="66"/>
      <c r="E540" s="4"/>
    </row>
    <row r="541" spans="2:5" ht="20" customHeight="1" x14ac:dyDescent="0.2">
      <c r="B541" s="30" t="s">
        <v>446</v>
      </c>
      <c r="C541" s="103" t="str">
        <f>IF(wld_stretched_cluster_result="Excluded",CONCATENATE(prefix_wld_az1_cidr,"20.116"),CONCATENATE(prefix_wld_az1_cidr,"20.132"))</f>
        <v>10.13.20.116</v>
      </c>
      <c r="D541" s="66"/>
      <c r="E541" s="4"/>
    </row>
    <row r="542" spans="2:5" ht="20" customHeight="1" x14ac:dyDescent="0.2">
      <c r="B542" s="4" t="s">
        <v>447</v>
      </c>
      <c r="C542" s="103" t="str">
        <f>CONCATENATE(prefix_wld_az1_cidr,"20.0/24")</f>
        <v>10.13.20.0/24</v>
      </c>
      <c r="D542" s="66"/>
      <c r="E542" s="4"/>
    </row>
    <row r="543" spans="2:5" ht="20" customHeight="1" x14ac:dyDescent="0.2">
      <c r="B543" s="4" t="s">
        <v>448</v>
      </c>
      <c r="C543" s="103" t="str">
        <f>CONCATENATE(prefix_wld_az1_cidr,"20.1")</f>
        <v>10.13.20.1</v>
      </c>
      <c r="D543" s="66"/>
      <c r="E543" s="4"/>
    </row>
    <row r="544" spans="2:5" ht="20" customHeight="1" x14ac:dyDescent="0.2"/>
    <row r="545" spans="2:5" ht="20" customHeight="1" x14ac:dyDescent="0.2">
      <c r="B545" s="553" t="s">
        <v>449</v>
      </c>
      <c r="C545" s="554"/>
      <c r="D545" s="554"/>
      <c r="E545" s="555"/>
    </row>
    <row r="546" spans="2:5" ht="20" customHeight="1" x14ac:dyDescent="0.2">
      <c r="B546" s="63" t="s">
        <v>18</v>
      </c>
      <c r="C546" s="63" t="s">
        <v>19</v>
      </c>
      <c r="D546" s="63" t="s">
        <v>20</v>
      </c>
      <c r="E546" s="63" t="s">
        <v>21</v>
      </c>
    </row>
    <row r="547" spans="2:5" ht="20" customHeight="1" x14ac:dyDescent="0.2">
      <c r="B547" s="4" t="s">
        <v>450</v>
      </c>
      <c r="C547" s="65" t="str">
        <f>sample_wld_nsxt_gm_vip_fqdn</f>
        <v>sfo-w01-nsx-gm01.sfo.rainpole.io</v>
      </c>
      <c r="D547" s="8" t="str">
        <f>wld_nsxt_gm_vip_fqdn</f>
        <v>Value Missing</v>
      </c>
      <c r="E547" s="87"/>
    </row>
    <row r="548" spans="2:5" ht="20" customHeight="1" x14ac:dyDescent="0.2">
      <c r="B548" s="4" t="s">
        <v>451</v>
      </c>
      <c r="C548" s="65" t="str">
        <f>sample_wld_nsxt_federation_global_manager_name</f>
        <v>sfo-w01-nsx-gm01</v>
      </c>
      <c r="D548" s="66"/>
      <c r="E548" s="87"/>
    </row>
    <row r="549" spans="2:5" ht="16" customHeight="1" x14ac:dyDescent="0.2"/>
    <row r="550" spans="2:5" ht="20" customHeight="1" x14ac:dyDescent="0.2">
      <c r="B550" s="553" t="s">
        <v>452</v>
      </c>
      <c r="C550" s="554"/>
      <c r="D550" s="554"/>
      <c r="E550" s="555"/>
    </row>
    <row r="551" spans="2:5" ht="20" customHeight="1" x14ac:dyDescent="0.2">
      <c r="B551" s="63" t="s">
        <v>18</v>
      </c>
      <c r="C551" s="63" t="s">
        <v>19</v>
      </c>
      <c r="D551" s="63" t="s">
        <v>20</v>
      </c>
      <c r="E551" s="63" t="s">
        <v>21</v>
      </c>
    </row>
    <row r="552" spans="2:5" ht="20" customHeight="1" x14ac:dyDescent="0.2">
      <c r="B552" s="4" t="s">
        <v>453</v>
      </c>
      <c r="C552" s="65" t="str">
        <f>sample_wld_nsxt_gm_vip_fqdn</f>
        <v>sfo-w01-nsx-gm01.sfo.rainpole.io</v>
      </c>
      <c r="D552" s="8" t="str">
        <f>wld_nsxt_gm_vip_fqdn</f>
        <v>Value Missing</v>
      </c>
      <c r="E552" s="87"/>
    </row>
    <row r="553" spans="2:5" ht="20" customHeight="1" x14ac:dyDescent="0.2">
      <c r="B553" s="4" t="s">
        <v>454</v>
      </c>
      <c r="C553" s="65" t="s">
        <v>460</v>
      </c>
      <c r="D553" s="66"/>
      <c r="E553" s="87" t="s">
        <v>917</v>
      </c>
    </row>
    <row r="554" spans="2:5" ht="20" customHeight="1" x14ac:dyDescent="0.2">
      <c r="B554" s="4" t="s">
        <v>456</v>
      </c>
      <c r="C554" s="65" t="str">
        <f>IF(mgmt_domain_chosen="Initial VCF Instance",sample_wld_nsxt_gm_vip_fqdn,sample_wld_existing_active_nsx_gm)</f>
        <v>lax-w01-nsx-gm01.lax.rainpole.io</v>
      </c>
      <c r="D554" s="8" t="str">
        <f>IF(mgmt_domain_chosen="First Domain",wld_nsxt_gm_vip_fqdn,wld_existing_active_nsx_gm)</f>
        <v>Value Missing</v>
      </c>
      <c r="E554" s="87"/>
    </row>
    <row r="555" spans="2:5" ht="20" customHeight="1" x14ac:dyDescent="0.2">
      <c r="B555" s="4" t="s">
        <v>457</v>
      </c>
      <c r="C555" s="153" t="str">
        <f>CONCATENATE(this_instance,"-w0",wld_domain_number_chosen,"-nsx-gm01")</f>
        <v>sfo-w01-nsx-gm01</v>
      </c>
      <c r="D555" s="8" t="str">
        <f>wld_nsxt_federation_global_manager_name</f>
        <v>Value Missing</v>
      </c>
      <c r="E555" s="87"/>
    </row>
    <row r="556" spans="2:5" ht="20" customHeight="1" x14ac:dyDescent="0.2">
      <c r="B556" s="4" t="s">
        <v>458</v>
      </c>
      <c r="C556" s="65" t="str">
        <f>sample_wld_nsxt_gm_vip_fqdn</f>
        <v>sfo-w01-nsx-gm01.sfo.rainpole.io</v>
      </c>
      <c r="D556" s="8" t="str">
        <f>wld_nsxt_gm_vip_fqdn</f>
        <v>Value Missing</v>
      </c>
      <c r="E556" s="87"/>
    </row>
    <row r="557" spans="2:5" ht="20" customHeight="1" x14ac:dyDescent="0.2">
      <c r="B557" s="4" t="s">
        <v>28</v>
      </c>
      <c r="C557" s="65" t="s">
        <v>418</v>
      </c>
      <c r="D557" s="8" t="str">
        <f>C557</f>
        <v>admin</v>
      </c>
      <c r="E557" s="87"/>
    </row>
    <row r="558" spans="2:5" ht="20" customHeight="1" x14ac:dyDescent="0.2">
      <c r="B558" s="4" t="s">
        <v>30</v>
      </c>
      <c r="C558" s="65" t="str">
        <f>sample_wld_nsxt_gm_admin_password</f>
        <v>VMw@re1!VMw@re1!</v>
      </c>
      <c r="D558" s="8" t="str">
        <f>wld_nsxt_gm_admin_password</f>
        <v>Value Missing</v>
      </c>
      <c r="E558" s="87"/>
    </row>
    <row r="559" spans="2:5" ht="20" customHeight="1" x14ac:dyDescent="0.2">
      <c r="B559" s="4" t="s">
        <v>454</v>
      </c>
      <c r="C559" s="65" t="str">
        <f>sample_wld_nsxt_gm_fingerprint</f>
        <v>676edbc9b8c639d9311aaea32a357c7c81226856ad4f8c73a68dd760652d6b5d</v>
      </c>
      <c r="D559" s="8" t="str">
        <f>wld_nsxt_gm_fingerprint</f>
        <v>Value Missing</v>
      </c>
      <c r="E559" s="87"/>
    </row>
    <row r="560" spans="2:5" ht="16" customHeight="1" x14ac:dyDescent="0.2"/>
    <row r="561" spans="2:5" ht="20" customHeight="1" x14ac:dyDescent="0.2">
      <c r="B561" s="553" t="s">
        <v>459</v>
      </c>
      <c r="C561" s="554"/>
      <c r="D561" s="554"/>
      <c r="E561" s="555"/>
    </row>
    <row r="562" spans="2:5" ht="20" customHeight="1" x14ac:dyDescent="0.2">
      <c r="B562" s="63" t="s">
        <v>18</v>
      </c>
      <c r="C562" s="63" t="s">
        <v>19</v>
      </c>
      <c r="D562" s="63" t="s">
        <v>20</v>
      </c>
      <c r="E562" s="63" t="s">
        <v>21</v>
      </c>
    </row>
    <row r="563" spans="2:5" ht="20" customHeight="1" x14ac:dyDescent="0.2">
      <c r="B563" s="4" t="s">
        <v>444</v>
      </c>
      <c r="C563" s="65" t="str">
        <f>sample_wld_nsxt_vip_fqdn</f>
        <v>sfo-w01-nsx01.sfo.rainpole.io</v>
      </c>
      <c r="D563" s="8" t="str">
        <f>wld_nsxt_vip_fqdn</f>
        <v>Value Missing</v>
      </c>
      <c r="E563" s="4"/>
    </row>
    <row r="564" spans="2:5" ht="20" customHeight="1" x14ac:dyDescent="0.2">
      <c r="B564" s="4" t="s">
        <v>454</v>
      </c>
      <c r="C564" s="65" t="s">
        <v>455</v>
      </c>
      <c r="D564" s="66"/>
      <c r="E564" s="87" t="s">
        <v>917</v>
      </c>
    </row>
    <row r="565" spans="2:5" ht="20" customHeight="1" x14ac:dyDescent="0.2">
      <c r="B565" s="4" t="s">
        <v>456</v>
      </c>
      <c r="C565" s="65" t="str">
        <f>IF(mgmt_domain_chosen="Initial VCF Instance",sample_wld_nsxt_gm_vip_fqdn,sample_wld_existing_active_nsx_gm)</f>
        <v>lax-w01-nsx-gm01.lax.rainpole.io</v>
      </c>
      <c r="D565" s="8" t="str">
        <f>IF(mgmt_domain_chosen="First Instance",wld_nsxt_gm_vip_fqdn,wld_existing_active_nsx_gm)</f>
        <v>Value Missing</v>
      </c>
      <c r="E565" s="87"/>
    </row>
    <row r="566" spans="2:5" ht="20" customHeight="1" x14ac:dyDescent="0.2">
      <c r="B566" s="4" t="s">
        <v>461</v>
      </c>
      <c r="C566" s="153" t="str">
        <f>CONCATENATE(this_instance,"-w0",wld_domain_number_chosen,)</f>
        <v>sfo-w01</v>
      </c>
      <c r="D566" s="66"/>
      <c r="E566" s="87"/>
    </row>
    <row r="567" spans="2:5" ht="20" customHeight="1" x14ac:dyDescent="0.2">
      <c r="B567" s="4" t="s">
        <v>458</v>
      </c>
      <c r="C567" s="65" t="str">
        <f>sample_wld_nsxt_vip_fqdn</f>
        <v>sfo-w01-nsx01.sfo.rainpole.io</v>
      </c>
      <c r="D567" s="8" t="str">
        <f>wld_nsxt_vip_fqdn</f>
        <v>Value Missing</v>
      </c>
      <c r="E567" s="87"/>
    </row>
    <row r="568" spans="2:5" ht="20" customHeight="1" x14ac:dyDescent="0.2">
      <c r="B568" s="4" t="s">
        <v>28</v>
      </c>
      <c r="C568" s="65" t="s">
        <v>418</v>
      </c>
      <c r="D568" s="8"/>
      <c r="E568" s="87"/>
    </row>
    <row r="569" spans="2:5" ht="20" customHeight="1" x14ac:dyDescent="0.2">
      <c r="B569" s="4" t="s">
        <v>30</v>
      </c>
      <c r="C569" s="65" t="str">
        <f>sample_wld_nsxt_lm_admin_password</f>
        <v>VMw@re1!VMw@re1!</v>
      </c>
      <c r="D569" s="8" t="str">
        <f>wld_nsxt_lm_admin_password</f>
        <v>Value Missing</v>
      </c>
      <c r="E569" s="87"/>
    </row>
    <row r="570" spans="2:5" ht="20" customHeight="1" x14ac:dyDescent="0.2">
      <c r="B570" s="4" t="s">
        <v>454</v>
      </c>
      <c r="C570" s="65" t="str">
        <f>sample_wld_nsxt_lm_fingerprint</f>
        <v>0d472de0d92da89f2b469d4d10ab23505ad4edb90cd7e68f84497008f6c89ff1</v>
      </c>
      <c r="D570" s="8" t="str">
        <f>wld_nsxt_lm_fingerprint</f>
        <v>Value Missing</v>
      </c>
      <c r="E570" s="87"/>
    </row>
    <row r="571" spans="2:5" ht="20" customHeight="1" x14ac:dyDescent="0.2">
      <c r="B571" s="4" t="s">
        <v>462</v>
      </c>
      <c r="C571" s="65" t="s">
        <v>463</v>
      </c>
      <c r="D571" s="8" t="str">
        <f>C571</f>
        <v>nsxDefaultHostSwitch</v>
      </c>
      <c r="E571" s="173"/>
    </row>
    <row r="572" spans="2:5" ht="20" customHeight="1" x14ac:dyDescent="0.2">
      <c r="B572" s="4" t="s">
        <v>464</v>
      </c>
      <c r="C572" s="103" t="str">
        <f>CONCATENATE(prefix_wld_az1_vlan,"20")</f>
        <v>1320</v>
      </c>
      <c r="D572" s="66"/>
      <c r="E572" s="87"/>
    </row>
    <row r="573" spans="2:5" ht="20" customHeight="1" x14ac:dyDescent="0.2">
      <c r="B573" s="4" t="s">
        <v>465</v>
      </c>
      <c r="C573" s="65" t="str">
        <f>sample_wld_az1_rtep_ip_pool_name</f>
        <v>sfo-w01-r01-ip-pool-rtep</v>
      </c>
      <c r="D573" s="8" t="str">
        <f>wld_az1_rtep_ip_pool_name</f>
        <v>Value Missing</v>
      </c>
      <c r="E573" s="87"/>
    </row>
    <row r="574" spans="2:5" ht="16" customHeight="1" x14ac:dyDescent="0.2"/>
    <row r="575" spans="2:5" ht="20" customHeight="1" x14ac:dyDescent="0.2">
      <c r="B575" s="553" t="s">
        <v>466</v>
      </c>
      <c r="C575" s="554"/>
      <c r="D575" s="554"/>
      <c r="E575" s="555"/>
    </row>
    <row r="576" spans="2:5" ht="20" customHeight="1" x14ac:dyDescent="0.2">
      <c r="B576" s="63" t="s">
        <v>18</v>
      </c>
      <c r="C576" s="63" t="s">
        <v>19</v>
      </c>
      <c r="D576" s="63" t="s">
        <v>20</v>
      </c>
      <c r="E576" s="63" t="s">
        <v>21</v>
      </c>
    </row>
    <row r="577" spans="2:5" ht="20" customHeight="1" x14ac:dyDescent="0.2">
      <c r="B577" s="4" t="s">
        <v>434</v>
      </c>
      <c r="C577" s="65" t="str">
        <f>sample_wld_nsxt_gm_vip_fqdn</f>
        <v>sfo-w01-nsx-gm01.sfo.rainpole.io</v>
      </c>
      <c r="D577" s="8" t="str">
        <f>wld_nsxt_gm_vip_fqdn</f>
        <v>Value Missing</v>
      </c>
      <c r="E577" s="87"/>
    </row>
    <row r="578" spans="2:5" ht="20" customHeight="1" x14ac:dyDescent="0.2">
      <c r="B578" s="4" t="s">
        <v>467</v>
      </c>
      <c r="C578" s="153" t="str">
        <f>CONCATENATE(prefix_portable_component,"-w0",wld_domain_number_chosen,"-ec01-t1-gw01")</f>
        <v>flt-w01-ec01-t1-gw01</v>
      </c>
      <c r="D578" s="66"/>
      <c r="E578" s="87"/>
    </row>
    <row r="579" spans="2:5" ht="20" customHeight="1" x14ac:dyDescent="0.2">
      <c r="B579" s="4" t="s">
        <v>468</v>
      </c>
      <c r="C579" s="65" t="str">
        <f>sample_wld_tier0_name</f>
        <v>sfo-w01-ec01-t0-gw01</v>
      </c>
      <c r="D579" s="8" t="str">
        <f>wld_tier0_name</f>
        <v>Value Missing</v>
      </c>
      <c r="E579" s="87"/>
    </row>
    <row r="580" spans="2:5" ht="20" customHeight="1" x14ac:dyDescent="0.2">
      <c r="B580" s="4" t="s">
        <v>469</v>
      </c>
      <c r="C580" s="65" t="str">
        <f>sample_wld_nsxt_federation_location_name</f>
        <v>sfo-w01</v>
      </c>
      <c r="D580" s="8" t="str">
        <f>wld_nsxt_federation_location_name</f>
        <v>Value Missing</v>
      </c>
      <c r="E580" s="34"/>
    </row>
    <row r="581" spans="2:5" ht="20" customHeight="1" x14ac:dyDescent="0.2">
      <c r="B581" s="4" t="s">
        <v>88</v>
      </c>
      <c r="C581" s="65" t="str">
        <f>sample_wld_ec_name</f>
        <v>sfo-w01-ec01</v>
      </c>
      <c r="D581" s="8" t="str">
        <f>wld_ec_name</f>
        <v>Value Missing</v>
      </c>
      <c r="E581" s="87"/>
    </row>
    <row r="582" spans="2:5" ht="16" customHeight="1" x14ac:dyDescent="0.2"/>
    <row r="583" spans="2:5" ht="20" customHeight="1" x14ac:dyDescent="0.2">
      <c r="B583" s="553" t="s">
        <v>473</v>
      </c>
      <c r="C583" s="554"/>
      <c r="D583" s="554"/>
      <c r="E583" s="555"/>
    </row>
    <row r="584" spans="2:5" ht="20" customHeight="1" x14ac:dyDescent="0.2">
      <c r="B584" s="63" t="s">
        <v>18</v>
      </c>
      <c r="C584" s="63" t="s">
        <v>19</v>
      </c>
      <c r="D584" s="63" t="s">
        <v>20</v>
      </c>
      <c r="E584" s="63" t="s">
        <v>21</v>
      </c>
    </row>
    <row r="585" spans="2:5" ht="20" customHeight="1" x14ac:dyDescent="0.2">
      <c r="B585" s="4" t="s">
        <v>456</v>
      </c>
      <c r="C585" s="65" t="str">
        <f>IF(mgmt_domain_chosen="First Domain",CONCATENATE(this_instance,"-w01-nsx-gm01.",this_instance,".",sample_parent_dns_zone),CONCATENATE(other_instance,"-w01-nsx-gm01.",other_instance,".",sample_parent_dns_zone))</f>
        <v>lax-w01-nsx-gm01.lax.rainpole.io</v>
      </c>
      <c r="D585" s="66"/>
      <c r="E585" s="87"/>
    </row>
    <row r="586" spans="2:5" ht="20" customHeight="1" x14ac:dyDescent="0.2">
      <c r="B586" s="4" t="s">
        <v>474</v>
      </c>
      <c r="C586" s="65" t="str">
        <f>CONCATENATE(this_instance,"-w01-ec01-t0-gw01")</f>
        <v>sfo-w01-ec01-t0-gw01</v>
      </c>
      <c r="D586" s="66"/>
      <c r="E586" s="87"/>
    </row>
    <row r="587" spans="2:5" ht="20" customHeight="1" x14ac:dyDescent="0.2">
      <c r="B587" s="4" t="s">
        <v>469</v>
      </c>
      <c r="C587" s="65" t="str">
        <f>sample_wld_nsxt_federation_location_name</f>
        <v>sfo-w01</v>
      </c>
      <c r="D587" s="8" t="str">
        <f>wld_nsxt_federation_location_name</f>
        <v>Value Missing</v>
      </c>
      <c r="E587" s="34"/>
    </row>
    <row r="588" spans="2:5" ht="20" customHeight="1" x14ac:dyDescent="0.2">
      <c r="B588" s="4" t="s">
        <v>88</v>
      </c>
      <c r="C588" s="65" t="str">
        <f>sample_wld_ec_name</f>
        <v>sfo-w01-ec01</v>
      </c>
      <c r="D588" s="8" t="str">
        <f>wld_ec_name</f>
        <v>Value Missing</v>
      </c>
      <c r="E588" s="87"/>
    </row>
    <row r="589" spans="2:5" ht="20" customHeight="1" x14ac:dyDescent="0.2">
      <c r="B589" s="4" t="s">
        <v>476</v>
      </c>
      <c r="C589" s="65" t="str">
        <f>CONCATENATE(sample_wld_az1_en1_hostname,"_VCF-edge_",sample_wld_ec_name,"_segment_",sample_wld_az1_uplink01_vlan,"_",sample_wld_az1_en1_uplink01_interface_cidr)</f>
        <v>sfo-w01-r01-en01_VCF-edge_sfo-w01-ec01_segment_1317_10.13.17.2/24</v>
      </c>
      <c r="D589" s="8" t="str">
        <f>CONCATENATE(wld_az1_en1_hostname,"_VCF-edge_",wld_ec_name,"_segment_",wld_az1_uplink01_vlan,"_",wld_az1_en1_uplink01_interface_cidr)</f>
        <v>Value Missing_VCF-edge_Value Missing_segment_Value Missing_Value Missing</v>
      </c>
      <c r="E589" s="87"/>
    </row>
    <row r="590" spans="2:5" ht="20" customHeight="1" x14ac:dyDescent="0.2">
      <c r="B590" s="4" t="s">
        <v>477</v>
      </c>
      <c r="C590" s="65" t="str">
        <f>sample_wld_nsxt_federation_location_name</f>
        <v>sfo-w01</v>
      </c>
      <c r="D590" s="8" t="str">
        <f>wld_nsxt_federation_location_name</f>
        <v>Value Missing</v>
      </c>
      <c r="E590" s="87"/>
    </row>
    <row r="591" spans="2:5" ht="20" customHeight="1" x14ac:dyDescent="0.2">
      <c r="B591" s="4" t="s">
        <v>478</v>
      </c>
      <c r="C591" s="65" t="str">
        <f>sample_wld_az1_en1_uplink01_interface_cidr</f>
        <v>10.13.17.2/24</v>
      </c>
      <c r="D591" s="8" t="str">
        <f>wld_az1_en1_uplink01_interface_cidr</f>
        <v>Value Missing</v>
      </c>
      <c r="E591" s="87"/>
    </row>
    <row r="592" spans="2:5" ht="20" customHeight="1" x14ac:dyDescent="0.2">
      <c r="B592" s="4" t="s">
        <v>479</v>
      </c>
      <c r="C592" s="65" t="str">
        <f>CONCATENATE("VCF-edge_",sample_wld_ec_name,"_segment_uplink1_",sample_wld_az1_uplink01_vlan)</f>
        <v>VCF-edge_sfo-w01-ec01_segment_uplink1_1317</v>
      </c>
      <c r="D592" s="8" t="str">
        <f>CONCATENATE("VCF-edge_",wld_ec_name,"_segment_uplink1_",wld_az1_uplink01_vlan)</f>
        <v>VCF-edge_Value Missing_segment_uplink1_Value Missing</v>
      </c>
      <c r="E592" s="87"/>
    </row>
    <row r="593" spans="2:5" ht="20" customHeight="1" x14ac:dyDescent="0.2">
      <c r="B593" s="4" t="s">
        <v>918</v>
      </c>
      <c r="C593" s="65" t="str">
        <f>CONCATENATE(this_instance,"-w0",wld_domain_number_chosen,"-r01-en01")</f>
        <v>sfo-w01-r01-en01</v>
      </c>
      <c r="D593" s="8" t="str">
        <f>wld_az1_en1_hostname</f>
        <v>Value Missing</v>
      </c>
      <c r="E593" s="87"/>
    </row>
    <row r="594" spans="2:5" ht="20" customHeight="1" x14ac:dyDescent="0.2">
      <c r="B594" s="4" t="s">
        <v>919</v>
      </c>
      <c r="C594" s="65">
        <f>sample_wld_az1_uplink01_mtu</f>
        <v>9000</v>
      </c>
      <c r="D594" s="8" t="str">
        <f>wld_az1_uplink01_mtu</f>
        <v>Value Missing</v>
      </c>
      <c r="E594" s="87"/>
    </row>
    <row r="595" spans="2:5" ht="20" customHeight="1" x14ac:dyDescent="0.2">
      <c r="B595" s="4" t="s">
        <v>920</v>
      </c>
      <c r="C595" s="65" t="str">
        <f>CONCATENATE(sample_wld_az1_en1_hostname,"_VCF-edge_",sample_wld_ec_name,"_segment_",sample_wld_az1_uplink02_vlan,"_",sample_wld_az1_en1_uplink02_interface_cidr)</f>
        <v>sfo-w01-r01-en01_VCF-edge_sfo-w01-ec01_segment_1318_10.13.18.2/24</v>
      </c>
      <c r="D595" s="8" t="str">
        <f>CONCATENATE(wld_az1_en1_hostname,"_VCF-edge_",wld_ec_name,"_segment_",wld_az1_uplink02_vlan,"_",wld_az1_en1_uplink02_interface_cidr)</f>
        <v>Value Missing_VCF-edge_Value Missing_segment_Value Missing_Value Missing</v>
      </c>
      <c r="E595" s="87"/>
    </row>
    <row r="596" spans="2:5" ht="20" customHeight="1" x14ac:dyDescent="0.2">
      <c r="B596" s="4" t="s">
        <v>921</v>
      </c>
      <c r="C596" s="65" t="str">
        <f>sample_wld_nsxt_federation_location_name</f>
        <v>sfo-w01</v>
      </c>
      <c r="D596" s="8" t="str">
        <f>wld_nsxt_federation_location_name</f>
        <v>Value Missing</v>
      </c>
      <c r="E596" s="87"/>
    </row>
    <row r="597" spans="2:5" ht="20" customHeight="1" x14ac:dyDescent="0.2">
      <c r="B597" s="4" t="s">
        <v>485</v>
      </c>
      <c r="C597" s="65" t="str">
        <f>sample_wld_az1_en1_uplink02_interface_cidr</f>
        <v>10.13.18.2/24</v>
      </c>
      <c r="D597" s="8" t="str">
        <f>wld_az1_en1_uplink02_interface_cidr</f>
        <v>Value Missing</v>
      </c>
      <c r="E597" s="87"/>
    </row>
    <row r="598" spans="2:5" ht="20" customHeight="1" x14ac:dyDescent="0.2">
      <c r="B598" s="23" t="s">
        <v>922</v>
      </c>
      <c r="C598" s="65" t="str">
        <f>CONCATENATE("VCF-edge_",sample_wld_ec_name,"_segment_uplink2_",sample_wld_az1_uplink02_vlan)</f>
        <v>VCF-edge_sfo-w01-ec01_segment_uplink2_1318</v>
      </c>
      <c r="D598" s="8" t="str">
        <f>CONCATENATE("VCF-edge_",wld_ec_name,"_segment_uplink2_",wld_az1_uplink02_vlan)</f>
        <v>VCF-edge_Value Missing_segment_uplink2_Value Missing</v>
      </c>
      <c r="E598" s="87"/>
    </row>
    <row r="599" spans="2:5" ht="20" customHeight="1" x14ac:dyDescent="0.2">
      <c r="B599" s="4" t="s">
        <v>487</v>
      </c>
      <c r="C599" s="65" t="str">
        <f>sample_wld_az1_en1_hostname</f>
        <v>sfo-w01-r01-en01</v>
      </c>
      <c r="D599" s="8" t="str">
        <f>wld_az1_en1_hostname</f>
        <v>Value Missing</v>
      </c>
      <c r="E599" s="87"/>
    </row>
    <row r="600" spans="2:5" ht="20" customHeight="1" x14ac:dyDescent="0.2">
      <c r="B600" s="4" t="s">
        <v>489</v>
      </c>
      <c r="C600" s="65">
        <f>sample_wld_az1_uplink01_mtu</f>
        <v>9000</v>
      </c>
      <c r="D600" s="8" t="str">
        <f>wld_az1_uplink02_mtu</f>
        <v>Value Missing</v>
      </c>
      <c r="E600" s="87"/>
    </row>
    <row r="601" spans="2:5" ht="20" customHeight="1" x14ac:dyDescent="0.2">
      <c r="B601" s="4" t="s">
        <v>490</v>
      </c>
      <c r="C601" s="65" t="str">
        <f>CONCATENATE(sample_wld_az1_en2_hostname,"_VCF-edge_",sample_wld_ec_name,"_segment_",sample_wld_az1_uplink01_vlan,"_",sample_wld_az1_en2_uplink01_interface_cidr)</f>
        <v>sfo-w01-r01-en02_VCF-edge_sfo-w01-ec01_segment_1317_10.13.17.3/24</v>
      </c>
      <c r="D601" s="8" t="str">
        <f>CONCATENATE(wld_az1_en2_hostname,"_VCF-edge_",wld_ec_name,"_segment_",wld_az1_uplink01_vlan,"_",wld_az1_en2_uplink01_interface_cidr)</f>
        <v>Value Missing_VCF-edge_Value Missing_segment_Value Missing_Value Missing</v>
      </c>
      <c r="E601" s="87"/>
    </row>
    <row r="602" spans="2:5" ht="20" customHeight="1" x14ac:dyDescent="0.2">
      <c r="B602" s="4" t="s">
        <v>923</v>
      </c>
      <c r="C602" s="65" t="str">
        <f>sample_wld_nsxt_federation_location_name</f>
        <v>sfo-w01</v>
      </c>
      <c r="D602" s="8" t="str">
        <f>wld_nsxt_federation_location_name</f>
        <v>Value Missing</v>
      </c>
      <c r="E602" s="87"/>
    </row>
    <row r="603" spans="2:5" ht="20" customHeight="1" x14ac:dyDescent="0.2">
      <c r="B603" s="4" t="s">
        <v>924</v>
      </c>
      <c r="C603" s="65" t="str">
        <f>sample_wld_az1_en2_uplink01_interface_cidr</f>
        <v>10.13.17.3/24</v>
      </c>
      <c r="D603" s="8" t="str">
        <f>wld_az1_en2_uplink01_interface_cidr</f>
        <v>Value Missing</v>
      </c>
      <c r="E603" s="87"/>
    </row>
    <row r="604" spans="2:5" ht="20" customHeight="1" x14ac:dyDescent="0.2">
      <c r="B604" s="23" t="s">
        <v>925</v>
      </c>
      <c r="C604" s="65" t="str">
        <f>CONCATENATE("VCF-edge_",sample_wld_ec_name,"_segment_uplink1_",sample_wld_az1_uplink01_vlan)</f>
        <v>VCF-edge_sfo-w01-ec01_segment_uplink1_1317</v>
      </c>
      <c r="D604" s="8" t="str">
        <f>CONCATENATE("VCF-edge_",wld_ec_name,"_segment_uplink1_",wld_az1_uplink01_vlan)</f>
        <v>VCF-edge_Value Missing_segment_uplink1_Value Missing</v>
      </c>
      <c r="E604" s="87"/>
    </row>
    <row r="605" spans="2:5" ht="20" customHeight="1" x14ac:dyDescent="0.2">
      <c r="B605" s="4" t="s">
        <v>926</v>
      </c>
      <c r="C605" s="65" t="str">
        <f>CONCATENATE(this_instance,"-w0",wld_domain_number_chosen,"-r01-en02")</f>
        <v>sfo-w01-r01-en02</v>
      </c>
      <c r="D605" s="8" t="str">
        <f>wld_az1_en2_hostname</f>
        <v>Value Missing</v>
      </c>
      <c r="E605" s="87"/>
    </row>
    <row r="606" spans="2:5" ht="20" customHeight="1" x14ac:dyDescent="0.2">
      <c r="B606" s="4" t="s">
        <v>927</v>
      </c>
      <c r="C606" s="65">
        <f>sample_wld_az1_uplink01_mtu</f>
        <v>9000</v>
      </c>
      <c r="D606" s="8" t="str">
        <f>wld_az1_uplink01_mtu</f>
        <v>Value Missing</v>
      </c>
      <c r="E606" s="87"/>
    </row>
    <row r="607" spans="2:5" ht="20" customHeight="1" x14ac:dyDescent="0.2">
      <c r="B607" s="4" t="s">
        <v>496</v>
      </c>
      <c r="C607" s="65" t="str">
        <f>CONCATENATE(sample_wld_az1_en2_hostname,"_VCF-edge_",sample_wld_ec_name,"_segment_",sample_wld_az1_uplink02_vlan,"_",sample_wld_az1_en2_uplink02_interface_cidr)</f>
        <v>sfo-w01-r01-en02_VCF-edge_sfo-w01-ec01_segment_1318_10.13.18.3/24</v>
      </c>
      <c r="D607" s="8" t="str">
        <f>CONCATENATE(wld_az1_en2_hostname,"_VCF-edge_",wld_ec_name,"_segment_",wld_az1_uplink02_vlan,"_",wld_az1_en2_uplink02_interface_cidr)</f>
        <v>Value Missing_VCF-edge_Value Missing_segment_Value Missing_Value Missing</v>
      </c>
      <c r="E607" s="87"/>
    </row>
    <row r="608" spans="2:5" ht="20" customHeight="1" x14ac:dyDescent="0.2">
      <c r="B608" s="4" t="s">
        <v>497</v>
      </c>
      <c r="C608" s="65" t="str">
        <f>sample_wld_nsxt_federation_location_name</f>
        <v>sfo-w01</v>
      </c>
      <c r="D608" s="8" t="str">
        <f>wld_nsxt_federation_location_name</f>
        <v>Value Missing</v>
      </c>
      <c r="E608" s="87"/>
    </row>
    <row r="609" spans="2:5" ht="20" customHeight="1" x14ac:dyDescent="0.2">
      <c r="B609" s="4" t="s">
        <v>928</v>
      </c>
      <c r="C609" s="65" t="str">
        <f>sample_wld_az1_en2_uplink02_interface_cidr</f>
        <v>10.13.18.3/24</v>
      </c>
      <c r="D609" s="8" t="str">
        <f>wld_az1_en2_uplink02_interface_cidr</f>
        <v>Value Missing</v>
      </c>
      <c r="E609" s="87"/>
    </row>
    <row r="610" spans="2:5" ht="20" customHeight="1" x14ac:dyDescent="0.2">
      <c r="B610" s="23" t="s">
        <v>499</v>
      </c>
      <c r="C610" s="65" t="str">
        <f>CONCATENATE("VCF-edge_",sample_wld_ec_name,"_segment_uplink2_",sample_wld_az1_uplink02_vlan)</f>
        <v>VCF-edge_sfo-w01-ec01_segment_uplink2_1318</v>
      </c>
      <c r="D610" s="8" t="str">
        <f>CONCATENATE("VCF-edge_",wld_ec_name,"_segment_uplink2_",wld_az1_uplink02_vlan)</f>
        <v>VCF-edge_Value Missing_segment_uplink2_Value Missing</v>
      </c>
      <c r="E610" s="87"/>
    </row>
    <row r="611" spans="2:5" ht="20" customHeight="1" x14ac:dyDescent="0.2">
      <c r="B611" s="4" t="s">
        <v>929</v>
      </c>
      <c r="C611" s="65" t="str">
        <f>sample_wld_az1_en2_hostname</f>
        <v>sfo-w01-r01-en02</v>
      </c>
      <c r="D611" s="8" t="str">
        <f>wld_az1_en2_hostname</f>
        <v>Value Missing</v>
      </c>
      <c r="E611" s="87"/>
    </row>
    <row r="612" spans="2:5" ht="20" customHeight="1" x14ac:dyDescent="0.2">
      <c r="B612" s="4" t="s">
        <v>501</v>
      </c>
      <c r="C612" s="65">
        <f>sample_wld_az1_uplink01_mtu</f>
        <v>9000</v>
      </c>
      <c r="D612" s="8" t="str">
        <f>wld_az1_uplink02_mtu</f>
        <v>Value Missing</v>
      </c>
      <c r="E612" s="87"/>
    </row>
    <row r="613" spans="2:5" ht="20" customHeight="1" x14ac:dyDescent="0.2">
      <c r="B613" s="4" t="s">
        <v>502</v>
      </c>
      <c r="C613" s="65" t="str">
        <f>sample_wld_az1_tor1_peer_ip</f>
        <v>10.13.17.10</v>
      </c>
      <c r="D613" s="8" t="str">
        <f>wld_az1_tor1_peer_ip</f>
        <v>Value Missing</v>
      </c>
      <c r="E613" s="87"/>
    </row>
    <row r="614" spans="2:5" ht="20" customHeight="1" x14ac:dyDescent="0.2">
      <c r="B614" s="4" t="s">
        <v>930</v>
      </c>
      <c r="C614" s="65" t="str">
        <f>sample_wld_nsxt_federation_location_name</f>
        <v>sfo-w01</v>
      </c>
      <c r="D614" s="8" t="str">
        <f>wld_nsxt_federation_location_name</f>
        <v>Value Missing</v>
      </c>
      <c r="E614" s="87"/>
    </row>
    <row r="615" spans="2:5" ht="20" customHeight="1" x14ac:dyDescent="0.2">
      <c r="B615" s="4" t="s">
        <v>504</v>
      </c>
      <c r="C615" s="65" t="str">
        <f>sample_wld_az1_tor1_peer_asn</f>
        <v>65131</v>
      </c>
      <c r="D615" s="8" t="str">
        <f>wld_az1_tor1_peer_asn</f>
        <v>Value Missing</v>
      </c>
      <c r="E615" s="87"/>
    </row>
    <row r="616" spans="2:5" ht="20" customHeight="1" x14ac:dyDescent="0.2">
      <c r="B616" s="4" t="s">
        <v>931</v>
      </c>
      <c r="C616" s="65" t="str">
        <f>sample_wld_az1_en1_uplink01_interface_cidr</f>
        <v>10.13.17.2/24</v>
      </c>
      <c r="D616" s="8" t="str">
        <f>wld_az1_en1_uplink01_interface_cidr</f>
        <v>Value Missing</v>
      </c>
      <c r="E616" s="87"/>
    </row>
    <row r="617" spans="2:5" ht="20" customHeight="1" x14ac:dyDescent="0.2">
      <c r="B617" s="4" t="s">
        <v>932</v>
      </c>
      <c r="C617" s="65" t="str">
        <f>sample_wld_az1_en2_uplink01_interface_cidr</f>
        <v>10.13.17.3/24</v>
      </c>
      <c r="D617" s="8" t="str">
        <f>wld_az1_en2_uplink01_interface_cidr</f>
        <v>Value Missing</v>
      </c>
      <c r="E617" s="87"/>
    </row>
    <row r="618" spans="2:5" ht="20" customHeight="1" x14ac:dyDescent="0.2">
      <c r="B618" s="4" t="s">
        <v>933</v>
      </c>
      <c r="C618" s="65" t="str">
        <f>sample_wld_az1_tor1_peer_bgp_password</f>
        <v>VMw@re1!</v>
      </c>
      <c r="D618" s="8" t="str">
        <f>wld_az1_tor1_peer_bgp_password</f>
        <v>Value Missing</v>
      </c>
      <c r="E618" s="87"/>
    </row>
    <row r="619" spans="2:5" ht="20" customHeight="1" x14ac:dyDescent="0.2">
      <c r="B619" s="4" t="s">
        <v>934</v>
      </c>
      <c r="C619" s="65" t="str">
        <f>sample_wld_az1_tor2_peer_ip</f>
        <v>10.13.18.10</v>
      </c>
      <c r="D619" s="8" t="str">
        <f>wld_az1_tor2_peer_ip</f>
        <v>Value Missing</v>
      </c>
      <c r="E619" s="87"/>
    </row>
    <row r="620" spans="2:5" ht="20" customHeight="1" x14ac:dyDescent="0.2">
      <c r="B620" s="4" t="s">
        <v>509</v>
      </c>
      <c r="C620" s="65" t="str">
        <f>sample_wld_nsxt_federation_location_name</f>
        <v>sfo-w01</v>
      </c>
      <c r="D620" s="8" t="str">
        <f>wld_nsxt_federation_location_name</f>
        <v>Value Missing</v>
      </c>
      <c r="E620" s="87"/>
    </row>
    <row r="621" spans="2:5" ht="20" customHeight="1" x14ac:dyDescent="0.2">
      <c r="B621" s="4" t="s">
        <v>935</v>
      </c>
      <c r="C621" s="65" t="str">
        <f>sample_wld_az1_tor1_peer_asn</f>
        <v>65131</v>
      </c>
      <c r="D621" s="8" t="str">
        <f>wld_az1_tor1_peer_asn</f>
        <v>Value Missing</v>
      </c>
      <c r="E621" s="87"/>
    </row>
    <row r="622" spans="2:5" ht="20" customHeight="1" x14ac:dyDescent="0.2">
      <c r="B622" s="4" t="s">
        <v>936</v>
      </c>
      <c r="C622" s="65" t="str">
        <f>sample_wld_az1_en1_uplink02_interface_cidr</f>
        <v>10.13.18.2/24</v>
      </c>
      <c r="D622" s="8" t="str">
        <f>wld_az1_en1_uplink02_interface_cidr</f>
        <v>Value Missing</v>
      </c>
      <c r="E622" s="87"/>
    </row>
    <row r="623" spans="2:5" ht="20" customHeight="1" x14ac:dyDescent="0.2">
      <c r="B623" s="4" t="s">
        <v>937</v>
      </c>
      <c r="C623" s="65" t="str">
        <f>sample_wld_az1_en2_uplink02_interface_cidr</f>
        <v>10.13.18.3/24</v>
      </c>
      <c r="D623" s="8" t="str">
        <f>wld_az1_en2_uplink02_interface_cidr</f>
        <v>Value Missing</v>
      </c>
      <c r="E623" s="87"/>
    </row>
    <row r="624" spans="2:5" ht="20" customHeight="1" x14ac:dyDescent="0.2">
      <c r="B624" s="4" t="s">
        <v>513</v>
      </c>
      <c r="C624" s="65" t="str">
        <f>sample_wld_az1_tor2_peer_bgp_password</f>
        <v>VMw@re1!</v>
      </c>
      <c r="D624" s="8" t="str">
        <f>wld_az1_tor2_peer_bgp_password</f>
        <v>Value Missing</v>
      </c>
      <c r="E624" s="87"/>
    </row>
    <row r="625" spans="2:5" ht="16" customHeight="1" x14ac:dyDescent="0.2"/>
    <row r="626" spans="2:5" ht="20" customHeight="1" x14ac:dyDescent="0.2">
      <c r="B626" s="553" t="s">
        <v>514</v>
      </c>
      <c r="C626" s="554"/>
      <c r="D626" s="554"/>
      <c r="E626" s="555"/>
    </row>
    <row r="627" spans="2:5" ht="20" customHeight="1" x14ac:dyDescent="0.2">
      <c r="B627" s="63" t="s">
        <v>18</v>
      </c>
      <c r="C627" s="63" t="s">
        <v>19</v>
      </c>
      <c r="D627" s="63" t="s">
        <v>20</v>
      </c>
      <c r="E627" s="63" t="s">
        <v>21</v>
      </c>
    </row>
    <row r="628" spans="2:5" ht="20" customHeight="1" x14ac:dyDescent="0.2">
      <c r="B628" s="4" t="s">
        <v>456</v>
      </c>
      <c r="C628" s="65" t="str">
        <f>sample_wld_existing_active_nsx_gm</f>
        <v>lax-w01-nsx-gm01.lax.rainpole.io</v>
      </c>
      <c r="D628" s="8" t="str">
        <f>IF(mgmt_domain_chosen="First Domain",wld_nsxt_gm_vip_fqdn,wld_existing_active_nsx_gm)</f>
        <v>Value Missing</v>
      </c>
      <c r="E628" s="87"/>
    </row>
    <row r="629" spans="2:5" ht="20" customHeight="1" x14ac:dyDescent="0.2">
      <c r="B629" s="4" t="s">
        <v>472</v>
      </c>
      <c r="C629" s="65" t="str">
        <f>sample_wld_nsxt_xreg_t1_name</f>
        <v>flt-w01-ec01-t1-gw01</v>
      </c>
      <c r="D629" s="8" t="str">
        <f>IF(mgmt_domain_chosen="First Domain",wld_nsxt_xreg_t1_name,wld_existing_cross_instance_t0_name)</f>
        <v>Value Missing</v>
      </c>
      <c r="E629" s="87"/>
    </row>
    <row r="630" spans="2:5" ht="20" customHeight="1" x14ac:dyDescent="0.2">
      <c r="B630" s="4" t="s">
        <v>469</v>
      </c>
      <c r="C630" s="65" t="str">
        <f>sample_wld_nsxt_federation_location_name</f>
        <v>sfo-w01</v>
      </c>
      <c r="D630" s="8" t="str">
        <f>wld_nsxt_federation_location_name</f>
        <v>Value Missing</v>
      </c>
      <c r="E630" s="34"/>
    </row>
    <row r="631" spans="2:5" ht="20" customHeight="1" x14ac:dyDescent="0.2">
      <c r="B631" s="4" t="s">
        <v>88</v>
      </c>
      <c r="C631" s="65" t="str">
        <f>sample_wld_ec_name</f>
        <v>sfo-w01-ec01</v>
      </c>
      <c r="D631" s="8" t="str">
        <f>wld_ec_name</f>
        <v>Value Missing</v>
      </c>
      <c r="E631" s="87"/>
    </row>
  </sheetData>
  <sheetProtection algorithmName="SHA-512" hashValue="gTmTdFMqtPEpHZQ3Spdb2lm6wqxJJqRpsov2GXtwznicNv8/oHTyfGH3vobRw53tufcJVSxhb8P84J70h+S2tQ==" saltValue="GRIQK4H7LVD4BaibPpKPLA==" spinCount="100000" sheet="1" selectLockedCells="1"/>
  <mergeCells count="80">
    <mergeCell ref="B136:E136"/>
    <mergeCell ref="B147:E147"/>
    <mergeCell ref="B150:E150"/>
    <mergeCell ref="B160:E160"/>
    <mergeCell ref="B33:E33"/>
    <mergeCell ref="B94:E94"/>
    <mergeCell ref="B133:E133"/>
    <mergeCell ref="B450:E450"/>
    <mergeCell ref="B467:E467"/>
    <mergeCell ref="B293:E293"/>
    <mergeCell ref="B411:E411"/>
    <mergeCell ref="B415:E415"/>
    <mergeCell ref="B430:E430"/>
    <mergeCell ref="B429:E429"/>
    <mergeCell ref="B367:E367"/>
    <mergeCell ref="B407:E407"/>
    <mergeCell ref="B373:E373"/>
    <mergeCell ref="B356:E356"/>
    <mergeCell ref="B362:E362"/>
    <mergeCell ref="B335:E335"/>
    <mergeCell ref="B302:E302"/>
    <mergeCell ref="B328:E328"/>
    <mergeCell ref="B406:E406"/>
    <mergeCell ref="B626:E626"/>
    <mergeCell ref="B561:E561"/>
    <mergeCell ref="B575:E575"/>
    <mergeCell ref="B583:E583"/>
    <mergeCell ref="B550:E550"/>
    <mergeCell ref="B536:E536"/>
    <mergeCell ref="B545:E545"/>
    <mergeCell ref="B486:E486"/>
    <mergeCell ref="B504:E504"/>
    <mergeCell ref="B512:E512"/>
    <mergeCell ref="B518:E518"/>
    <mergeCell ref="B529:E529"/>
    <mergeCell ref="B522:E522"/>
    <mergeCell ref="B433:E433"/>
    <mergeCell ref="B103:E103"/>
    <mergeCell ref="B118:E118"/>
    <mergeCell ref="B54:E54"/>
    <mergeCell ref="B82:E82"/>
    <mergeCell ref="B238:E238"/>
    <mergeCell ref="B98:E98"/>
    <mergeCell ref="B236:E236"/>
    <mergeCell ref="B223:E223"/>
    <mergeCell ref="B225:E225"/>
    <mergeCell ref="B218:E218"/>
    <mergeCell ref="B221:E221"/>
    <mergeCell ref="B170:E170"/>
    <mergeCell ref="B172:E172"/>
    <mergeCell ref="B180:E180"/>
    <mergeCell ref="B176:E176"/>
    <mergeCell ref="B183:E183"/>
    <mergeCell ref="B184:E184"/>
    <mergeCell ref="B186:E186"/>
    <mergeCell ref="B192:E192"/>
    <mergeCell ref="B196:E196"/>
    <mergeCell ref="B205:E205"/>
    <mergeCell ref="B214:E214"/>
    <mergeCell ref="B303:E303"/>
    <mergeCell ref="B219:E219"/>
    <mergeCell ref="B239:E239"/>
    <mergeCell ref="B265:E265"/>
    <mergeCell ref="B264:E264"/>
    <mergeCell ref="B277:E277"/>
    <mergeCell ref="B285:E285"/>
    <mergeCell ref="B241:E241"/>
    <mergeCell ref="B246:E246"/>
    <mergeCell ref="B269:E269"/>
    <mergeCell ref="B2:E2"/>
    <mergeCell ref="B3:E3"/>
    <mergeCell ref="B18:E18"/>
    <mergeCell ref="B19:E19"/>
    <mergeCell ref="B70:E70"/>
    <mergeCell ref="B30:E30"/>
    <mergeCell ref="B31:E31"/>
    <mergeCell ref="B35:E35"/>
    <mergeCell ref="B37:E37"/>
    <mergeCell ref="B41:E41"/>
    <mergeCell ref="B9:E9"/>
  </mergeCells>
  <phoneticPr fontId="0" type="noConversion"/>
  <conditionalFormatting sqref="B11">
    <cfRule type="expression" dxfId="1072" priority="1564">
      <formula>(wld_signed_certs_chosen="Exclude")</formula>
    </cfRule>
    <cfRule type="expression" dxfId="1071" priority="1565">
      <formula>AND((vcf_granular_option_chosen="Deploy a new VCF fleet"),(wld_signed_certs_chosen="Include"),(wld_signed_certs_result="Excluded"))</formula>
    </cfRule>
    <cfRule type="expression" dxfId="1070" priority="1566">
      <formula>AND((wld_signed_certs_chosen="Include"),(wld_signed_certs_result="Excluded"))</formula>
    </cfRule>
    <cfRule type="expression" dxfId="1069" priority="1567">
      <formula>AND((wld_signed_certs_chosen="Include"),(wld_signed_certs_result="Included"))</formula>
    </cfRule>
  </conditionalFormatting>
  <conditionalFormatting sqref="B12 B14:B15">
    <cfRule type="expression" dxfId="1068" priority="1579">
      <formula>AND((wld_bgp_chosen&lt;&gt;"Exclude"),(wld_bgp_result="Included"))</formula>
    </cfRule>
  </conditionalFormatting>
  <conditionalFormatting sqref="B12 D12:E12">
    <cfRule type="expression" dxfId="1067" priority="1556">
      <formula>AND((wld_bgp_chosen&lt;&gt;"Exclude"),(wld_bgp_result="Excluded"))</formula>
    </cfRule>
  </conditionalFormatting>
  <conditionalFormatting sqref="B12">
    <cfRule type="expression" dxfId="1066" priority="1576">
      <formula>(wld_bgp_chosen="Exclude")</formula>
    </cfRule>
  </conditionalFormatting>
  <conditionalFormatting sqref="B13 D13:E13">
    <cfRule type="expression" dxfId="1065" priority="7">
      <formula>AND((wld_supervisor_chosen&lt;&gt;"Exclude"),(wld_bgp_chosen="Exclude"))</formula>
    </cfRule>
    <cfRule type="expression" dxfId="1064" priority="9">
      <formula>AND((wld_supervisor_chosen&lt;&gt;"Exclude"),(wld_iaas_chosen="Include"))</formula>
    </cfRule>
    <cfRule type="expression" dxfId="1063" priority="10">
      <formula>(wld_supervisor_result="Excluded")</formula>
    </cfRule>
    <cfRule type="expression" dxfId="1062" priority="11">
      <formula>AND((wld_supervisor_chosen&lt;&gt;"Exclude"),(wld_supervisor_result="Included"))</formula>
    </cfRule>
  </conditionalFormatting>
  <conditionalFormatting sqref="B14 D14:E14">
    <cfRule type="expression" dxfId="1061" priority="1524">
      <formula>AND((wld_avi_loadbalancer_chosen&lt;&gt;"Exclude"),(wld_avi_loadbalancer_result="Excluded"))</formula>
    </cfRule>
    <cfRule type="expression" dxfId="1060" priority="1525">
      <formula>wld_avi_loadbalancer_result="Excluded"</formula>
    </cfRule>
    <cfRule type="expression" dxfId="1059" priority="1526">
      <formula>AND((wld_avi_loadbalancer_chosen="Include"),(wld_avi_loadbalancer_result="Included"))</formula>
    </cfRule>
    <cfRule type="expression" dxfId="1058" priority="1557">
      <formula>AND((vcf_granular_option_chosen&lt;&gt;"Additional MGMT Cluster"),(wld_avi_loadbalancer_chosen="Include"),(wld_avi_loadbalancer_result="Excluded"))</formula>
    </cfRule>
  </conditionalFormatting>
  <conditionalFormatting sqref="B15 D15:E15">
    <cfRule type="expression" dxfId="1057" priority="212">
      <formula>AND((wld_stretched_cluster_chosen="Include"),(wld_stretched_cluster_result="Excluded"))</formula>
    </cfRule>
  </conditionalFormatting>
  <conditionalFormatting sqref="B16">
    <cfRule type="expression" dxfId="1056" priority="1568">
      <formula>(wld_nsxt_federation_chosen="Exclude")</formula>
    </cfRule>
    <cfRule type="expression" dxfId="1055" priority="1569">
      <formula>AND((wld_nsxt_federation_chosen&lt;&gt;"Exclude"),(wld_nsxt_federation_result="Excluded"))</formula>
    </cfRule>
    <cfRule type="expression" dxfId="1054" priority="1570">
      <formula>AND((wld_nsxt_federation_chosen&lt;&gt;"Exclude"),(wld_nsxt_federation_result="Included"))</formula>
    </cfRule>
  </conditionalFormatting>
  <conditionalFormatting sqref="D21:D28 D36 D38:D40 D42:D53 D55:D69 D71:D81 D83:D93 D95:D97 D99:D102 D104:D117 D119:D135 D171 D173:D175 D177:D179 D181 D222 D224 D226:D234 D242:D245 D247:D262 D267:D268 D270:D276 D278:D284 D286:D292 D294:D300 D305:D326 D330:D333 D338:D355 D358:D361 D364:D366 D369:D371 D376:D405 D410 D413:D414 D417:D427 D432 D434:D449 D451:D466 D468:D484 D488:D502 D506:D510 D514:D516 D520 D524:D527 D538:D543 D547:D548 D552:D559 D563:D573 D577:D581 D585:D624 D628:D631">
    <cfRule type="notContainsBlanks" dxfId="1052" priority="1388">
      <formula>LEN(TRIM(D21))&gt;0</formula>
    </cfRule>
  </conditionalFormatting>
  <conditionalFormatting sqref="D21:D28 D520 D524:D527 D547:D548 D552:D559 D563:D573 D628:D631 D55:D69 D222 D224 D226:D234 D410 D413:D414 D417:D427 D514:D516 D538:D543 D585:D624 D432 D434:D449 D451:D466 D468:D484 D488:D502 D506:D510 D577:D581 D376:D405 D83:D93 D42:D53 D71:D81 D242:D245 D286:D292 D95:D97 D247:D262 D305:D326 D104:D117 D119:D135 D330:D333 D173:D175 D177:D179 D181 D38:D40 D99:D102 D270:D276 D278:D284 D338:D355 D171 D267:D268 D294:D300 D358:D361 D364:D366 D369:D371 D36">
    <cfRule type="containsBlanks" dxfId="1051" priority="1376">
      <formula>LEN(TRIM(D21))=0</formula>
    </cfRule>
  </conditionalFormatting>
  <conditionalFormatting sqref="D21:D28">
    <cfRule type="expression" dxfId="1050" priority="1373">
      <formula>wld_signed_certs_result="Excluded"</formula>
    </cfRule>
  </conditionalFormatting>
  <conditionalFormatting sqref="D38:D40 D42:D53 D55:D69 D71:D81 D83:D93 D95:D97 D99:D102 D104:D117 D119:D132">
    <cfRule type="expression" dxfId="1049" priority="86">
      <formula>wld_bgp_chosen="Distributed Connectivity"</formula>
    </cfRule>
  </conditionalFormatting>
  <conditionalFormatting sqref="D46 D75">
    <cfRule type="expression" dxfId="1048" priority="671">
      <formula>wld_ec01_host_group_affinity_rule_chosen="No"</formula>
    </cfRule>
  </conditionalFormatting>
  <conditionalFormatting sqref="D49">
    <cfRule type="expression" dxfId="1047" priority="4">
      <formula>wld_ec_ip_assignment_chosen&lt;&gt;"IPv4 Only"</formula>
    </cfRule>
  </conditionalFormatting>
  <conditionalFormatting sqref="D50:D52">
    <cfRule type="expression" dxfId="1046" priority="371">
      <formula>wld_az1_en1_ip_allocation_chosen="DHCP"</formula>
    </cfRule>
  </conditionalFormatting>
  <conditionalFormatting sqref="D59:D69 D87:D93 D95">
    <cfRule type="expression" dxfId="1045" priority="188">
      <formula>wld_ec01_use_host_overlay_chosen="Selected"</formula>
    </cfRule>
  </conditionalFormatting>
  <conditionalFormatting sqref="D62:D64">
    <cfRule type="expression" dxfId="1044" priority="670">
      <formula>wld_az1_en1_edge_overlay_network_ip_allocation_chosen&lt;&gt;"IP Pool"</formula>
    </cfRule>
  </conditionalFormatting>
  <conditionalFormatting sqref="D65:D66 D69">
    <cfRule type="expression" dxfId="1043" priority="3">
      <formula>wld_az1_en1_edge_overlay_network_ip_allocation_chosen&lt;&gt;"Static IP List"</formula>
    </cfRule>
  </conditionalFormatting>
  <conditionalFormatting sqref="D66">
    <cfRule type="expression" dxfId="1042" priority="822">
      <formula>wld_az1_en1_edge_overlay_network_ip_allocation_chosen&lt;&gt;"IP Pool"</formula>
    </cfRule>
  </conditionalFormatting>
  <conditionalFormatting sqref="D68">
    <cfRule type="expression" dxfId="1041" priority="182">
      <formula>wld_az1_en1_edge_overlay_network_ip_allocation_chosen="DHCP"</formula>
    </cfRule>
  </conditionalFormatting>
  <conditionalFormatting sqref="D79:D80">
    <cfRule type="expression" dxfId="1040" priority="282">
      <formula>wld_az1_en2_ip_allocation_chosen="DHCP"</formula>
    </cfRule>
  </conditionalFormatting>
  <conditionalFormatting sqref="D90:D93">
    <cfRule type="expression" dxfId="1039" priority="673">
      <formula>wld_az1_en1_edge_overlay_network_ip_allocation_chosen&lt;&gt;"Static IP List"</formula>
    </cfRule>
  </conditionalFormatting>
  <conditionalFormatting sqref="D96:D97">
    <cfRule type="expression" dxfId="1038" priority="168">
      <formula>wld_az1_ec01_password_creation_chosen="Selected"</formula>
    </cfRule>
  </conditionalFormatting>
  <conditionalFormatting sqref="D99:D102">
    <cfRule type="expression" dxfId="1037" priority="48">
      <formula>OR((wld_nsxt_federation_chosen="Standby Global Manager"),(wld_nsxt_federation_chosen="Connect Instance"))</formula>
    </cfRule>
  </conditionalFormatting>
  <conditionalFormatting sqref="D106:D110 D113:D117 D121:D125 D128:D132">
    <cfRule type="expression" dxfId="1036" priority="169">
      <formula>wld_gateway_routing_type_chosen="STATIC"</formula>
    </cfRule>
  </conditionalFormatting>
  <conditionalFormatting sqref="D134:D135">
    <cfRule type="expression" dxfId="1035" priority="5">
      <formula>wld_bgp_chosen="Centralized Connectivity"</formula>
    </cfRule>
    <cfRule type="expression" dxfId="1034" priority="165">
      <formula>wld_bgp_chosen="Exclude"</formula>
    </cfRule>
  </conditionalFormatting>
  <conditionalFormatting sqref="D137:D146 D148:D149 D151:D159 D161:D169">
    <cfRule type="containsBlanks" dxfId="1032" priority="34">
      <formula>LEN(TRIM(D137))=0</formula>
    </cfRule>
    <cfRule type="notContainsBlanks" dxfId="1031" priority="184">
      <formula>LEN(TRIM(D137))&gt;0</formula>
    </cfRule>
  </conditionalFormatting>
  <conditionalFormatting sqref="D148:D149 D151:D159 D161:D169 D137:D146 D119:D135 D42:D53 D55:D69 D34 D36 D38:D40 D71:D81 D83:D93 D95:D97 D99:D102 D104:D117">
    <cfRule type="expression" dxfId="1030" priority="32">
      <formula>wld_bgp_result="Excluded"</formula>
    </cfRule>
  </conditionalFormatting>
  <conditionalFormatting sqref="D151:D159 D161:D169 D137:D146 D148:D149">
    <cfRule type="expression" dxfId="1029" priority="30">
      <formula>wld_bgp_chosen="Excluded"</formula>
    </cfRule>
  </conditionalFormatting>
  <conditionalFormatting sqref="D151:D159 D161:D169 D148:D149">
    <cfRule type="expression" dxfId="1028" priority="31">
      <formula>wld_bgp_chosen="Centralized Connectivity"</formula>
    </cfRule>
  </conditionalFormatting>
  <conditionalFormatting sqref="D156 D166">
    <cfRule type="expression" dxfId="1027" priority="6">
      <formula>wld_vna_ip_assignment_address_type_chosen&lt;&gt;"IPv4"</formula>
    </cfRule>
  </conditionalFormatting>
  <conditionalFormatting sqref="D171 D173:D175 D177:D179 D181">
    <cfRule type="expression" dxfId="1026" priority="35">
      <formula>wld_bgp_chosen="Distributed Connectivity"</formula>
    </cfRule>
  </conditionalFormatting>
  <conditionalFormatting sqref="D171">
    <cfRule type="expression" dxfId="1025" priority="58">
      <formula>(wld_bgp_chosen="Exclude")</formula>
    </cfRule>
    <cfRule type="expression" dxfId="1024" priority="59">
      <formula>$D$171="Exclude"</formula>
    </cfRule>
    <cfRule type="expression" dxfId="1023" priority="71">
      <formula>AND((wld_bgp_chosen&lt;&gt;"Exclude"),(wld_bgp_result="Excluded"))</formula>
    </cfRule>
    <cfRule type="expression" dxfId="1022" priority="5301">
      <formula>AND((wld_bgp_chosen&lt;&gt;"Exclude"),(wld_bgp_result="Included"))</formula>
    </cfRule>
  </conditionalFormatting>
  <conditionalFormatting sqref="D173 D177">
    <cfRule type="expression" dxfId="1021" priority="41">
      <formula>wld_ec_api_chosen="Exclude"</formula>
    </cfRule>
  </conditionalFormatting>
  <conditionalFormatting sqref="D173:D175">
    <cfRule type="expression" dxfId="1020" priority="107">
      <formula>OR((wld_domain_result="Excluded"),(wld_bgp_result="Excluded"))</formula>
    </cfRule>
  </conditionalFormatting>
  <conditionalFormatting sqref="D177:D179 D181">
    <cfRule type="expression" dxfId="1019" priority="96">
      <formula>OR((wld_domain_result="Excluded"),(wld_bgp_result="Excluded"))</formula>
    </cfRule>
  </conditionalFormatting>
  <conditionalFormatting sqref="D180">
    <cfRule type="expression" dxfId="1018" priority="149">
      <formula>input_mgmt_principal_storage_chosen="VMFS on Fibre Channel (FC)"</formula>
    </cfRule>
    <cfRule type="expression" dxfId="1017" priority="150">
      <formula>mgmt_domain_existing_vcenter_chosen="Selected"</formula>
    </cfRule>
    <cfRule type="notContainsBlanks" dxfId="1015" priority="152">
      <formula>LEN(TRIM(D180))&gt;0</formula>
    </cfRule>
    <cfRule type="containsBlanks" dxfId="1014" priority="153">
      <formula>LEN(TRIM(D180))=0</formula>
    </cfRule>
  </conditionalFormatting>
  <conditionalFormatting sqref="D185 D187:D191 D193:D195 D197:D204 D206:D213 D215:D216">
    <cfRule type="expression" dxfId="1013" priority="8">
      <formula>wld_supervisor_result="Excluded"</formula>
    </cfRule>
  </conditionalFormatting>
  <conditionalFormatting sqref="D185">
    <cfRule type="containsBlanks" dxfId="1011" priority="28">
      <formula>LEN(TRIM(D185))=0</formula>
    </cfRule>
    <cfRule type="notContainsBlanks" dxfId="1010" priority="29">
      <formula>LEN(TRIM(D185))&gt;0</formula>
    </cfRule>
  </conditionalFormatting>
  <conditionalFormatting sqref="D187:D191">
    <cfRule type="containsBlanks" dxfId="1008" priority="25">
      <formula>LEN(TRIM(D187))=0</formula>
    </cfRule>
    <cfRule type="notContainsBlanks" dxfId="1007" priority="26">
      <formula>LEN(TRIM(D187))&gt;0</formula>
    </cfRule>
  </conditionalFormatting>
  <conditionalFormatting sqref="D193:D195">
    <cfRule type="containsBlanks" dxfId="1005" priority="22">
      <formula>LEN(TRIM(D193))=0</formula>
    </cfRule>
    <cfRule type="notContainsBlanks" dxfId="1004" priority="23">
      <formula>LEN(TRIM(D193))&gt;0</formula>
    </cfRule>
  </conditionalFormatting>
  <conditionalFormatting sqref="D197:D204">
    <cfRule type="containsBlanks" dxfId="1002" priority="19">
      <formula>LEN(TRIM(D197))=0</formula>
    </cfRule>
    <cfRule type="notContainsBlanks" dxfId="1001" priority="20">
      <formula>LEN(TRIM(D197))&gt;0</formula>
    </cfRule>
  </conditionalFormatting>
  <conditionalFormatting sqref="D206:D213">
    <cfRule type="containsBlanks" dxfId="999" priority="16">
      <formula>LEN(TRIM(D206))=0</formula>
    </cfRule>
    <cfRule type="notContainsBlanks" dxfId="998" priority="17">
      <formula>LEN(TRIM(D206))&gt;0</formula>
    </cfRule>
  </conditionalFormatting>
  <conditionalFormatting sqref="D215:D216">
    <cfRule type="containsBlanks" dxfId="996" priority="13">
      <formula>LEN(TRIM(D215))=0</formula>
    </cfRule>
    <cfRule type="notContainsBlanks" dxfId="995" priority="14">
      <formula>LEN(TRIM(D215))&gt;0</formula>
    </cfRule>
  </conditionalFormatting>
  <conditionalFormatting sqref="D222 D224 D226:D234 D236">
    <cfRule type="expression" dxfId="994" priority="762">
      <formula>wld_avi_loadbalancer_result="Excluded"</formula>
    </cfRule>
  </conditionalFormatting>
  <conditionalFormatting sqref="D230:D231">
    <cfRule type="expression" dxfId="993" priority="1">
      <formula>wld_avilb_ha_chosen="Simple"</formula>
    </cfRule>
  </conditionalFormatting>
  <conditionalFormatting sqref="D242:D245 D247:D262 D267:D268 D270:D276 D278:D284 D286:D292 D294:D300 D305:D326 D358:D361 D364:D366 D369:D371 D376:D405 D331">
    <cfRule type="expression" dxfId="992" priority="46">
      <formula>OR((wld_domain_result="Excluded"),(wld_stretched_cluster_result="Excluded"))</formula>
    </cfRule>
  </conditionalFormatting>
  <conditionalFormatting sqref="D242:D245">
    <cfRule type="expression" dxfId="991" priority="263">
      <formula>wld_multi_rack_count_result&lt;&gt;"Excluded"</formula>
    </cfRule>
  </conditionalFormatting>
  <conditionalFormatting sqref="D247:D262">
    <cfRule type="expression" dxfId="990" priority="187">
      <formula>wld_multi_rack_count_result&lt;&gt;"Excluded"</formula>
    </cfRule>
  </conditionalFormatting>
  <conditionalFormatting sqref="D270:D276 D278:D284 D286:D292">
    <cfRule type="expression" dxfId="989" priority="85">
      <formula>wld_az2_reuse_vcf_networkpool_chosen="Re-use an existing VCF Network Pool"</formula>
    </cfRule>
  </conditionalFormatting>
  <conditionalFormatting sqref="D277">
    <cfRule type="expression" dxfId="988" priority="361">
      <formula>input_mgmt_principal_storage_chosen="VMFS on Fibre Channel (FC)"</formula>
    </cfRule>
    <cfRule type="expression" dxfId="987" priority="362">
      <formula>mgmt_domain_existing_vcenter_chosen="Selected"</formula>
    </cfRule>
    <cfRule type="containsBlanks" dxfId="985" priority="364">
      <formula>LEN(TRIM(D277))=0</formula>
    </cfRule>
    <cfRule type="notContainsBlanks" dxfId="984" priority="365">
      <formula>LEN(TRIM(D277))&gt;0</formula>
    </cfRule>
  </conditionalFormatting>
  <conditionalFormatting sqref="D278:D284">
    <cfRule type="expression" dxfId="983" priority="47">
      <formula>AND((wld_principal_storage_chosen&lt;&gt;"vSAN-ESA"),(wld_principal_storage_chosen&lt;&gt;"vSAN-OSA"))</formula>
    </cfRule>
  </conditionalFormatting>
  <conditionalFormatting sqref="D286:D292">
    <cfRule type="expression" dxfId="982" priority="202">
      <formula>OR((wld_domain_result="Excluded"),(wld_stretched_cluster_result="Excluded"),(wld_secondary_storage_result="Excluded"))</formula>
    </cfRule>
  </conditionalFormatting>
  <conditionalFormatting sqref="D294:D300">
    <cfRule type="expression" dxfId="981" priority="43">
      <formula>wld_principal_storage_chosen&lt;&gt;"vSAN Storage Cluster"</formula>
    </cfRule>
  </conditionalFormatting>
  <conditionalFormatting sqref="D321:D326">
    <cfRule type="expression" dxfId="980" priority="186">
      <formula>wld_domain_result="Excluded"</formula>
    </cfRule>
  </conditionalFormatting>
  <conditionalFormatting sqref="D328">
    <cfRule type="expression" dxfId="979" priority="179">
      <formula>mgmt_domain_existing_vcenter_chosen="Selected"</formula>
    </cfRule>
  </conditionalFormatting>
  <conditionalFormatting sqref="D330">
    <cfRule type="expression" dxfId="978" priority="155">
      <formula>wld_multi_rack_count_result&lt;&gt;"Excluded"</formula>
    </cfRule>
    <cfRule type="expression" dxfId="977" priority="164">
      <formula>OR((wld_domain_result="Excluded"),(wld_stretched_cluster_result="Excluded"))</formula>
    </cfRule>
  </conditionalFormatting>
  <conditionalFormatting sqref="D330:D333 D42:D53">
    <cfRule type="expression" dxfId="976" priority="112">
      <formula>mgmt_domain_deployment_type_chosen="VMware vSphere Foundation"</formula>
    </cfRule>
  </conditionalFormatting>
  <conditionalFormatting sqref="D332">
    <cfRule type="expression" dxfId="975" priority="120">
      <formula>wld_multi_rack_count_result&lt;&gt;"Excluded"</formula>
    </cfRule>
    <cfRule type="expression" dxfId="974" priority="154">
      <formula>OR((wld_domain_result="Excluded"),(wld_stretched_cluster_result="Excluded"))</formula>
    </cfRule>
  </conditionalFormatting>
  <conditionalFormatting sqref="D333">
    <cfRule type="expression" dxfId="973" priority="119">
      <formula>OR((wld_domain_result="Excluded"),(wld_stretched_cluster_result="Excluded"))</formula>
    </cfRule>
  </conditionalFormatting>
  <conditionalFormatting sqref="D338:D355">
    <cfRule type="expression" dxfId="972" priority="72">
      <formula>OR((wld_domain_result="Excluded"),(wld_stretched_cluster_result="Excluded"))</formula>
    </cfRule>
  </conditionalFormatting>
  <conditionalFormatting sqref="D376:D391">
    <cfRule type="expression" dxfId="971" priority="677">
      <formula>wld_multi_rack_count_result&lt;&gt;"Excluded"</formula>
    </cfRule>
    <cfRule type="expression" dxfId="970" priority="681">
      <formula>OR((wld_domain_result="Excluded"),(wld_stretched_cluster_result="Excluded"))</formula>
    </cfRule>
  </conditionalFormatting>
  <conditionalFormatting sqref="D393">
    <cfRule type="expression" dxfId="969" priority="76">
      <formula>wld_domain_chosen="Import Workload Domain"</formula>
    </cfRule>
    <cfRule type="expression" dxfId="968" priority="78" stopIfTrue="1">
      <formula>wld_domain_result="Excluded"</formula>
    </cfRule>
    <cfRule type="expression" dxfId="967" priority="80">
      <formula>wld_host_overlay_addressing_chosen="DHCP"</formula>
    </cfRule>
    <cfRule type="expression" dxfId="966" priority="82" stopIfTrue="1">
      <formula>wld_domain_result="Excluded"</formula>
    </cfRule>
    <cfRule type="expression" dxfId="965" priority="84">
      <formula>wld_multirack_result="Included"</formula>
    </cfRule>
  </conditionalFormatting>
  <conditionalFormatting sqref="D397:D401">
    <cfRule type="expression" dxfId="964" priority="87">
      <formula>wld_multi_rack_count_result&lt;&gt;"Excluded"</formula>
    </cfRule>
  </conditionalFormatting>
  <conditionalFormatting sqref="D400:D401">
    <cfRule type="expression" dxfId="963" priority="195">
      <formula>OR((wld_domain_result="Excluded"),(wld_stretched_cluster_result="Excluded"),(wld_host_overlay_addressing_chosen&lt;&gt;"Static IP Pool"))</formula>
    </cfRule>
  </conditionalFormatting>
  <conditionalFormatting sqref="D410 D413:D414 D417:D427">
    <cfRule type="expression" dxfId="962" priority="761">
      <formula>OR((wld_domain_result="Excluded"),(wld_stretched_cluster_result="Excluded"),(wld_bgp_chosen&lt;&gt;"Centralized Connectivity"))</formula>
    </cfRule>
  </conditionalFormatting>
  <conditionalFormatting sqref="D432 D434:D449 D451:D466 D468:D484 D488:D502 D506:D510 D514:D516 D525 D527 D531:D534 D547:D548 D552:D559 D577:D581">
    <cfRule type="expression" dxfId="961" priority="700" stopIfTrue="1">
      <formula>OR((wld_nsxt_federation_result="Excluded"),(wld_nsxt_federation_chosen="Connect Instance"))</formula>
    </cfRule>
  </conditionalFormatting>
  <conditionalFormatting sqref="D515:D516">
    <cfRule type="expression" dxfId="960" priority="743">
      <formula>OR((wld_domain_result="Excluded"),(wld_nsxt_federation_result="Excluded"),(wld_nsxt_federation_chosen="Connect Instance"))</formula>
    </cfRule>
  </conditionalFormatting>
  <conditionalFormatting sqref="D520">
    <cfRule type="expression" dxfId="959" priority="1370">
      <formula>OR((wld_nsxt_federation_result="Excluded"),(wld_nsxt_federation_chosen="Connect Instance"),(wld_signed_certs_result="Excluded"))</formula>
    </cfRule>
  </conditionalFormatting>
  <conditionalFormatting sqref="D524:D527">
    <cfRule type="expression" dxfId="958" priority="1367">
      <formula>OR((wld_nsxt_federation_result="Excluded"),(wld_nsxt_federation_chosen="Connect Instance"),(wld_signed_certs_result="Excluded"))</formula>
    </cfRule>
  </conditionalFormatting>
  <conditionalFormatting sqref="D531:D534 D36 D38:D40 D55:D69 D71:D81 D83:D93 D95:D97 D99:D102 D104:D117 D119:D135 D226:D234 D21:D28 D222 D224 D242:D245 D247:D262 D267:D268 D270:D276 D278:D284 D286:D292 D294:D300 D305:D326 D338 D340:D355 D358:D361 D364:D366 D369:D371 D376:D405 D410 D413:D414 D417:D427 D432 D434:D449 D451:D466 D468:D484 D488:D502 D506:D510 D514:D516 D520 D524:D527 D538:D543 D547:D548 D552:D559 D563:D573 D577:D581 D585:D624 D628:D631">
    <cfRule type="expression" dxfId="957" priority="44">
      <formula>mgmt_domain_deployment_type_chosen="VMware vSphere Foundation"</formula>
    </cfRule>
  </conditionalFormatting>
  <conditionalFormatting sqref="D531:D534">
    <cfRule type="expression" dxfId="956" priority="36">
      <formula>OR((wld_nsxt_federation_result="Excluded"),(wld_nsxt_federation_chosen="Connect Instance"),(wld_signed_certs_result="Excluded"))</formula>
    </cfRule>
    <cfRule type="containsBlanks" dxfId="955" priority="37">
      <formula>LEN(TRIM(D531))=0</formula>
    </cfRule>
    <cfRule type="notContainsBlanks" dxfId="953" priority="39">
      <formula>LEN(TRIM(D531))&gt;0</formula>
    </cfRule>
    <cfRule type="expression" dxfId="952" priority="1375">
      <formula>OR((wld_nsxt_federation_result="Excluded"),(wld_nsxt_federation_chosen="Connect Instance"),(wld_signed_certs_result="Excluded"))</formula>
    </cfRule>
  </conditionalFormatting>
  <conditionalFormatting sqref="D538:D543">
    <cfRule type="expression" dxfId="951" priority="699">
      <formula>OR((wld_domain_result="Excluded"),(wld_nsxt_federation_result="Excluded"))</formula>
    </cfRule>
  </conditionalFormatting>
  <conditionalFormatting sqref="D540:D541">
    <cfRule type="expression" dxfId="950" priority="682">
      <formula>wld_domain_result="Excluded"</formula>
    </cfRule>
  </conditionalFormatting>
  <conditionalFormatting sqref="D542:D543">
    <cfRule type="expression" dxfId="949" priority="742">
      <formula>OR((wld_domain_result="Excluded"),(wld_nsxt_federation_result="Excluded"))</formula>
    </cfRule>
  </conditionalFormatting>
  <conditionalFormatting sqref="D547:D548">
    <cfRule type="expression" dxfId="948" priority="1089">
      <formula>OR((wld_nsxt_federation_result="Excluded"),(wld_nsxt_federation_chosen&lt;&gt;"Active Global Manager"))</formula>
    </cfRule>
  </conditionalFormatting>
  <conditionalFormatting sqref="D552:D559 D563:D573">
    <cfRule type="expression" dxfId="947" priority="969">
      <formula>OR((wld_nsxt_federation_result="Excluded"),(wld_nsxt_federation_chosen&lt;&gt;"Standby Global Manager"))</formula>
    </cfRule>
  </conditionalFormatting>
  <conditionalFormatting sqref="D585">
    <cfRule type="expression" dxfId="946" priority="733">
      <formula>wld_domain_result="Excluded"</formula>
    </cfRule>
    <cfRule type="expression" dxfId="945" priority="735">
      <formula>OR((wld_domain_result="Excluded"),(wld_nsxt_federation_result="Excluded"))</formula>
    </cfRule>
  </conditionalFormatting>
  <conditionalFormatting sqref="D585:D624">
    <cfRule type="expression" dxfId="944" priority="75">
      <formula>OR((wld_nsxt_federation_result="Excluded"),(wld_nsxt_federation_chosen="Active Global Manager"))</formula>
    </cfRule>
  </conditionalFormatting>
  <conditionalFormatting sqref="D628:D631">
    <cfRule type="expression" dxfId="943" priority="921">
      <formula>OR((wld_nsxt_federation_result="Excluded"),(wld_nsxt_federation_chosen="Active Global Manager"))</formula>
    </cfRule>
  </conditionalFormatting>
  <conditionalFormatting sqref="D11:E11 B11">
    <cfRule type="expression" dxfId="942" priority="217">
      <formula>AND((wld_signed_certs_chosen&lt;&gt;"Exclude"),(wld_signed_certs_result="Excluded"))</formula>
    </cfRule>
  </conditionalFormatting>
  <conditionalFormatting sqref="D11:E11">
    <cfRule type="expression" dxfId="941" priority="1521">
      <formula>(wld_signed_certs_chosen="Exclude")</formula>
    </cfRule>
    <cfRule type="expression" dxfId="940" priority="1522">
      <formula>AND((wld_signed_certs_chosen="Include"),(wld_signed_certs_result="Excluded"))</formula>
    </cfRule>
    <cfRule type="expression" dxfId="939" priority="1562">
      <formula>AND((vcf_granular_option_chosen="Full Deployment"),(wld_signed_certs_chosen="Include"),(wld_signed_certs_result="Excluded"))</formula>
    </cfRule>
    <cfRule type="expression" dxfId="938" priority="1563">
      <formula>AND((wld_signed_certs_chosen="Include"),(wld_signed_certs_result="Included"))</formula>
    </cfRule>
  </conditionalFormatting>
  <conditionalFormatting sqref="D12:E12">
    <cfRule type="expression" dxfId="937" priority="1571">
      <formula>(wld_bgp_result="Excluded")</formula>
    </cfRule>
    <cfRule type="expression" dxfId="936" priority="1573">
      <formula>AND((wld_bgp_chosen&lt;&gt;"Exclude"),(wld_bgp_result="Included"))</formula>
    </cfRule>
  </conditionalFormatting>
  <conditionalFormatting sqref="D15:E15 B15">
    <cfRule type="expression" dxfId="935" priority="1574">
      <formula>(wld_stretched_cluster_chosen="Exclude")</formula>
    </cfRule>
    <cfRule type="expression" dxfId="934" priority="1577">
      <formula>AND((wld_stretched_cluster_chosen="Include"),(wld_stretched_cluster_result="Included"))</formula>
    </cfRule>
  </conditionalFormatting>
  <conditionalFormatting sqref="D15:E15">
    <cfRule type="expression" dxfId="933" priority="1575">
      <formula>AND((wld_stretched_cluster_chosen="Include"),(wld_stretched_cluster_result="Excluded"))</formula>
    </cfRule>
    <cfRule type="expression" dxfId="932" priority="1578">
      <formula>AND((wld_stretched_cluster_chosen="Include"),(wld_stretched_cluster_result="Included"))</formula>
    </cfRule>
  </conditionalFormatting>
  <conditionalFormatting sqref="D16:E16">
    <cfRule type="expression" dxfId="931" priority="1559">
      <formula>(wld_nsxt_federation_chosen="Exclude")</formula>
    </cfRule>
    <cfRule type="expression" dxfId="930" priority="1560">
      <formula>AND((wld_nsxt_federation_chosen&lt;&gt;"Exclude"),(wld_nsxt_federation_result="Excluded"))</formula>
    </cfRule>
    <cfRule type="expression" dxfId="929" priority="1561">
      <formula>AND((wld_nsxt_federation_chosen&lt;&gt;"Exclude"),(wld_nsxt_federation_result="Included"))</formula>
    </cfRule>
  </conditionalFormatting>
  <conditionalFormatting sqref="E15:E16">
    <cfRule type="containsText" dxfId="927" priority="1518" operator="containsText" text="Note:">
      <formula>NOT(ISERROR(SEARCH("Note:",E15)))</formula>
    </cfRule>
  </conditionalFormatting>
  <dataValidations count="24">
    <dataValidation type="list" allowBlank="1" showInputMessage="1" showErrorMessage="1" sqref="B16" xr:uid="{4C87AA03-6454-D94F-9467-431FFA208D54}">
      <formula1>"Exclude, Active Global Manager, Standby Global Manager, Connect Instance"</formula1>
    </dataValidation>
    <dataValidation type="list" allowBlank="1" showInputMessage="1" showErrorMessage="1" sqref="B12" xr:uid="{2D9695D8-0E1C-EF44-AAB1-95F146F1964E}">
      <formula1>"Exclude,Centralized Connectivity,Distributed Connectivity"</formula1>
    </dataValidation>
    <dataValidation type="list" allowBlank="1" showInputMessage="1" showErrorMessage="1" sqref="B11 D171 B13:B15" xr:uid="{C69FA742-5038-9D45-BD6D-BB0D8DB6294F}">
      <formula1>"Include,Exclude"</formula1>
    </dataValidation>
    <dataValidation type="list" allowBlank="1" showInputMessage="1" showErrorMessage="1" sqref="D107 D122" xr:uid="{1FA25AA4-C7C4-224F-A74A-E18EB0A0D6B9}">
      <formula1>"Unselected,Selected"</formula1>
    </dataValidation>
    <dataValidation type="list" allowBlank="1" showInputMessage="1" showErrorMessage="1" sqref="D101" xr:uid="{F2F55751-BB10-E84F-9AD8-518EAD20263D}">
      <formula1>"BGP,STATIC"</formula1>
    </dataValidation>
    <dataValidation type="list" allowBlank="1" showInputMessage="1" showErrorMessage="1" sqref="D53 D95 D189" xr:uid="{6E218C7E-278E-A44E-BA80-EACBB79470BA}">
      <formula1>"Selected,Unselected"</formula1>
    </dataValidation>
    <dataValidation type="list" allowBlank="1" showInputMessage="1" showErrorMessage="1" sqref="D45" xr:uid="{140CA152-F868-7845-AEBE-6E3B151912BF}">
      <formula1>"Yes,No"</formula1>
    </dataValidation>
    <dataValidation type="list" allowBlank="1" showInputMessage="1" showErrorMessage="1" sqref="D49 D77 D156" xr:uid="{B79D3647-2C48-7E4B-84CE-38073E4D2E1B}">
      <formula1>"DHCP,Static"</formula1>
    </dataValidation>
    <dataValidation type="list" allowBlank="1" showInputMessage="1" showErrorMessage="1" sqref="D61" xr:uid="{D4E60F0F-0F73-3E4E-B263-BF2E7937FF8E}">
      <formula1>"DHCP,IP Pool,Static IP List"</formula1>
    </dataValidation>
    <dataValidation type="list" allowBlank="1" showInputMessage="1" showErrorMessage="1" sqref="D40 D149" xr:uid="{745744E8-9BDB-EF47-909E-01A0278A7BE3}">
      <formula1>"Small,Medium,Large,Extra Large"</formula1>
    </dataValidation>
    <dataValidation type="list" allowBlank="1" showInputMessage="1" showErrorMessage="1" sqref="D224" xr:uid="{223675FF-994A-B14A-A66F-B3D900280D48}">
      <formula1>"Small,Large,XLarge"</formula1>
    </dataValidation>
    <dataValidation type="list" allowBlank="1" showInputMessage="1" showErrorMessage="1" sqref="D100" xr:uid="{A470D2E1-F581-F74A-B599-24F7809B8FFB}">
      <formula1>"Active Active,Active Standby"</formula1>
    </dataValidation>
    <dataValidation type="list" allowBlank="1" showInputMessage="1" showErrorMessage="1" sqref="D267" xr:uid="{CCAF4F8A-F76A-2842-8C67-E8F0466D0CEA}">
      <formula1>"Re-use an existing VCF Network Pool,Create a new VCF Network Pool"</formula1>
    </dataValidation>
    <dataValidation type="list" allowBlank="1" showInputMessage="1" showErrorMessage="1" sqref="D393" xr:uid="{ADF891B3-FBF5-0544-BC0F-71FC8A0ADD84}">
      <formula1>"Re-use an existing Pool,Create New Static IP Pool"</formula1>
    </dataValidation>
    <dataValidation type="list" allowBlank="1" showInputMessage="1" showErrorMessage="1" sqref="D69 D273 D281 D289 D297" xr:uid="{F6283ECB-5E37-9248-9A2F-1A27ABA84247}">
      <formula1>table_masks</formula1>
    </dataValidation>
    <dataValidation type="list" allowBlank="1" showInputMessage="1" showErrorMessage="1" sqref="D437" xr:uid="{F610C192-E65D-4841-85C4-A947DAA7556F}">
      <formula1>"Small,Medium,Large,X-Large"</formula1>
    </dataValidation>
    <dataValidation type="list" allowBlank="1" showInputMessage="1" showErrorMessage="1" sqref="D155" xr:uid="{F7D076F1-4615-B246-8A3C-5B09089EB687}">
      <formula1>"IPv4,IPv4 &amp; IPv6, IPv6"</formula1>
    </dataValidation>
    <dataValidation type="list" allowBlank="1" showInputMessage="1" showErrorMessage="1" sqref="D187" xr:uid="{5D4F36B9-6739-D74A-8DF8-CD7462F751D4}">
      <formula1>"vSphere Zone Deployment,Cluster Deployment"</formula1>
    </dataValidation>
    <dataValidation type="list" allowBlank="1" showInputMessage="1" showErrorMessage="1" sqref="D185" xr:uid="{E1B505FD-B792-514B-BE19-78004A6EA7AE}">
      <formula1>"VCF Networking with VPC,vSphere Distributed Switch"</formula1>
    </dataValidation>
    <dataValidation type="list" allowBlank="1" showInputMessage="1" showErrorMessage="1" sqref="D215" xr:uid="{BDD0E196-F5C6-D545-99D5-DF864C298F3F}">
      <formula1>"Tiny,Small,Medium,Large,XLarge"</formula1>
    </dataValidation>
    <dataValidation type="list" allowBlank="1" showInputMessage="1" showErrorMessage="1" sqref="D197" xr:uid="{5571FCFF-5C67-ED44-B012-85977F6212C7}">
      <formula1>"Static,DHCP"</formula1>
    </dataValidation>
    <dataValidation type="list" allowBlank="1" showInputMessage="1" showErrorMessage="1" sqref="D48" xr:uid="{3AD7A264-6F29-3547-A4C9-EB923692AEBF}">
      <formula1>"IPv4 Only,IPv6 Only, IPv4 &amp; IPv6"</formula1>
    </dataValidation>
    <dataValidation type="list" allowBlank="1" showInputMessage="1" showErrorMessage="1" sqref="D60" xr:uid="{76D8BD7A-6922-4F41-AE01-5925A0B81452}">
      <formula1>"IPv4,IPv6,"</formula1>
    </dataValidation>
    <dataValidation type="list" allowBlank="1" showInputMessage="1" showErrorMessage="1" sqref="D228" xr:uid="{A7826FA4-7042-D14D-BD28-F489398DAC18}">
      <formula1>"Simple,High-Availability"</formula1>
    </dataValidation>
  </dataValidations>
  <hyperlinks>
    <hyperlink ref="B5" location="'Configure Workload Domain'!navigation_apply_signed_certs_wld_domain" display="Apply Signed Certificates" xr:uid="{00000000-0004-0000-0700-000000000000}"/>
    <hyperlink ref="C5" location="'Configure Workload Domain'!navigation_nsx_routing_wld_domain" display="NSX Network Connectivity for the Workload Domain" xr:uid="{00000000-0004-0000-0700-000001000000}"/>
    <hyperlink ref="C7" location="'Configure Workload Domain'!navigation_avi_lb_wld_domain" display="Deploy AVI Loadbalancer " xr:uid="{00000000-0004-0000-0700-000002000000}"/>
    <hyperlink ref="E5" location="'Configure Workload Domain'!navigation_stretched_cluster_wld_domain" display="Stretched Cluster" xr:uid="{00000000-0004-0000-0700-000003000000}"/>
    <hyperlink ref="B7" location="'Configure Workload Domain'!navigation_nsx_federation_for_wld_domain" display="NSX Federation for Workload Domain" xr:uid="{00000000-0004-0000-0700-000004000000}"/>
    <hyperlink ref="E21" location="'Configure Workload Domain'!navigation_apply_signed_certs_mgmt_domain" display="navigation_apply_signed_certs_mgmt_domain" xr:uid="{00000000-0004-0000-0700-000005000000}"/>
    <hyperlink ref="E43" location="'Deploy Workload Domain'!D163" display="Values are set based on vSphere Cluster configuration in the Deploy Workload Domain Tab. Click to Redirect" xr:uid="{00000000-0004-0000-0700-000006000000}"/>
    <hyperlink ref="E47" location="'Deploy Workload Domain'!D199" display="Values are set based on Datastore configuration in the Deploy Workload Domain Tab. Click to Redirect" xr:uid="{00000000-0004-0000-0700-000007000000}"/>
    <hyperlink ref="E52" location="'Deploy Workload Domain'!D250" display="Must be precreated in vCenter, Value is deterimined based on input in Deploy Workload Domain Tab." xr:uid="{00000000-0004-0000-0700-000008000000}"/>
    <hyperlink ref="E51" location="'Deploy Workload Domain'!D332" display="Value is deterimined based on input in Deploy Workload Domain Tab. Click to Redirect" xr:uid="{00000000-0004-0000-0700-000009000000}"/>
    <hyperlink ref="E72" location="'Deploy Workload Domain'!D163" display="Values are set based on vSphere Cluster configuration in the Deploy Workload Domain Tab. Click to Redirect" xr:uid="{00000000-0004-0000-0700-00000A000000}"/>
    <hyperlink ref="E73" location="'Deploy Workload Domain'!L94" display="Values are set based on vSphere Cluster configuration in the Deploy Workload Domain Tab" xr:uid="{00000000-0004-0000-0700-00000B000000}"/>
    <hyperlink ref="E76" location="'Deploy Workload Domain'!D199" display="Values are set based on Datastore configuration in the Deploy Workload Domain Tab. Click to Redirect" xr:uid="{00000000-0004-0000-0700-00000C000000}"/>
    <hyperlink ref="E78" location="'Deploy Workload Domain'!D250" display="Must be precreated in vCenter, Value is deterimined based on input in Deploy Workload Domain Tab." xr:uid="{00000000-0004-0000-0700-00000D000000}"/>
    <hyperlink ref="E80" location="'Deploy Workload Domain'!D332" display="Value is deterimined based on input in Deploy Workload Domain Tab. Click to Redirect" xr:uid="{00000000-0004-0000-0700-00000E000000}"/>
    <hyperlink ref="E553" location="'VI Workload Domain'!input_wld_nsxt_gm_fingerprint" display="Note: Click this cell to redirect to the location for storing this output" xr:uid="{00000000-0004-0000-0700-00000F000000}"/>
    <hyperlink ref="E564" location="'VI Workload Domain'!input_wld_nsxt_lm_fingerprint" display="Note: Click this cell to redirect to the location for storing this output" xr:uid="{00000000-0004-0000-0700-000010000000}"/>
    <hyperlink ref="E168" location="'Deploy Workload Domain'!D332" display="Value is deterimined based on input in Deploy Workload Domain Tab. Click to Redirect" xr:uid="{68C53295-CD74-1341-9019-C203509F6197}"/>
    <hyperlink ref="E158" location="'Deploy Workload Domain'!D332" display="Value is deterimined based on input in Deploy Workload Domain Tab. Click to Redirect" xr:uid="{11D5D64A-EFA1-4B4E-823D-B111A0BACF5A}"/>
    <hyperlink ref="E159" location="'Deploy Workload Domain'!D250" display="Must be precreated in vCenter, Value is deterimined based on input in Deploy Workload Domain Tab." xr:uid="{5742DED8-9ECC-1D4E-A3F3-1B03FFC7F722}"/>
    <hyperlink ref="E169" location="'Deploy Workload Domain'!D250" display="Must be precreated in vCenter, Value is deterimined based on input in Deploy Workload Domain Tab." xr:uid="{DA5B689D-658C-4140-9651-E23A0549FF46}"/>
    <hyperlink ref="E162" location="'Deploy Workload Domain'!D163" display="Values are set based on vSphere Cluster configuration in the Deploy Workload Domain Tab. Click to Redirect" xr:uid="{2D5ADBA4-9CD2-EB4A-90D2-1685324AABE3}"/>
    <hyperlink ref="E152" location="'Deploy Workload Domain'!D163" display="Values are set based on vSphere Cluster configuration in the Deploy Workload Domain Tab. Click to Redirect" xr:uid="{6BBCF8E5-556B-B14D-A5A9-0000A343FD39}"/>
    <hyperlink ref="E154" location="'Deploy Workload Domain'!D199" display="Values are set based on Datastore configuration in the Deploy Workload Domain Tab. Click to Redirect" xr:uid="{0E3A2F83-DAFC-B74E-9C14-51580264D620}"/>
    <hyperlink ref="E164" location="'Deploy Workload Domain'!D199" display="Values are set based on Datastore configuration in the Deploy Workload Domain Tab. Click to Redirect" xr:uid="{DC0C4855-F1E4-9344-90E2-8032BCD9B827}"/>
    <hyperlink ref="D5" location="navigation_wld_supervisor" display="Enable vSphere Supervisor" xr:uid="{ABA17270-6619-234F-9EB3-7475D1FA4DED}"/>
  </hyperlinks>
  <pageMargins left="0.7" right="0.7" top="0.75" bottom="0.75" header="0.3" footer="0.3"/>
  <pageSetup paperSize="9" orientation="portrait" horizontalDpi="0" verticalDpi="0"/>
  <ignoredErrors>
    <ignoredError sqref="C64"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377" operator="containsText" id="{17D4330D-4A3B-7F45-A84A-0EA101F3B4C0}">
            <xm:f>NOT(ISERROR(SEARCH("Value Missing",D21)))</xm:f>
            <xm:f>"Value Missing"</xm:f>
            <x14:dxf>
              <fill>
                <patternFill>
                  <bgColor rgb="FFFFBE29"/>
                </patternFill>
              </fill>
            </x14:dxf>
          </x14:cfRule>
          <xm:sqref>D21:D28 D36 D38:D40 D42:D53 D55:D69 D71:D81 D83:D93 D95:D97 D99:D102 D104:D117 D119:D135 D171 D173:D175 D177:D179 D181 D222 D224 D226:D234 D242:D245 D247:D262 D267:D268 D270:D276 D278:D284 D286:D292 D294:D300 D305:D326 D330:D333 D338:D355 D358:D361 D364:D366 D369:D371 D376:D405 D410 D413:D414 D417:D427 D432 D434:D449 D451:D466 D468:D484 D488:D502 D506:D510 D514:D516 D520 D524:D527 D538:D543 D547:D548 D552:D559 D563:D573 D577:D581 D585:D624 D628:D631</xm:sqref>
        </x14:conditionalFormatting>
        <x14:conditionalFormatting xmlns:xm="http://schemas.microsoft.com/office/excel/2006/main">
          <x14:cfRule type="containsText" priority="33" operator="containsText" id="{15E15184-9C52-834D-931C-2F052F935CA4}">
            <xm:f>NOT(ISERROR(SEARCH("Value Missing",D137)))</xm:f>
            <xm:f>"Value Missing"</xm:f>
            <x14:dxf>
              <font>
                <color rgb="FF0E223A"/>
              </font>
              <fill>
                <patternFill>
                  <bgColor rgb="FFFFBE29"/>
                </patternFill>
              </fill>
            </x14:dxf>
          </x14:cfRule>
          <xm:sqref>D137:D146 D148:D149 D151:D159 D161:D169</xm:sqref>
        </x14:conditionalFormatting>
        <x14:conditionalFormatting xmlns:xm="http://schemas.microsoft.com/office/excel/2006/main">
          <x14:cfRule type="containsText" priority="151" stopIfTrue="1" operator="containsText" id="{C98AE17A-A6AF-AC4F-AB86-EC82F8190CF7}">
            <xm:f>NOT(ISERROR(SEARCH("Value Missing",D180)))</xm:f>
            <xm:f>"Value Missing"</xm:f>
            <x14:dxf>
              <font>
                <color rgb="FF0E223A"/>
              </font>
              <fill>
                <patternFill>
                  <bgColor rgb="FFFFBE29"/>
                </patternFill>
              </fill>
            </x14:dxf>
          </x14:cfRule>
          <xm:sqref>D180</xm:sqref>
        </x14:conditionalFormatting>
        <x14:conditionalFormatting xmlns:xm="http://schemas.microsoft.com/office/excel/2006/main">
          <x14:cfRule type="containsText" priority="27" operator="containsText" id="{7D3CF6B0-FD31-5C4E-BF42-543F365CB5CA}">
            <xm:f>NOT(ISERROR(SEARCH("Value Missing",D185)))</xm:f>
            <xm:f>"Value Missing"</xm:f>
            <x14:dxf>
              <font>
                <color rgb="FF0E223A"/>
              </font>
              <fill>
                <patternFill>
                  <bgColor rgb="FFFFBE29"/>
                </patternFill>
              </fill>
            </x14:dxf>
          </x14:cfRule>
          <xm:sqref>D185</xm:sqref>
        </x14:conditionalFormatting>
        <x14:conditionalFormatting xmlns:xm="http://schemas.microsoft.com/office/excel/2006/main">
          <x14:cfRule type="containsText" priority="24" operator="containsText" id="{4C4C73FC-7397-AA4B-A27A-D80D4B5FC49F}">
            <xm:f>NOT(ISERROR(SEARCH("Value Missing",D187)))</xm:f>
            <xm:f>"Value Missing"</xm:f>
            <x14:dxf>
              <font>
                <color rgb="FF0E223A"/>
              </font>
              <fill>
                <patternFill>
                  <bgColor rgb="FFFFBE29"/>
                </patternFill>
              </fill>
            </x14:dxf>
          </x14:cfRule>
          <xm:sqref>D187:D191</xm:sqref>
        </x14:conditionalFormatting>
        <x14:conditionalFormatting xmlns:xm="http://schemas.microsoft.com/office/excel/2006/main">
          <x14:cfRule type="containsText" priority="21" operator="containsText" id="{50E04A00-1F72-114D-9350-212614B7EDE5}">
            <xm:f>NOT(ISERROR(SEARCH("Value Missing",D193)))</xm:f>
            <xm:f>"Value Missing"</xm:f>
            <x14:dxf>
              <font>
                <color rgb="FF0E223A"/>
              </font>
              <fill>
                <patternFill>
                  <bgColor rgb="FFFFBE29"/>
                </patternFill>
              </fill>
            </x14:dxf>
          </x14:cfRule>
          <xm:sqref>D193:D195</xm:sqref>
        </x14:conditionalFormatting>
        <x14:conditionalFormatting xmlns:xm="http://schemas.microsoft.com/office/excel/2006/main">
          <x14:cfRule type="containsText" priority="18" operator="containsText" id="{D828DD90-446F-C745-A5E0-3D90956DD352}">
            <xm:f>NOT(ISERROR(SEARCH("Value Missing",D197)))</xm:f>
            <xm:f>"Value Missing"</xm:f>
            <x14:dxf>
              <font>
                <color rgb="FF0E223A"/>
              </font>
              <fill>
                <patternFill>
                  <bgColor rgb="FFFFBE29"/>
                </patternFill>
              </fill>
            </x14:dxf>
          </x14:cfRule>
          <xm:sqref>D197:D204</xm:sqref>
        </x14:conditionalFormatting>
        <x14:conditionalFormatting xmlns:xm="http://schemas.microsoft.com/office/excel/2006/main">
          <x14:cfRule type="containsText" priority="15" operator="containsText" id="{E7BC5038-99C9-F542-800E-6DCEA0EA8AC2}">
            <xm:f>NOT(ISERROR(SEARCH("Value Missing",D206)))</xm:f>
            <xm:f>"Value Missing"</xm:f>
            <x14:dxf>
              <font>
                <color rgb="FF0E223A"/>
              </font>
              <fill>
                <patternFill>
                  <bgColor rgb="FFFFBE29"/>
                </patternFill>
              </fill>
            </x14:dxf>
          </x14:cfRule>
          <xm:sqref>D206:D213</xm:sqref>
        </x14:conditionalFormatting>
        <x14:conditionalFormatting xmlns:xm="http://schemas.microsoft.com/office/excel/2006/main">
          <x14:cfRule type="containsText" priority="12" operator="containsText" id="{D2C42EF9-3845-B447-8F98-7781ACACC7B7}">
            <xm:f>NOT(ISERROR(SEARCH("Value Missing",D215)))</xm:f>
            <xm:f>"Value Missing"</xm:f>
            <x14:dxf>
              <font>
                <color rgb="FF0E223A"/>
              </font>
              <fill>
                <patternFill>
                  <bgColor rgb="FFFFBE29"/>
                </patternFill>
              </fill>
            </x14:dxf>
          </x14:cfRule>
          <xm:sqref>D215:D216</xm:sqref>
        </x14:conditionalFormatting>
        <x14:conditionalFormatting xmlns:xm="http://schemas.microsoft.com/office/excel/2006/main">
          <x14:cfRule type="containsText" priority="363" stopIfTrue="1" operator="containsText" id="{0BA8D10D-B6F0-DA4D-AECB-738162EE74F4}">
            <xm:f>NOT(ISERROR(SEARCH("Value Missing",D277)))</xm:f>
            <xm:f>"Value Missing"</xm:f>
            <x14:dxf>
              <font>
                <color rgb="FF0E223A"/>
              </font>
              <fill>
                <patternFill>
                  <bgColor rgb="FFFFBE29"/>
                </patternFill>
              </fill>
            </x14:dxf>
          </x14:cfRule>
          <xm:sqref>D277</xm:sqref>
        </x14:conditionalFormatting>
        <x14:conditionalFormatting xmlns:xm="http://schemas.microsoft.com/office/excel/2006/main">
          <x14:cfRule type="containsText" priority="38" operator="containsText" id="{4D51BEA6-2F87-5A42-92E0-216754F83A07}">
            <xm:f>NOT(ISERROR(SEARCH("Value Missing",D531)))</xm:f>
            <xm:f>"Value Missing"</xm:f>
            <x14:dxf>
              <fill>
                <patternFill>
                  <bgColor rgb="FFFFBE29"/>
                </patternFill>
              </fill>
            </x14:dxf>
          </x14:cfRule>
          <xm:sqref>D531:D534</xm:sqref>
        </x14:conditionalFormatting>
        <x14:conditionalFormatting xmlns:xm="http://schemas.microsoft.com/office/excel/2006/main">
          <x14:cfRule type="containsText" priority="40" operator="containsText" id="{B99F52C8-C476-DB49-B76D-553C139C0585}">
            <xm:f>NOT(ISERROR(SEARCH("Create VI Workload Domain or Deploy a new VCF fleet not selected on VCF &amp; VVF Planning Tab",E11)))</xm:f>
            <xm:f>"Create VI Workload Domain or Deploy a new VCF fleet not selected on VCF &amp; VVF Planning Tab"</xm:f>
            <x14:dxf>
              <font>
                <color theme="1"/>
              </font>
              <fill>
                <patternFill>
                  <bgColor rgb="FFFFBE29"/>
                </patternFill>
              </fill>
            </x14:dxf>
          </x14:cfRule>
          <xm:sqref>E11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EBC3-85BE-C748-A400-585AA8D3149E}">
  <sheetPr codeName="Sheet4">
    <tabColor theme="7" tint="0.59999389629810485"/>
  </sheetPr>
  <dimension ref="A1:J455"/>
  <sheetViews>
    <sheetView showGridLines="0" workbookViewId="0">
      <pane ySplit="4" topLeftCell="A5" activePane="bottomLeft" state="frozen"/>
      <selection pane="bottomLeft"/>
    </sheetView>
  </sheetViews>
  <sheetFormatPr baseColWidth="10" defaultRowHeight="16" x14ac:dyDescent="0.2"/>
  <cols>
    <col min="1" max="1" width="2.83203125" style="9" customWidth="1"/>
    <col min="2" max="2" width="75.83203125" style="9" customWidth="1"/>
    <col min="3" max="4" width="75.83203125" style="2" customWidth="1"/>
    <col min="5" max="5" width="125.83203125" style="2" customWidth="1"/>
    <col min="6" max="8" width="10.83203125" style="9" customWidth="1"/>
    <col min="9" max="16384" width="10.83203125" style="9"/>
  </cols>
  <sheetData>
    <row r="1" spans="1:10" s="2" customFormat="1" ht="16" customHeight="1" x14ac:dyDescent="0.2">
      <c r="A1" s="1"/>
      <c r="F1" s="9"/>
      <c r="G1" s="9"/>
      <c r="H1" s="9"/>
      <c r="I1" s="9"/>
      <c r="J1" s="9"/>
    </row>
    <row r="2" spans="1:10" s="2" customFormat="1" ht="54" customHeight="1" x14ac:dyDescent="0.2">
      <c r="B2" s="593" t="s">
        <v>938</v>
      </c>
      <c r="C2" s="594"/>
      <c r="D2" s="594"/>
      <c r="E2" s="595"/>
      <c r="F2" s="9"/>
      <c r="G2" s="9"/>
      <c r="H2" s="9"/>
      <c r="I2" s="9"/>
      <c r="J2" s="9"/>
    </row>
    <row r="3" spans="1:10" s="2" customFormat="1" ht="20" customHeight="1" x14ac:dyDescent="0.2">
      <c r="B3" s="596" t="s">
        <v>642</v>
      </c>
      <c r="C3" s="597"/>
      <c r="D3" s="597"/>
      <c r="E3" s="598"/>
      <c r="F3" s="9"/>
      <c r="G3" s="9"/>
      <c r="H3" s="9"/>
      <c r="I3" s="9"/>
      <c r="J3" s="9"/>
    </row>
    <row r="4" spans="1:10" s="2" customFormat="1" x14ac:dyDescent="0.2">
      <c r="B4" s="2" t="s">
        <v>815</v>
      </c>
      <c r="D4" s="11"/>
      <c r="E4" s="3"/>
      <c r="F4" s="3"/>
    </row>
    <row r="6" spans="1:10" ht="34" customHeight="1" x14ac:dyDescent="0.2">
      <c r="B6" s="45" t="s">
        <v>939</v>
      </c>
      <c r="C6" s="46"/>
      <c r="D6" s="46"/>
      <c r="E6" s="261"/>
    </row>
    <row r="7" spans="1:10" ht="20" customHeight="1" x14ac:dyDescent="0.2">
      <c r="B7" s="190" t="s">
        <v>940</v>
      </c>
      <c r="C7" s="191" t="s">
        <v>10</v>
      </c>
      <c r="D7" s="191" t="s">
        <v>11</v>
      </c>
      <c r="E7" s="191" t="s">
        <v>12</v>
      </c>
    </row>
    <row r="8" spans="1:10" ht="20" customHeight="1" x14ac:dyDescent="0.2">
      <c r="B8" s="101" t="s">
        <v>941</v>
      </c>
      <c r="C8" s="262" t="s">
        <v>942</v>
      </c>
      <c r="D8" s="263" t="str">
        <f>IF(mgmt_domain_deployment_type_chosen="VMware vSphere Foundation","Excluded",
IF(vcf_granular_option_chosen&lt;&gt;"Create Cluster","Excluded",
IF(AND(cluster_chosen="Deploy a Multi-Rack Layer 3 Cluster",cluster_multi_rack_count_chosen="Exclude",cluster_compute_hosts_per_rack_result="Excluded"),"Excluded",
IF(AND(cluster_chosen="Deploy a Single-Rack / Multi-Rack Layer 2 Cluster",cluster_compute_hosts_per_rack_result="Excluded"),"Excluded",
IF(AND(cluster_chosen="Deploy a Multi-Rack Layer 3 Cluster",AND(cluster_principal_storage_chosen&lt;&gt;"vSAN-ESA",cluster_principal_storage_chosen&lt;&gt;"vSAN-OSA",cluster_principal_storage_chosen&lt;&gt;"vSAN Compute Cluster")),"Excluded",
IF(OR(cluster_chosen="Deploy a Multi-Rack Layer 3 Cluster",cluster_chosen="Deploy a Single-Rack / Multi-Rack Layer 2 Cluster",),"Included","Excluded"))))))</f>
        <v>Excluded</v>
      </c>
      <c r="E8" s="264" t="str">
        <f>IF(mgmt_domain_deployment_type_chosen="VMware vSphere Foundation","Cannot be performed on a VMware vSphere Foundation deployment",
IF(vcf_granular_option_chosen&lt;&gt;"Create Cluster","Cluster Deployment not selected on VCF &amp; VVF Planning Tab",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IF(cluster_chosen="Deploy a Multi-Rack Layer 3 Cluster","A new layer 3 cluster will be added to the chosen Workloaded Domain - Additional Racks Tab must also be filled out",
IF(cluster_chosen="Deploy a Single-Rack / Multi-Rack Layer 2 Cluster","A new layer 2 cluster will be added to the chosen Workloaded Domain",
IF(cluster_result="Excluded","New Cluster Deployment Not Selected",""
))))))))</f>
        <v>Cluster Deployment not selected on VCF &amp; VVF Planning Tab</v>
      </c>
    </row>
    <row r="9" spans="1:10" ht="20" customHeight="1" x14ac:dyDescent="0.2">
      <c r="A9" s="147"/>
      <c r="B9" s="260">
        <v>3</v>
      </c>
      <c r="C9" s="262" t="s">
        <v>644</v>
      </c>
      <c r="D9" s="140" t="str">
        <f>IF(mgmt_domain_deployment_type_chosen="VMware vSphere Foundation","Excluded",
IF(vcf_granular_option_chosen&lt;&gt;"Create Cluster","Excluded",
IF(AND(OR(cluster_principal_storage_chosen="vSAN-ESA",cluster_principal_storage_chosen="vSAN-OSA"),wld_compute_total_number_hosts&lt;3,cluster_chosen="Deploy a Single-Rack / Multi-Rack Layer 2 Cluster"),"Excluded",
IF(AND(OR(cluster_principal_storage_chosen="NFSv3",cluster_principal_storage_chosen="VMFS on Fibre Channel (FC)"),wld_compute_total_number_hosts&lt;2,cluster_chosen="Deploy a Single-Rack / Multi-Rack Layer 2 Cluster"),"Excluded",
IF(AND(OR(cluster_principal_storage_chosen="vVOLS on FC",cluster_principal_storage_chosen="vVOLS on NFS",cluster_principal_storage_chosen="vVOLS on iSCSI",cluster_chosen="Deploy a Single-Rack / Multi-Rack Layer 2 Cluster"),wld_compute_total_number_hosts&lt;2),"Excluded",
IF(AND(cluster_chosen="Deploy a Multi-Rack Layer 3 Cluster",cluster_multi_rack_count_chosen="Exclude"),"Excluded",
IF(AND(cluster_chosen="Deploy a Multi-Rack Layer 3 Cluster",PRODUCT(cluster_multi_rack_count_chosen,cluster_compute_hosts_per_rack_chosen)&gt;64),"Excluded",
IF(cluster_compute_hosts_per_rack_chosen="Exclude","Excluded","Incuded")
)))))))</f>
        <v>Excluded</v>
      </c>
      <c r="E9" s="8" t="str">
        <f>IF(vcf_granular_option_chosen&lt;&gt;"Create Cluster","Option Not Required for current deployment type",
IF(cluster_compute_hosts_per_rack_chosen="Exclude","Required: Minimum Number of hosts must be selected",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IF(AND(wld_multirack_calc="Include",cluster_multi_rack_count_chosen="Exclude"),"Cause: Number of Additional Racks not selected",
IF(AND(cluster_chosen="Deploy a Multi-Rack Layer 3 Cluster",wld_multirack_calc="Exclude"),"Cause: Multi Rack not enabled",
IF(AND(cluster_chosen="Deploy a Multi-Rack Layer 3 Cluster",PRODUCT(cluster_multi_rack_count_chosen,cluster_compute_hosts_per_rack_chosen)&gt;64),CONCATENATE("Cause: Max number of Hosts per Cluster is 64."),
IF(cluster_chosen="Deploy a Multi-Rack Layer 3 Cluster",CONCATENATE(PRODUCT(cluster_multi_rack_count_chosen+1,cluster_compute_hosts_per_rack_chosen)," Hosts currenty defined for the Compute vSphere Cluster "),CONCATENATE(cluster_compute_hosts_per_rack_chosen," Hosts currenty defined for the Compute vSphere Cluster")))))))))</f>
        <v>Option Not Required for current deployment type</v>
      </c>
    </row>
    <row r="10" spans="1:10" ht="20" customHeight="1" x14ac:dyDescent="0.2">
      <c r="B10" s="260" t="s">
        <v>13</v>
      </c>
      <c r="C10" s="65" t="s">
        <v>645</v>
      </c>
      <c r="D10" s="140" t="str">
        <f>IF(mgmt_domain_deployment_type_chosen="VMware vSphere Foundation","Excluded",
IF(AND(vcf_granular_option_chosen&lt;&gt;"Deploy a new VCF fleet",vcf_granular_option_chosen&lt;&gt;"Deploy a VCF Instance in an existing VCF fleet",vcf_granular_option_chosen&lt;&gt;"Create Workload Domain",vcf_granular_option_chosen&lt;&gt;"Create Cluster"),"Excluded",
IF(cluster_multi_rack_count_chosen="Exclude","Excluded",
IF(wld_multirack_result="Excluded","Excluded",
IF(AND(cluster_chosen="Deploy a Single-Rack / Multi-Rack Layer 2 Cluster",cluster_multi_rack_count_chosen&lt;&gt;"Exclude"),"Excluded",
IF(AND(cluster_chosen="Deploy a Multi-Rack Layer 3 Cluster",PRODUCT(cluster_multi_rack_count_chosen,cluster_compute_hosts_per_rack_chosen)&gt;64),"Excluded",
IF(cluster_multi_rack_count_chosen="Exclude","Excluded","Included")))))))</f>
        <v>Excluded</v>
      </c>
      <c r="E10" s="8" t="str">
        <f>IF(vcf_granular_option_chosen="None Chosen","No Deployment Type Chosen",
IF(vcf_granular_option_chosen&lt;&gt;"Create Cluster","Option Not Required for current deployment type",
IF(AND(cluster_chosen="Deploy a Single-Rack / Multi-Rack Layer 2 Cluster",cluster_multi_rack_count_chosen&lt;&gt;"Exclude"),"Not Required: Completing the additional Rack Tab is only required for Layer 3 Multi-Rack deployments",
IF(AND(cluster_chosen="Deploy a Multi-Rack Layer 3 Cluster",cluster_multi_rack_count_chosen="Exclude"),"Required: Minimum Number of additional racks must be selected",
IF(AND(cluster_chosen="Deploy a Multi-Rack Layer 3 Cluster",PRODUCT(cluster_multi_rack_count_chosen,cluster_compute_hosts_per_rack_chosen)&gt;64),CONCATENATE("Cause: Max number of Hosts per Cluster is 64."),
IF(cluster_chosen="Deploy a Single-Rack / Multi-Rack Layer 2 Cluster","Not Required: Completing the additional Rack Tab is only required for Layer 3 Multi-Rack deployments","Multi Rack Configuration will be deployed"))))))</f>
        <v>Option Not Required for current deployment type</v>
      </c>
    </row>
    <row r="11" spans="1:10" ht="20" customHeight="1" x14ac:dyDescent="0.2">
      <c r="B11" s="101" t="s">
        <v>2080</v>
      </c>
      <c r="C11" s="262" t="s">
        <v>648</v>
      </c>
      <c r="D11" s="99" t="str">
        <f>IF((cluster_result="Excluded"),"Excluded",
IF(AND(cluster_chosen="Deploy a Multi-Rack Layer 3 Cluster",AND(cluster_principal_storage_chosen&lt;&gt;"vSAN-ESA",cluster_principal_storage_chosen&lt;&gt;"vSAN-OSA",cluster_principal_storage_chosen&lt;&gt;"vSAN Compute Cluster")),"Excluded","Included"))</f>
        <v>Excluded</v>
      </c>
      <c r="E11" s="259" t="str">
        <f>IF(vcf_granular_option_chosen&lt;&gt;"Create Cluster","Option Not Required for current deployment type",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IF(cluster_principal_storage_chosen="NFSv3","Principal Storage will be NFS based",
IF(cluster_principal_storage_chosen="VMFS on FC","Principal Storage will be VMFS on FC based",
IF(cluster_principal_storage_chosen="vSAN Storage Cluster","Principal Storage will be vSan Storage Cluster",
IF(cluster_principal_storage_chosen="vSAN Compute Cluster","Principal Storage will be vSan Compute Cluster",
IF(cluster_principal_storage_chosen="vSAN-ESA","Principal Storage will be vSAN-ESA based. This can be used as a vSAN Max Server Cluster",
IF(cluster_principal_storage_chosen="vSAN-OSA","Principal Storage will be vSAN-OSA based. This can be used as a HCI Mesh vSAN Server Cluster",
))))))))</f>
        <v>Option Not Required for current deployment type</v>
      </c>
    </row>
    <row r="12" spans="1:10" ht="20" customHeight="1" x14ac:dyDescent="0.2">
      <c r="B12" s="101" t="s">
        <v>13</v>
      </c>
      <c r="C12" s="65" t="s">
        <v>943</v>
      </c>
      <c r="D12" s="99" t="str">
        <f>IF(mgmt_domain_deployment_type_chosen="VMware vSphere Foundation","Excluded",
IF(OR(AND(cluster_principal_storage_chosen="NFSv3",cluster_secondary_storage_chosen="Secondary NFS Storage Network")),"Excluded",
IF(AND(cluster_secondary_storage_chosen="vSAN Storage Client Network",cluster_principal_storage_chosen&lt;&gt;"vSAN Storage Cluster"),"Excluded",
IF(cluster_secondary_storage_chosen="Exclude","Excluded","Included"))))</f>
        <v>Excluded</v>
      </c>
      <c r="E12" s="140" t="str">
        <f>IF(mgmt_domain_deployment_type_chosen="VMware vSphere Foundation","Cannot be performed on a VMware vSphere Foundation deployment",
IF(vcf_granular_option_chosen&lt;&gt;"Create Cluster","Option Not Required for current deployment type",
IF(wld_domain_chosen="Import Workload Domain","Feature not supported for Imported Workload Domains",
IF(cluster_secondary_storage_chosen="Exclude","Cause: Not Selected. Cluster will not be prepared with Secondary Storage Network",
IF(OR(AND(cluster_principal_storage_chosen="NFSv3",cluster_secondary_storage_chosen="Secondary NFS Storage Network"),AND(cluster_principal_storage_chosen="vVOLS on NFS",cluster_principal_storage_chosen="Secondary NFS Storage Network")),"Secondary Storage NFS configuration not required as Principal Storage is NFS based",
IF(AND(cluster_secondary_storage_chosen="vSAN Storage Client Network",cluster_principal_storage_chosen&lt;&gt;"vSAN Storage Cluster"),"vSAN Storage Client Network is only supported with vSAN Storage Clusters",CONCATENATE("Workload Domain will be prepared with a ",cluster_secondary_storage_chosen)))))))</f>
        <v>Option Not Required for current deployment type</v>
      </c>
    </row>
    <row r="13" spans="1:10" ht="20" customHeight="1" x14ac:dyDescent="0.2">
      <c r="B13" s="101" t="s">
        <v>238</v>
      </c>
      <c r="C13" s="65" t="s">
        <v>3668</v>
      </c>
      <c r="D13" s="99" t="str">
        <f>IF((cluster_result="Excluded"),"Excluded","Included")</f>
        <v>Excluded</v>
      </c>
      <c r="E13" s="140" t="str">
        <f>IF(vcf_granular_option_chosen&lt;&gt;"Create Cluster","Option Not Required for current deployment type",
IF(cluster_az1_reuse_vcf_networkpool_chosen="Re-use an existing VCF Network Pool","The exsiting VCF Network Pool will be reused","A new VCF Network Pool will be created"))</f>
        <v>Option Not Required for current deployment type</v>
      </c>
    </row>
    <row r="14" spans="1:10" ht="20" customHeight="1" x14ac:dyDescent="0.2">
      <c r="B14" s="306" t="s">
        <v>13</v>
      </c>
      <c r="C14" s="65" t="s">
        <v>15</v>
      </c>
      <c r="D14" s="252" t="str">
        <f>IF(cluster_chosen="Deploy a Multi-Rack Layer 3 Cluster","Excluded",
IF(cluster_stretched_cluster_chosen="Exclude","Excluded","Included"))</f>
        <v>Excluded</v>
      </c>
      <c r="E14" s="281" t="str">
        <f>IF(vcf_granular_option_chosen&lt;&gt;"Create Cluster","Option Not Required for current deployment type",
IF(AND((cluster_stretched_cluster_chosen="Include"),(cluster_chosen="Deploy a Multi-Rack Layer 3 Cluster")),"Cause: Stretched Cluster is not supported with Multi Rack Layer 3 Cluster",
IF(cluster_stretched_cluster_chosen="Exclude","Cause: Not Selected. Stretched Cluster will not be deployed","Stretched Cluster will be deployed")))</f>
        <v>Option Not Required for current deployment type</v>
      </c>
    </row>
    <row r="15" spans="1:10" ht="16" customHeight="1" x14ac:dyDescent="0.2"/>
    <row r="16" spans="1:10" ht="34" customHeight="1" x14ac:dyDescent="0.2">
      <c r="B16" s="559" t="s">
        <v>652</v>
      </c>
      <c r="C16" s="560"/>
      <c r="D16" s="560"/>
      <c r="E16" s="561"/>
    </row>
    <row r="17" spans="2:5" ht="20" customHeight="1" x14ac:dyDescent="0.2">
      <c r="B17" s="63" t="s">
        <v>18</v>
      </c>
      <c r="C17" s="63" t="s">
        <v>19</v>
      </c>
      <c r="D17" s="63" t="s">
        <v>20</v>
      </c>
      <c r="E17" s="63" t="s">
        <v>21</v>
      </c>
    </row>
    <row r="18" spans="2:5" ht="20" customHeight="1" x14ac:dyDescent="0.2">
      <c r="B18" s="521" t="s">
        <v>553</v>
      </c>
      <c r="C18" s="522"/>
      <c r="D18" s="522"/>
      <c r="E18" s="523"/>
    </row>
    <row r="19" spans="2:5" ht="20" customHeight="1" x14ac:dyDescent="0.2">
      <c r="B19" s="4" t="s">
        <v>250</v>
      </c>
      <c r="C19" s="103" t="str">
        <f>IF(cluster_wld_domain_chosen="Workload Domain",
IF(mgmt_domain_chosen="First Instance",CONCATENATE(this_instance,"-w0",wld_domain_number_chosen),CONCATENATE(other_instance,"-w0",wld_domain_number_chosen)),
IF(cluster_wld_domain_chosen="MGMT Workload Domain",
IF(mgmt_domain_chosen="First Instance",CONCATENATE(this_instance,"-m01"),CONCATENATE(other_instance,"-m01"))))</f>
        <v>sfo-w01</v>
      </c>
      <c r="D19" s="66"/>
      <c r="E19" s="113"/>
    </row>
    <row r="20" spans="2:5" ht="16" customHeight="1" x14ac:dyDescent="0.2"/>
    <row r="21" spans="2:5" ht="34" customHeight="1" x14ac:dyDescent="0.2">
      <c r="B21" s="559" t="s">
        <v>684</v>
      </c>
      <c r="C21" s="560"/>
      <c r="D21" s="560"/>
      <c r="E21" s="561"/>
    </row>
    <row r="22" spans="2:5" ht="20" customHeight="1" x14ac:dyDescent="0.2">
      <c r="B22" s="63" t="s">
        <v>18</v>
      </c>
      <c r="C22" s="63" t="s">
        <v>19</v>
      </c>
      <c r="D22" s="63" t="s">
        <v>20</v>
      </c>
      <c r="E22" s="63" t="s">
        <v>21</v>
      </c>
    </row>
    <row r="23" spans="2:5" ht="20" customHeight="1" x14ac:dyDescent="0.2">
      <c r="B23" s="521" t="s">
        <v>202</v>
      </c>
      <c r="C23" s="522"/>
      <c r="D23" s="522"/>
      <c r="E23" s="523"/>
    </row>
    <row r="24" spans="2:5" ht="20" customHeight="1" x14ac:dyDescent="0.2">
      <c r="B24" s="4" t="s">
        <v>85</v>
      </c>
      <c r="C24" s="103" t="str">
        <f>IF(cluster_wld_domain_chosen="Workload Domain",CONCATENATE(prefix_wld_az1_vlan,"11"),CONCATENATE(prefix_mgmt_az1_vlan,"11"))</f>
        <v>1311</v>
      </c>
      <c r="D24" s="66"/>
      <c r="E24" s="113"/>
    </row>
    <row r="25" spans="2:5" ht="20" customHeight="1" x14ac:dyDescent="0.2">
      <c r="B25" s="4" t="s">
        <v>180</v>
      </c>
      <c r="C25" s="103" t="str">
        <f>IF(cluster_wld_domain_chosen="Workload Domain",CONCATENATE(prefix_wld_az1_cidr,"11.1"),CONCATENATE(prefix_mgmt_az1_cidr,"11.1"))</f>
        <v>10.13.11.1</v>
      </c>
      <c r="D25" s="66"/>
      <c r="E25" s="8"/>
    </row>
    <row r="26" spans="2:5" ht="20" customHeight="1" x14ac:dyDescent="0.2">
      <c r="B26" s="4" t="s">
        <v>181</v>
      </c>
      <c r="C26" s="103" t="str">
        <f>IF(cluster_wld_domain_chosen="Workload Domain",CONCATENATE(prefix_wld_az1_cidr,"11.0/24"),CONCATENATE(prefix_mgmt_az1_cidr,"11.0/24"))</f>
        <v>10.13.11.0/24</v>
      </c>
      <c r="D26" s="66"/>
      <c r="E26" s="8"/>
    </row>
    <row r="27" spans="2:5" ht="20" customHeight="1" x14ac:dyDescent="0.2">
      <c r="B27" s="4" t="s">
        <v>155</v>
      </c>
      <c r="C27" s="103">
        <v>1500</v>
      </c>
      <c r="D27" s="66"/>
      <c r="E27" s="8"/>
    </row>
    <row r="28" spans="2:5" ht="20" customHeight="1" x14ac:dyDescent="0.2">
      <c r="B28" s="546" t="s">
        <v>203</v>
      </c>
      <c r="C28" s="547"/>
      <c r="D28" s="547"/>
      <c r="E28" s="548"/>
    </row>
    <row r="29" spans="2:5" ht="20" customHeight="1" x14ac:dyDescent="0.2">
      <c r="B29" s="23" t="s">
        <v>204</v>
      </c>
      <c r="C29" s="109" t="str">
        <f>IF(cluster_wld_domain_chosen="Workload Domain",CONCATENATE(prefix_wld_az1_cidr,"11.101"),CONCATENATE(prefix_mgmt_az1_cidr,"11.101"))</f>
        <v>10.13.11.101</v>
      </c>
      <c r="D29" s="66"/>
      <c r="E29" s="162" t="s">
        <v>205</v>
      </c>
    </row>
    <row r="30" spans="2:5" ht="20" customHeight="1" x14ac:dyDescent="0.2">
      <c r="B30" s="23" t="s">
        <v>206</v>
      </c>
      <c r="C30" s="109" t="str">
        <f>IF(cluster_wld_domain_chosen="Workload Domain",CONCATENATE(prefix_wld_az1_cidr,"11.102"),CONCATENATE(prefix_mgmt_az1_cidr,"11.102"))</f>
        <v>10.13.11.102</v>
      </c>
      <c r="D30" s="66"/>
      <c r="E30" s="162" t="s">
        <v>207</v>
      </c>
    </row>
    <row r="31" spans="2:5" ht="20" customHeight="1" x14ac:dyDescent="0.2">
      <c r="B31" s="23" t="s">
        <v>208</v>
      </c>
      <c r="C31" s="109" t="str">
        <f>IF(cluster_wld_domain_chosen="Workload Domain",CONCATENATE(prefix_wld_az1_cidr,"11.103"),CONCATENATE(prefix_mgmt_az1_cidr,"11.103"))</f>
        <v>10.13.11.103</v>
      </c>
      <c r="D31" s="66"/>
      <c r="E31" s="162" t="s">
        <v>209</v>
      </c>
    </row>
    <row r="32" spans="2:5" ht="20" customHeight="1" x14ac:dyDescent="0.2">
      <c r="B32" s="23" t="s">
        <v>210</v>
      </c>
      <c r="C32" s="109" t="str">
        <f>IF(cluster_wld_domain_chosen="Workload Domain",CONCATENATE(prefix_wld_az1_cidr,"11.104"),CONCATENATE(prefix_mgmt_az1_cidr,"11.104"))</f>
        <v>10.13.11.104</v>
      </c>
      <c r="D32" s="66"/>
      <c r="E32" s="162" t="s">
        <v>211</v>
      </c>
    </row>
    <row r="33" spans="2:5" ht="20" customHeight="1" x14ac:dyDescent="0.2">
      <c r="B33" s="23" t="s">
        <v>212</v>
      </c>
      <c r="C33" s="109" t="str">
        <f>IF(cluster_wld_domain_chosen="Workload Domain",CONCATENATE(prefix_wld_az1_cidr,"11.105"),CONCATENATE(prefix_mgmt_az1_cidr,"11.105"))</f>
        <v>10.13.11.105</v>
      </c>
      <c r="D33" s="66"/>
      <c r="E33" s="162" t="s">
        <v>213</v>
      </c>
    </row>
    <row r="34" spans="2:5" ht="20" customHeight="1" x14ac:dyDescent="0.2">
      <c r="B34" s="23" t="s">
        <v>214</v>
      </c>
      <c r="C34" s="109" t="str">
        <f>IF(cluster_wld_domain_chosen="Workload Domain",CONCATENATE(prefix_wld_az1_cidr,"11.106"),CONCATENATE(prefix_mgmt_az1_cidr,"11.106"))</f>
        <v>10.13.11.106</v>
      </c>
      <c r="D34" s="66"/>
      <c r="E34" s="162" t="s">
        <v>215</v>
      </c>
    </row>
    <row r="35" spans="2:5" ht="20" customHeight="1" x14ac:dyDescent="0.2">
      <c r="B35" s="23" t="s">
        <v>216</v>
      </c>
      <c r="C35" s="109" t="str">
        <f>IF(cluster_wld_domain_chosen="Workload Domain",CONCATENATE(prefix_wld_az1_cidr,"11.107"),CONCATENATE(prefix_mgmt_az1_cidr,"11.107"))</f>
        <v>10.13.11.107</v>
      </c>
      <c r="D35" s="66"/>
      <c r="E35" s="162" t="s">
        <v>217</v>
      </c>
    </row>
    <row r="36" spans="2:5" ht="20" customHeight="1" x14ac:dyDescent="0.2">
      <c r="B36" s="23" t="s">
        <v>218</v>
      </c>
      <c r="C36" s="109" t="str">
        <f>IF(cluster_wld_domain_chosen="Workload Domain",CONCATENATE(prefix_wld_az1_cidr,"11.108"),CONCATENATE(prefix_mgmt_az1_cidr,"11.108"))</f>
        <v>10.13.11.108</v>
      </c>
      <c r="D36" s="66"/>
      <c r="E36" s="162" t="s">
        <v>219</v>
      </c>
    </row>
    <row r="37" spans="2:5" ht="20" customHeight="1" x14ac:dyDescent="0.2">
      <c r="B37" s="23" t="s">
        <v>220</v>
      </c>
      <c r="C37" s="109" t="str">
        <f>IF(cluster_wld_domain_chosen="Workload Domain",CONCATENATE(prefix_wld_az1_cidr,"11.109"),CONCATENATE(prefix_mgmt_az1_cidr,"11.109"))</f>
        <v>10.13.11.109</v>
      </c>
      <c r="D37" s="66"/>
      <c r="E37" s="162" t="s">
        <v>221</v>
      </c>
    </row>
    <row r="38" spans="2:5" ht="20" customHeight="1" x14ac:dyDescent="0.2">
      <c r="B38" s="23" t="s">
        <v>222</v>
      </c>
      <c r="C38" s="109" t="str">
        <f>IF(cluster_wld_domain_chosen="Workload Domain",CONCATENATE(prefix_wld_az1_cidr,"11.110"),CONCATENATE(prefix_mgmt_az1_cidr,"11.110"))</f>
        <v>10.13.11.110</v>
      </c>
      <c r="D38" s="66"/>
      <c r="E38" s="162" t="s">
        <v>223</v>
      </c>
    </row>
    <row r="39" spans="2:5" ht="20" customHeight="1" x14ac:dyDescent="0.2">
      <c r="B39" s="23" t="s">
        <v>224</v>
      </c>
      <c r="C39" s="109" t="str">
        <f>IF(cluster_wld_domain_chosen="Workload Domain",CONCATENATE(prefix_wld_az1_cidr,"11.111"),CONCATENATE(prefix_mgmt_az1_cidr,"11.111"))</f>
        <v>10.13.11.111</v>
      </c>
      <c r="D39" s="66"/>
      <c r="E39" s="162" t="s">
        <v>225</v>
      </c>
    </row>
    <row r="40" spans="2:5" ht="20" customHeight="1" x14ac:dyDescent="0.2">
      <c r="B40" s="23" t="s">
        <v>226</v>
      </c>
      <c r="C40" s="109" t="str">
        <f>IF(cluster_wld_domain_chosen="Workload Domain",CONCATENATE(prefix_wld_az1_cidr,"11.112"),CONCATENATE(prefix_mgmt_az1_cidr,"11.112"))</f>
        <v>10.13.11.112</v>
      </c>
      <c r="D40" s="66"/>
      <c r="E40" s="162" t="s">
        <v>227</v>
      </c>
    </row>
    <row r="41" spans="2:5" ht="20" customHeight="1" x14ac:dyDescent="0.2">
      <c r="B41" s="23" t="s">
        <v>228</v>
      </c>
      <c r="C41" s="109" t="str">
        <f>IF(cluster_wld_domain_chosen="Workload Domain",CONCATENATE(prefix_wld_az1_cidr,"11.113"),CONCATENATE(prefix_mgmt_az1_cidr,"11.113"))</f>
        <v>10.13.11.113</v>
      </c>
      <c r="D41" s="66"/>
      <c r="E41" s="162" t="s">
        <v>229</v>
      </c>
    </row>
    <row r="42" spans="2:5" ht="20" customHeight="1" x14ac:dyDescent="0.2">
      <c r="B42" s="23" t="s">
        <v>230</v>
      </c>
      <c r="C42" s="109" t="str">
        <f>IF(cluster_wld_domain_chosen="Workload Domain",CONCATENATE(prefix_wld_az1_cidr,"11.114"),CONCATENATE(prefix_mgmt_az1_cidr,"11.114"))</f>
        <v>10.13.11.114</v>
      </c>
      <c r="D42" s="66"/>
      <c r="E42" s="162" t="s">
        <v>231</v>
      </c>
    </row>
    <row r="43" spans="2:5" ht="20" customHeight="1" x14ac:dyDescent="0.2">
      <c r="B43" s="23" t="s">
        <v>232</v>
      </c>
      <c r="C43" s="109" t="str">
        <f>IF(cluster_wld_domain_chosen="Workload Domain",CONCATENATE(prefix_wld_az1_cidr,"11.115"),CONCATENATE(prefix_mgmt_az1_cidr,"11.115"))</f>
        <v>10.13.11.115</v>
      </c>
      <c r="D43" s="66"/>
      <c r="E43" s="162" t="s">
        <v>233</v>
      </c>
    </row>
    <row r="44" spans="2:5" ht="20" customHeight="1" x14ac:dyDescent="0.2">
      <c r="B44" s="23" t="s">
        <v>234</v>
      </c>
      <c r="C44" s="109" t="str">
        <f>IF(cluster_wld_domain_chosen="Workload Domain",CONCATENATE(prefix_wld_az1_cidr,"11.116"),CONCATENATE(prefix_mgmt_az1_cidr,"11.116"))</f>
        <v>10.13.11.116</v>
      </c>
      <c r="D44" s="66"/>
      <c r="E44" s="162" t="s">
        <v>235</v>
      </c>
    </row>
    <row r="45" spans="2:5" ht="16" customHeight="1" x14ac:dyDescent="0.2"/>
    <row r="46" spans="2:5" ht="34" customHeight="1" x14ac:dyDescent="0.2">
      <c r="B46" s="559" t="str">
        <f>IF(cluster_az1_reuse_vcf_networkpool_result="Excluded","Create Network Pool","Current Network Pool")</f>
        <v>Create Network Pool</v>
      </c>
      <c r="C46" s="560"/>
      <c r="D46" s="560"/>
      <c r="E46" s="561"/>
    </row>
    <row r="47" spans="2:5" ht="20" customHeight="1" x14ac:dyDescent="0.2">
      <c r="B47" s="63" t="s">
        <v>18</v>
      </c>
      <c r="C47" s="63" t="s">
        <v>19</v>
      </c>
      <c r="D47" s="63" t="s">
        <v>20</v>
      </c>
      <c r="E47" s="63" t="s">
        <v>21</v>
      </c>
    </row>
    <row r="48" spans="2:5" ht="20" customHeight="1" x14ac:dyDescent="0.2">
      <c r="B48" s="23" t="s">
        <v>239</v>
      </c>
      <c r="C48" s="103" t="str">
        <f>IF(cluster_wld_domain_chosen="Workload Domain",CONCATENATE(this_instance,"01-w0",wld_domain_number_chosen,"-r01-network-pool-01"),CONCATENATE(this_instance,"01-m01","-r01-network-pool-01"))</f>
        <v>sfo01-w01-r01-network-pool-01</v>
      </c>
      <c r="D48" s="66"/>
      <c r="E48" s="8"/>
    </row>
    <row r="49" spans="2:5" ht="20" customHeight="1" x14ac:dyDescent="0.2">
      <c r="B49" s="521" t="s">
        <v>240</v>
      </c>
      <c r="C49" s="522"/>
      <c r="D49" s="522"/>
      <c r="E49" s="523"/>
    </row>
    <row r="50" spans="2:5" ht="20" customHeight="1" x14ac:dyDescent="0.2">
      <c r="B50" s="4" t="s">
        <v>3174</v>
      </c>
      <c r="C50" s="103" t="s">
        <v>3119</v>
      </c>
      <c r="D50" s="66" t="s">
        <v>3119</v>
      </c>
      <c r="E50" s="113"/>
    </row>
    <row r="51" spans="2:5" ht="20" customHeight="1" x14ac:dyDescent="0.2">
      <c r="B51" s="4" t="s">
        <v>85</v>
      </c>
      <c r="C51" s="103" t="str">
        <f>IF(cluster_wld_domain_chosen="Workload Domain",CONCATENATE(prefix_wld_az1_vlan,"12"),CONCATENATE(prefix_mgmt_az1_vlan,"12"))</f>
        <v>1312</v>
      </c>
      <c r="D51" s="66"/>
      <c r="E51" s="113"/>
    </row>
    <row r="52" spans="2:5" ht="20" customHeight="1" x14ac:dyDescent="0.2">
      <c r="B52" s="4" t="s">
        <v>155</v>
      </c>
      <c r="C52" s="103">
        <v>9000</v>
      </c>
      <c r="D52" s="66"/>
      <c r="E52" s="8"/>
    </row>
    <row r="53" spans="2:5" ht="20" customHeight="1" x14ac:dyDescent="0.2">
      <c r="B53" s="4" t="s">
        <v>3183</v>
      </c>
      <c r="C53" s="103" t="s">
        <v>105</v>
      </c>
      <c r="D53" s="66" t="s">
        <v>3504</v>
      </c>
      <c r="E53" s="8"/>
    </row>
    <row r="54" spans="2:5" ht="20" customHeight="1" x14ac:dyDescent="0.2">
      <c r="B54" s="4" t="s">
        <v>3177</v>
      </c>
      <c r="C54" s="103" t="str">
        <f>IF(cluster_wld_domain_chosen="Workload Domain",CONCATENATE(prefix_wld_az1_cidr,"12.1/24"),CONCATENATE(prefix_mgmt_az1_cidr,"12.1/24"))</f>
        <v>10.13.12.1/24</v>
      </c>
      <c r="D54" s="66"/>
      <c r="E54" s="8"/>
    </row>
    <row r="55" spans="2:5" ht="20" customHeight="1" x14ac:dyDescent="0.2">
      <c r="B55" s="4" t="s">
        <v>3178</v>
      </c>
      <c r="C55" s="103" t="str">
        <f>IF(cluster_wld_domain_chosen="Workload Domain",CONCATENATE(prefix_mgmt_ipv6_cidr,sample_wld_az1_vmotion_vlan,"::","1","/64"),CONCATENATE(prefix_mgmt_ipv6_cidr,sample_mgmt_az1_vmotion_vlan,"::","1","/64"))</f>
        <v>2001:db8:0:1312::1/64</v>
      </c>
      <c r="D55" s="66"/>
      <c r="E55" s="8"/>
    </row>
    <row r="56" spans="2:5" ht="20" customHeight="1" x14ac:dyDescent="0.2">
      <c r="B56" s="23" t="s">
        <v>3184</v>
      </c>
      <c r="C56" s="103" t="str">
        <f>IF(cluster_wld_domain_chosen="Workload Domain",CONCATENATE(prefix_wld_az1_cidr,"12.101"),CONCATENATE(prefix_mgmt_az1_cidr,"12.101"))</f>
        <v>10.13.12.101</v>
      </c>
      <c r="D56" s="66"/>
      <c r="E56" s="8"/>
    </row>
    <row r="57" spans="2:5" ht="20" customHeight="1" x14ac:dyDescent="0.2">
      <c r="B57" s="23" t="s">
        <v>3185</v>
      </c>
      <c r="C57" s="103" t="str">
        <f>IF(cluster_wld_domain_chosen="Workload Domain",CONCATENATE(prefix_wld_az1_cidr,"12.116"),CONCATENATE(prefix_mgmt_az1_cidr,"12.116"))</f>
        <v>10.13.12.116</v>
      </c>
      <c r="D57" s="66"/>
      <c r="E57" s="8"/>
    </row>
    <row r="58" spans="2:5" ht="20" customHeight="1" x14ac:dyDescent="0.2">
      <c r="B58" s="23" t="s">
        <v>3186</v>
      </c>
      <c r="C58" s="103" t="str">
        <f>IF(cluster_wld_domain_chosen="Workload Domain",CONCATENATE(prefix_mgmt_ipv6_cidr,sample_cluster_az1_vmotion_vlan,"::","101"),CONCATENATE(prefix_mgmt_ipv6_cidr,sample_cluster_az1_vmotion_vlan,"::","101",))</f>
        <v>2001:db8:0:1312::101</v>
      </c>
      <c r="D58" s="66"/>
      <c r="E58" s="8"/>
    </row>
    <row r="59" spans="2:5" ht="20" customHeight="1" x14ac:dyDescent="0.2">
      <c r="B59" s="23" t="s">
        <v>3187</v>
      </c>
      <c r="C59" s="103" t="str">
        <f>IF(cluster_wld_domain_chosen="Workload Domain",CONCATENATE(prefix_mgmt_ipv6_cidr,sample_cluster_az1_vmotion_vlan,"::","116"),CONCATENATE(prefix_mgmt_ipv6_cidr,sample_cluster_az1_vmotion_vlan,"::","116"))</f>
        <v>2001:db8:0:1312::116</v>
      </c>
      <c r="D59" s="66"/>
      <c r="E59" s="8"/>
    </row>
    <row r="60" spans="2:5" ht="20" customHeight="1" x14ac:dyDescent="0.2">
      <c r="B60" s="521" t="str">
        <f>IF(cluster_principal_storage_chosen="NFSv3","NFS Network","vSAN Network")</f>
        <v>vSAN Network</v>
      </c>
      <c r="C60" s="522"/>
      <c r="D60" s="522"/>
      <c r="E60" s="523"/>
    </row>
    <row r="61" spans="2:5" ht="20" customHeight="1" x14ac:dyDescent="0.2">
      <c r="B61" s="4" t="s">
        <v>3174</v>
      </c>
      <c r="C61" s="103" t="s">
        <v>3119</v>
      </c>
      <c r="D61" s="178" t="s">
        <v>3119</v>
      </c>
      <c r="E61" s="8"/>
    </row>
    <row r="62" spans="2:5" ht="20" customHeight="1" x14ac:dyDescent="0.2">
      <c r="B62" s="4" t="s">
        <v>85</v>
      </c>
      <c r="C62" s="103" t="str">
        <f>IF(cluster_wld_domain_chosen="Workload Domain",CONCATENATE(prefix_wld_az1_vlan,"13"),CONCATENATE(prefix_mgmt_az1_vlan,"13"))</f>
        <v>1313</v>
      </c>
      <c r="D62" s="178"/>
      <c r="E62" s="8"/>
    </row>
    <row r="63" spans="2:5" ht="20" customHeight="1" x14ac:dyDescent="0.2">
      <c r="B63" s="4" t="s">
        <v>155</v>
      </c>
      <c r="C63" s="103">
        <v>9000</v>
      </c>
      <c r="D63" s="66"/>
      <c r="E63" s="8"/>
    </row>
    <row r="64" spans="2:5" ht="20" customHeight="1" x14ac:dyDescent="0.2">
      <c r="B64" s="4" t="s">
        <v>3183</v>
      </c>
      <c r="C64" s="103" t="s">
        <v>105</v>
      </c>
      <c r="D64" s="66" t="s">
        <v>105</v>
      </c>
      <c r="E64" s="290"/>
    </row>
    <row r="65" spans="2:5" ht="20" customHeight="1" x14ac:dyDescent="0.2">
      <c r="B65" s="4" t="s">
        <v>3177</v>
      </c>
      <c r="C65" s="103" t="str">
        <f>IF(cluster_wld_domain_chosen="Workload Domain",CONCATENATE(prefix_wld_az1_cidr,"13.1/24"),CONCATENATE(prefix_mgmt_az1_cidr,"13.1/24"))</f>
        <v>10.13.13.1/24</v>
      </c>
      <c r="D65" s="66"/>
      <c r="E65" s="290"/>
    </row>
    <row r="66" spans="2:5" ht="20" customHeight="1" x14ac:dyDescent="0.2">
      <c r="B66" s="4" t="s">
        <v>3178</v>
      </c>
      <c r="C66" s="103" t="str">
        <f>IF(cluster_wld_domain_chosen="Workload Domain",CONCATENATE(prefix_mgmt_ipv6_cidr,sample_cluster_az1_principal_storage_vlan,"::","1","/64"),CONCATENATE(prefix_mgmt_ipv6_cidr,sample_cluster_az1_principal_storage_vlan,"::","1","/64"))</f>
        <v>2001:db8:0:1313::1/64</v>
      </c>
      <c r="D66" s="66"/>
      <c r="E66" s="290"/>
    </row>
    <row r="67" spans="2:5" ht="20" customHeight="1" x14ac:dyDescent="0.2">
      <c r="B67" s="23" t="s">
        <v>3184</v>
      </c>
      <c r="C67" s="103" t="str">
        <f>IF(cluster_wld_domain_chosen="Workload Domain",CONCATENATE(prefix_wld_az1_cidr,"13.101"),CONCATENATE(prefix_mgmt_az1_cidr,"13.101"))</f>
        <v>10.13.13.101</v>
      </c>
      <c r="D67" s="66"/>
      <c r="E67" s="290"/>
    </row>
    <row r="68" spans="2:5" ht="20" customHeight="1" x14ac:dyDescent="0.2">
      <c r="B68" s="23" t="s">
        <v>3185</v>
      </c>
      <c r="C68" s="103" t="str">
        <f>IF(cluster_wld_domain_chosen="Workload Domain",CONCATENATE(prefix_wld_az1_cidr,"13.116"),CONCATENATE(prefix_mgmt_az1_cidr,"13.116"))</f>
        <v>10.13.13.116</v>
      </c>
      <c r="D68" s="66"/>
      <c r="E68" s="290"/>
    </row>
    <row r="69" spans="2:5" ht="20" customHeight="1" x14ac:dyDescent="0.2">
      <c r="B69" s="23" t="s">
        <v>3186</v>
      </c>
      <c r="C69" s="165" t="str">
        <f>IF(cluster_wld_domain_chosen="Workload Domain",CONCATENATE(prefix_mgmt_ipv6_cidr,sample_cluster_az1_principal_storage_vlan,"::","101",),CONCATENATE(prefix_mgmt_ipv6_cidr,sample_cluster_az1_principal_storage_vlan,"::","101"))</f>
        <v>2001:db8:0:1313::101</v>
      </c>
      <c r="D69" s="66"/>
      <c r="E69" s="8"/>
    </row>
    <row r="70" spans="2:5" ht="20" customHeight="1" x14ac:dyDescent="0.2">
      <c r="B70" s="23" t="s">
        <v>3187</v>
      </c>
      <c r="C70" s="166" t="str">
        <f>IF(cluster_wld_domain_chosen="Workload Domain",CONCATENATE(prefix_mgmt_ipv6_cidr,sample_cluster_az1_principal_storage_vlan,"::","116"),CONCATENATE(prefix_mgmt_ipv6_cidr,sample_cluster_az1_principal_storage_vlan,"::","116"))</f>
        <v>2001:db8:0:1313::116</v>
      </c>
      <c r="D70" s="66"/>
      <c r="E70" s="8"/>
    </row>
    <row r="71" spans="2:5" ht="20" customHeight="1" x14ac:dyDescent="0.2">
      <c r="B71" s="521" t="str">
        <f>IF(cluster_secondary_storage_chosen="Secondary NFS Storage Network","NFS Storage Network","vSAN Storage Client")</f>
        <v>vSAN Storage Client</v>
      </c>
      <c r="C71" s="522"/>
      <c r="D71" s="522"/>
      <c r="E71" s="523"/>
    </row>
    <row r="72" spans="2:5" ht="20" customHeight="1" x14ac:dyDescent="0.2">
      <c r="B72" s="4" t="s">
        <v>3174</v>
      </c>
      <c r="C72" s="103" t="s">
        <v>3119</v>
      </c>
      <c r="D72" s="66" t="s">
        <v>3119</v>
      </c>
      <c r="E72" s="8"/>
    </row>
    <row r="73" spans="2:5" ht="20" customHeight="1" x14ac:dyDescent="0.2">
      <c r="B73" s="4" t="s">
        <v>85</v>
      </c>
      <c r="C73" s="103" t="str">
        <f>IF(cluster_wld_domain_chosen="Workload Domain",CONCATENATE(prefix_wld_az1_vlan,"15"),CONCATENATE(prefix_mgmt_az1_vlan,"15"))</f>
        <v>1315</v>
      </c>
      <c r="D73" s="66"/>
      <c r="E73" s="8"/>
    </row>
    <row r="74" spans="2:5" ht="20" customHeight="1" x14ac:dyDescent="0.2">
      <c r="B74" s="4" t="s">
        <v>155</v>
      </c>
      <c r="C74" s="103">
        <v>9000</v>
      </c>
      <c r="D74" s="66"/>
      <c r="E74" s="290"/>
    </row>
    <row r="75" spans="2:5" ht="20" customHeight="1" x14ac:dyDescent="0.2">
      <c r="B75" s="4" t="s">
        <v>3183</v>
      </c>
      <c r="C75" s="103" t="s">
        <v>105</v>
      </c>
      <c r="D75" s="66" t="s">
        <v>105</v>
      </c>
      <c r="E75" s="290"/>
    </row>
    <row r="76" spans="2:5" ht="20" customHeight="1" x14ac:dyDescent="0.2">
      <c r="B76" s="4" t="s">
        <v>3177</v>
      </c>
      <c r="C76" s="103" t="str">
        <f>IF(cluster_wld_domain_chosen="Workload Domain",CONCATENATE(prefix_wld_az1_cidr,"15.1/24"),CONCATENATE(prefix_mgmt_az1_cidr,"15.1/24"))</f>
        <v>10.13.15.1/24</v>
      </c>
      <c r="D76" s="66"/>
      <c r="E76" s="290"/>
    </row>
    <row r="77" spans="2:5" ht="20" customHeight="1" x14ac:dyDescent="0.2">
      <c r="B77" s="4" t="s">
        <v>3178</v>
      </c>
      <c r="C77" s="103" t="str">
        <f>IF(cluster_wld_domain_chosen="Workload Domain",CONCATENATE(prefix_mgmt_ipv6_cidr,sample_cluster_az1_secondary_storage_vlan,"::","1","/64"),CONCATENATE(prefix_mgmt_ipv6_cidr,sample_cluster_az1_secondary_storage_vlan,"::","1","/64"))</f>
        <v>2001:db8:0:1315::1/64</v>
      </c>
      <c r="D77" s="66"/>
      <c r="E77" s="290"/>
    </row>
    <row r="78" spans="2:5" ht="20" customHeight="1" x14ac:dyDescent="0.2">
      <c r="B78" s="23" t="s">
        <v>3184</v>
      </c>
      <c r="C78" s="103" t="str">
        <f>IF(cluster_wld_domain_chosen="Workload Domain",CONCATENATE(prefix_wld_az1_cidr,"15.101"),CONCATENATE(prefix_mgmt_az1_cidr,"15.101"))</f>
        <v>10.13.15.101</v>
      </c>
      <c r="D78" s="66"/>
      <c r="E78" s="290"/>
    </row>
    <row r="79" spans="2:5" ht="20" customHeight="1" x14ac:dyDescent="0.2">
      <c r="B79" s="23" t="s">
        <v>3185</v>
      </c>
      <c r="C79" s="103" t="str">
        <f>IF(cluster_wld_domain_chosen="Workload Domain",CONCATENATE(prefix_wld_az1_cidr,"15.116"),CONCATENATE(prefix_mgmt_az1_cidr,"15.116"))</f>
        <v>10.13.15.116</v>
      </c>
      <c r="D79" s="66"/>
      <c r="E79" s="290"/>
    </row>
    <row r="80" spans="2:5" ht="20" customHeight="1" x14ac:dyDescent="0.2">
      <c r="B80" s="23" t="s">
        <v>3186</v>
      </c>
      <c r="C80" s="103" t="str">
        <f>IF(cluster_wld_domain_chosen="Workload Domain",CONCATENATE(prefix_mgmt_ipv6_cidr,sample_cluster_az1_secondary_storage_vlan,"::","101",),CONCATENATE(prefix_mgmt_ipv6_cidr,sample_cluster_az1_secondary_storage_vlan,"::","101"))</f>
        <v>2001:db8:0:1315::101</v>
      </c>
      <c r="D80" s="66"/>
      <c r="E80" s="8"/>
    </row>
    <row r="81" spans="2:5" ht="20" customHeight="1" x14ac:dyDescent="0.2">
      <c r="B81" s="23" t="s">
        <v>3187</v>
      </c>
      <c r="C81" s="103" t="str">
        <f>IF(cluster_wld_domain_chosen="Workload Domain",CONCATENATE(prefix_mgmt_ipv6_cidr,sample_cluster_az1_secondary_storage_vlan,"::","116"),CONCATENATE(prefix_mgmt_ipv6_cidr,sample_cluster_az1_secondary_storage_vlan,"::","116"))</f>
        <v>2001:db8:0:1315::116</v>
      </c>
      <c r="D81" s="66"/>
      <c r="E81" s="8"/>
    </row>
    <row r="82" spans="2:5" ht="20" customHeight="1" x14ac:dyDescent="0.2">
      <c r="B82" s="521" t="s">
        <v>686</v>
      </c>
      <c r="C82" s="522"/>
      <c r="D82" s="522"/>
      <c r="E82" s="523"/>
    </row>
    <row r="83" spans="2:5" ht="20" customHeight="1" x14ac:dyDescent="0.2">
      <c r="B83" s="4" t="s">
        <v>3174</v>
      </c>
      <c r="C83" s="103" t="s">
        <v>3119</v>
      </c>
      <c r="D83" s="66" t="s">
        <v>3119</v>
      </c>
      <c r="E83" s="8"/>
    </row>
    <row r="84" spans="2:5" ht="20" customHeight="1" x14ac:dyDescent="0.2">
      <c r="B84" s="4" t="s">
        <v>85</v>
      </c>
      <c r="C84" s="103" t="str">
        <f>IF(cluster_wld_domain_chosen="Workload Domain",CONCATENATE(prefix_wld_az1_vlan,"16"),CONCATENATE(prefix_mgmt_az1_vlan,"16"))</f>
        <v>1316</v>
      </c>
      <c r="D84" s="66"/>
      <c r="E84" s="8"/>
    </row>
    <row r="85" spans="2:5" ht="20" customHeight="1" x14ac:dyDescent="0.2">
      <c r="B85" s="4" t="s">
        <v>155</v>
      </c>
      <c r="C85" s="103">
        <v>9000</v>
      </c>
      <c r="D85" s="66"/>
      <c r="E85" s="290"/>
    </row>
    <row r="86" spans="2:5" ht="20" customHeight="1" x14ac:dyDescent="0.2">
      <c r="B86" s="4" t="s">
        <v>3183</v>
      </c>
      <c r="C86" s="103" t="s">
        <v>105</v>
      </c>
      <c r="D86" s="66" t="s">
        <v>105</v>
      </c>
      <c r="E86" s="290"/>
    </row>
    <row r="87" spans="2:5" ht="20" customHeight="1" x14ac:dyDescent="0.2">
      <c r="B87" s="4" t="s">
        <v>3177</v>
      </c>
      <c r="C87" s="103" t="str">
        <f>IF(cluster_wld_domain_chosen="Workload Domain",CONCATENATE(prefix_wld_az1_cidr,"16.1/24"),CONCATENATE(prefix_mgmt_az1_cidr,"16.1/24"))</f>
        <v>10.13.16.1/24</v>
      </c>
      <c r="D87" s="66"/>
      <c r="E87" s="290"/>
    </row>
    <row r="88" spans="2:5" ht="20" customHeight="1" x14ac:dyDescent="0.2">
      <c r="B88" s="4" t="s">
        <v>3178</v>
      </c>
      <c r="C88" s="103" t="str">
        <f>IF(cluster_wld_domain_chosen="Workload Domain",CONCATENATE(prefix_mgmt_ipv6_cidr,sample_cluster_az1_storage_cluster_vlan,"::","1","/64"),CONCATENATE(prefix_mgmt_ipv6_cidr,sample_cluster_az1_storage_cluster_vlan,"::","1","/64"))</f>
        <v>2001:db8:0:1316::1/64</v>
      </c>
      <c r="D88" s="66"/>
      <c r="E88" s="290"/>
    </row>
    <row r="89" spans="2:5" ht="20" customHeight="1" x14ac:dyDescent="0.2">
      <c r="B89" s="23" t="s">
        <v>3184</v>
      </c>
      <c r="C89" s="103" t="str">
        <f>IF(cluster_wld_domain_chosen="Workload Domain",CONCATENATE(prefix_wld_az1_cidr,"16.101"),CONCATENATE(prefix_mgmt_az1_cidr,"16.101"))</f>
        <v>10.13.16.101</v>
      </c>
      <c r="D89" s="66"/>
      <c r="E89" s="290"/>
    </row>
    <row r="90" spans="2:5" ht="20" customHeight="1" x14ac:dyDescent="0.2">
      <c r="B90" s="23" t="s">
        <v>3185</v>
      </c>
      <c r="C90" s="103" t="str">
        <f>IF(cluster_wld_domain_chosen="Workload Domain",CONCATENATE(prefix_wld_az1_cidr,"16.116"),CONCATENATE(prefix_mgmt_az1_cidr,"16.116"))</f>
        <v>10.13.16.116</v>
      </c>
      <c r="D90" s="66"/>
      <c r="E90" s="290"/>
    </row>
    <row r="91" spans="2:5" ht="20" customHeight="1" x14ac:dyDescent="0.2">
      <c r="B91" s="23" t="s">
        <v>3186</v>
      </c>
      <c r="C91" s="103" t="str">
        <f>IF(cluster_wld_domain_chosen="Workload Domain",CONCATENATE(prefix_mgmt_ipv6_cidr,sample_cluster_az1_storage_cluster_vlan,"::","101",),CONCATENATE(prefix_mgmt_ipv6_cidr,sample_cluster_az1_storage_cluster_vlan,"::","101"))</f>
        <v>2001:db8:0:1316::101</v>
      </c>
      <c r="D91" s="66"/>
      <c r="E91" s="8"/>
    </row>
    <row r="92" spans="2:5" ht="20" customHeight="1" x14ac:dyDescent="0.2">
      <c r="B92" s="23" t="s">
        <v>3187</v>
      </c>
      <c r="C92" s="103" t="str">
        <f>IF(cluster_wld_domain_chosen="Workload Domain",CONCATENATE(prefix_mgmt_ipv6_cidr,sample_cluster_az1_storage_cluster_vlan,"::","116"),CONCATENATE(prefix_mgmt_ipv6_cidr,sample_cluster_az1_storage_cluster_vlan,"::","116"))</f>
        <v>2001:db8:0:1316::116</v>
      </c>
      <c r="D92" s="66"/>
      <c r="E92" s="8"/>
    </row>
    <row r="93" spans="2:5" ht="16" customHeight="1" x14ac:dyDescent="0.2"/>
    <row r="94" spans="2:5" ht="34" customHeight="1" x14ac:dyDescent="0.2">
      <c r="B94" s="559" t="s">
        <v>687</v>
      </c>
      <c r="C94" s="560"/>
      <c r="D94" s="560"/>
      <c r="E94" s="561"/>
    </row>
    <row r="95" spans="2:5" ht="20" customHeight="1" x14ac:dyDescent="0.2">
      <c r="B95" s="63" t="s">
        <v>18</v>
      </c>
      <c r="C95" s="63" t="s">
        <v>19</v>
      </c>
      <c r="D95" s="63" t="s">
        <v>20</v>
      </c>
      <c r="E95" s="63" t="s">
        <v>21</v>
      </c>
    </row>
    <row r="96" spans="2:5" ht="20" customHeight="1" x14ac:dyDescent="0.2">
      <c r="B96" s="23" t="s">
        <v>204</v>
      </c>
      <c r="C96" s="109" t="str">
        <f>IF(cluster_wld_domain_chosen="Workload Domain",CONCATENATE(this_instance,"01-w0",wld_domain_number_chosen,"-r01-esx01",".",sample_child_dns_zone),CONCATENATE(this_instance,"01-m01","-r01-esx01",".",sample_child_dns_zone))</f>
        <v>sfo01-w01-r01-esx01.sfo.rainpole.io</v>
      </c>
      <c r="D96" s="66"/>
      <c r="E96" s="8"/>
    </row>
    <row r="97" spans="2:5" ht="20" customHeight="1" x14ac:dyDescent="0.2">
      <c r="B97" s="23" t="s">
        <v>206</v>
      </c>
      <c r="C97" s="109" t="str">
        <f>IF(cluster_wld_domain_chosen="Workload Domain",CONCATENATE(this_instance,"01-w0",wld_domain_number_chosen,"-r01-esx02",".",sample_child_dns_zone),CONCATENATE(this_instance,"01-m01","-r01-esx02",".",sample_child_dns_zone))</f>
        <v>sfo01-w01-r01-esx02.sfo.rainpole.io</v>
      </c>
      <c r="D97" s="66"/>
      <c r="E97" s="8"/>
    </row>
    <row r="98" spans="2:5" ht="20" customHeight="1" x14ac:dyDescent="0.2">
      <c r="B98" s="23" t="s">
        <v>208</v>
      </c>
      <c r="C98" s="109" t="str">
        <f>IF(cluster_wld_domain_chosen="Workload Domain",CONCATENATE(this_instance,"01-w0",wld_domain_number_chosen,"-r01-esx03",".",sample_child_dns_zone),CONCATENATE(this_instance,"01-m01","-r01-esx03",".",sample_child_dns_zone))</f>
        <v>sfo01-w01-r01-esx03.sfo.rainpole.io</v>
      </c>
      <c r="D98" s="66"/>
      <c r="E98" s="8"/>
    </row>
    <row r="99" spans="2:5" ht="20" customHeight="1" x14ac:dyDescent="0.2">
      <c r="B99" s="23" t="s">
        <v>210</v>
      </c>
      <c r="C99" s="109" t="str">
        <f>IF(cluster_wld_domain_chosen="Workload Domain",CONCATENATE(this_instance,"01-w0",wld_domain_number_chosen,"-r01-esx04",".",sample_child_dns_zone),CONCATENATE(this_instance,"01-m01","-r01-esx04",".",sample_child_dns_zone))</f>
        <v>sfo01-w01-r01-esx04.sfo.rainpole.io</v>
      </c>
      <c r="D99" s="66"/>
      <c r="E99" s="8"/>
    </row>
    <row r="100" spans="2:5" ht="20" customHeight="1" x14ac:dyDescent="0.2">
      <c r="B100" s="23" t="s">
        <v>212</v>
      </c>
      <c r="C100" s="109" t="str">
        <f>IF(cluster_wld_domain_chosen="Workload Domain",CONCATENATE(this_instance,"01-w0",wld_domain_number_chosen,"-r01-esx05",".",sample_child_dns_zone),CONCATENATE(this_instance,"01-m01","-r01-esx05",".",sample_child_dns_zone))</f>
        <v>sfo01-w01-r01-esx05.sfo.rainpole.io</v>
      </c>
      <c r="D100" s="66"/>
      <c r="E100" s="8"/>
    </row>
    <row r="101" spans="2:5" ht="20" customHeight="1" x14ac:dyDescent="0.2">
      <c r="B101" s="23" t="s">
        <v>214</v>
      </c>
      <c r="C101" s="109" t="str">
        <f>IF(cluster_wld_domain_chosen="Workload Domain",CONCATENATE(this_instance,"01-w0",wld_domain_number_chosen,"-r01-esx06",".",sample_child_dns_zone),CONCATENATE(this_instance,"01-m01","-r01-esx06",".",sample_child_dns_zone))</f>
        <v>sfo01-w01-r01-esx06.sfo.rainpole.io</v>
      </c>
      <c r="D101" s="66"/>
      <c r="E101" s="8"/>
    </row>
    <row r="102" spans="2:5" ht="20" customHeight="1" x14ac:dyDescent="0.2">
      <c r="B102" s="23" t="s">
        <v>216</v>
      </c>
      <c r="C102" s="109" t="str">
        <f>IF(cluster_wld_domain_chosen="Workload Domain",CONCATENATE(this_instance,"01-w0",wld_domain_number_chosen,"-r01-esx07",".",sample_child_dns_zone),CONCATENATE(this_instance,"01-m01","-r01-esx07",".",sample_child_dns_zone))</f>
        <v>sfo01-w01-r01-esx07.sfo.rainpole.io</v>
      </c>
      <c r="D102" s="66"/>
      <c r="E102" s="8"/>
    </row>
    <row r="103" spans="2:5" ht="20" customHeight="1" x14ac:dyDescent="0.2">
      <c r="B103" s="23" t="s">
        <v>218</v>
      </c>
      <c r="C103" s="109" t="str">
        <f>IF(cluster_wld_domain_chosen="Workload Domain",CONCATENATE(this_instance,"01-w0",wld_domain_number_chosen,"-r01-esx08",".",sample_child_dns_zone),CONCATENATE(this_instance,"01-m01","-r01-esx08",".",sample_child_dns_zone))</f>
        <v>sfo01-w01-r01-esx08.sfo.rainpole.io</v>
      </c>
      <c r="D103" s="66"/>
      <c r="E103" s="8"/>
    </row>
    <row r="104" spans="2:5" ht="20" customHeight="1" x14ac:dyDescent="0.2">
      <c r="B104" s="23" t="s">
        <v>220</v>
      </c>
      <c r="C104" s="109" t="str">
        <f>IF(cluster_wld_domain_chosen="Workload Domain",CONCATENATE(this_instance,"01-w0",wld_domain_number_chosen,"-r01-esx09",".",sample_child_dns_zone),CONCATENATE(this_instance,"01-m01","-r01-esx09",".",sample_child_dns_zone))</f>
        <v>sfo01-w01-r01-esx09.sfo.rainpole.io</v>
      </c>
      <c r="D104" s="66"/>
      <c r="E104" s="8"/>
    </row>
    <row r="105" spans="2:5" ht="20" customHeight="1" x14ac:dyDescent="0.2">
      <c r="B105" s="23" t="s">
        <v>222</v>
      </c>
      <c r="C105" s="109" t="str">
        <f>IF(cluster_wld_domain_chosen="Workload Domain",CONCATENATE(this_instance,"01-w0",wld_domain_number_chosen,"-r01-esx10",".",sample_child_dns_zone),CONCATENATE(this_instance,"01-m01","-r01-esx10",".",sample_child_dns_zone))</f>
        <v>sfo01-w01-r01-esx10.sfo.rainpole.io</v>
      </c>
      <c r="D105" s="66"/>
      <c r="E105" s="8"/>
    </row>
    <row r="106" spans="2:5" ht="20" customHeight="1" x14ac:dyDescent="0.2">
      <c r="B106" s="23" t="s">
        <v>224</v>
      </c>
      <c r="C106" s="109" t="str">
        <f>IF(cluster_wld_domain_chosen="Workload Domain",CONCATENATE(this_instance,"01-w0",wld_domain_number_chosen,"-r01-esx11",".",sample_child_dns_zone),CONCATENATE(this_instance,"01-m01","-r01-esx11",".",sample_child_dns_zone))</f>
        <v>sfo01-w01-r01-esx11.sfo.rainpole.io</v>
      </c>
      <c r="D106" s="66"/>
      <c r="E106" s="8"/>
    </row>
    <row r="107" spans="2:5" ht="20" customHeight="1" x14ac:dyDescent="0.2">
      <c r="B107" s="23" t="s">
        <v>226</v>
      </c>
      <c r="C107" s="109" t="str">
        <f>IF(cluster_wld_domain_chosen="Workload Domain",CONCATENATE(this_instance,"01-w0",wld_domain_number_chosen,"-r01-esx12",".",sample_child_dns_zone),CONCATENATE(this_instance,"01-m01","-r01-esx12",".",sample_child_dns_zone))</f>
        <v>sfo01-w01-r01-esx12.sfo.rainpole.io</v>
      </c>
      <c r="D107" s="66"/>
      <c r="E107" s="8"/>
    </row>
    <row r="108" spans="2:5" ht="20" customHeight="1" x14ac:dyDescent="0.2">
      <c r="B108" s="23" t="s">
        <v>228</v>
      </c>
      <c r="C108" s="109" t="str">
        <f>IF(cluster_wld_domain_chosen="Workload Domain",CONCATENATE(this_instance,"01-w0",wld_domain_number_chosen,"-r01-esx13",".",sample_child_dns_zone),CONCATENATE(this_instance,"01-m01","-r01-esx13",".",sample_child_dns_zone))</f>
        <v>sfo01-w01-r01-esx13.sfo.rainpole.io</v>
      </c>
      <c r="D108" s="66"/>
      <c r="E108" s="8"/>
    </row>
    <row r="109" spans="2:5" ht="20" customHeight="1" x14ac:dyDescent="0.2">
      <c r="B109" s="23" t="s">
        <v>230</v>
      </c>
      <c r="C109" s="109" t="str">
        <f>IF(cluster_wld_domain_chosen="Workload Domain",CONCATENATE(this_instance,"01-w0",wld_domain_number_chosen,"-r01-esx14",".",sample_child_dns_zone),CONCATENATE(this_instance,"01-m01","-r01-esx14",".",sample_child_dns_zone))</f>
        <v>sfo01-w01-r01-esx14.sfo.rainpole.io</v>
      </c>
      <c r="D109" s="66"/>
      <c r="E109" s="8"/>
    </row>
    <row r="110" spans="2:5" ht="20" customHeight="1" x14ac:dyDescent="0.2">
      <c r="B110" s="23" t="s">
        <v>232</v>
      </c>
      <c r="C110" s="109" t="str">
        <f>IF(cluster_wld_domain_chosen="Workload Domain",CONCATENATE(this_instance,"01-w0",wld_domain_number_chosen,"-r01-esx15",".",sample_child_dns_zone),CONCATENATE(this_instance,"01-m01","-r01-esx15",".",sample_child_dns_zone))</f>
        <v>sfo01-w01-r01-esx15.sfo.rainpole.io</v>
      </c>
      <c r="D110" s="66"/>
      <c r="E110" s="8"/>
    </row>
    <row r="111" spans="2:5" ht="20" customHeight="1" x14ac:dyDescent="0.2">
      <c r="B111" s="23" t="s">
        <v>234</v>
      </c>
      <c r="C111" s="109" t="str">
        <f>IF(cluster_wld_domain_chosen="Workload Domain",CONCATENATE(this_instance,"01-w0",wld_domain_number_chosen,"-r01-esx16",".",sample_child_dns_zone),CONCATENATE(this_instance,"01-m01","-r01-esx16",".",sample_child_dns_zone))</f>
        <v>sfo01-w01-r01-esx16.sfo.rainpole.io</v>
      </c>
      <c r="D111" s="66"/>
      <c r="E111" s="8"/>
    </row>
    <row r="112" spans="2:5" ht="20" customHeight="1" x14ac:dyDescent="0.2">
      <c r="B112" s="23" t="s">
        <v>253</v>
      </c>
      <c r="C112" s="100" t="s">
        <v>254</v>
      </c>
      <c r="D112" s="8" t="str">
        <f>IF(OR(cluster_principal_storage_chosen="vSAN-ESA",cluster_principal_storage_chosen="vSAN Storage Cluster",cluster_principal_storage_chosen="vSAN-OSA",cluster_principal_storage_chosen="vSAN Compute Cluster"),"vSAN",
IF(cluster_principal_storage_chosen="VMFS on Fibre Channel (FC)","VMFS on FC",
IF(cluster_principal_storage_chosen="NFSv3","NFS")))</f>
        <v>vSAN</v>
      </c>
      <c r="E112" s="8"/>
    </row>
    <row r="113" spans="2:5" ht="20" customHeight="1" x14ac:dyDescent="0.2">
      <c r="B113" s="23" t="s">
        <v>255</v>
      </c>
      <c r="C113" s="100" t="s">
        <v>256</v>
      </c>
      <c r="D113" s="8" t="str">
        <f>IF(cluster_principal_storage_chosen="vSAN Storage Cluster","vSAN Storage",IF(cluster_principal_storage_chosen="vSAN Compute Cluster","Compute Cluster",IF(OR(cluster_principal_storage_chosen="vSAN-ESA",cluster_principal_storage_chosen="vSAN-OSA"),"vSAN HCI","")))</f>
        <v>Compute Cluster</v>
      </c>
      <c r="E113" s="4"/>
    </row>
    <row r="114" spans="2:5" ht="20" customHeight="1" x14ac:dyDescent="0.2">
      <c r="B114" s="23" t="s">
        <v>257</v>
      </c>
      <c r="C114" s="100" t="s">
        <v>154</v>
      </c>
      <c r="D114" s="8" t="str">
        <f>IF(OR(cluster_principal_storage_chosen="vSAN-ESA",cluster_principal_storage_chosen="vSAN Storage Cluster",cluster_principal_storage_chosen="vSAN Compute Cluster"),"Selected","Unselected")</f>
        <v>Selected</v>
      </c>
      <c r="E114" s="8"/>
    </row>
    <row r="115" spans="2:5" ht="20" customHeight="1" x14ac:dyDescent="0.2">
      <c r="B115" s="23" t="s">
        <v>3630</v>
      </c>
      <c r="C115" s="100" t="s">
        <v>140</v>
      </c>
      <c r="D115" s="8" t="s">
        <v>140</v>
      </c>
      <c r="E115" s="8"/>
    </row>
    <row r="116" spans="2:5" ht="20" customHeight="1" x14ac:dyDescent="0.2">
      <c r="B116" s="23" t="s">
        <v>239</v>
      </c>
      <c r="C116" s="100" t="str">
        <f>C48</f>
        <v>sfo01-w01-r01-network-pool-01</v>
      </c>
      <c r="D116" s="8" t="str">
        <f>cluster_az1_pool_name</f>
        <v>Value Missing</v>
      </c>
      <c r="E116" s="8"/>
    </row>
    <row r="117" spans="2:5" ht="20" customHeight="1" x14ac:dyDescent="0.2">
      <c r="B117" s="23" t="s">
        <v>47</v>
      </c>
      <c r="C117" s="100" t="s">
        <v>258</v>
      </c>
      <c r="D117" s="66"/>
      <c r="E117" s="8"/>
    </row>
    <row r="118" spans="2:5" ht="20" customHeight="1" x14ac:dyDescent="0.2">
      <c r="B118" s="23" t="s">
        <v>30</v>
      </c>
      <c r="C118" s="100" t="s">
        <v>31</v>
      </c>
      <c r="D118" s="66"/>
      <c r="E118" s="8"/>
    </row>
    <row r="119" spans="2:5" ht="16" customHeight="1" x14ac:dyDescent="0.2"/>
    <row r="120" spans="2:5" ht="34" customHeight="1" x14ac:dyDescent="0.2">
      <c r="B120" s="559" t="s">
        <v>944</v>
      </c>
      <c r="C120" s="560"/>
      <c r="D120" s="560"/>
      <c r="E120" s="561"/>
    </row>
    <row r="121" spans="2:5" ht="16" customHeight="1" x14ac:dyDescent="0.2"/>
    <row r="122" spans="2:5" ht="34" customHeight="1" x14ac:dyDescent="0.2">
      <c r="B122" s="412" t="s">
        <v>945</v>
      </c>
      <c r="C122" s="413"/>
      <c r="D122" s="413"/>
      <c r="E122" s="414"/>
    </row>
    <row r="123" spans="2:5" ht="20" customHeight="1" x14ac:dyDescent="0.2">
      <c r="B123" s="521" t="s">
        <v>946</v>
      </c>
      <c r="C123" s="522"/>
      <c r="D123" s="522"/>
      <c r="E123" s="523"/>
    </row>
    <row r="124" spans="2:5" ht="20" customHeight="1" x14ac:dyDescent="0.2">
      <c r="B124" s="63" t="s">
        <v>18</v>
      </c>
      <c r="C124" s="63" t="s">
        <v>19</v>
      </c>
      <c r="D124" s="63" t="s">
        <v>20</v>
      </c>
      <c r="E124" s="63" t="s">
        <v>21</v>
      </c>
    </row>
    <row r="125" spans="2:5" ht="20" customHeight="1" x14ac:dyDescent="0.2">
      <c r="B125" s="23" t="s">
        <v>200</v>
      </c>
      <c r="C125" s="65" t="str">
        <f>IF(cluster_wld_domain_chosen="Workload Domain",CONCATENATE(this_instance,"-w0",wld_domain_number_chosen,"-cl02"),CONCATENATE(this_instance,"-m01","-cl02"))</f>
        <v>sfo-w01-cl02</v>
      </c>
      <c r="D125" s="66"/>
      <c r="E125" s="8"/>
    </row>
    <row r="126" spans="2:5" ht="16" customHeight="1" x14ac:dyDescent="0.2"/>
    <row r="127" spans="2:5" ht="34" customHeight="1" x14ac:dyDescent="0.2">
      <c r="B127" s="412" t="s">
        <v>698</v>
      </c>
      <c r="C127" s="413"/>
      <c r="D127" s="413"/>
      <c r="E127" s="414"/>
    </row>
    <row r="128" spans="2:5" ht="20" customHeight="1" x14ac:dyDescent="0.2">
      <c r="B128" s="521" t="s">
        <v>699</v>
      </c>
      <c r="C128" s="522"/>
      <c r="D128" s="522"/>
      <c r="E128" s="523"/>
    </row>
    <row r="129" spans="2:5" ht="20" customHeight="1" x14ac:dyDescent="0.2">
      <c r="B129" s="63" t="s">
        <v>18</v>
      </c>
      <c r="C129" s="63" t="s">
        <v>19</v>
      </c>
      <c r="D129" s="63" t="s">
        <v>20</v>
      </c>
      <c r="E129" s="63" t="s">
        <v>21</v>
      </c>
    </row>
    <row r="130" spans="2:5" ht="20" customHeight="1" x14ac:dyDescent="0.2">
      <c r="B130" s="23" t="s">
        <v>698</v>
      </c>
      <c r="C130" s="65" t="str">
        <f>IF(cluster_wld_domain_chosen="Workload Domain",CONCATENATE(this_instance,"-w0",wld_domain_number_chosen,"-cl02"),CONCATENATE(this_instance,"-m01","-cl02"))</f>
        <v>sfo-w01-cl02</v>
      </c>
      <c r="D130" s="66"/>
      <c r="E130" s="8"/>
    </row>
    <row r="131" spans="2:5" ht="16" customHeight="1" x14ac:dyDescent="0.2"/>
    <row r="132" spans="2:5" ht="34" customHeight="1" x14ac:dyDescent="0.2">
      <c r="B132" s="412" t="str">
        <f>IF(OR(wld_principal_storage_chosen="vSAN-ESA",wld_principal_storage_chosen="vSAN-OSA"),"vSAN Storage",IF(wld_principal_storage_chosen="NFSv3","NFS Storage",""))</f>
        <v>vSAN Storage</v>
      </c>
      <c r="C132" s="413"/>
      <c r="D132" s="413"/>
      <c r="E132" s="414"/>
    </row>
    <row r="133" spans="2:5" ht="20" customHeight="1" x14ac:dyDescent="0.2">
      <c r="B133" s="521" t="s">
        <v>947</v>
      </c>
      <c r="C133" s="522"/>
      <c r="D133" s="522"/>
      <c r="E133" s="523"/>
    </row>
    <row r="134" spans="2:5" ht="20" customHeight="1" x14ac:dyDescent="0.2">
      <c r="B134" s="63" t="s">
        <v>18</v>
      </c>
      <c r="C134" s="63" t="s">
        <v>19</v>
      </c>
      <c r="D134" s="63" t="s">
        <v>20</v>
      </c>
      <c r="E134" s="63" t="s">
        <v>21</v>
      </c>
    </row>
    <row r="135" spans="2:5" ht="20" customHeight="1" x14ac:dyDescent="0.2">
      <c r="B135" s="23" t="s">
        <v>709</v>
      </c>
      <c r="C135" s="65" t="s">
        <v>647</v>
      </c>
      <c r="D135" s="8" t="str">
        <f>IF(cluster_principal_storage_chosen="vSAN Storage Cluster","vSAN-ESA",
IF(cluster_principal_storage_chosen="vSAN Compute Cluster","vSAN",
cluster_principal_storage_chosen))</f>
        <v>vSAN</v>
      </c>
      <c r="E135" s="8"/>
    </row>
    <row r="136" spans="2:5" ht="20" customHeight="1" x14ac:dyDescent="0.2">
      <c r="B136" s="23" t="s">
        <v>3612</v>
      </c>
      <c r="C136" s="65" t="s">
        <v>140</v>
      </c>
      <c r="D136" s="8" t="str">
        <f>cluster_vsan_esa_hcl_check_chosen</f>
        <v>Unselected</v>
      </c>
      <c r="E136" s="8"/>
    </row>
    <row r="137" spans="2:5" ht="20" customHeight="1" x14ac:dyDescent="0.2">
      <c r="B137" s="4" t="s">
        <v>3655</v>
      </c>
      <c r="C137" s="65" t="s">
        <v>712</v>
      </c>
      <c r="D137" s="8" t="str">
        <f>cluster_vsan_type</f>
        <v>Compute Cluster</v>
      </c>
      <c r="E137" s="4" t="s">
        <v>948</v>
      </c>
    </row>
    <row r="138" spans="2:5" ht="20" customHeight="1" x14ac:dyDescent="0.2">
      <c r="B138" s="4" t="str">
        <f>IF(cluster_principal_storage_chosen="vSAN Compute Cluster","Remote Data-in-Transit encryption","Data-in-Transit encryption")</f>
        <v>Remote Data-in-Transit encryption</v>
      </c>
      <c r="C138" s="65" t="s">
        <v>140</v>
      </c>
      <c r="D138" s="66" t="s">
        <v>154</v>
      </c>
      <c r="E138" s="4"/>
    </row>
    <row r="139" spans="2:5" ht="20" customHeight="1" x14ac:dyDescent="0.2">
      <c r="B139" s="30" t="s">
        <v>3195</v>
      </c>
      <c r="C139" s="192" t="s">
        <v>724</v>
      </c>
      <c r="D139" s="66" t="s">
        <v>724</v>
      </c>
      <c r="E139" s="4"/>
    </row>
    <row r="140" spans="2:5" ht="20" customHeight="1" x14ac:dyDescent="0.2">
      <c r="B140" s="30" t="s">
        <v>3209</v>
      </c>
      <c r="C140" s="192" t="s">
        <v>3196</v>
      </c>
      <c r="D140" s="66" t="s">
        <v>3656</v>
      </c>
      <c r="E140" s="4"/>
    </row>
    <row r="141" spans="2:5" ht="20" customHeight="1" x14ac:dyDescent="0.2">
      <c r="B141" s="30" t="s">
        <v>3210</v>
      </c>
      <c r="C141" s="192">
        <v>1440</v>
      </c>
      <c r="D141" s="66"/>
      <c r="E141" s="4"/>
    </row>
    <row r="142" spans="2:5" ht="20" customHeight="1" x14ac:dyDescent="0.2">
      <c r="B142" s="4" t="s">
        <v>949</v>
      </c>
      <c r="C142" s="65" t="str">
        <f>CONCATENATE(this_instance,"-w0",wld_domain_number_chosen,"-cl01")</f>
        <v>sfo-w01-cl01</v>
      </c>
      <c r="D142" s="66"/>
      <c r="E142" s="4"/>
    </row>
    <row r="143" spans="2:5" ht="20" customHeight="1" x14ac:dyDescent="0.2">
      <c r="B143" s="4" t="s">
        <v>268</v>
      </c>
      <c r="C143" s="65" t="str">
        <f>IF(cluster_wld_domain_chosen="Workload Domain",CONCATENATE(sample_wld_sddc_domain,"-",sample_cluster_name,"-vsan01"),CONCATENATE(sample_mgmt_sddc_domain,"-",sample_cluster_name,"-vsan01"))</f>
        <v>sfo-w01-sfo-w01-cl02-vsan01</v>
      </c>
      <c r="D143" s="66"/>
      <c r="E143" s="8"/>
    </row>
    <row r="144" spans="2:5" ht="20" customHeight="1" x14ac:dyDescent="0.2">
      <c r="B144" s="4" t="s">
        <v>713</v>
      </c>
      <c r="C144" s="65" t="s">
        <v>140</v>
      </c>
      <c r="D144" s="8" t="str">
        <f>IF(cluster_secondary_storage_result="Included","Selected","Unselected")</f>
        <v>Unselected</v>
      </c>
      <c r="E144" s="8" t="str">
        <f>IF(AND(cluster_secondary_storage_chosen&lt;&gt;"vSAN Storage Client Network",cluster_vsan_type="vSAN Storage"),"To use vSAN Storage Client Network it should be enabled in Deploy and New Cluster Options section","")</f>
        <v/>
      </c>
    </row>
    <row r="145" spans="2:5" ht="20" customHeight="1" x14ac:dyDescent="0.2">
      <c r="B145" s="4" t="str">
        <f>IF(wld_principal_storage_chosen="vSAN-ESA","Storage Policy", "vSAN: Failures to Tolerate (FTT)")</f>
        <v>Storage Policy</v>
      </c>
      <c r="C145" s="65">
        <v>1</v>
      </c>
      <c r="D145" s="66" t="s">
        <v>714</v>
      </c>
      <c r="E145" s="8"/>
    </row>
    <row r="146" spans="2:5" ht="20" customHeight="1" x14ac:dyDescent="0.2">
      <c r="B146" s="4" t="s">
        <v>715</v>
      </c>
      <c r="C146" s="65" t="s">
        <v>140</v>
      </c>
      <c r="D146" s="66" t="s">
        <v>140</v>
      </c>
      <c r="E146" s="8"/>
    </row>
    <row r="147" spans="2:5" ht="20" customHeight="1" x14ac:dyDescent="0.2">
      <c r="B147" s="182" t="s">
        <v>716</v>
      </c>
      <c r="C147" s="65" t="str">
        <f>IF(cluster_wld_domain_chosen="Workload Domain",CONCATENATE(this_instance,"-w0",wld_domain_number_chosen,"-cl02-ds-vmfs01"),CONCATENATE(this_instance,"-m01","-cl02-ds-vmfs01"))</f>
        <v>sfo-w01-cl02-ds-vmfs01</v>
      </c>
      <c r="D147" s="66"/>
      <c r="E147" s="8"/>
    </row>
    <row r="148" spans="2:5" ht="20" customHeight="1" x14ac:dyDescent="0.2">
      <c r="B148" s="30" t="s">
        <v>717</v>
      </c>
      <c r="C148" s="65" t="str">
        <f>IF(cluster_wld_domain_chosen="Workload Domain",CONCATENATE(this_instance,"-w0",wld_domain_number_chosen,"-cl02-ds-nfs01"),CONCATENATE(this_instance,"-m01","-cl02-ds-nfs01"))</f>
        <v>sfo-w01-cl02-ds-nfs01</v>
      </c>
      <c r="D148" s="66"/>
      <c r="E148" s="8"/>
    </row>
    <row r="149" spans="2:5" ht="20" customHeight="1" x14ac:dyDescent="0.2">
      <c r="B149" s="30" t="s">
        <v>718</v>
      </c>
      <c r="C149" s="65" t="str">
        <f>IF(cluster_wld_domain_chosen="Workload Domain",CONCATENATE(this_instance,"-w0",wld_domain_number_chosen,"-cl02-ds-nfs01-share"),CONCATENATE(this_instance,"-m01","-cl02-ds-nfs01-share"))</f>
        <v>sfo-w01-cl02-ds-nfs01-share</v>
      </c>
      <c r="D149" s="66"/>
      <c r="E149" s="8"/>
    </row>
    <row r="150" spans="2:5" ht="20" customHeight="1" x14ac:dyDescent="0.2">
      <c r="B150" s="30" t="s">
        <v>719</v>
      </c>
      <c r="C150" s="65" t="str">
        <f>IF(cluster_wld_domain_chosen="Workload Domain",CONCATENATE(prefix_wld_az1_cidr,"15.4"),CONCATENATE(prefix_mgmt_az1_cidr,"15.4"))</f>
        <v>10.13.15.4</v>
      </c>
      <c r="D150" s="66"/>
      <c r="E150" s="8"/>
    </row>
    <row r="151" spans="2:5" ht="16" customHeight="1" x14ac:dyDescent="0.2">
      <c r="B151" s="7"/>
      <c r="C151" s="7"/>
      <c r="D151" s="7"/>
      <c r="E151" s="7"/>
    </row>
    <row r="152" spans="2:5" ht="34" customHeight="1" x14ac:dyDescent="0.2">
      <c r="B152" s="412" t="s">
        <v>720</v>
      </c>
      <c r="C152" s="413"/>
      <c r="D152" s="413"/>
      <c r="E152" s="414"/>
    </row>
    <row r="153" spans="2:5" ht="20" customHeight="1" x14ac:dyDescent="0.2">
      <c r="B153" s="521"/>
      <c r="C153" s="522"/>
      <c r="D153" s="522"/>
      <c r="E153" s="523"/>
    </row>
    <row r="154" spans="2:5" ht="20" customHeight="1" x14ac:dyDescent="0.2">
      <c r="B154" s="63" t="s">
        <v>18</v>
      </c>
      <c r="C154" s="63" t="s">
        <v>19</v>
      </c>
      <c r="D154" s="63" t="s">
        <v>20</v>
      </c>
      <c r="E154" s="63" t="s">
        <v>21</v>
      </c>
    </row>
    <row r="155" spans="2:5" ht="20" customHeight="1" x14ac:dyDescent="0.2">
      <c r="B155" s="23" t="s">
        <v>204</v>
      </c>
      <c r="C155" s="65" t="str">
        <f t="array" ref="C155:C170">sample_wld_az1_host_fqdns</f>
        <v>sfo01-w01-r01-esx01.sfo.rainpole.io</v>
      </c>
      <c r="D155" s="8" t="str">
        <f t="array" ref="D155:D170">cluster_az1_host_fqdns</f>
        <v>Value Missing</v>
      </c>
      <c r="E155" s="8"/>
    </row>
    <row r="156" spans="2:5" ht="20" customHeight="1" x14ac:dyDescent="0.2">
      <c r="B156" s="23" t="s">
        <v>206</v>
      </c>
      <c r="C156" s="65" t="str">
        <v>sfo01-w01-r01-esx02.sfo.rainpole.io</v>
      </c>
      <c r="D156" s="8" t="str">
        <v>Value Missing</v>
      </c>
      <c r="E156" s="8"/>
    </row>
    <row r="157" spans="2:5" ht="20" customHeight="1" x14ac:dyDescent="0.2">
      <c r="B157" s="23" t="s">
        <v>208</v>
      </c>
      <c r="C157" s="65" t="str">
        <v>sfo01-w01-r01-esx03.sfo.rainpole.io</v>
      </c>
      <c r="D157" s="8" t="str">
        <v>Value Missing</v>
      </c>
      <c r="E157" s="8"/>
    </row>
    <row r="158" spans="2:5" ht="20" customHeight="1" x14ac:dyDescent="0.2">
      <c r="B158" s="23" t="s">
        <v>210</v>
      </c>
      <c r="C158" s="65" t="str">
        <v>sfo01-w01-r01-esx04.sfo.rainpole.io</v>
      </c>
      <c r="D158" s="8" t="str">
        <v>Value Missing</v>
      </c>
      <c r="E158" s="8"/>
    </row>
    <row r="159" spans="2:5" ht="20" customHeight="1" x14ac:dyDescent="0.2">
      <c r="B159" s="23" t="s">
        <v>212</v>
      </c>
      <c r="C159" s="65" t="str">
        <v>sfo01-w01-r01-esx05.sfo.rainpole.io</v>
      </c>
      <c r="D159" s="8" t="str">
        <v>Value Missing</v>
      </c>
      <c r="E159" s="23"/>
    </row>
    <row r="160" spans="2:5" ht="20" customHeight="1" x14ac:dyDescent="0.2">
      <c r="B160" s="23" t="s">
        <v>214</v>
      </c>
      <c r="C160" s="65" t="str">
        <v>sfo01-w01-r01-esx06.sfo.rainpole.io</v>
      </c>
      <c r="D160" s="8" t="str">
        <v>Value Missing</v>
      </c>
      <c r="E160" s="23"/>
    </row>
    <row r="161" spans="2:5" ht="20" customHeight="1" x14ac:dyDescent="0.2">
      <c r="B161" s="23" t="s">
        <v>216</v>
      </c>
      <c r="C161" s="65" t="str">
        <v>sfo01-w01-r01-esx07.sfo.rainpole.io</v>
      </c>
      <c r="D161" s="8" t="str">
        <v>Value Missing</v>
      </c>
      <c r="E161" s="23"/>
    </row>
    <row r="162" spans="2:5" ht="20" customHeight="1" x14ac:dyDescent="0.2">
      <c r="B162" s="23" t="s">
        <v>218</v>
      </c>
      <c r="C162" s="65" t="str">
        <v>sfo01-w01-r01-esx08.sfo.rainpole.io</v>
      </c>
      <c r="D162" s="8" t="str">
        <v>Value Missing</v>
      </c>
      <c r="E162" s="23"/>
    </row>
    <row r="163" spans="2:5" ht="20" customHeight="1" x14ac:dyDescent="0.2">
      <c r="B163" s="23" t="s">
        <v>220</v>
      </c>
      <c r="C163" s="65" t="str">
        <v>sfo01-w01-r01-esx09.sfo.rainpole.io</v>
      </c>
      <c r="D163" s="8" t="str">
        <v>Value Missing</v>
      </c>
      <c r="E163" s="23"/>
    </row>
    <row r="164" spans="2:5" ht="20" customHeight="1" x14ac:dyDescent="0.2">
      <c r="B164" s="23" t="s">
        <v>222</v>
      </c>
      <c r="C164" s="65" t="str">
        <v>sfo01-w01-r01-esx10.sfo.rainpole.io</v>
      </c>
      <c r="D164" s="8" t="str">
        <v>Value Missing</v>
      </c>
      <c r="E164" s="183"/>
    </row>
    <row r="165" spans="2:5" ht="20" customHeight="1" x14ac:dyDescent="0.2">
      <c r="B165" s="23" t="s">
        <v>224</v>
      </c>
      <c r="C165" s="65" t="str">
        <v>sfo01-w01-r01-esx11.sfo.rainpole.io</v>
      </c>
      <c r="D165" s="8" t="str">
        <v>Value Missing</v>
      </c>
      <c r="E165" s="23"/>
    </row>
    <row r="166" spans="2:5" ht="20" customHeight="1" x14ac:dyDescent="0.2">
      <c r="B166" s="23" t="s">
        <v>226</v>
      </c>
      <c r="C166" s="65" t="str">
        <v>sfo01-w01-r01-esx12.sfo.rainpole.io</v>
      </c>
      <c r="D166" s="8" t="str">
        <v>Value Missing</v>
      </c>
      <c r="E166" s="23"/>
    </row>
    <row r="167" spans="2:5" ht="20" customHeight="1" x14ac:dyDescent="0.2">
      <c r="B167" s="23" t="s">
        <v>228</v>
      </c>
      <c r="C167" s="65" t="str">
        <v>sfo01-w01-r01-esx13.sfo.rainpole.io</v>
      </c>
      <c r="D167" s="8" t="str">
        <v>Value Missing</v>
      </c>
      <c r="E167" s="23"/>
    </row>
    <row r="168" spans="2:5" ht="20" customHeight="1" x14ac:dyDescent="0.2">
      <c r="B168" s="23" t="s">
        <v>230</v>
      </c>
      <c r="C168" s="65" t="str">
        <v>sfo01-w01-r01-esx14.sfo.rainpole.io</v>
      </c>
      <c r="D168" s="8" t="str">
        <v>Value Missing</v>
      </c>
      <c r="E168" s="23"/>
    </row>
    <row r="169" spans="2:5" ht="20" customHeight="1" x14ac:dyDescent="0.2">
      <c r="B169" s="23" t="s">
        <v>232</v>
      </c>
      <c r="C169" s="65" t="str">
        <v>sfo01-w01-r01-esx15.sfo.rainpole.io</v>
      </c>
      <c r="D169" s="8" t="str">
        <v>Value Missing</v>
      </c>
      <c r="E169" s="23"/>
    </row>
    <row r="170" spans="2:5" ht="20" customHeight="1" x14ac:dyDescent="0.2">
      <c r="B170" s="23" t="s">
        <v>234</v>
      </c>
      <c r="C170" s="65" t="str">
        <v>sfo01-w01-r01-esx16.sfo.rainpole.io</v>
      </c>
      <c r="D170" s="8" t="str">
        <v>Value Missing</v>
      </c>
      <c r="E170" s="23"/>
    </row>
    <row r="171" spans="2:5" ht="16" customHeight="1" x14ac:dyDescent="0.2"/>
    <row r="172" spans="2:5" ht="34" customHeight="1" x14ac:dyDescent="0.2">
      <c r="B172" s="412" t="s">
        <v>721</v>
      </c>
      <c r="C172" s="413"/>
      <c r="D172" s="413"/>
      <c r="E172" s="414"/>
    </row>
    <row r="173" spans="2:5" ht="20" customHeight="1" x14ac:dyDescent="0.2">
      <c r="B173" s="521" t="s">
        <v>722</v>
      </c>
      <c r="C173" s="522"/>
      <c r="D173" s="522"/>
      <c r="E173" s="523"/>
    </row>
    <row r="174" spans="2:5" ht="20" customHeight="1" x14ac:dyDescent="0.2">
      <c r="B174" s="63" t="s">
        <v>18</v>
      </c>
      <c r="C174" s="63" t="s">
        <v>19</v>
      </c>
      <c r="D174" s="63" t="s">
        <v>20</v>
      </c>
      <c r="E174" s="63" t="s">
        <v>21</v>
      </c>
    </row>
    <row r="175" spans="2:5" ht="20" customHeight="1" x14ac:dyDescent="0.2">
      <c r="B175" s="23" t="s">
        <v>2865</v>
      </c>
      <c r="C175" s="65" t="s">
        <v>724</v>
      </c>
      <c r="D175" s="66" t="s">
        <v>1967</v>
      </c>
      <c r="E175" s="8"/>
    </row>
    <row r="176" spans="2:5" ht="20" customHeight="1" x14ac:dyDescent="0.2">
      <c r="B176" s="23" t="s">
        <v>725</v>
      </c>
      <c r="C176" s="65" t="s">
        <v>140</v>
      </c>
      <c r="D176" s="66" t="s">
        <v>154</v>
      </c>
      <c r="E176" s="8" t="s">
        <v>950</v>
      </c>
    </row>
    <row r="177" spans="2:5" ht="16" customHeight="1" x14ac:dyDescent="0.2"/>
    <row r="178" spans="2:5" ht="34" customHeight="1" x14ac:dyDescent="0.2">
      <c r="B178" s="184" t="s">
        <v>726</v>
      </c>
      <c r="C178" s="185"/>
      <c r="D178" s="185"/>
      <c r="E178" s="186"/>
    </row>
    <row r="179" spans="2:5" ht="20" customHeight="1" x14ac:dyDescent="0.2">
      <c r="B179" s="187" t="s">
        <v>727</v>
      </c>
      <c r="C179" s="188"/>
      <c r="D179" s="188"/>
      <c r="E179" s="189"/>
    </row>
    <row r="180" spans="2:5" ht="20" customHeight="1" x14ac:dyDescent="0.2">
      <c r="B180" s="63" t="s">
        <v>18</v>
      </c>
      <c r="C180" s="63" t="s">
        <v>19</v>
      </c>
      <c r="D180" s="63" t="s">
        <v>20</v>
      </c>
      <c r="E180" s="63" t="s">
        <v>21</v>
      </c>
    </row>
    <row r="181" spans="2:5" ht="20" customHeight="1" x14ac:dyDescent="0.2">
      <c r="B181" s="23" t="s">
        <v>728</v>
      </c>
      <c r="C181" s="65" t="str">
        <f>CONCATENATE(sample_cluster_name,"-vds01")</f>
        <v>sfo-w01-cl02-vds01</v>
      </c>
      <c r="D181" s="66"/>
      <c r="E181" s="8"/>
    </row>
    <row r="182" spans="2:5" ht="20" customHeight="1" x14ac:dyDescent="0.2">
      <c r="B182" s="23" t="s">
        <v>155</v>
      </c>
      <c r="C182" s="65">
        <v>9000</v>
      </c>
      <c r="D182" s="66"/>
      <c r="E182" s="8"/>
    </row>
    <row r="183" spans="2:5" ht="20" customHeight="1" x14ac:dyDescent="0.2">
      <c r="B183" s="23" t="s">
        <v>2735</v>
      </c>
      <c r="C183" s="65" t="s">
        <v>2966</v>
      </c>
      <c r="D183" s="66" t="s">
        <v>2966</v>
      </c>
      <c r="E183" s="344" t="str">
        <f>IF(cluster_vds01_link_type_chosen="VDS Lag","Only supported via API. Use VCF.JSONGenerator to generate the JSON File once PnP is complete","Option is not visable in VMware Cloud Foundations Operations UI")</f>
        <v>Option is not visable in VMware Cloud Foundations Operations UI</v>
      </c>
    </row>
    <row r="184" spans="2:5" ht="20" customHeight="1" x14ac:dyDescent="0.2">
      <c r="B184" s="4" t="s">
        <v>2967</v>
      </c>
      <c r="C184" s="105" t="str">
        <f>CONCATENATE(this_instance,"-w01-cl01-vds02-lag")</f>
        <v>sfo-w01-cl01-vds02-lag</v>
      </c>
      <c r="D184" s="66"/>
      <c r="E184" s="344" t="str">
        <f>IF(cluster_vds01_link_type_chosen="VDS Uplinks","This input is masked out as you have chosen to configure VDS Uplinks","Option is not visable in VCF Operations UI. There is a 16 Character Limit for LAG Name")</f>
        <v>This input is masked out as you have chosen to configure VDS Uplinks</v>
      </c>
    </row>
    <row r="185" spans="2:5" ht="20" customHeight="1" x14ac:dyDescent="0.2">
      <c r="B185" s="4" t="s">
        <v>2968</v>
      </c>
      <c r="C185" s="167" t="s">
        <v>739</v>
      </c>
      <c r="D185" s="66" t="s">
        <v>739</v>
      </c>
      <c r="E185" s="344" t="str">
        <f>IF(cluster_vds01_link_type_chosen="VDS Uplinks","This input is masked out as you have chosen to configure VDS Uplinks","Option is not visable in VMware Cloud Foundations Operations UI")</f>
        <v>This input is masked out as you have chosen to configure VDS Uplinks</v>
      </c>
    </row>
    <row r="186" spans="2:5" ht="20" customHeight="1" x14ac:dyDescent="0.2">
      <c r="B186" s="4" t="s">
        <v>2969</v>
      </c>
      <c r="C186" s="167" t="s">
        <v>2986</v>
      </c>
      <c r="D186" s="66" t="s">
        <v>2986</v>
      </c>
      <c r="E186" s="344" t="str">
        <f>IF(cluster_vds01_link_type_chosen="VDS Uplinks","This input is masked out as you have chosen to configure VDS Uplinks","Option is not visable in VMware Cloud Foundations Operations UI")</f>
        <v>This input is masked out as you have chosen to configure VDS Uplinks</v>
      </c>
    </row>
    <row r="187" spans="2:5" ht="20" customHeight="1" x14ac:dyDescent="0.2">
      <c r="B187" s="4" t="s">
        <v>2970</v>
      </c>
      <c r="C187" s="167" t="s">
        <v>2971</v>
      </c>
      <c r="D187" s="66" t="s">
        <v>2971</v>
      </c>
      <c r="E187" s="344" t="str">
        <f>IF(cluster_vds01_link_type_chosen="VDS Uplinks","This input is masked out as you have chosen to configure VDS Uplinks","Option is not visable in VMware Cloud Foundations Operations UI")</f>
        <v>This input is masked out as you have chosen to configure VDS Uplinks</v>
      </c>
    </row>
    <row r="188" spans="2:5" ht="20" customHeight="1" x14ac:dyDescent="0.2">
      <c r="B188" s="30" t="s">
        <v>729</v>
      </c>
      <c r="C188" s="192">
        <v>2</v>
      </c>
      <c r="D188" s="101"/>
      <c r="E188" s="194"/>
    </row>
    <row r="189" spans="2:5" ht="20" customHeight="1" x14ac:dyDescent="0.2">
      <c r="B189" s="23" t="s">
        <v>730</v>
      </c>
      <c r="C189" s="65" t="s">
        <v>731</v>
      </c>
      <c r="D189" s="66"/>
      <c r="E189" s="194"/>
    </row>
    <row r="190" spans="2:5" ht="20" customHeight="1" x14ac:dyDescent="0.2">
      <c r="B190" s="23" t="s">
        <v>732</v>
      </c>
      <c r="C190" s="65" t="str">
        <f>cluster_vds01_traffic_type</f>
        <v>Management, vMotion</v>
      </c>
      <c r="D190" s="8" t="str">
        <f>cluster_vds01_traffic_type</f>
        <v>Management, vMotion</v>
      </c>
      <c r="E190" s="8"/>
    </row>
    <row r="191" spans="2:5" ht="20" customHeight="1" x14ac:dyDescent="0.2">
      <c r="B191" s="521" t="s">
        <v>766</v>
      </c>
      <c r="C191" s="522"/>
      <c r="D191" s="522"/>
      <c r="E191" s="523"/>
    </row>
    <row r="192" spans="2:5" ht="20" customHeight="1" x14ac:dyDescent="0.2">
      <c r="B192" s="23" t="s">
        <v>767</v>
      </c>
      <c r="C192" s="65" t="str">
        <f>CONCATENATE(sample_cluster_name,"-vds02")</f>
        <v>sfo-w01-cl02-vds02</v>
      </c>
      <c r="D192" s="66"/>
      <c r="E192" s="8"/>
    </row>
    <row r="193" spans="2:5" ht="20" customHeight="1" x14ac:dyDescent="0.2">
      <c r="B193" s="23" t="s">
        <v>155</v>
      </c>
      <c r="C193" s="65">
        <v>9000</v>
      </c>
      <c r="D193" s="66"/>
      <c r="E193" s="8"/>
    </row>
    <row r="194" spans="2:5" ht="20" customHeight="1" x14ac:dyDescent="0.2">
      <c r="B194" s="23" t="s">
        <v>2735</v>
      </c>
      <c r="C194" s="65" t="s">
        <v>2966</v>
      </c>
      <c r="D194" s="66" t="s">
        <v>3696</v>
      </c>
      <c r="E194" s="244" t="str">
        <f>IF(cluster_vds02_link_type_chosen="VDS Lag","Only supported via API. Use VCF.JSONGenerator to generate the JSON File once PnP is complete","Option is not visable in VMware Cloud Foundations Operations UI")</f>
        <v>Only supported via API. Use VCF.JSONGenerator to generate the JSON File once PnP is complete</v>
      </c>
    </row>
    <row r="195" spans="2:5" ht="20" customHeight="1" x14ac:dyDescent="0.2">
      <c r="B195" s="4" t="s">
        <v>2967</v>
      </c>
      <c r="C195" s="105" t="str">
        <f>CONCATENATE(this_instance,"-w01-cl01-vds02-lag")</f>
        <v>sfo-w01-cl01-vds02-lag</v>
      </c>
      <c r="D195" s="66"/>
      <c r="E195" s="244" t="str">
        <f>IF(cluster_vds02_link_type_chosen="VDS Uplinks","This input is masked out as you have chosen to configure VDS Uplinks","Option is not visable in VCF Operations UI. There is a 16 Character Limit for LAG Name")</f>
        <v>Option is not visable in VCF Operations UI. There is a 16 Character Limit for LAG Name</v>
      </c>
    </row>
    <row r="196" spans="2:5" ht="20" customHeight="1" x14ac:dyDescent="0.2">
      <c r="B196" s="4" t="s">
        <v>2968</v>
      </c>
      <c r="C196" s="167" t="s">
        <v>739</v>
      </c>
      <c r="D196" s="66" t="s">
        <v>739</v>
      </c>
      <c r="E196" s="244" t="str">
        <f>IF(cluster_vds02_link_type_chosen="VDS Uplinks","This input is masked out as you have chosen to configure VDS Uplinks","Option is not visable in VMware Cloud Foundations Operations UI")</f>
        <v>Option is not visable in VMware Cloud Foundations Operations UI</v>
      </c>
    </row>
    <row r="197" spans="2:5" ht="20" customHeight="1" x14ac:dyDescent="0.2">
      <c r="B197" s="4" t="s">
        <v>2969</v>
      </c>
      <c r="C197" s="167" t="s">
        <v>2986</v>
      </c>
      <c r="D197" s="66" t="s">
        <v>2986</v>
      </c>
      <c r="E197" s="244" t="str">
        <f>IF(cluster_vds02_link_type_chosen="VDS Uplinks","This input is masked out as you have chosen to configure VDS Uplinks","Option is not visable in VMware Cloud Foundations Operations UI")</f>
        <v>Option is not visable in VMware Cloud Foundations Operations UI</v>
      </c>
    </row>
    <row r="198" spans="2:5" ht="20" customHeight="1" x14ac:dyDescent="0.2">
      <c r="B198" s="4" t="s">
        <v>2970</v>
      </c>
      <c r="C198" s="167" t="s">
        <v>2971</v>
      </c>
      <c r="D198" s="66" t="s">
        <v>2971</v>
      </c>
      <c r="E198" s="244" t="str">
        <f>IF(cluster_vds02_link_type_chosen="VDS Uplinks","This input is masked out as you have chosen to configure VDS Uplinks","Option is not visable in VMware Cloud Foundations Operations UI")</f>
        <v>Option is not visable in VMware Cloud Foundations Operations UI</v>
      </c>
    </row>
    <row r="199" spans="2:5" ht="20" customHeight="1" x14ac:dyDescent="0.2">
      <c r="B199" s="30" t="s">
        <v>729</v>
      </c>
      <c r="C199" s="192">
        <v>2</v>
      </c>
      <c r="D199" s="101"/>
      <c r="E199" s="194"/>
    </row>
    <row r="200" spans="2:5" ht="20" customHeight="1" x14ac:dyDescent="0.2">
      <c r="B200" s="23" t="s">
        <v>730</v>
      </c>
      <c r="C200" s="65" t="s">
        <v>768</v>
      </c>
      <c r="D200" s="66"/>
      <c r="E200" s="8"/>
    </row>
    <row r="201" spans="2:5" ht="20" customHeight="1" x14ac:dyDescent="0.2">
      <c r="B201" s="23" t="s">
        <v>732</v>
      </c>
      <c r="C201" s="65" t="s">
        <v>254</v>
      </c>
      <c r="D201" s="8" t="str">
        <f t="array" ref="D201">cluster_vds02_traffic_type</f>
        <v>vSAN</v>
      </c>
      <c r="E201" s="8"/>
    </row>
    <row r="202" spans="2:5" ht="20" customHeight="1" x14ac:dyDescent="0.2">
      <c r="B202" s="521" t="s">
        <v>769</v>
      </c>
      <c r="C202" s="522"/>
      <c r="D202" s="522"/>
      <c r="E202" s="523"/>
    </row>
    <row r="203" spans="2:5" ht="20" customHeight="1" x14ac:dyDescent="0.2">
      <c r="B203" s="23" t="s">
        <v>770</v>
      </c>
      <c r="C203" s="65" t="str">
        <f>CONCATENATE(sample_cluster_name,"-vds03")</f>
        <v>sfo-w01-cl02-vds03</v>
      </c>
      <c r="D203" s="66"/>
      <c r="E203" s="8"/>
    </row>
    <row r="204" spans="2:5" ht="20" customHeight="1" x14ac:dyDescent="0.2">
      <c r="B204" s="23" t="s">
        <v>155</v>
      </c>
      <c r="C204" s="65">
        <v>9000</v>
      </c>
      <c r="D204" s="66"/>
      <c r="E204" s="8"/>
    </row>
    <row r="205" spans="2:5" ht="20" customHeight="1" x14ac:dyDescent="0.2">
      <c r="B205" s="23" t="s">
        <v>2735</v>
      </c>
      <c r="C205" s="65" t="s">
        <v>2966</v>
      </c>
      <c r="D205" s="66" t="s">
        <v>2966</v>
      </c>
      <c r="E205" s="8" t="str">
        <f>IF(cluster_vds_profile_chosen&lt;&gt;"Storage Traffic and NSX Traffic Separation","",IF(cluster_vds03_link_type_chosen="VDS Lag","Only supported via API. Use VCF.JSONGenerator to generate the JSON File once PnP is complete","Option is not visable in VMware Cloud Foundations Operations UI"))</f>
        <v>Option is not visable in VMware Cloud Foundations Operations UI</v>
      </c>
    </row>
    <row r="206" spans="2:5" ht="20" customHeight="1" x14ac:dyDescent="0.2">
      <c r="B206" s="4" t="s">
        <v>2967</v>
      </c>
      <c r="C206" s="105" t="str">
        <f>CONCATENATE(this_instance,"-w01-cl01-vds02-lag")</f>
        <v>sfo-w01-cl01-vds02-lag</v>
      </c>
      <c r="D206" s="66"/>
      <c r="E206" s="8" t="str">
        <f>IF(cluster_vds_profile_chosen&lt;&gt;"Storage Traffic and NSX Traffic Separation","",IF(cluster_vds03_link_type_chosen="VDS Uplinks","This input is masked out as you have chosen to configure VDS Uplinks","Option is not visable in VCF Operations UI. There is a 16 Character Limit for LAG Name"))</f>
        <v>This input is masked out as you have chosen to configure VDS Uplinks</v>
      </c>
    </row>
    <row r="207" spans="2:5" ht="20" customHeight="1" x14ac:dyDescent="0.2">
      <c r="B207" s="4" t="s">
        <v>2968</v>
      </c>
      <c r="C207" s="167" t="s">
        <v>739</v>
      </c>
      <c r="D207" s="66" t="s">
        <v>739</v>
      </c>
      <c r="E207" s="8" t="str">
        <f>IF(cluster_vds_profile_chosen&lt;&gt;"Storage Traffic and NSX Traffic Separation","",IF(cluster_vds03_link_type_chosen="VDS Uplinks","This input is masked out as you have chosen to configure VDS Uplinks","Option is not visable in VMware Cloud Foundations Operations UI"))</f>
        <v>This input is masked out as you have chosen to configure VDS Uplinks</v>
      </c>
    </row>
    <row r="208" spans="2:5" ht="20" customHeight="1" x14ac:dyDescent="0.2">
      <c r="B208" s="4" t="s">
        <v>2969</v>
      </c>
      <c r="C208" s="167" t="s">
        <v>2986</v>
      </c>
      <c r="D208" s="66" t="s">
        <v>2986</v>
      </c>
      <c r="E208" s="8" t="str">
        <f>IF(cluster_vds_profile_chosen&lt;&gt;"Storage Traffic and NSX Traffic Separation","",IF(cluster_vds03_link_type_chosen="VDS Uplinks","This input is masked out as you have chosen to configure VDS Uplinks","Option is not visable in VMware Cloud Foundations Operations UI"))</f>
        <v>This input is masked out as you have chosen to configure VDS Uplinks</v>
      </c>
    </row>
    <row r="209" spans="2:5" ht="20" customHeight="1" x14ac:dyDescent="0.2">
      <c r="B209" s="4" t="s">
        <v>2970</v>
      </c>
      <c r="C209" s="167" t="s">
        <v>2971</v>
      </c>
      <c r="D209" s="66" t="s">
        <v>2995</v>
      </c>
      <c r="E209" s="8" t="str">
        <f>IF(cluster_vds_profile_chosen&lt;&gt;"Storage Traffic and NSX Traffic Separation","",IF(cluster_vds03_link_type_chosen="VDS Uplinks","This input is masked out as you have chosen to configure VDS Uplinks","Option is not visable in VMware Cloud Foundations Operations UI"))</f>
        <v>This input is masked out as you have chosen to configure VDS Uplinks</v>
      </c>
    </row>
    <row r="210" spans="2:5" ht="20" customHeight="1" x14ac:dyDescent="0.2">
      <c r="B210" s="30" t="s">
        <v>729</v>
      </c>
      <c r="C210" s="192">
        <v>2</v>
      </c>
      <c r="D210" s="101"/>
      <c r="E210" s="194"/>
    </row>
    <row r="211" spans="2:5" ht="20" customHeight="1" x14ac:dyDescent="0.2">
      <c r="B211" s="23" t="s">
        <v>730</v>
      </c>
      <c r="C211" s="65" t="s">
        <v>771</v>
      </c>
      <c r="D211" s="66"/>
      <c r="E211" s="8"/>
    </row>
    <row r="212" spans="2:5" ht="20" customHeight="1" x14ac:dyDescent="0.2">
      <c r="B212" s="23" t="s">
        <v>732</v>
      </c>
      <c r="C212" s="65" t="s">
        <v>772</v>
      </c>
      <c r="D212" s="8" t="str">
        <f>cluster_vds03_traffic_type</f>
        <v>Overlay</v>
      </c>
      <c r="E212" s="8"/>
    </row>
    <row r="213" spans="2:5" ht="20" customHeight="1" x14ac:dyDescent="0.2">
      <c r="B213" s="187" t="s">
        <v>734</v>
      </c>
      <c r="C213" s="188"/>
      <c r="D213" s="188"/>
      <c r="E213" s="189"/>
    </row>
    <row r="214" spans="2:5" ht="20" customHeight="1" x14ac:dyDescent="0.2">
      <c r="B214" s="30" t="s">
        <v>178</v>
      </c>
      <c r="C214" s="65" t="str">
        <f>CONCATENATE(sample_cluster_name,"-pg-esx-mgmt")</f>
        <v>sfo-w01-cl02-pg-esx-mgmt</v>
      </c>
      <c r="D214" s="66"/>
      <c r="E214" s="183" t="s">
        <v>735</v>
      </c>
    </row>
    <row r="215" spans="2:5" ht="20" customHeight="1" x14ac:dyDescent="0.2">
      <c r="B215" s="30" t="s">
        <v>736</v>
      </c>
      <c r="C215" s="192" t="s">
        <v>737</v>
      </c>
      <c r="D215" s="101" t="s">
        <v>737</v>
      </c>
      <c r="E215" s="194" t="str">
        <f>IF(cluster_vds01_link_type_chosen="VDS Lag","This input is masked out as you have chosen to configure VDS LAG","")</f>
        <v/>
      </c>
    </row>
    <row r="216" spans="2:5" ht="20" customHeight="1" x14ac:dyDescent="0.2">
      <c r="B216" s="30" t="s">
        <v>738</v>
      </c>
      <c r="C216" s="192" t="s">
        <v>739</v>
      </c>
      <c r="D216" s="101" t="s">
        <v>739</v>
      </c>
      <c r="E216" s="194" t="str">
        <f>IF(cluster_vds01_link_type_chosen="VDS Lag","This input is masked out as you have chosen to configure VDS LAG","")</f>
        <v/>
      </c>
    </row>
    <row r="217" spans="2:5" ht="20" customHeight="1" x14ac:dyDescent="0.2">
      <c r="B217" s="30" t="s">
        <v>740</v>
      </c>
      <c r="C217" s="192" t="s">
        <v>739</v>
      </c>
      <c r="D217" s="101" t="s">
        <v>739</v>
      </c>
      <c r="E217" s="194" t="str">
        <f>IF(cluster_vds01_link_type_chosen="VDS Lag","This input is masked out as you have chosen to configure VDS LAG","")</f>
        <v/>
      </c>
    </row>
    <row r="218" spans="2:5" ht="20" customHeight="1" x14ac:dyDescent="0.2">
      <c r="B218" s="187" t="s">
        <v>741</v>
      </c>
      <c r="C218" s="188"/>
      <c r="D218" s="188"/>
      <c r="E218" s="189"/>
    </row>
    <row r="219" spans="2:5" ht="20" customHeight="1" x14ac:dyDescent="0.2">
      <c r="B219" s="30" t="s">
        <v>178</v>
      </c>
      <c r="C219" s="65" t="str">
        <f>CONCATENATE(sample_cluster_name,"-pg-vm-mgmt")</f>
        <v>sfo-w01-cl02-pg-vm-mgmt</v>
      </c>
      <c r="D219" s="66"/>
      <c r="E219" s="194" t="s">
        <v>2962</v>
      </c>
    </row>
    <row r="220" spans="2:5" ht="20" customHeight="1" x14ac:dyDescent="0.2">
      <c r="B220" s="30" t="s">
        <v>736</v>
      </c>
      <c r="C220" s="192" t="s">
        <v>737</v>
      </c>
      <c r="D220" s="101" t="s">
        <v>737</v>
      </c>
      <c r="E220" s="194" t="str">
        <f>IF(cluster_vds01_link_type_chosen="VDS Lag","This input is masked out as you have chosen to configure VDS LAG","")</f>
        <v/>
      </c>
    </row>
    <row r="221" spans="2:5" ht="20" customHeight="1" x14ac:dyDescent="0.2">
      <c r="B221" s="30" t="s">
        <v>738</v>
      </c>
      <c r="C221" s="192" t="s">
        <v>739</v>
      </c>
      <c r="D221" s="101" t="s">
        <v>739</v>
      </c>
      <c r="E221" s="194" t="str">
        <f>IF(cluster_vds01_link_type_chosen="VDS Lag","This input is masked out as you have chosen to configure VDS LAG","")</f>
        <v/>
      </c>
    </row>
    <row r="222" spans="2:5" ht="20" customHeight="1" x14ac:dyDescent="0.2">
      <c r="B222" s="30" t="s">
        <v>740</v>
      </c>
      <c r="C222" s="192" t="s">
        <v>739</v>
      </c>
      <c r="D222" s="101" t="s">
        <v>739</v>
      </c>
      <c r="E222" s="194" t="str">
        <f>IF(cluster_vds01_link_type_chosen="VDS Lag","This input is masked out as you have chosen to configure VDS LAG","")</f>
        <v/>
      </c>
    </row>
    <row r="223" spans="2:5" ht="20" customHeight="1" x14ac:dyDescent="0.2">
      <c r="B223" s="187" t="s">
        <v>742</v>
      </c>
      <c r="C223" s="188"/>
      <c r="D223" s="188"/>
      <c r="E223" s="189"/>
    </row>
    <row r="224" spans="2:5" ht="20" customHeight="1" x14ac:dyDescent="0.2">
      <c r="B224" s="30" t="s">
        <v>178</v>
      </c>
      <c r="C224" s="65" t="str">
        <f>CONCATENATE(sample_cluster_name,"-pg-vmotion")</f>
        <v>sfo-w01-cl02-pg-vmotion</v>
      </c>
      <c r="D224" s="66"/>
      <c r="E224" s="8"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25" spans="2:5" ht="20" customHeight="1" x14ac:dyDescent="0.2">
      <c r="B225" s="30" t="s">
        <v>736</v>
      </c>
      <c r="C225" s="192" t="s">
        <v>737</v>
      </c>
      <c r="D225" s="101" t="s">
        <v>737</v>
      </c>
      <c r="E225" s="194" t="str">
        <f>IF(cluster_vds01_link_type_chosen="VDS Lag","This input is masked out as you have chosen to configure VDS LAG","")</f>
        <v/>
      </c>
    </row>
    <row r="226" spans="2:5" ht="20" customHeight="1" x14ac:dyDescent="0.2">
      <c r="B226" s="30" t="s">
        <v>738</v>
      </c>
      <c r="C226" s="192" t="s">
        <v>739</v>
      </c>
      <c r="D226" s="101" t="s">
        <v>739</v>
      </c>
      <c r="E226" s="194" t="str">
        <f>IF(cluster_vds01_link_type_chosen="VDS Lag","This input is masked out as you have chosen to configure VDS LAG","")</f>
        <v/>
      </c>
    </row>
    <row r="227" spans="2:5" ht="20" customHeight="1" x14ac:dyDescent="0.2">
      <c r="B227" s="30" t="s">
        <v>740</v>
      </c>
      <c r="C227" s="192" t="s">
        <v>739</v>
      </c>
      <c r="D227" s="101" t="s">
        <v>739</v>
      </c>
      <c r="E227" s="194" t="str">
        <f>IF(cluster_vds01_link_type_chosen="VDS Lag","This input is masked out as you have chosen to configure VDS LAG","")</f>
        <v/>
      </c>
    </row>
    <row r="228" spans="2:5" ht="20" customHeight="1" x14ac:dyDescent="0.2">
      <c r="B228" s="187" t="str">
        <f>IF(cluster_principal_storage_chosen="NFSv3","Network Traffic: NFS","Network Traffic: vSAN")</f>
        <v>Network Traffic: vSAN</v>
      </c>
      <c r="C228" s="188"/>
      <c r="D228" s="188"/>
      <c r="E228" s="189"/>
    </row>
    <row r="229" spans="2:5" ht="20" customHeight="1" x14ac:dyDescent="0.2">
      <c r="B229" s="30" t="s">
        <v>178</v>
      </c>
      <c r="C229" s="65" t="str">
        <f>CONCATENATE(sample_cluster_name,"-pg-vsan")</f>
        <v>sfo-w01-cl02-pg-vsan</v>
      </c>
      <c r="D229" s="66"/>
      <c r="E229" s="8" t="str">
        <f>IF(cluster_vds_profile_chosen="Storage Traffic Separation","Portgroup will be created on Secondary Distributed Switch",
IF(cluster_vds_profile_chosen="vSAN Max Storage Traffic Separation","Portgroup will be created on Secondary Distributed Switch",
IF(cluster_vds_profile_chosen="vSAN Max Storage Traffic and NSX Traffic Separation","Portgroup will be created on Secondary Distributed Switch",
IF(cluster_vds_profile_chosen="NSX Traffic Separation","Portgroup will be created on Primary Distributed Switch",
IF(cluster_vds_profile_chosen="Storage Traffic and NSX Traffic Separation","Portgroup will be created on Secondary Distributed Switch",
IF(cluster_vds_profile_chosen="Custom","","Portgroup will be created on Primary Distributed Switch"))))))</f>
        <v>Portgroup will be created on Secondary Distributed Switch</v>
      </c>
    </row>
    <row r="230" spans="2:5" ht="20" customHeight="1" x14ac:dyDescent="0.2">
      <c r="B230" s="30" t="s">
        <v>736</v>
      </c>
      <c r="C230" s="192" t="s">
        <v>737</v>
      </c>
      <c r="D230" s="101" t="s">
        <v>737</v>
      </c>
      <c r="E230" s="194"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This input is masked out as you have chosen to configure VDS LAG</v>
      </c>
    </row>
    <row r="231" spans="2:5" ht="20" customHeight="1" x14ac:dyDescent="0.2">
      <c r="B231" s="30" t="s">
        <v>738</v>
      </c>
      <c r="C231" s="192" t="s">
        <v>739</v>
      </c>
      <c r="D231" s="101" t="s">
        <v>739</v>
      </c>
      <c r="E231" s="194"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This input is masked out as you have chosen to configure VDS LAG</v>
      </c>
    </row>
    <row r="232" spans="2:5" ht="20" customHeight="1" x14ac:dyDescent="0.2">
      <c r="B232" s="30" t="s">
        <v>740</v>
      </c>
      <c r="C232" s="192" t="s">
        <v>739</v>
      </c>
      <c r="D232" s="101" t="s">
        <v>739</v>
      </c>
      <c r="E232" s="194"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This input is masked out as you have chosen to configure VDS LAG</v>
      </c>
    </row>
    <row r="233" spans="2:5" ht="20" customHeight="1" x14ac:dyDescent="0.2">
      <c r="B233" s="187" t="s">
        <v>744</v>
      </c>
      <c r="C233" s="188"/>
      <c r="D233" s="188"/>
      <c r="E233" s="189"/>
    </row>
    <row r="234" spans="2:5" ht="20" customHeight="1" x14ac:dyDescent="0.2">
      <c r="B234" s="30" t="s">
        <v>178</v>
      </c>
      <c r="C234" s="65" t="str">
        <f>CONCATENATE(sample_cluster_name,"-pg-vsan-client")</f>
        <v>sfo-w01-cl02-pg-vsan-client</v>
      </c>
      <c r="D234" s="66"/>
      <c r="E234" s="183" t="str">
        <f>IF(OR((cluster_result="Excluded"),(cluster_secondary_storage_result="Excluded")),"This input is masked out as vSAN Storage Client Network in not enabled",
IF(cluster_vds_profile_chosen="vSAN Max Storage Traffic Separation","Portgroup will be created on Primary Distributed Switch",
IF(cluster_vds_profile_chosen="vSAN Max Storage Traffic and NSX Traffic Separation","Portgroup will be created on Primary Distributed Switch",
IF(cluster_vds_profile_chosen="Custom","","Portgroup will be created on Primary Distributed Switch"))))</f>
        <v>This input is masked out as vSAN Storage Client Network in not enabled</v>
      </c>
    </row>
    <row r="235" spans="2:5" ht="20" customHeight="1" x14ac:dyDescent="0.2">
      <c r="B235" s="30" t="s">
        <v>736</v>
      </c>
      <c r="C235" s="192" t="s">
        <v>737</v>
      </c>
      <c r="D235" s="101" t="s">
        <v>737</v>
      </c>
      <c r="E235" s="194"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36" spans="2:5" ht="20" customHeight="1" x14ac:dyDescent="0.2">
      <c r="B236" s="30" t="s">
        <v>738</v>
      </c>
      <c r="C236" s="192" t="s">
        <v>739</v>
      </c>
      <c r="D236" s="101" t="s">
        <v>739</v>
      </c>
      <c r="E236" s="194"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37" spans="2:5" ht="20" customHeight="1" x14ac:dyDescent="0.2">
      <c r="B237" s="30" t="s">
        <v>740</v>
      </c>
      <c r="C237" s="192" t="s">
        <v>739</v>
      </c>
      <c r="D237" s="101" t="s">
        <v>739</v>
      </c>
      <c r="E237" s="194"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38" spans="2:5" ht="20" customHeight="1" x14ac:dyDescent="0.2">
      <c r="B238" s="521" t="s">
        <v>745</v>
      </c>
      <c r="C238" s="522"/>
      <c r="D238" s="522"/>
      <c r="E238" s="523"/>
    </row>
    <row r="239" spans="2:5" ht="20" customHeight="1" x14ac:dyDescent="0.2">
      <c r="B239" s="4" t="s">
        <v>746</v>
      </c>
      <c r="C239" s="65" t="s">
        <v>154</v>
      </c>
      <c r="D239" s="66" t="s">
        <v>154</v>
      </c>
      <c r="E239" s="8"/>
    </row>
    <row r="240" spans="2:5" ht="20" customHeight="1" x14ac:dyDescent="0.2">
      <c r="B240" s="4" t="s">
        <v>521</v>
      </c>
      <c r="C240" s="65" t="s">
        <v>521</v>
      </c>
      <c r="D240" s="66" t="s">
        <v>521</v>
      </c>
      <c r="E240" s="8"/>
    </row>
    <row r="241" spans="2:5" ht="20" customHeight="1" x14ac:dyDescent="0.2">
      <c r="B241" s="4" t="s">
        <v>951</v>
      </c>
      <c r="C241" s="65" t="s">
        <v>154</v>
      </c>
      <c r="D241" s="66" t="s">
        <v>154</v>
      </c>
      <c r="E241" s="8"/>
    </row>
    <row r="242" spans="2:5" ht="20" customHeight="1" x14ac:dyDescent="0.2">
      <c r="B242" s="4" t="s">
        <v>748</v>
      </c>
      <c r="C242" s="65" t="s">
        <v>140</v>
      </c>
      <c r="D242" s="66" t="s">
        <v>140</v>
      </c>
      <c r="E242" s="8"/>
    </row>
    <row r="243" spans="2:5" ht="20" customHeight="1" x14ac:dyDescent="0.2">
      <c r="B243" s="521" t="s">
        <v>749</v>
      </c>
      <c r="C243" s="522"/>
      <c r="D243" s="522"/>
      <c r="E243" s="523"/>
    </row>
    <row r="244" spans="2:5" ht="20" customHeight="1" x14ac:dyDescent="0.2">
      <c r="B244" s="4" t="s">
        <v>750</v>
      </c>
      <c r="C244" s="65" t="str">
        <f>IF(cluster_wld_domain_chosen="Workload Domain",CONCATENATE("overlay-tz-",this_instance,"-w0",wld_domain_number_chosen,"-nsx01"),CONCATENATE("overlay-tz-",this_instance,"-m01","-nsx01"))</f>
        <v>overlay-tz-sfo-w01-nsx01</v>
      </c>
      <c r="D244" s="66"/>
      <c r="E244" s="8"/>
    </row>
    <row r="245" spans="2:5" ht="20" customHeight="1" x14ac:dyDescent="0.2">
      <c r="B245" s="4" t="s">
        <v>85</v>
      </c>
      <c r="C245" s="65" t="str">
        <f>IF(cluster_wld_domain_chosen="Workload Domain",CONCATENATE(prefix_wld_az1_vlan,"14"),CONCATENATE(prefix_mgmt_az1_vlan,"14"))</f>
        <v>1314</v>
      </c>
      <c r="D245" s="66"/>
      <c r="E245" s="8"/>
    </row>
    <row r="246" spans="2:5" ht="20" customHeight="1" x14ac:dyDescent="0.2">
      <c r="B246" s="4" t="s">
        <v>751</v>
      </c>
      <c r="C246" s="65" t="s">
        <v>752</v>
      </c>
      <c r="D246" s="116" t="s">
        <v>752</v>
      </c>
      <c r="E246" s="8"/>
    </row>
    <row r="247" spans="2:5" ht="20" customHeight="1" x14ac:dyDescent="0.2">
      <c r="B247" s="4" t="s">
        <v>752</v>
      </c>
      <c r="C247" s="65" t="s">
        <v>952</v>
      </c>
      <c r="D247" s="66" t="s">
        <v>952</v>
      </c>
      <c r="E247" s="8"/>
    </row>
    <row r="248" spans="2:5" ht="20" customHeight="1" x14ac:dyDescent="0.2">
      <c r="B248" s="4" t="s">
        <v>753</v>
      </c>
      <c r="C248" s="153" t="str">
        <f>IF(cluster_wld_domain_chosen="Workload Domain",CONCATENATE(this_instance,"01-w0",wld_domain_number_chosen,"-r01-ip-pool01-host"),CONCATENATE(this_instance,"01-m01","-r01-ip-pool01-host"))</f>
        <v>sfo01-w01-r01-ip-pool01-host</v>
      </c>
      <c r="D248" s="66"/>
      <c r="E248" s="8"/>
    </row>
    <row r="249" spans="2:5" ht="20" customHeight="1" x14ac:dyDescent="0.2">
      <c r="B249" s="4" t="s">
        <v>953</v>
      </c>
      <c r="C249" s="153" t="s">
        <v>754</v>
      </c>
      <c r="D249" s="66"/>
      <c r="E249" s="8"/>
    </row>
    <row r="250" spans="2:5" ht="20" customHeight="1" x14ac:dyDescent="0.2">
      <c r="B250" s="4" t="s">
        <v>447</v>
      </c>
      <c r="C250" s="65" t="str">
        <f>IF(cluster_wld_domain_chosen="Workload Domain",CONCATENATE(prefix_wld_az1_cidr,"14.0/24"),CONCATENATE(prefix_mgmt_az1_cidr,"14.0/24"))</f>
        <v>10.13.14.0/24</v>
      </c>
      <c r="D250" s="66"/>
      <c r="E250" s="8"/>
    </row>
    <row r="251" spans="2:5" ht="20" customHeight="1" x14ac:dyDescent="0.2">
      <c r="B251" s="4" t="s">
        <v>244</v>
      </c>
      <c r="C251" s="65" t="str">
        <f>IF(cluster_wld_domain_chosen="Workload Domain",CONCATENATE(prefix_wld_az1_cidr,"14.101"),CONCATENATE(prefix_mgmt_az1_cidr,"14.101"))</f>
        <v>10.13.14.101</v>
      </c>
      <c r="D251" s="66"/>
      <c r="E251" s="8"/>
    </row>
    <row r="252" spans="2:5" ht="20" customHeight="1" x14ac:dyDescent="0.2">
      <c r="B252" s="4" t="s">
        <v>245</v>
      </c>
      <c r="C252" s="65" t="str">
        <f>IF(cluster_wld_domain_chosen="Workload Domain",CONCATENATE(prefix_wld_az1_cidr,"14.132"),CONCATENATE(prefix_mgmt_az1_cidr,"14.132"))</f>
        <v>10.13.14.132</v>
      </c>
      <c r="D252" s="66"/>
      <c r="E252" s="8"/>
    </row>
    <row r="253" spans="2:5" ht="20" customHeight="1" x14ac:dyDescent="0.2">
      <c r="B253" s="4" t="s">
        <v>448</v>
      </c>
      <c r="C253" s="65" t="str">
        <f>IF(cluster_wld_domain_chosen="Workload Domain",CONCATENATE(prefix_wld_az1_cidr,"14.1"),CONCATENATE(prefix_mgmt_az1_cidr,"14.1"))</f>
        <v>10.13.14.1</v>
      </c>
      <c r="D253" s="66"/>
      <c r="E253" s="8"/>
    </row>
    <row r="254" spans="2:5" ht="20" customHeight="1" x14ac:dyDescent="0.2">
      <c r="B254" s="4" t="s">
        <v>755</v>
      </c>
      <c r="C254" s="65" t="s">
        <v>756</v>
      </c>
      <c r="D254" s="66"/>
      <c r="E254" s="8" t="str">
        <f>IF(cluster_nsx_vlan_transport_zone_chosen="Unselected","This input is masked out as your have not selected Transport Zone Type: NSX-VLAN","")</f>
        <v>This input is masked out as your have not selected Transport Zone Type: NSX-VLAN</v>
      </c>
    </row>
    <row r="255" spans="2:5" ht="20" customHeight="1" x14ac:dyDescent="0.2">
      <c r="B255" s="521" t="s">
        <v>954</v>
      </c>
      <c r="C255" s="522"/>
      <c r="D255" s="522"/>
      <c r="E255" s="523"/>
    </row>
    <row r="256" spans="2:5" ht="20" customHeight="1" x14ac:dyDescent="0.2">
      <c r="B256" s="4" t="s">
        <v>325</v>
      </c>
      <c r="C256" s="65" t="str">
        <f>IF(cluster_wld_domain_chosen="Workload Domain",CONCATENATE(this_instance,"01-",sample_cluster_name,"-r01-network-profile"),CONCATENATE(this_instance,"01-",sample_cluster_name,"-r01-network-profile"))</f>
        <v>sfo01-sfo-w01-cl02-r01-network-profile</v>
      </c>
      <c r="D256" s="66"/>
      <c r="E256" s="8"/>
    </row>
    <row r="257" spans="2:5" ht="20" customHeight="1" x14ac:dyDescent="0.2">
      <c r="B257" s="4" t="s">
        <v>758</v>
      </c>
      <c r="C257" s="65">
        <v>2</v>
      </c>
      <c r="D257" s="66"/>
      <c r="E257" s="8"/>
    </row>
    <row r="258" spans="2:5" ht="20" customHeight="1" x14ac:dyDescent="0.2">
      <c r="B258" s="4" t="s">
        <v>759</v>
      </c>
      <c r="C258" s="65" t="s">
        <v>738</v>
      </c>
      <c r="D258" s="66"/>
      <c r="E258" s="8"/>
    </row>
    <row r="259" spans="2:5" ht="20" customHeight="1" x14ac:dyDescent="0.2">
      <c r="B259" s="4" t="s">
        <v>760</v>
      </c>
      <c r="C259" s="65" t="s">
        <v>740</v>
      </c>
      <c r="D259" s="66"/>
      <c r="E259" s="8"/>
    </row>
    <row r="260" spans="2:5" ht="20" customHeight="1" x14ac:dyDescent="0.2">
      <c r="B260" s="23" t="s">
        <v>761</v>
      </c>
      <c r="C260" s="153" t="str">
        <f>IF(cluster_wld_domain_chosen="Workload Domain",CONCATENATE(this_instance,"01-w0",wld_domain_number_chosen,"-r01-uplink-profile01"),CONCATENATE(this_instance,"01-m01","-r01-uplink-profile01"))</f>
        <v>sfo01-w01-r01-uplink-profile01</v>
      </c>
      <c r="D260" s="66"/>
      <c r="E260" s="8"/>
    </row>
    <row r="261" spans="2:5" ht="20" customHeight="1" x14ac:dyDescent="0.2">
      <c r="B261" s="4" t="s">
        <v>736</v>
      </c>
      <c r="C261" s="65" t="s">
        <v>763</v>
      </c>
      <c r="D261" s="66" t="s">
        <v>763</v>
      </c>
      <c r="E261" s="4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62" spans="2:5" ht="20" customHeight="1" x14ac:dyDescent="0.2">
      <c r="B262" s="4" t="s">
        <v>955</v>
      </c>
      <c r="C262" s="65" t="s">
        <v>738</v>
      </c>
      <c r="D262" s="66"/>
      <c r="E262" s="4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63" spans="2:5" ht="20" customHeight="1" x14ac:dyDescent="0.2">
      <c r="B263" s="4" t="s">
        <v>956</v>
      </c>
      <c r="C263" s="65" t="s">
        <v>740</v>
      </c>
      <c r="D263" s="66"/>
      <c r="E263" s="4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64" spans="2:5" ht="16" customHeight="1" thickBot="1" x14ac:dyDescent="0.25"/>
    <row r="265" spans="2:5" ht="34" customHeight="1" x14ac:dyDescent="0.2">
      <c r="B265" s="612" t="s">
        <v>6</v>
      </c>
      <c r="C265" s="613"/>
      <c r="D265" s="613"/>
      <c r="E265" s="614"/>
    </row>
    <row r="266" spans="2:5" ht="16" customHeight="1" x14ac:dyDescent="0.2">
      <c r="B266" s="147"/>
      <c r="C266" s="47"/>
      <c r="D266" s="47"/>
      <c r="E266" s="47"/>
    </row>
    <row r="267" spans="2:5" ht="34" customHeight="1" x14ac:dyDescent="0.2">
      <c r="B267" s="609" t="s">
        <v>201</v>
      </c>
      <c r="C267" s="610"/>
      <c r="D267" s="610"/>
      <c r="E267" s="611"/>
    </row>
    <row r="268" spans="2:5" ht="20" customHeight="1" x14ac:dyDescent="0.2">
      <c r="B268" s="63" t="s">
        <v>18</v>
      </c>
      <c r="C268" s="63" t="s">
        <v>19</v>
      </c>
      <c r="D268" s="63" t="s">
        <v>20</v>
      </c>
      <c r="E268" s="63" t="s">
        <v>21</v>
      </c>
    </row>
    <row r="269" spans="2:5" ht="20" customHeight="1" x14ac:dyDescent="0.2">
      <c r="B269" s="540" t="s">
        <v>202</v>
      </c>
      <c r="C269" s="541"/>
      <c r="D269" s="541"/>
      <c r="E269" s="542"/>
    </row>
    <row r="270" spans="2:5" ht="20" customHeight="1" x14ac:dyDescent="0.2">
      <c r="B270" s="30" t="s">
        <v>85</v>
      </c>
      <c r="C270" s="103" t="str">
        <f>IF(cluster_wld_domain_chosen="Workload Domain",CONCATENATE(prefix_wld_az2_vlan,"11"),CONCATENATE(prefix_mgmt_az2_vlan,"11"))</f>
        <v>1411</v>
      </c>
      <c r="D270" s="274"/>
      <c r="E270" s="236"/>
    </row>
    <row r="271" spans="2:5" ht="20" customHeight="1" x14ac:dyDescent="0.2">
      <c r="B271" s="30" t="s">
        <v>180</v>
      </c>
      <c r="C271" s="103" t="str">
        <f>IF(cluster_wld_domain_chosen="Workload Domain",CONCATENATE(prefix_wld_az2_cidr,"11.1"),CONCATENATE(prefix_mgmt_az2_cidr,"11.1"))</f>
        <v>10.14.11.1</v>
      </c>
      <c r="D271" s="274"/>
      <c r="E271" s="194"/>
    </row>
    <row r="272" spans="2:5" ht="20" customHeight="1" x14ac:dyDescent="0.2">
      <c r="B272" s="30" t="s">
        <v>181</v>
      </c>
      <c r="C272" s="103" t="str">
        <f>IF(cluster_wld_domain_chosen="Workload Domain",CONCATENATE(prefix_wld_az2_cidr,"11.0/24"),CONCATENATE(prefix_mgmt_az2_cidr,"11.0/24"))</f>
        <v>10.14.11.0/24</v>
      </c>
      <c r="D272" s="274"/>
      <c r="E272" s="194"/>
    </row>
    <row r="273" spans="2:5" ht="20" customHeight="1" x14ac:dyDescent="0.2">
      <c r="B273" s="30" t="s">
        <v>155</v>
      </c>
      <c r="C273" s="103">
        <v>1500</v>
      </c>
      <c r="D273" s="274"/>
      <c r="E273" s="194"/>
    </row>
    <row r="274" spans="2:5" ht="20" customHeight="1" x14ac:dyDescent="0.2">
      <c r="B274" s="605" t="s">
        <v>203</v>
      </c>
      <c r="C274" s="606"/>
      <c r="D274" s="606"/>
      <c r="E274" s="607"/>
    </row>
    <row r="275" spans="2:5" ht="20" customHeight="1" x14ac:dyDescent="0.2">
      <c r="B275" s="30" t="s">
        <v>204</v>
      </c>
      <c r="C275" s="109" t="str">
        <f>IF(cluster_wld_domain_chosen="Workload Domain",CONCATENATE(prefix_wld_az2_cidr,"11.101"),CONCATENATE(prefix_mgmt_az2_cidr,"11.101"))</f>
        <v>10.14.11.101</v>
      </c>
      <c r="D275" s="272"/>
      <c r="E275" s="162" t="s">
        <v>205</v>
      </c>
    </row>
    <row r="276" spans="2:5" ht="20" customHeight="1" x14ac:dyDescent="0.2">
      <c r="B276" s="30" t="s">
        <v>206</v>
      </c>
      <c r="C276" s="109" t="str">
        <f>IF(cluster_wld_domain_chosen="Workload Domain",CONCATENATE(prefix_wld_az2_cidr,"11.102"),CONCATENATE(prefix_mgmt_az2_cidr,"11.102"))</f>
        <v>10.14.11.102</v>
      </c>
      <c r="D276" s="272"/>
      <c r="E276" s="162" t="s">
        <v>207</v>
      </c>
    </row>
    <row r="277" spans="2:5" ht="20" customHeight="1" x14ac:dyDescent="0.2">
      <c r="B277" s="30" t="s">
        <v>208</v>
      </c>
      <c r="C277" s="109" t="str">
        <f>IF(cluster_wld_domain_chosen="Workload Domain",CONCATENATE(prefix_wld_az2_cidr,"11.103"),CONCATENATE(prefix_mgmt_az2_cidr,"11.103"))</f>
        <v>10.14.11.103</v>
      </c>
      <c r="D277" s="272"/>
      <c r="E277" s="162" t="s">
        <v>209</v>
      </c>
    </row>
    <row r="278" spans="2:5" ht="20" customHeight="1" x14ac:dyDescent="0.2">
      <c r="B278" s="30" t="s">
        <v>210</v>
      </c>
      <c r="C278" s="109" t="str">
        <f>IF(cluster_wld_domain_chosen="Workload Domain",CONCATENATE(prefix_wld_az2_cidr,"11.104"),CONCATENATE(prefix_mgmt_az2_cidr,"11.104"))</f>
        <v>10.14.11.104</v>
      </c>
      <c r="D278" s="272"/>
      <c r="E278" s="162" t="s">
        <v>211</v>
      </c>
    </row>
    <row r="279" spans="2:5" ht="20" customHeight="1" x14ac:dyDescent="0.2">
      <c r="B279" s="30" t="s">
        <v>212</v>
      </c>
      <c r="C279" s="109" t="str">
        <f>IF(cluster_wld_domain_chosen="Workload Domain",CONCATENATE(prefix_wld_az2_cidr,"11.105"),CONCATENATE(prefix_mgmt_az2_cidr,"11.105"))</f>
        <v>10.14.11.105</v>
      </c>
      <c r="D279" s="272"/>
      <c r="E279" s="162" t="s">
        <v>213</v>
      </c>
    </row>
    <row r="280" spans="2:5" ht="20" customHeight="1" x14ac:dyDescent="0.2">
      <c r="B280" s="30" t="s">
        <v>214</v>
      </c>
      <c r="C280" s="109" t="str">
        <f>IF(cluster_wld_domain_chosen="Workload Domain",CONCATENATE(prefix_wld_az2_cidr,"11.106"),CONCATENATE(prefix_mgmt_az2_cidr,"11.106"))</f>
        <v>10.14.11.106</v>
      </c>
      <c r="D280" s="272"/>
      <c r="E280" s="162" t="s">
        <v>215</v>
      </c>
    </row>
    <row r="281" spans="2:5" ht="20" customHeight="1" x14ac:dyDescent="0.2">
      <c r="B281" s="30" t="s">
        <v>216</v>
      </c>
      <c r="C281" s="109" t="str">
        <f>IF(cluster_wld_domain_chosen="Workload Domain",CONCATENATE(prefix_wld_az2_cidr,"11.107"),CONCATENATE(prefix_mgmt_az2_cidr,"11.107"))</f>
        <v>10.14.11.107</v>
      </c>
      <c r="D281" s="272"/>
      <c r="E281" s="162" t="s">
        <v>217</v>
      </c>
    </row>
    <row r="282" spans="2:5" ht="20" customHeight="1" x14ac:dyDescent="0.2">
      <c r="B282" s="30" t="s">
        <v>218</v>
      </c>
      <c r="C282" s="109" t="str">
        <f>IF(cluster_wld_domain_chosen="Workload Domain",CONCATENATE(prefix_wld_az2_cidr,"11.108"),CONCATENATE(prefix_mgmt_az2_cidr,"11.108"))</f>
        <v>10.14.11.108</v>
      </c>
      <c r="D282" s="272"/>
      <c r="E282" s="162" t="s">
        <v>219</v>
      </c>
    </row>
    <row r="283" spans="2:5" ht="20" customHeight="1" x14ac:dyDescent="0.2">
      <c r="B283" s="30" t="s">
        <v>220</v>
      </c>
      <c r="C283" s="109" t="str">
        <f>IF(cluster_wld_domain_chosen="Workload Domain",CONCATENATE(prefix_wld_az2_cidr,"11.109"),CONCATENATE(prefix_mgmt_az2_cidr,"11.109"))</f>
        <v>10.14.11.109</v>
      </c>
      <c r="D283" s="272"/>
      <c r="E283" s="162" t="s">
        <v>221</v>
      </c>
    </row>
    <row r="284" spans="2:5" ht="20" customHeight="1" x14ac:dyDescent="0.2">
      <c r="B284" s="30" t="s">
        <v>222</v>
      </c>
      <c r="C284" s="109" t="str">
        <f>IF(cluster_wld_domain_chosen="Workload Domain",CONCATENATE(prefix_wld_az2_cidr,"11.110"),CONCATENATE(prefix_mgmt_az2_cidr,"11.110"))</f>
        <v>10.14.11.110</v>
      </c>
      <c r="D284" s="272"/>
      <c r="E284" s="162" t="s">
        <v>223</v>
      </c>
    </row>
    <row r="285" spans="2:5" ht="20" customHeight="1" x14ac:dyDescent="0.2">
      <c r="B285" s="30" t="s">
        <v>224</v>
      </c>
      <c r="C285" s="109" t="str">
        <f>IF(cluster_wld_domain_chosen="Workload Domain",CONCATENATE(prefix_wld_az2_cidr,"11.111"),CONCATENATE(prefix_mgmt_az2_cidr,"11.111"))</f>
        <v>10.14.11.111</v>
      </c>
      <c r="D285" s="272"/>
      <c r="E285" s="162" t="s">
        <v>225</v>
      </c>
    </row>
    <row r="286" spans="2:5" ht="20" customHeight="1" x14ac:dyDescent="0.2">
      <c r="B286" s="30" t="s">
        <v>226</v>
      </c>
      <c r="C286" s="109" t="str">
        <f>IF(cluster_wld_domain_chosen="Workload Domain",CONCATENATE(prefix_wld_az2_cidr,"11.112"),CONCATENATE(prefix_mgmt_az2_cidr,"11.112"))</f>
        <v>10.14.11.112</v>
      </c>
      <c r="D286" s="272"/>
      <c r="E286" s="162" t="s">
        <v>227</v>
      </c>
    </row>
    <row r="287" spans="2:5" ht="20" customHeight="1" x14ac:dyDescent="0.2">
      <c r="B287" s="30" t="s">
        <v>228</v>
      </c>
      <c r="C287" s="109" t="str">
        <f>IF(cluster_wld_domain_chosen="Workload Domain",CONCATENATE(prefix_wld_az2_cidr,"11.113"),CONCATENATE(prefix_mgmt_az2_cidr,"11.113"))</f>
        <v>10.14.11.113</v>
      </c>
      <c r="D287" s="272"/>
      <c r="E287" s="162" t="s">
        <v>229</v>
      </c>
    </row>
    <row r="288" spans="2:5" ht="20" customHeight="1" x14ac:dyDescent="0.2">
      <c r="B288" s="30" t="s">
        <v>230</v>
      </c>
      <c r="C288" s="109" t="str">
        <f>IF(cluster_wld_domain_chosen="Workload Domain",CONCATENATE(prefix_wld_az2_cidr,"11.114"),CONCATENATE(prefix_mgmt_az2_cidr,"11.114"))</f>
        <v>10.14.11.114</v>
      </c>
      <c r="D288" s="272"/>
      <c r="E288" s="162" t="s">
        <v>231</v>
      </c>
    </row>
    <row r="289" spans="2:5" ht="20" customHeight="1" x14ac:dyDescent="0.2">
      <c r="B289" s="30" t="s">
        <v>232</v>
      </c>
      <c r="C289" s="109" t="str">
        <f>IF(cluster_wld_domain_chosen="Workload Domain",CONCATENATE(prefix_wld_az2_cidr,"11.115"),CONCATENATE(prefix_mgmt_az2_cidr,"11.115"))</f>
        <v>10.14.11.115</v>
      </c>
      <c r="D289" s="272"/>
      <c r="E289" s="162" t="s">
        <v>233</v>
      </c>
    </row>
    <row r="290" spans="2:5" ht="20" customHeight="1" x14ac:dyDescent="0.2">
      <c r="B290" s="30" t="s">
        <v>234</v>
      </c>
      <c r="C290" s="109" t="str">
        <f>IF(cluster_wld_domain_chosen="Workload Domain",CONCATENATE(prefix_wld_az2_cidr,"11.116"),CONCATENATE(prefix_mgmt_az2_cidr,"11.116"))</f>
        <v>10.14.11.116</v>
      </c>
      <c r="D290" s="272"/>
      <c r="E290" s="162" t="s">
        <v>235</v>
      </c>
    </row>
    <row r="291" spans="2:5" ht="16" customHeight="1" x14ac:dyDescent="0.2">
      <c r="B291" s="147"/>
      <c r="C291" s="47"/>
      <c r="D291" s="47"/>
      <c r="E291" s="47"/>
    </row>
    <row r="292" spans="2:5" ht="34" customHeight="1" x14ac:dyDescent="0.2">
      <c r="B292" s="609" t="s">
        <v>236</v>
      </c>
      <c r="C292" s="610"/>
      <c r="D292" s="610"/>
      <c r="E292" s="611"/>
    </row>
    <row r="293" spans="2:5" ht="20" customHeight="1" x14ac:dyDescent="0.2">
      <c r="B293" s="63" t="s">
        <v>18</v>
      </c>
      <c r="C293" s="63" t="s">
        <v>19</v>
      </c>
      <c r="D293" s="63" t="s">
        <v>20</v>
      </c>
      <c r="E293" s="63" t="s">
        <v>21</v>
      </c>
    </row>
    <row r="294" spans="2:5" ht="20" customHeight="1" x14ac:dyDescent="0.2">
      <c r="B294" s="4" t="s">
        <v>237</v>
      </c>
      <c r="C294" s="65" t="s">
        <v>238</v>
      </c>
      <c r="D294" s="278" t="s">
        <v>238</v>
      </c>
      <c r="E294" s="4" t="str">
        <f>IF(wld_az2_reuse_vcf_networkpool_chosen="Re-use an existing VCF Network Pool","An exisiting VCF Network Pool will be reused for Host TEP assignment","A new VCF Network Pool will be created")</f>
        <v>A new VCF Network Pool will be created</v>
      </c>
    </row>
    <row r="295" spans="2:5" ht="20" customHeight="1" x14ac:dyDescent="0.2">
      <c r="B295" s="30" t="s">
        <v>239</v>
      </c>
      <c r="C295" s="269" t="str">
        <f>IF(cluster_az1_reuse_vcf_networkpool_result="Excluded",IF(cluster_wld_domain_chosen="Workload Domain",CONCATENATE(this_instance,"02-w0",wld_domain_number_chosen,"-r01-network-pool-01"),CONCATENATE(this_instance,"02-m01","-r01-network-pool-01")),IF(cluster_wld_domain_chosen="Workload Domain",CONCATENATE(this_instance,"02-w0",wld_domain_number_chosen,"-r01-network-pool-01"),CONCATENATE(this_instance,"02-m01","-r01-network-pool-01")))</f>
        <v>sfo02-w01-r01-network-pool-01</v>
      </c>
      <c r="D295" s="278"/>
      <c r="E295" s="194"/>
    </row>
    <row r="296" spans="2:5" ht="20" customHeight="1" x14ac:dyDescent="0.2">
      <c r="B296" s="540" t="s">
        <v>240</v>
      </c>
      <c r="C296" s="541"/>
      <c r="D296" s="541"/>
      <c r="E296" s="542"/>
    </row>
    <row r="297" spans="2:5" ht="20" customHeight="1" x14ac:dyDescent="0.2">
      <c r="B297" s="30" t="s">
        <v>85</v>
      </c>
      <c r="C297" s="103" t="str">
        <f>IF(cluster_wld_domain_chosen="Workload Domain",CONCATENATE(prefix_wld_az2_vlan,"12"),CONCATENATE(prefix_mgmt_az2_vlan,"12"))</f>
        <v>1412</v>
      </c>
      <c r="D297" s="274"/>
      <c r="E297" s="236"/>
    </row>
    <row r="298" spans="2:5" ht="20" customHeight="1" x14ac:dyDescent="0.2">
      <c r="B298" s="30" t="s">
        <v>155</v>
      </c>
      <c r="C298" s="103">
        <v>9000</v>
      </c>
      <c r="D298" s="274"/>
      <c r="E298" s="194"/>
    </row>
    <row r="299" spans="2:5" ht="20" customHeight="1" x14ac:dyDescent="0.2">
      <c r="B299" s="30" t="s">
        <v>241</v>
      </c>
      <c r="C299" s="103" t="str">
        <f>IF(cluster_wld_domain_chosen="Workload Domain",CONCATENATE(prefix_wld_az2_cidr,"12.0"),CONCATENATE(prefix_mgmt_az2_cidr,"12.0"))</f>
        <v>10.14.12.0</v>
      </c>
      <c r="D299" s="274"/>
      <c r="E299" s="194"/>
    </row>
    <row r="300" spans="2:5" ht="20" customHeight="1" x14ac:dyDescent="0.2">
      <c r="B300" s="30" t="s">
        <v>242</v>
      </c>
      <c r="C300" s="103" t="s">
        <v>126</v>
      </c>
      <c r="D300" s="274"/>
      <c r="E300" s="194"/>
    </row>
    <row r="301" spans="2:5" ht="20" customHeight="1" x14ac:dyDescent="0.2">
      <c r="B301" s="30" t="s">
        <v>243</v>
      </c>
      <c r="C301" s="103" t="str">
        <f>IF(cluster_wld_domain_chosen="Workload Domain",CONCATENATE(prefix_wld_az2_cidr,"12.1"),CONCATENATE(prefix_mgmt_az2_cidr,"12.1"))</f>
        <v>10.14.12.1</v>
      </c>
      <c r="D301" s="274"/>
      <c r="E301" s="194"/>
    </row>
    <row r="302" spans="2:5" ht="20" customHeight="1" x14ac:dyDescent="0.2">
      <c r="B302" s="30" t="s">
        <v>244</v>
      </c>
      <c r="C302" s="103" t="str">
        <f>IF(cluster_wld_domain_chosen="Workload Domain",CONCATENATE(prefix_wld_az2_cidr,"12.101"),CONCATENATE(prefix_mgmt_az2_cidr,"12.101"))</f>
        <v>10.14.12.101</v>
      </c>
      <c r="D302" s="274"/>
      <c r="E302" s="194"/>
    </row>
    <row r="303" spans="2:5" ht="20" customHeight="1" x14ac:dyDescent="0.2">
      <c r="B303" s="30" t="s">
        <v>245</v>
      </c>
      <c r="C303" s="103" t="str">
        <f>IF(cluster_wld_domain_chosen="Workload Domain",CONCATENATE(prefix_wld_az2_cidr,"12.116"),CONCATENATE(prefix_mgmt_az2_cidr,"12.116"))</f>
        <v>10.14.12.116</v>
      </c>
      <c r="D303" s="274"/>
      <c r="E303" s="194"/>
    </row>
    <row r="304" spans="2:5" ht="20" customHeight="1" x14ac:dyDescent="0.2">
      <c r="B304" s="540" t="s">
        <v>246</v>
      </c>
      <c r="C304" s="541"/>
      <c r="D304" s="541"/>
      <c r="E304" s="542"/>
    </row>
    <row r="305" spans="2:5" ht="20" customHeight="1" x14ac:dyDescent="0.2">
      <c r="B305" s="30" t="s">
        <v>85</v>
      </c>
      <c r="C305" s="103" t="str">
        <f>IF(cluster_wld_domain_chosen="Workload Domain",CONCATENATE(prefix_wld_az2_vlan,"13"),CONCATENATE(prefix_mgmt_az2_vlan,"13"))</f>
        <v>1413</v>
      </c>
      <c r="D305" s="274"/>
      <c r="E305" s="194"/>
    </row>
    <row r="306" spans="2:5" ht="20" customHeight="1" x14ac:dyDescent="0.2">
      <c r="B306" s="30" t="s">
        <v>155</v>
      </c>
      <c r="C306" s="103">
        <v>9000</v>
      </c>
      <c r="D306" s="274"/>
      <c r="E306" s="194"/>
    </row>
    <row r="307" spans="2:5" ht="20" customHeight="1" x14ac:dyDescent="0.2">
      <c r="B307" s="30" t="s">
        <v>241</v>
      </c>
      <c r="C307" s="103" t="str">
        <f>IF(cluster_wld_domain_chosen="Workload Domain",CONCATENATE(prefix_wld_az2_cidr,"13.0"),CONCATENATE(prefix_mgmt_az2_cidr,"13.0"))</f>
        <v>10.14.13.0</v>
      </c>
      <c r="D307" s="274"/>
      <c r="E307" s="194"/>
    </row>
    <row r="308" spans="2:5" ht="20" customHeight="1" x14ac:dyDescent="0.2">
      <c r="B308" s="30" t="s">
        <v>242</v>
      </c>
      <c r="C308" s="103" t="s">
        <v>126</v>
      </c>
      <c r="D308" s="274"/>
      <c r="E308" s="194"/>
    </row>
    <row r="309" spans="2:5" ht="20" customHeight="1" x14ac:dyDescent="0.2">
      <c r="B309" s="30" t="s">
        <v>243</v>
      </c>
      <c r="C309" s="103" t="str">
        <f>IF(cluster_wld_domain_chosen="Workload Domain",CONCATENATE(prefix_wld_az2_cidr,"13.1"),CONCATENATE(prefix_mgmt_az2_cidr,"13.1"))</f>
        <v>10.14.13.1</v>
      </c>
      <c r="D309" s="274"/>
      <c r="E309" s="194"/>
    </row>
    <row r="310" spans="2:5" ht="20" customHeight="1" x14ac:dyDescent="0.2">
      <c r="B310" s="30" t="s">
        <v>244</v>
      </c>
      <c r="C310" s="103" t="str">
        <f>IF(cluster_wld_domain_chosen="Workload Domain",CONCATENATE(prefix_wld_az2_cidr,"13.101"),CONCATENATE(prefix_mgmt_az2_cidr,"13.101"))</f>
        <v>10.14.13.101</v>
      </c>
      <c r="D310" s="274"/>
      <c r="E310" s="194"/>
    </row>
    <row r="311" spans="2:5" ht="20" customHeight="1" x14ac:dyDescent="0.2">
      <c r="B311" s="30" t="s">
        <v>245</v>
      </c>
      <c r="C311" s="103" t="str">
        <f>IF(cluster_wld_domain_chosen="Workload Domain",CONCATENATE(prefix_wld_az2_cidr,"13.116"),CONCATENATE(prefix_mgmt_az2_cidr,"13.116"))</f>
        <v>10.14.13.116</v>
      </c>
      <c r="D311" s="274"/>
      <c r="E311" s="194"/>
    </row>
    <row r="312" spans="2:5" ht="20" customHeight="1" x14ac:dyDescent="0.2">
      <c r="B312" s="540" t="str">
        <f>IF(cluster_secondary_storage_chosen="Secondary NFS Storage Network","NFS Storage Network","vSAN Storage Client")</f>
        <v>vSAN Storage Client</v>
      </c>
      <c r="C312" s="541"/>
      <c r="D312" s="541"/>
      <c r="E312" s="542"/>
    </row>
    <row r="313" spans="2:5" ht="20" customHeight="1" x14ac:dyDescent="0.2">
      <c r="B313" s="30" t="s">
        <v>85</v>
      </c>
      <c r="C313" s="103" t="str">
        <f>IF(cluster_wld_domain_chosen="Workload Domain",CONCATENATE(prefix_wld_az2_vlan,"15"),CONCATENATE(prefix_mgmt_az2_vlan,"15"))</f>
        <v>1415</v>
      </c>
      <c r="D313" s="274"/>
      <c r="E313" s="194"/>
    </row>
    <row r="314" spans="2:5" ht="20" customHeight="1" x14ac:dyDescent="0.2">
      <c r="B314" s="30" t="s">
        <v>155</v>
      </c>
      <c r="C314" s="103">
        <v>9000</v>
      </c>
      <c r="D314" s="274"/>
      <c r="E314" s="194"/>
    </row>
    <row r="315" spans="2:5" ht="20" customHeight="1" x14ac:dyDescent="0.2">
      <c r="B315" s="30" t="s">
        <v>241</v>
      </c>
      <c r="C315" s="103" t="str">
        <f>IF(cluster_wld_domain_chosen="Workload Domain",CONCATENATE(prefix_wld_az2_cidr,"15.0"),CONCATENATE(prefix_mgmt_az2_cidr,"15.0"))</f>
        <v>10.14.15.0</v>
      </c>
      <c r="D315" s="274"/>
      <c r="E315" s="194"/>
    </row>
    <row r="316" spans="2:5" ht="20" customHeight="1" x14ac:dyDescent="0.2">
      <c r="B316" s="30" t="s">
        <v>242</v>
      </c>
      <c r="C316" s="103" t="s">
        <v>126</v>
      </c>
      <c r="D316" s="274"/>
      <c r="E316" s="194"/>
    </row>
    <row r="317" spans="2:5" ht="20" customHeight="1" x14ac:dyDescent="0.2">
      <c r="B317" s="30" t="s">
        <v>243</v>
      </c>
      <c r="C317" s="103" t="str">
        <f>IF(cluster_wld_domain_chosen="Workload Domain",CONCATENATE(prefix_wld_az2_cidr,"15.1"),CONCATENATE(prefix_mgmt_az2_cidr,"15.1"))</f>
        <v>10.14.15.1</v>
      </c>
      <c r="D317" s="274"/>
      <c r="E317" s="194"/>
    </row>
    <row r="318" spans="2:5" ht="20" customHeight="1" x14ac:dyDescent="0.2">
      <c r="B318" s="30" t="s">
        <v>244</v>
      </c>
      <c r="C318" s="103" t="str">
        <f>IF(cluster_wld_domain_chosen="Workload Domain",CONCATENATE(prefix_wld_az2_cidr,"15.101"),CONCATENATE(prefix_mgmt_az2_cidr,"15.101"))</f>
        <v>10.14.15.101</v>
      </c>
      <c r="D318" s="274"/>
      <c r="E318" s="194"/>
    </row>
    <row r="319" spans="2:5" ht="20" customHeight="1" x14ac:dyDescent="0.2">
      <c r="B319" s="30" t="s">
        <v>245</v>
      </c>
      <c r="C319" s="103" t="str">
        <f>IF(cluster_wld_domain_chosen="Workload Domain",CONCATENATE(prefix_wld_az2_cidr,"15.116"),CONCATENATE(prefix_mgmt_az2_cidr,"15.116"))</f>
        <v>10.14.15.116</v>
      </c>
      <c r="D319" s="274"/>
      <c r="E319" s="194"/>
    </row>
    <row r="320" spans="2:5" ht="20" customHeight="1" x14ac:dyDescent="0.2">
      <c r="B320" s="540" t="s">
        <v>686</v>
      </c>
      <c r="C320" s="541"/>
      <c r="D320" s="541"/>
      <c r="E320" s="542"/>
    </row>
    <row r="321" spans="2:5" ht="20" customHeight="1" x14ac:dyDescent="0.2">
      <c r="B321" s="30" t="s">
        <v>85</v>
      </c>
      <c r="C321" s="103" t="str">
        <f>IF(cluster_wld_domain_chosen="Workload Domain",CONCATENATE(prefix_wld_az2_vlan,"16"),CONCATENATE(prefix_mgmt_az2_vlan,"16"))</f>
        <v>1416</v>
      </c>
      <c r="D321" s="66"/>
      <c r="E321" s="194"/>
    </row>
    <row r="322" spans="2:5" ht="20" customHeight="1" x14ac:dyDescent="0.2">
      <c r="B322" s="30" t="s">
        <v>155</v>
      </c>
      <c r="C322" s="103">
        <v>9000</v>
      </c>
      <c r="D322" s="66"/>
      <c r="E322" s="194"/>
    </row>
    <row r="323" spans="2:5" ht="20" customHeight="1" x14ac:dyDescent="0.2">
      <c r="B323" s="30" t="s">
        <v>241</v>
      </c>
      <c r="C323" s="103" t="str">
        <f>IF(cluster_wld_domain_chosen="Workload Domain",CONCATENATE(prefix_wld_az2_cidr,"16.0"),CONCATENATE(prefix_mgmt_az2_cidr,"16.0"))</f>
        <v>10.14.16.0</v>
      </c>
      <c r="D323" s="66"/>
      <c r="E323" s="194"/>
    </row>
    <row r="324" spans="2:5" ht="20" customHeight="1" x14ac:dyDescent="0.2">
      <c r="B324" s="30" t="s">
        <v>242</v>
      </c>
      <c r="C324" s="103" t="s">
        <v>126</v>
      </c>
      <c r="D324" s="66"/>
      <c r="E324" s="194"/>
    </row>
    <row r="325" spans="2:5" ht="20" customHeight="1" x14ac:dyDescent="0.2">
      <c r="B325" s="30" t="s">
        <v>243</v>
      </c>
      <c r="C325" s="103" t="str">
        <f>IF(cluster_wld_domain_chosen="Workload Domain",CONCATENATE(prefix_wld_az2_cidr,"16.1"),CONCATENATE(prefix_mgmt_az2_cidr,"16.1"))</f>
        <v>10.14.16.1</v>
      </c>
      <c r="D325" s="66"/>
      <c r="E325" s="194"/>
    </row>
    <row r="326" spans="2:5" ht="20" customHeight="1" x14ac:dyDescent="0.2">
      <c r="B326" s="30" t="s">
        <v>244</v>
      </c>
      <c r="C326" s="103" t="str">
        <f>IF(cluster_wld_domain_chosen="Workload Domain",CONCATENATE(prefix_wld_az2_cidr,"16.101"),CONCATENATE(prefix_mgmt_az2_cidr,"16.101"))</f>
        <v>10.14.16.101</v>
      </c>
      <c r="D326" s="66"/>
      <c r="E326" s="194"/>
    </row>
    <row r="327" spans="2:5" ht="20" customHeight="1" x14ac:dyDescent="0.2">
      <c r="B327" s="30" t="s">
        <v>245</v>
      </c>
      <c r="C327" s="103" t="str">
        <f>IF(cluster_wld_domain_chosen="Workload Domain",CONCATENATE(prefix_wld_az2_cidr,"16.116"),CONCATENATE(prefix_mgmt_az2_cidr,"16.116"))</f>
        <v>10.14.16.116</v>
      </c>
      <c r="D327" s="66"/>
      <c r="E327" s="194"/>
    </row>
    <row r="328" spans="2:5" ht="16" customHeight="1" x14ac:dyDescent="0.2">
      <c r="B328" s="147"/>
      <c r="C328" s="47"/>
      <c r="D328" s="47"/>
      <c r="E328" s="47"/>
    </row>
    <row r="329" spans="2:5" ht="34" customHeight="1" x14ac:dyDescent="0.2">
      <c r="B329" s="609" t="s">
        <v>957</v>
      </c>
      <c r="C329" s="610"/>
      <c r="D329" s="610"/>
      <c r="E329" s="611"/>
    </row>
    <row r="330" spans="2:5" ht="20" customHeight="1" x14ac:dyDescent="0.2">
      <c r="B330" s="63" t="s">
        <v>18</v>
      </c>
      <c r="C330" s="63" t="s">
        <v>19</v>
      </c>
      <c r="D330" s="63" t="s">
        <v>20</v>
      </c>
      <c r="E330" s="63" t="s">
        <v>21</v>
      </c>
    </row>
    <row r="331" spans="2:5" ht="20" customHeight="1" x14ac:dyDescent="0.2">
      <c r="B331" s="30" t="s">
        <v>204</v>
      </c>
      <c r="C331" s="109" t="str">
        <f>IF(cluster_wld_domain_chosen="Workload Domain",CONCATENATE(this_instance,"02-w0",wld_domain_number_chosen,"-r01-esx01",".",sample_child_dns_zone),CONCATENATE(this_instance,"02-m01","-r01-esx01",".",sample_child_dns_zone))</f>
        <v>sfo02-w01-r01-esx01.sfo.rainpole.io</v>
      </c>
      <c r="D331" s="274"/>
      <c r="E331" s="194"/>
    </row>
    <row r="332" spans="2:5" ht="20" customHeight="1" x14ac:dyDescent="0.2">
      <c r="B332" s="30" t="s">
        <v>206</v>
      </c>
      <c r="C332" s="109" t="str">
        <f>IF(cluster_wld_domain_chosen="Workload Domain",CONCATENATE(this_instance,"02-w0",wld_domain_number_chosen,"-r01-esx02",".",sample_child_dns_zone),CONCATENATE(this_instance,"02-m01","-r01-esx02",".",sample_child_dns_zone))</f>
        <v>sfo02-w01-r01-esx02.sfo.rainpole.io</v>
      </c>
      <c r="D332" s="274"/>
      <c r="E332" s="194"/>
    </row>
    <row r="333" spans="2:5" ht="20" customHeight="1" x14ac:dyDescent="0.2">
      <c r="B333" s="30" t="s">
        <v>208</v>
      </c>
      <c r="C333" s="109" t="str">
        <f>IF(cluster_wld_domain_chosen="Workload Domain",CONCATENATE(this_instance,"02-w0",wld_domain_number_chosen,"-r01-esx03",".",sample_child_dns_zone),CONCATENATE(this_instance,"02-m01","-r01-esx03",".",sample_child_dns_zone))</f>
        <v>sfo02-w01-r01-esx03.sfo.rainpole.io</v>
      </c>
      <c r="D333" s="274"/>
      <c r="E333" s="194"/>
    </row>
    <row r="334" spans="2:5" ht="20" customHeight="1" x14ac:dyDescent="0.2">
      <c r="B334" s="30" t="s">
        <v>210</v>
      </c>
      <c r="C334" s="109" t="str">
        <f>IF(cluster_wld_domain_chosen="Workload Domain",CONCATENATE(this_instance,"02-w0",wld_domain_number_chosen,"-r01-esx04",".",sample_child_dns_zone),CONCATENATE(this_instance,"02-m01","-r01-esx04",".",sample_child_dns_zone))</f>
        <v>sfo02-w01-r01-esx04.sfo.rainpole.io</v>
      </c>
      <c r="D334" s="274"/>
      <c r="E334" s="194"/>
    </row>
    <row r="335" spans="2:5" ht="20" customHeight="1" x14ac:dyDescent="0.2">
      <c r="B335" s="30" t="s">
        <v>212</v>
      </c>
      <c r="C335" s="109" t="str">
        <f>IF(cluster_wld_domain_chosen="Workload Domain",CONCATENATE(this_instance,"02-w0",wld_domain_number_chosen,"-r01-esx05",".",sample_child_dns_zone),CONCATENATE(this_instance,"02-m01","-r01-esx05",".",sample_child_dns_zone))</f>
        <v>sfo02-w01-r01-esx05.sfo.rainpole.io</v>
      </c>
      <c r="D335" s="274"/>
      <c r="E335" s="194"/>
    </row>
    <row r="336" spans="2:5" ht="20" customHeight="1" x14ac:dyDescent="0.2">
      <c r="B336" s="30" t="s">
        <v>214</v>
      </c>
      <c r="C336" s="109" t="str">
        <f>IF(cluster_wld_domain_chosen="Workload Domain",CONCATENATE(this_instance,"02-w0",wld_domain_number_chosen,"-r01-esx06",".",sample_child_dns_zone),CONCATENATE(this_instance,"02-m01","-r01-esx06",".",sample_child_dns_zone))</f>
        <v>sfo02-w01-r01-esx06.sfo.rainpole.io</v>
      </c>
      <c r="D336" s="274"/>
      <c r="E336" s="194"/>
    </row>
    <row r="337" spans="2:5" ht="20" customHeight="1" x14ac:dyDescent="0.2">
      <c r="B337" s="30" t="s">
        <v>216</v>
      </c>
      <c r="C337" s="109" t="str">
        <f>IF(cluster_wld_domain_chosen="Workload Domain",CONCATENATE(this_instance,"02-w0",wld_domain_number_chosen,"-r01-esx07",".",sample_child_dns_zone),CONCATENATE(this_instance,"02-m01","-r01-esx07",".",sample_child_dns_zone))</f>
        <v>sfo02-w01-r01-esx07.sfo.rainpole.io</v>
      </c>
      <c r="D337" s="274"/>
      <c r="E337" s="194"/>
    </row>
    <row r="338" spans="2:5" ht="20" customHeight="1" x14ac:dyDescent="0.2">
      <c r="B338" s="30" t="s">
        <v>218</v>
      </c>
      <c r="C338" s="109" t="str">
        <f>IF(cluster_wld_domain_chosen="Workload Domain",CONCATENATE(this_instance,"02-w0",wld_domain_number_chosen,"-r01-esx08",".",sample_child_dns_zone),CONCATENATE(this_instance,"02-m01","-r01-esx08",".",sample_child_dns_zone))</f>
        <v>sfo02-w01-r01-esx08.sfo.rainpole.io</v>
      </c>
      <c r="D338" s="274"/>
      <c r="E338" s="194"/>
    </row>
    <row r="339" spans="2:5" ht="20" customHeight="1" x14ac:dyDescent="0.2">
      <c r="B339" s="30" t="s">
        <v>220</v>
      </c>
      <c r="C339" s="109" t="str">
        <f>IF(cluster_wld_domain_chosen="Workload Domain",CONCATENATE(this_instance,"02-w0",wld_domain_number_chosen,"-r01-esx09",".",sample_child_dns_zone),CONCATENATE(this_instance,"02-m01","-r01-esx09",".",sample_child_dns_zone))</f>
        <v>sfo02-w01-r01-esx09.sfo.rainpole.io</v>
      </c>
      <c r="D339" s="274"/>
      <c r="E339" s="194"/>
    </row>
    <row r="340" spans="2:5" ht="20" customHeight="1" x14ac:dyDescent="0.2">
      <c r="B340" s="30" t="s">
        <v>222</v>
      </c>
      <c r="C340" s="109" t="str">
        <f>IF(cluster_wld_domain_chosen="Workload Domain",CONCATENATE(this_instance,"02-w0",wld_domain_number_chosen,"-r01-esx10",".",sample_child_dns_zone),CONCATENATE(this_instance,"02-m01","-r01-esx10",".",sample_child_dns_zone))</f>
        <v>sfo02-w01-r01-esx10.sfo.rainpole.io</v>
      </c>
      <c r="D340" s="274"/>
      <c r="E340" s="194"/>
    </row>
    <row r="341" spans="2:5" ht="20" customHeight="1" x14ac:dyDescent="0.2">
      <c r="B341" s="30" t="s">
        <v>224</v>
      </c>
      <c r="C341" s="109" t="str">
        <f>IF(cluster_wld_domain_chosen="Workload Domain",CONCATENATE(this_instance,"02-w0",wld_domain_number_chosen,"-r01-esx11",".",sample_child_dns_zone),CONCATENATE(this_instance,"02-m01","-r01-esx11",".",sample_child_dns_zone))</f>
        <v>sfo02-w01-r01-esx11.sfo.rainpole.io</v>
      </c>
      <c r="D341" s="274"/>
      <c r="E341" s="194"/>
    </row>
    <row r="342" spans="2:5" ht="20" customHeight="1" x14ac:dyDescent="0.2">
      <c r="B342" s="30" t="s">
        <v>226</v>
      </c>
      <c r="C342" s="109" t="str">
        <f>IF(cluster_wld_domain_chosen="Workload Domain",CONCATENATE(this_instance,"02-w0",wld_domain_number_chosen,"-r01-esx12",".",sample_child_dns_zone),CONCATENATE(this_instance,"02-m01","-r01-esx12",".",sample_child_dns_zone))</f>
        <v>sfo02-w01-r01-esx12.sfo.rainpole.io</v>
      </c>
      <c r="D342" s="274"/>
      <c r="E342" s="194"/>
    </row>
    <row r="343" spans="2:5" ht="20" customHeight="1" x14ac:dyDescent="0.2">
      <c r="B343" s="30" t="s">
        <v>228</v>
      </c>
      <c r="C343" s="109" t="str">
        <f>IF(cluster_wld_domain_chosen="Workload Domain",CONCATENATE(this_instance,"02-w0",wld_domain_number_chosen,"-r01-esx13",".",sample_child_dns_zone),CONCATENATE(this_instance,"02-m01","-r01-esx13",".",sample_child_dns_zone))</f>
        <v>sfo02-w01-r01-esx13.sfo.rainpole.io</v>
      </c>
      <c r="D343" s="274"/>
      <c r="E343" s="194"/>
    </row>
    <row r="344" spans="2:5" ht="20" customHeight="1" x14ac:dyDescent="0.2">
      <c r="B344" s="30" t="s">
        <v>230</v>
      </c>
      <c r="C344" s="109" t="str">
        <f>IF(cluster_wld_domain_chosen="Workload Domain",CONCATENATE(this_instance,"02-w0",wld_domain_number_chosen,"-r01-esx14",".",sample_child_dns_zone),CONCATENATE(this_instance,"02-m01","-r01-esx14",".",sample_child_dns_zone))</f>
        <v>sfo02-w01-r01-esx14.sfo.rainpole.io</v>
      </c>
      <c r="D344" s="274"/>
      <c r="E344" s="194"/>
    </row>
    <row r="345" spans="2:5" ht="20" customHeight="1" x14ac:dyDescent="0.2">
      <c r="B345" s="30" t="s">
        <v>232</v>
      </c>
      <c r="C345" s="109" t="str">
        <f>IF(cluster_wld_domain_chosen="Workload Domain",CONCATENATE(this_instance,"02-w0",wld_domain_number_chosen,"-r01-esx15",".",sample_child_dns_zone),CONCATENATE(this_instance,"02-m01","-r01-esx15",".",sample_child_dns_zone))</f>
        <v>sfo02-w01-r01-esx15.sfo.rainpole.io</v>
      </c>
      <c r="D345" s="274"/>
      <c r="E345" s="194"/>
    </row>
    <row r="346" spans="2:5" ht="20" customHeight="1" x14ac:dyDescent="0.2">
      <c r="B346" s="30" t="s">
        <v>234</v>
      </c>
      <c r="C346" s="109" t="str">
        <f>IF(cluster_wld_domain_chosen="Workload Domain",CONCATENATE(this_instance,"02-w0",wld_domain_number_chosen,"-r01-esx16",".",sample_child_dns_zone),CONCATENATE(this_instance,"02-m01","-r01-esx16",".",sample_child_dns_zone))</f>
        <v>sfo02-w01-r01-esx16.sfo.rainpole.io</v>
      </c>
      <c r="D346" s="274"/>
      <c r="E346" s="194"/>
    </row>
    <row r="347" spans="2:5" ht="20" customHeight="1" x14ac:dyDescent="0.2">
      <c r="B347" s="30" t="s">
        <v>253</v>
      </c>
      <c r="C347" s="100" t="s">
        <v>254</v>
      </c>
      <c r="D347" s="8" t="str">
        <f>cluster_principal_storage_chosen</f>
        <v>vSAN Compute Cluster</v>
      </c>
      <c r="E347" s="194"/>
    </row>
    <row r="348" spans="2:5" ht="20" customHeight="1" x14ac:dyDescent="0.2">
      <c r="B348" s="30" t="s">
        <v>255</v>
      </c>
      <c r="C348" s="100" t="s">
        <v>256</v>
      </c>
      <c r="D348" s="8" t="str">
        <f>cluster_vsan_type</f>
        <v>Compute Cluster</v>
      </c>
      <c r="E348" s="194"/>
    </row>
    <row r="349" spans="2:5" ht="20" customHeight="1" x14ac:dyDescent="0.2">
      <c r="B349" s="30" t="s">
        <v>257</v>
      </c>
      <c r="C349" s="100" t="s">
        <v>154</v>
      </c>
      <c r="D349" s="8" t="str">
        <f>D114</f>
        <v>Selected</v>
      </c>
      <c r="E349" s="194"/>
    </row>
    <row r="350" spans="2:5" ht="20" customHeight="1" x14ac:dyDescent="0.2">
      <c r="B350" s="30" t="s">
        <v>239</v>
      </c>
      <c r="C350" s="100" t="str">
        <f>sample_cluster_az2_pool_name</f>
        <v>sfo02-w01-r01-network-pool-01</v>
      </c>
      <c r="D350" s="277" t="str">
        <f>cluster_az2_pool_name</f>
        <v>Value Missing</v>
      </c>
      <c r="E350" s="194"/>
    </row>
    <row r="351" spans="2:5" ht="20" customHeight="1" x14ac:dyDescent="0.2">
      <c r="B351" s="30" t="s">
        <v>47</v>
      </c>
      <c r="C351" s="100" t="str">
        <f>sample_cluster_esx_root_username</f>
        <v>root</v>
      </c>
      <c r="D351" s="277" t="str">
        <f>cluster_esx_root_username</f>
        <v>Value Missing</v>
      </c>
      <c r="E351" s="194"/>
    </row>
    <row r="352" spans="2:5" ht="20" customHeight="1" x14ac:dyDescent="0.2">
      <c r="B352" s="30" t="s">
        <v>30</v>
      </c>
      <c r="C352" s="100" t="str">
        <f>sample_cluster_esx_root_password</f>
        <v>VMw@re1!</v>
      </c>
      <c r="D352" s="277" t="str">
        <f>cluster_esx_root_password</f>
        <v>Value Missing</v>
      </c>
      <c r="E352" s="194"/>
    </row>
    <row r="353" spans="2:5" ht="16" customHeight="1" x14ac:dyDescent="0.2">
      <c r="B353" s="147"/>
      <c r="C353" s="47"/>
      <c r="D353" s="47"/>
      <c r="E353" s="47"/>
    </row>
    <row r="354" spans="2:5" ht="20" customHeight="1" x14ac:dyDescent="0.2">
      <c r="B354" s="540" t="s">
        <v>260</v>
      </c>
      <c r="C354" s="541"/>
      <c r="D354" s="541"/>
      <c r="E354" s="542"/>
    </row>
    <row r="355" spans="2:5" ht="20" customHeight="1" x14ac:dyDescent="0.2">
      <c r="B355" s="63" t="s">
        <v>18</v>
      </c>
      <c r="C355" s="63" t="s">
        <v>19</v>
      </c>
      <c r="D355" s="63" t="s">
        <v>20</v>
      </c>
      <c r="E355" s="63" t="s">
        <v>21</v>
      </c>
    </row>
    <row r="356" spans="2:5" ht="20" customHeight="1" x14ac:dyDescent="0.2">
      <c r="B356" s="30" t="s">
        <v>85</v>
      </c>
      <c r="C356" s="269" t="str">
        <f>CONCATENATE(prefix_mgmt_witness_vlan,"10")</f>
        <v>2110</v>
      </c>
      <c r="D356" s="272"/>
      <c r="E356" s="194"/>
    </row>
    <row r="357" spans="2:5" ht="20" customHeight="1" x14ac:dyDescent="0.2">
      <c r="B357" s="30" t="s">
        <v>180</v>
      </c>
      <c r="C357" s="192" t="str">
        <f>IF(cluster_wld_domain_chosen="Workload Domain",CONCATENATE(prefix_other_region_az1_cidr,"10.1"),CONCATENATE(prefix_other_region_az1_cidr,"10.1"))</f>
        <v>10.21.10.1</v>
      </c>
      <c r="D357" s="272"/>
      <c r="E357" s="194"/>
    </row>
    <row r="358" spans="2:5" ht="20" customHeight="1" x14ac:dyDescent="0.2">
      <c r="B358" s="30" t="s">
        <v>181</v>
      </c>
      <c r="C358" s="192" t="str">
        <f>IF(cluster_wld_domain_chosen="Workload Domain",CONCATENATE(prefix_other_region_az1_cidr,"10.0/24"),CONCATENATE(prefix_other_region_az1_cidr,"10.0/24"))</f>
        <v>10.21.10.0/24</v>
      </c>
      <c r="D358" s="272"/>
      <c r="E358" s="194"/>
    </row>
    <row r="359" spans="2:5" ht="20" customHeight="1" x14ac:dyDescent="0.2">
      <c r="B359" s="30" t="s">
        <v>155</v>
      </c>
      <c r="C359" s="269">
        <v>1500</v>
      </c>
      <c r="D359" s="272"/>
      <c r="E359" s="194"/>
    </row>
    <row r="360" spans="2:5" ht="16" customHeight="1" x14ac:dyDescent="0.2">
      <c r="B360" s="147"/>
      <c r="C360" s="47"/>
      <c r="D360" s="47"/>
      <c r="E360" s="47"/>
    </row>
    <row r="361" spans="2:5" ht="34" customHeight="1" x14ac:dyDescent="0.2">
      <c r="B361" s="609" t="s">
        <v>2965</v>
      </c>
      <c r="C361" s="610"/>
      <c r="D361" s="610"/>
      <c r="E361" s="611"/>
    </row>
    <row r="362" spans="2:5" ht="20" customHeight="1" x14ac:dyDescent="0.2">
      <c r="B362" s="341"/>
      <c r="C362" s="342"/>
      <c r="D362" s="342"/>
      <c r="E362" s="342"/>
    </row>
    <row r="363" spans="2:5" ht="20" customHeight="1" x14ac:dyDescent="0.2">
      <c r="B363" s="63" t="s">
        <v>18</v>
      </c>
      <c r="C363" s="63" t="s">
        <v>19</v>
      </c>
      <c r="D363" s="63" t="s">
        <v>20</v>
      </c>
      <c r="E363" s="63" t="s">
        <v>21</v>
      </c>
    </row>
    <row r="364" spans="2:5" ht="20" customHeight="1" x14ac:dyDescent="0.2">
      <c r="B364" s="30" t="s">
        <v>262</v>
      </c>
      <c r="C364" s="153" t="str">
        <f>CONCATENATE(other_instance,"-m01-vc01.",other_instance,".rainpole.io")</f>
        <v>lax-m01-vc01.lax.rainpole.io</v>
      </c>
      <c r="D364" s="272"/>
      <c r="E364" s="194" t="s">
        <v>263</v>
      </c>
    </row>
    <row r="365" spans="2:5" ht="20" customHeight="1" x14ac:dyDescent="0.2">
      <c r="B365" s="30" t="s">
        <v>265</v>
      </c>
      <c r="C365" s="153" t="str">
        <f>IF(cluster_wld_domain_chosen="Workload Domain",CONCATENATE(this_instance,"-w0",wld_domain_number_chosen,"-cl02-vsw01"),CONCATENATE(this_instance,"-m01","-cl02-vsw01"))</f>
        <v>sfo-w01-cl02-vsw01</v>
      </c>
      <c r="D365" s="272"/>
      <c r="E365" s="194"/>
    </row>
    <row r="366" spans="2:5" ht="20" customHeight="1" x14ac:dyDescent="0.2">
      <c r="B366" s="30" t="s">
        <v>266</v>
      </c>
      <c r="C366" s="65" t="str">
        <f>CONCATENATE(other_instance,"-m01-cl01")</f>
        <v>lax-m01-cl01</v>
      </c>
      <c r="D366" s="272"/>
      <c r="E366" s="194"/>
    </row>
    <row r="367" spans="2:5" ht="20" customHeight="1" x14ac:dyDescent="0.2">
      <c r="B367" s="30" t="s">
        <v>267</v>
      </c>
      <c r="C367" s="65" t="str">
        <f>CONCATENATE(other_instance,"-fd-mgmt")</f>
        <v>lax-fd-mgmt</v>
      </c>
      <c r="D367" s="272"/>
      <c r="E367" s="194"/>
    </row>
    <row r="368" spans="2:5" ht="20" customHeight="1" x14ac:dyDescent="0.2">
      <c r="B368" s="30" t="s">
        <v>268</v>
      </c>
      <c r="C368" s="65" t="str">
        <f>CONCATENATE(other_instance,"-m01-cl01-ds-vsan01")</f>
        <v>lax-m01-cl01-ds-vsan01</v>
      </c>
      <c r="D368" s="272"/>
      <c r="E368" s="194"/>
    </row>
    <row r="369" spans="2:5" ht="20" customHeight="1" x14ac:dyDescent="0.2">
      <c r="B369" s="30" t="s">
        <v>269</v>
      </c>
      <c r="C369" s="65" t="str">
        <f>CONCATENATE(other_instance,"01-m01-cl01-vds01-pg-vm-mgmt")</f>
        <v>lax01-m01-cl01-vds01-pg-vm-mgmt</v>
      </c>
      <c r="D369" s="272"/>
      <c r="E369" s="194"/>
    </row>
    <row r="370" spans="2:5" ht="20" customHeight="1" x14ac:dyDescent="0.2">
      <c r="B370" s="30" t="s">
        <v>270</v>
      </c>
      <c r="C370" s="65" t="str">
        <f>CONCATENATE(other_instance,"01-m01-cl01-vds01-pg-vm-mgmt")</f>
        <v>lax01-m01-cl01-vds01-pg-vm-mgmt</v>
      </c>
      <c r="D370" s="276" t="str">
        <f>cluster_witness_mgmt_pg</f>
        <v>Value Missing</v>
      </c>
      <c r="E370" s="194"/>
    </row>
    <row r="371" spans="2:5" ht="20" customHeight="1" x14ac:dyDescent="0.2">
      <c r="B371" s="30" t="s">
        <v>271</v>
      </c>
      <c r="C371" s="65" t="str">
        <f>sample_cluster_esx_root_password</f>
        <v>VMw@re1!</v>
      </c>
      <c r="D371" s="276" t="str">
        <f>cluster_esx_root_password</f>
        <v>Value Missing</v>
      </c>
      <c r="E371" s="194" t="str">
        <f>IF(cluster_wld_domain_chosen="Workload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row>
    <row r="372" spans="2:5" ht="20" customHeight="1" x14ac:dyDescent="0.2">
      <c r="B372" s="30" t="s">
        <v>272</v>
      </c>
      <c r="C372" s="153" t="str">
        <f>IF(cluster_wld_domain_chosen="Workload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c r="D372" s="272"/>
      <c r="E372" s="194" t="s">
        <v>273</v>
      </c>
    </row>
    <row r="373" spans="2:5" ht="20" customHeight="1" x14ac:dyDescent="0.2">
      <c r="B373" s="30" t="s">
        <v>274</v>
      </c>
      <c r="C373" s="65" t="str">
        <f>VLOOKUP(INT(RIGHT(sample_wld_witnessaz_mgmt_cidr,LEN(sample_wld_witnessaz_mgmt_cidr)-FIND("/",sample_wld_witnessaz_mgmt_cidr))),table_cidr_to_mask,2,FALSE)</f>
        <v>255.255.255.0</v>
      </c>
      <c r="D373" s="272"/>
      <c r="E373" s="194"/>
    </row>
    <row r="374" spans="2:5" ht="20" customHeight="1" x14ac:dyDescent="0.2">
      <c r="B374" s="30" t="s">
        <v>180</v>
      </c>
      <c r="C374" s="65" t="str">
        <f>sample_cluster_witnessaz_mgmt_gateway_ip</f>
        <v>10.21.10.1</v>
      </c>
      <c r="D374" s="276" t="str">
        <f t="array" ref="D374">cluster_witnessaz_mgmt_gateway_ip</f>
        <v>Value Missing</v>
      </c>
      <c r="E374" s="194"/>
    </row>
    <row r="375" spans="2:5" ht="20" customHeight="1" x14ac:dyDescent="0.2">
      <c r="B375" s="30" t="s">
        <v>275</v>
      </c>
      <c r="C375" s="65" t="str">
        <f>sample_child_dns_zone</f>
        <v>sfo.rainpole.io</v>
      </c>
      <c r="D375" s="272"/>
      <c r="E375" s="194"/>
    </row>
    <row r="376" spans="2:5" ht="20" customHeight="1" x14ac:dyDescent="0.2">
      <c r="B376" s="30" t="s">
        <v>276</v>
      </c>
      <c r="C376" s="65" t="str">
        <f>sample_cluster_witness_hostname</f>
        <v>sfo-w01-cl02-vsw01</v>
      </c>
      <c r="D376" s="276" t="str">
        <f t="array" ref="D376">cluster_witness_hostname</f>
        <v>Value Missing</v>
      </c>
      <c r="E376" s="194"/>
    </row>
    <row r="377" spans="2:5" ht="20" customHeight="1" x14ac:dyDescent="0.2">
      <c r="B377" s="30" t="s">
        <v>277</v>
      </c>
      <c r="C377" s="65" t="str">
        <f>IF(mgmt_dpg_reuse_result="Included",CONCATENATE(prefix_other_region_az1_cidr,"10.4"),CONCATENATE(prefix_other_region_az1_cidr,"11.4"))</f>
        <v>10.21.10.4</v>
      </c>
      <c r="D377" s="272"/>
      <c r="E377" s="194" t="s">
        <v>278</v>
      </c>
    </row>
    <row r="378" spans="2:5" ht="20" customHeight="1" x14ac:dyDescent="0.2">
      <c r="B378" s="30" t="s">
        <v>279</v>
      </c>
      <c r="C378" s="65" t="str">
        <f>IF(mgmt_dpg_reuse_result="Included",CONCATENATE(prefix_other_region_az1_cidr,"10.5"),CONCATENATE(prefix_other_region_az1_cidr,"11.5"))</f>
        <v>10.21.10.5</v>
      </c>
      <c r="D378" s="272"/>
      <c r="E378" s="194" t="s">
        <v>280</v>
      </c>
    </row>
    <row r="379" spans="2:5" ht="20" customHeight="1" x14ac:dyDescent="0.2">
      <c r="B379" s="30" t="s">
        <v>281</v>
      </c>
      <c r="C379" s="65" t="str">
        <f>CONCATENATE("ntp0.",other_instance,".rainpole.io")</f>
        <v>ntp0.lax.rainpole.io</v>
      </c>
      <c r="D379" s="272"/>
      <c r="E379" s="194"/>
    </row>
    <row r="380" spans="2:5" ht="20" customHeight="1" x14ac:dyDescent="0.2">
      <c r="B380" s="30" t="s">
        <v>282</v>
      </c>
      <c r="C380" s="65" t="str">
        <f>CONCATENATE("ntp1.",other_instance,".rainpole.io")</f>
        <v>ntp1.lax.rainpole.io</v>
      </c>
      <c r="D380" s="272"/>
      <c r="E380" s="194"/>
    </row>
    <row r="381" spans="2:5" ht="20" customHeight="1" x14ac:dyDescent="0.2">
      <c r="B381" s="605" t="s">
        <v>283</v>
      </c>
      <c r="C381" s="606"/>
      <c r="D381" s="606"/>
      <c r="E381" s="607"/>
    </row>
    <row r="382" spans="2:5" ht="20" customHeight="1" x14ac:dyDescent="0.2">
      <c r="B382" s="63" t="s">
        <v>18</v>
      </c>
      <c r="C382" s="63" t="s">
        <v>19</v>
      </c>
      <c r="D382" s="63" t="s">
        <v>20</v>
      </c>
      <c r="E382" s="63" t="s">
        <v>21</v>
      </c>
    </row>
    <row r="383" spans="2:5" ht="20" customHeight="1" x14ac:dyDescent="0.2">
      <c r="B383" s="30" t="s">
        <v>262</v>
      </c>
      <c r="C383" s="65" t="str">
        <f>IF(cluster_wld_domain_chosen="Workload Domain",CONCATENATE(this_instance,"-w0",wld_domain_number_chosen,"-vc01",this_instance,".rainpole.io"),CONCATENATE(this_instance,"-m01-vc01.",this_instance,".rainpole.io"))</f>
        <v>sfo-w01-vc01sfo.rainpole.io</v>
      </c>
      <c r="D383" s="271"/>
      <c r="E383" s="30"/>
    </row>
    <row r="384" spans="2:5" ht="20" customHeight="1" x14ac:dyDescent="0.2">
      <c r="B384" s="30" t="s">
        <v>284</v>
      </c>
      <c r="C384" s="65" t="str">
        <f>IF(cluster_wld_domain_chosen="Workload Domain",CONCATENATE(this_instance,"-w0",wld_domain_number_chosen,"-dc"),sample_mgmt_datacenter)</f>
        <v>sfo-w01-dc</v>
      </c>
      <c r="D384" s="271"/>
      <c r="E384" s="30"/>
    </row>
    <row r="385" spans="2:5" ht="20" customHeight="1" x14ac:dyDescent="0.2">
      <c r="B385" s="30" t="s">
        <v>39</v>
      </c>
      <c r="C385" s="65" t="str">
        <f>IF(cluster_wld_domain_chosen="Workload Domain",CONCATENATE(sample_cluster_witness_hostname,".",sample_child_dns_zone),CONCATENATE(sample_cluster_witness_hostname,".",sample_child_dns_zone))</f>
        <v>sfo-w01-cl02-vsw01.sfo.rainpole.io</v>
      </c>
      <c r="D385" s="271"/>
      <c r="E385" s="30"/>
    </row>
    <row r="386" spans="2:5" ht="20" customHeight="1" x14ac:dyDescent="0.2">
      <c r="B386" s="30" t="s">
        <v>285</v>
      </c>
      <c r="C386" s="65" t="str">
        <f>sample_cluster_esx_root_password</f>
        <v>VMw@re1!</v>
      </c>
      <c r="D386" s="275" t="str">
        <f>cluster_esx_root_password</f>
        <v>Value Missing</v>
      </c>
      <c r="E386" s="30"/>
    </row>
    <row r="387" spans="2:5" ht="20" customHeight="1" x14ac:dyDescent="0.2">
      <c r="B387" s="605" t="s">
        <v>286</v>
      </c>
      <c r="C387" s="606"/>
      <c r="D387" s="606"/>
      <c r="E387" s="607"/>
    </row>
    <row r="388" spans="2:5" ht="20" customHeight="1" x14ac:dyDescent="0.2">
      <c r="B388" s="63" t="s">
        <v>18</v>
      </c>
      <c r="C388" s="63" t="s">
        <v>19</v>
      </c>
      <c r="D388" s="63" t="s">
        <v>20</v>
      </c>
      <c r="E388" s="63" t="s">
        <v>21</v>
      </c>
    </row>
    <row r="389" spans="2:5" ht="20" customHeight="1" x14ac:dyDescent="0.2">
      <c r="B389" s="30" t="s">
        <v>262</v>
      </c>
      <c r="C389" s="65" t="str">
        <f>sample_cluster_vc_fqdn</f>
        <v>sfo-w01-vc01sfo.rainpole.io</v>
      </c>
      <c r="D389" s="275" t="str">
        <f>cluster_vc_fqdn</f>
        <v>Value Missing</v>
      </c>
      <c r="E389" s="30"/>
    </row>
    <row r="390" spans="2:5" ht="20" customHeight="1" x14ac:dyDescent="0.2">
      <c r="B390" s="30" t="s">
        <v>287</v>
      </c>
      <c r="C390" s="192" t="str">
        <f>sample_cluster_witness_hostname</f>
        <v>sfo-w01-cl02-vsw01</v>
      </c>
      <c r="D390" s="275" t="str">
        <f t="array" ref="D390">cluster_witness_hostname</f>
        <v>Value Missing</v>
      </c>
      <c r="E390" s="30"/>
    </row>
    <row r="391" spans="2:5" ht="20" customHeight="1" x14ac:dyDescent="0.2">
      <c r="B391" s="30" t="s">
        <v>288</v>
      </c>
      <c r="C391" s="192" t="str">
        <f>CONCATENATE(sample_cluster_witness_ntp1_server," ",sample_cluster_witness_ntp2_server)</f>
        <v>ntp0.lax.rainpole.io ntp1.lax.rainpole.io</v>
      </c>
      <c r="D391" s="275" t="str">
        <f t="array" ref="D391">CONCATENATE(cluster_witness_ntp1_server," ",cluster_witness_ntp2_server)</f>
        <v>Value Missing Value Missing</v>
      </c>
      <c r="E391" s="230"/>
    </row>
    <row r="392" spans="2:5" ht="20" customHeight="1" x14ac:dyDescent="0.2">
      <c r="B392" s="605" t="s">
        <v>289</v>
      </c>
      <c r="C392" s="606"/>
      <c r="D392" s="606"/>
      <c r="E392" s="607"/>
    </row>
    <row r="393" spans="2:5" ht="20" customHeight="1" x14ac:dyDescent="0.2">
      <c r="B393" s="63" t="s">
        <v>18</v>
      </c>
      <c r="C393" s="63" t="s">
        <v>19</v>
      </c>
      <c r="D393" s="63" t="s">
        <v>20</v>
      </c>
      <c r="E393" s="63" t="s">
        <v>21</v>
      </c>
    </row>
    <row r="394" spans="2:5" ht="20" customHeight="1" x14ac:dyDescent="0.2">
      <c r="B394" s="30" t="s">
        <v>262</v>
      </c>
      <c r="C394" s="65" t="str">
        <f>sample_cluster_vc_fqdn</f>
        <v>sfo-w01-vc01sfo.rainpole.io</v>
      </c>
      <c r="D394" s="275" t="str">
        <f>cluster_vc_fqdn</f>
        <v>Value Missing</v>
      </c>
      <c r="E394" s="30"/>
    </row>
    <row r="395" spans="2:5" ht="20" customHeight="1" x14ac:dyDescent="0.2">
      <c r="B395" s="30" t="s">
        <v>290</v>
      </c>
      <c r="C395" s="192" t="str">
        <f>IF(cluster_wld_domain_chosen="Workload Domain",CONCATENATE(this_instance,"-w0",wld_domain_number_chosen,"-dc"),sample_mgmt_datacenter)</f>
        <v>sfo-w01-dc</v>
      </c>
      <c r="D395" s="275" t="str">
        <f t="array" ref="D395">cluster_datacenter</f>
        <v>Value Missing</v>
      </c>
      <c r="E395" s="30"/>
    </row>
    <row r="396" spans="2:5" ht="20" customHeight="1" x14ac:dyDescent="0.2">
      <c r="B396" s="30" t="s">
        <v>291</v>
      </c>
      <c r="C396" s="192" t="str">
        <f>sample_cluster_witness_hostname</f>
        <v>sfo-w01-cl02-vsw01</v>
      </c>
      <c r="D396" s="275" t="str">
        <f>cluster_witness_hostname</f>
        <v>Value Missing</v>
      </c>
      <c r="E396" s="30"/>
    </row>
    <row r="397" spans="2:5" ht="20" customHeight="1" x14ac:dyDescent="0.2">
      <c r="B397" s="608"/>
      <c r="C397" s="608"/>
      <c r="D397" s="608"/>
      <c r="E397" s="608"/>
    </row>
    <row r="398" spans="2:5" ht="34" customHeight="1" x14ac:dyDescent="0.2">
      <c r="B398" s="609" t="s">
        <v>2964</v>
      </c>
      <c r="C398" s="610"/>
      <c r="D398" s="610"/>
      <c r="E398" s="611"/>
    </row>
    <row r="399" spans="2:5" ht="20" customHeight="1" x14ac:dyDescent="0.2">
      <c r="B399" s="341"/>
      <c r="C399" s="342"/>
      <c r="D399" s="342"/>
      <c r="E399" s="342"/>
    </row>
    <row r="400" spans="2:5" ht="20" customHeight="1" x14ac:dyDescent="0.2">
      <c r="B400" s="63" t="s">
        <v>18</v>
      </c>
      <c r="C400" s="63" t="s">
        <v>19</v>
      </c>
      <c r="D400" s="63" t="s">
        <v>20</v>
      </c>
      <c r="E400" s="63" t="s">
        <v>21</v>
      </c>
    </row>
    <row r="401" spans="2:5" ht="20" customHeight="1" x14ac:dyDescent="0.2">
      <c r="B401" s="30" t="str">
        <f t="array" ref="B401:B416">cluster_az2_host_fqdns</f>
        <v>Value Missing</v>
      </c>
      <c r="C401" s="192" t="s">
        <v>293</v>
      </c>
      <c r="D401" s="271"/>
      <c r="E401" s="329" t="s">
        <v>294</v>
      </c>
    </row>
    <row r="402" spans="2:5" ht="20" customHeight="1" x14ac:dyDescent="0.2">
      <c r="B402" s="30" t="str">
        <v>Value Missing</v>
      </c>
      <c r="C402" s="192" t="s">
        <v>295</v>
      </c>
      <c r="D402" s="271"/>
      <c r="E402" s="329" t="s">
        <v>296</v>
      </c>
    </row>
    <row r="403" spans="2:5" ht="20" customHeight="1" x14ac:dyDescent="0.2">
      <c r="B403" s="30" t="str">
        <v>Value Missing</v>
      </c>
      <c r="C403" s="192" t="s">
        <v>297</v>
      </c>
      <c r="D403" s="271"/>
      <c r="E403" s="329" t="s">
        <v>298</v>
      </c>
    </row>
    <row r="404" spans="2:5" ht="20" customHeight="1" x14ac:dyDescent="0.2">
      <c r="B404" s="30" t="str">
        <v>Value Missing</v>
      </c>
      <c r="C404" s="192" t="s">
        <v>299</v>
      </c>
      <c r="D404" s="271"/>
      <c r="E404" s="329" t="s">
        <v>300</v>
      </c>
    </row>
    <row r="405" spans="2:5" ht="20" customHeight="1" x14ac:dyDescent="0.2">
      <c r="B405" s="30" t="str">
        <v>Value Missing</v>
      </c>
      <c r="C405" s="192" t="s">
        <v>301</v>
      </c>
      <c r="D405" s="271"/>
      <c r="E405" s="329" t="s">
        <v>302</v>
      </c>
    </row>
    <row r="406" spans="2:5" ht="20" customHeight="1" x14ac:dyDescent="0.2">
      <c r="B406" s="30" t="str">
        <v>Value Missing</v>
      </c>
      <c r="C406" s="192" t="s">
        <v>303</v>
      </c>
      <c r="D406" s="271"/>
      <c r="E406" s="329" t="s">
        <v>304</v>
      </c>
    </row>
    <row r="407" spans="2:5" ht="20" customHeight="1" x14ac:dyDescent="0.2">
      <c r="B407" s="30" t="str">
        <v>Value Missing</v>
      </c>
      <c r="C407" s="192" t="s">
        <v>305</v>
      </c>
      <c r="D407" s="271"/>
      <c r="E407" s="329" t="s">
        <v>306</v>
      </c>
    </row>
    <row r="408" spans="2:5" ht="20" customHeight="1" x14ac:dyDescent="0.2">
      <c r="B408" s="30" t="str">
        <v>Value Missing</v>
      </c>
      <c r="C408" s="192" t="s">
        <v>307</v>
      </c>
      <c r="D408" s="271"/>
      <c r="E408" s="329" t="s">
        <v>308</v>
      </c>
    </row>
    <row r="409" spans="2:5" ht="20" customHeight="1" x14ac:dyDescent="0.2">
      <c r="B409" s="30" t="str">
        <v>Value Missing</v>
      </c>
      <c r="C409" s="192" t="s">
        <v>309</v>
      </c>
      <c r="D409" s="271"/>
      <c r="E409" s="329" t="s">
        <v>310</v>
      </c>
    </row>
    <row r="410" spans="2:5" ht="20" customHeight="1" x14ac:dyDescent="0.2">
      <c r="B410" s="30" t="str">
        <v>Value Missing</v>
      </c>
      <c r="C410" s="192" t="s">
        <v>311</v>
      </c>
      <c r="D410" s="271"/>
      <c r="E410" s="329" t="s">
        <v>312</v>
      </c>
    </row>
    <row r="411" spans="2:5" ht="20" customHeight="1" x14ac:dyDescent="0.2">
      <c r="B411" s="30" t="str">
        <v>Value Missing</v>
      </c>
      <c r="C411" s="192" t="s">
        <v>313</v>
      </c>
      <c r="D411" s="271"/>
      <c r="E411" s="329" t="s">
        <v>314</v>
      </c>
    </row>
    <row r="412" spans="2:5" ht="20" customHeight="1" x14ac:dyDescent="0.2">
      <c r="B412" s="30" t="str">
        <v>Value Missing</v>
      </c>
      <c r="C412" s="192" t="s">
        <v>315</v>
      </c>
      <c r="D412" s="271"/>
      <c r="E412" s="329" t="s">
        <v>316</v>
      </c>
    </row>
    <row r="413" spans="2:5" ht="20" customHeight="1" x14ac:dyDescent="0.2">
      <c r="B413" s="30" t="str">
        <v>Value Missing</v>
      </c>
      <c r="C413" s="192" t="s">
        <v>317</v>
      </c>
      <c r="D413" s="271"/>
      <c r="E413" s="329" t="s">
        <v>318</v>
      </c>
    </row>
    <row r="414" spans="2:5" ht="20" customHeight="1" x14ac:dyDescent="0.2">
      <c r="B414" s="30" t="str">
        <v>Value Missing</v>
      </c>
      <c r="C414" s="192" t="s">
        <v>319</v>
      </c>
      <c r="D414" s="271"/>
      <c r="E414" s="329" t="s">
        <v>320</v>
      </c>
    </row>
    <row r="415" spans="2:5" ht="20" customHeight="1" x14ac:dyDescent="0.2">
      <c r="B415" s="30" t="str">
        <v>Value Missing</v>
      </c>
      <c r="C415" s="192" t="s">
        <v>321</v>
      </c>
      <c r="D415" s="271"/>
      <c r="E415" s="329" t="s">
        <v>322</v>
      </c>
    </row>
    <row r="416" spans="2:5" ht="20" customHeight="1" x14ac:dyDescent="0.2">
      <c r="B416" s="30" t="str">
        <v>Value Missing</v>
      </c>
      <c r="C416" s="192" t="s">
        <v>323</v>
      </c>
      <c r="D416" s="271"/>
      <c r="E416" s="329" t="s">
        <v>324</v>
      </c>
    </row>
    <row r="417" spans="2:5" ht="20" customHeight="1" x14ac:dyDescent="0.2">
      <c r="B417" s="30" t="s">
        <v>958</v>
      </c>
      <c r="C417" s="192" t="s">
        <v>959</v>
      </c>
      <c r="D417" s="272" t="s">
        <v>959</v>
      </c>
      <c r="E417" s="330" t="str">
        <f>IF(AND((cluster_principal_storage_chosen="vSAN Compute Cluster"),(cluster_stretched_cluster_result="Included")),"If there is a defined disparity in connectivity between the Availability Zone use asymmetric","Inputs Masked out based deploy Deployment Options selected - Only required for vSAN Stretched Compute Clusters")</f>
        <v>Inputs Masked out based deploy Deployment Options selected - Only required for vSAN Stretched Compute Clusters</v>
      </c>
    </row>
    <row r="418" spans="2:5" ht="20" customHeight="1" x14ac:dyDescent="0.2">
      <c r="B418" s="30" t="s">
        <v>960</v>
      </c>
      <c r="C418" s="192" t="s">
        <v>961</v>
      </c>
      <c r="D418" s="272" t="s">
        <v>961</v>
      </c>
      <c r="E418" s="330" t="str">
        <f>IF(AND((cluster_principal_storage_chosen="vSAN Compute Cluster"),(cluster_stretched_cluster_result="Included")),"Configuring site coupling will help maintain data affinity from an AZ perspectibe between the compute cluster and the storage cluster fault domains","Inputs Masked out based deploy Deployment Options selected - Only required for vSAN Stretched Compute Clusters")</f>
        <v>Inputs Masked out based deploy Deployment Options selected - Only required for vSAN Stretched Compute Clusters</v>
      </c>
    </row>
    <row r="419" spans="2:5" ht="20" customHeight="1" x14ac:dyDescent="0.2">
      <c r="B419" s="30" t="s">
        <v>325</v>
      </c>
      <c r="C419" s="192" t="str">
        <f>IF(cluster_wld_domain_chosen="Workload Domain",CONCATENATE(this_instance,"02-",sample_cluster_name,"-r01-network-profile"),CONCATENATE(this_instance,"02-",sample_cluster_name,"-r01-network-profile"))</f>
        <v>sfo02-sfo-w01-cl02-r01-network-profile</v>
      </c>
      <c r="D419" s="272"/>
      <c r="E419" s="194"/>
    </row>
    <row r="420" spans="2:5" ht="20" customHeight="1" x14ac:dyDescent="0.2">
      <c r="B420" s="4" t="s">
        <v>326</v>
      </c>
      <c r="C420" s="65" t="s">
        <v>327</v>
      </c>
      <c r="D420" s="272" t="s">
        <v>327</v>
      </c>
      <c r="E420" s="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421" spans="2:5" ht="20" customHeight="1" x14ac:dyDescent="0.2">
      <c r="B421" s="30" t="s">
        <v>328</v>
      </c>
      <c r="C421" s="192" t="str">
        <f>IF(cluster_wld_domain_chosen="Workload Domain",CONCATENATE(this_instance,"02-w0",wld_domain_number_chosen,"-r01-ip-pool01-host"),CONCATENATE(this_instance,"02-m01","-r01-ip-pool01-host"))</f>
        <v>sfo02-w01-r01-ip-pool01-host</v>
      </c>
      <c r="D421" s="272"/>
      <c r="E421" s="194"/>
    </row>
    <row r="422" spans="2:5" ht="20" customHeight="1" x14ac:dyDescent="0.2">
      <c r="B422" s="30" t="s">
        <v>329</v>
      </c>
      <c r="C422" s="192" t="str">
        <f>IF(cluster_wld_domain_chosen="Workload Domain",CONCATENATE(this_instance,"02-w0",wld_domain_number_chosen,"-r01-uplink-profile-01"),CONCATENATE(this_instance,"02-m01","-r01-uplink-profile-01"))</f>
        <v>sfo02-w01-r01-uplink-profile-01</v>
      </c>
      <c r="D422" s="272"/>
      <c r="E422" s="194"/>
    </row>
    <row r="423" spans="2:5" ht="20" customHeight="1" x14ac:dyDescent="0.2">
      <c r="B423" s="23" t="s">
        <v>330</v>
      </c>
      <c r="C423" s="269" t="str">
        <f>IF(cluster_wld_domain_chosen="Workload Domain",CONCATENATE(prefix_wld_az2_vlan,"14"),CONCATENATE(prefix_mgmt_az2_vlan,"14"))</f>
        <v>1414</v>
      </c>
      <c r="D423" s="272"/>
      <c r="E423" s="194"/>
    </row>
    <row r="424" spans="2:5" ht="20" customHeight="1" x14ac:dyDescent="0.2">
      <c r="B424" s="4" t="s">
        <v>331</v>
      </c>
      <c r="C424" s="269" t="str">
        <f>IF(cluster_wld_domain_chosen="Workload Domain",CONCATENATE(prefix_wld_az2_cidr,"14.0/24"),CONCATENATE(prefix_mgmt_az2_cidr,"14.0/24"))</f>
        <v>10.14.14.0/24</v>
      </c>
      <c r="D424" s="273"/>
      <c r="E424" s="194"/>
    </row>
    <row r="425" spans="2:5" ht="20" customHeight="1" x14ac:dyDescent="0.2">
      <c r="B425" s="4" t="s">
        <v>332</v>
      </c>
      <c r="C425" s="269" t="str">
        <f>IF(cluster_wld_domain_chosen="Workload Domain",CONCATENATE(prefix_wld_az2_cidr,"14.1"),CONCATENATE(prefix_mgmt_az2_cidr,"14.1"))</f>
        <v>10.14.14.1</v>
      </c>
      <c r="D425" s="274"/>
      <c r="E425" s="194"/>
    </row>
    <row r="426" spans="2:5" ht="20" customHeight="1" x14ac:dyDescent="0.2">
      <c r="B426" s="4" t="s">
        <v>333</v>
      </c>
      <c r="C426" s="269">
        <v>9000</v>
      </c>
      <c r="D426" s="274"/>
      <c r="E426" s="194"/>
    </row>
    <row r="427" spans="2:5" ht="20" customHeight="1" x14ac:dyDescent="0.2">
      <c r="B427" s="30" t="s">
        <v>244</v>
      </c>
      <c r="C427" s="269" t="str">
        <f>IF(cluster_wld_domain_chosen="Workload Domain",CONCATENATE(prefix_wld_az2_cidr,"14.101"),CONCATENATE(prefix_mgmt_az2_cidr,"14.101"))</f>
        <v>10.14.14.101</v>
      </c>
      <c r="D427" s="274"/>
      <c r="E427" s="194"/>
    </row>
    <row r="428" spans="2:5" ht="20" customHeight="1" x14ac:dyDescent="0.2">
      <c r="B428" s="30" t="s">
        <v>245</v>
      </c>
      <c r="C428" s="269" t="str">
        <f>IF(cluster_wld_domain_chosen="Workload Domain",CONCATENATE(prefix_wld_az2_cidr,"14.132"),CONCATENATE(prefix_mgmt_az2_cidr,"14.132"))</f>
        <v>10.14.14.132</v>
      </c>
      <c r="D428" s="274"/>
      <c r="E428" s="194"/>
    </row>
    <row r="429" spans="2:5" ht="20" customHeight="1" x14ac:dyDescent="0.2">
      <c r="B429" s="30" t="s">
        <v>862</v>
      </c>
      <c r="C429" s="65" t="str">
        <f>sample_cluster_witness_fqdn</f>
        <v>sfo-w01-cl02-vsw01.sfo.rainpole.io</v>
      </c>
      <c r="D429" s="275" t="str">
        <f>cluster_witness_fqdn</f>
        <v>Value Missing</v>
      </c>
      <c r="E429" s="230"/>
    </row>
    <row r="430" spans="2:5" ht="20" customHeight="1" x14ac:dyDescent="0.2">
      <c r="B430" s="30" t="s">
        <v>338</v>
      </c>
      <c r="C430" s="65" t="str">
        <f>sample_cluster_witnessaz_mgmt_cidr</f>
        <v>10.21.10.0/24</v>
      </c>
      <c r="D430" s="275" t="str">
        <f>cluster_witnessaz_mgmt_cidr</f>
        <v>Value Missing</v>
      </c>
      <c r="E430" s="230"/>
    </row>
    <row r="431" spans="2:5" ht="20" customHeight="1" x14ac:dyDescent="0.2">
      <c r="B431" s="30" t="s">
        <v>336</v>
      </c>
      <c r="C431" s="65" t="str">
        <f>sample_cluster_witness_ip</f>
        <v>10.21.10.223</v>
      </c>
      <c r="D431" s="276" t="str">
        <f>cluster_witness_ip</f>
        <v>Value Missing</v>
      </c>
      <c r="E431" s="194"/>
    </row>
    <row r="432" spans="2:5" ht="20" customHeight="1" x14ac:dyDescent="0.2">
      <c r="B432" s="30" t="s">
        <v>339</v>
      </c>
      <c r="C432" s="192" t="s">
        <v>340</v>
      </c>
      <c r="D432" s="272"/>
      <c r="E432" s="194" t="s">
        <v>341</v>
      </c>
    </row>
    <row r="433" spans="2:5" ht="20" customHeight="1" x14ac:dyDescent="0.2">
      <c r="B433" s="608"/>
      <c r="C433" s="608"/>
      <c r="D433" s="608"/>
      <c r="E433" s="608"/>
    </row>
    <row r="434" spans="2:5" ht="34" customHeight="1" x14ac:dyDescent="0.2">
      <c r="B434" s="609" t="s">
        <v>2963</v>
      </c>
      <c r="C434" s="610"/>
      <c r="D434" s="610"/>
      <c r="E434" s="611"/>
    </row>
    <row r="435" spans="2:5" ht="20" customHeight="1" x14ac:dyDescent="0.2">
      <c r="B435" s="605" t="s">
        <v>342</v>
      </c>
      <c r="C435" s="606"/>
      <c r="D435" s="606"/>
      <c r="E435" s="607"/>
    </row>
    <row r="436" spans="2:5" ht="20" customHeight="1" x14ac:dyDescent="0.2">
      <c r="B436" s="63" t="s">
        <v>18</v>
      </c>
      <c r="C436" s="63" t="s">
        <v>19</v>
      </c>
      <c r="D436" s="63" t="s">
        <v>20</v>
      </c>
      <c r="E436" s="63" t="s">
        <v>21</v>
      </c>
    </row>
    <row r="437" spans="2:5" ht="20" customHeight="1" x14ac:dyDescent="0.2">
      <c r="B437" s="30" t="s">
        <v>343</v>
      </c>
      <c r="C437" s="192" t="str">
        <f>IF(cluster_wld_domain_chosen="Workload Domain",CONCATENATE(this_instance,"-w0",wld_domain_number_chosen,"-nsx01",".",sample_child_dns_zone),CONCATENATE(this_instance,"-m01-nsx01",".",sample_child_dns_zone))</f>
        <v>sfo-w01-nsx01.sfo.rainpole.io</v>
      </c>
      <c r="D437" s="272"/>
      <c r="E437" s="270"/>
    </row>
    <row r="438" spans="2:5" ht="20" customHeight="1" x14ac:dyDescent="0.2">
      <c r="B438" s="605" t="s">
        <v>344</v>
      </c>
      <c r="C438" s="606"/>
      <c r="D438" s="606"/>
      <c r="E438" s="607"/>
    </row>
    <row r="439" spans="2:5" ht="20" customHeight="1" x14ac:dyDescent="0.2">
      <c r="B439" s="63" t="s">
        <v>18</v>
      </c>
      <c r="C439" s="63" t="s">
        <v>19</v>
      </c>
      <c r="D439" s="63" t="s">
        <v>20</v>
      </c>
      <c r="E439" s="63" t="s">
        <v>21</v>
      </c>
    </row>
    <row r="440" spans="2:5" ht="20" customHeight="1" x14ac:dyDescent="0.2">
      <c r="B440" s="30" t="s">
        <v>343</v>
      </c>
      <c r="C440" s="192" t="str">
        <f>sample_cluster_nsxt_vip_fqdn</f>
        <v>sfo-w01-nsx01.sfo.rainpole.io</v>
      </c>
      <c r="D440" s="275" t="str">
        <f t="array" ref="D440">cluster_nsxt_vip_fqdn</f>
        <v>Value Missing</v>
      </c>
      <c r="E440" s="30"/>
    </row>
    <row r="441" spans="2:5" ht="20" customHeight="1" x14ac:dyDescent="0.2">
      <c r="B441" s="30" t="s">
        <v>345</v>
      </c>
      <c r="C441" s="192" t="str">
        <f>IF(cluster_wld_domain_chosen="Workload Domain",IF(mgmt_nsxt_federation_result="Included","65202","65102"),IF(mgmt_nsxt_federation_result="Excluded","65101","65201"))</f>
        <v>65102</v>
      </c>
      <c r="D441" s="271"/>
      <c r="E441" s="30"/>
    </row>
    <row r="442" spans="2:5" ht="20" customHeight="1" x14ac:dyDescent="0.2">
      <c r="B442" s="605" t="s">
        <v>346</v>
      </c>
      <c r="C442" s="606"/>
      <c r="D442" s="606"/>
      <c r="E442" s="607"/>
    </row>
    <row r="443" spans="2:5" ht="20" customHeight="1" x14ac:dyDescent="0.2">
      <c r="B443" s="63" t="s">
        <v>18</v>
      </c>
      <c r="C443" s="63" t="s">
        <v>19</v>
      </c>
      <c r="D443" s="63" t="s">
        <v>20</v>
      </c>
      <c r="E443" s="63" t="s">
        <v>21</v>
      </c>
    </row>
    <row r="444" spans="2:5" ht="20" customHeight="1" x14ac:dyDescent="0.2">
      <c r="B444" s="30" t="s">
        <v>343</v>
      </c>
      <c r="C444" s="262" t="str">
        <f>sample_cluster_nsxt_vip_fqdn</f>
        <v>sfo-w01-nsx01.sfo.rainpole.io</v>
      </c>
      <c r="D444" s="275" t="str">
        <f t="array" ref="D444">cluster_nsxt_vip_fqdn</f>
        <v>Value Missing</v>
      </c>
      <c r="E444" s="230"/>
    </row>
    <row r="445" spans="2:5" ht="20" customHeight="1" x14ac:dyDescent="0.2">
      <c r="B445" s="30" t="s">
        <v>347</v>
      </c>
      <c r="C445" s="192" t="str">
        <f>IF(cluster_wld_domain_chosen="Workload Domain",CONCATENATE(prefix_mgmt_az1_cidr,"17.11"),CONCATENATE(prefix_wld_az1_cidr,"17.11"))</f>
        <v>10.11.17.11</v>
      </c>
      <c r="D445" s="272"/>
      <c r="E445" s="194" t="s">
        <v>163</v>
      </c>
    </row>
    <row r="446" spans="2:5" ht="20" customHeight="1" x14ac:dyDescent="0.2">
      <c r="B446" s="30" t="s">
        <v>348</v>
      </c>
      <c r="C446" s="192" t="str">
        <f>IF(cluster_wld_domain_chosen="Workload Domain",CONCATENATE(asn_start,asn_instance,asn_mgmt_az2,1),CONCATENATE(asn_start,asn_instance,asn_wld_az2,1))</f>
        <v>65121</v>
      </c>
      <c r="D446" s="272"/>
      <c r="E446" s="194" t="s">
        <v>164</v>
      </c>
    </row>
    <row r="447" spans="2:5" ht="20" customHeight="1" x14ac:dyDescent="0.2">
      <c r="B447" s="30" t="s">
        <v>349</v>
      </c>
      <c r="C447" s="192" t="str">
        <f>IF(cluster_wld_domain_chosen="Workload Domain",CONCATENATE(prefix_mgmt_az1_cidr,"17.4/24"),CONCATENATE(prefix_wld_az1_cidr,"17.4/24"))</f>
        <v>10.11.17.4/24</v>
      </c>
      <c r="D447" s="271"/>
      <c r="E447" s="230"/>
    </row>
    <row r="448" spans="2:5" ht="20" customHeight="1" x14ac:dyDescent="0.2">
      <c r="B448" s="30" t="s">
        <v>350</v>
      </c>
      <c r="C448" s="192" t="str">
        <f>IF(cluster_wld_domain_chosen="Workload Domain",CONCATENATE(prefix_mgmt_az1_cidr,"17.5/24"),CONCATENATE(prefix_wld_az1_cidr,"17.5/24"))</f>
        <v>10.11.17.5/24</v>
      </c>
      <c r="D448" s="271"/>
      <c r="E448" s="230"/>
    </row>
    <row r="449" spans="2:5" ht="20" customHeight="1" x14ac:dyDescent="0.2">
      <c r="B449" s="30" t="s">
        <v>351</v>
      </c>
      <c r="C449" s="192" t="s">
        <v>31</v>
      </c>
      <c r="D449" s="272"/>
      <c r="E449" s="194" t="s">
        <v>165</v>
      </c>
    </row>
    <row r="450" spans="2:5" ht="20" customHeight="1" x14ac:dyDescent="0.2">
      <c r="B450" s="30" t="s">
        <v>352</v>
      </c>
      <c r="C450" s="192" t="str">
        <f>IF(cluster_wld_domain_chosen="Workload Domain",CONCATENATE(prefix_mgmt_az1_cidr,"18.11"),CONCATENATE(prefix_wld_az1_cidr,"18.11"))</f>
        <v>10.11.18.11</v>
      </c>
      <c r="D450" s="272"/>
      <c r="E450" s="194" t="s">
        <v>166</v>
      </c>
    </row>
    <row r="451" spans="2:5" ht="20" customHeight="1" x14ac:dyDescent="0.2">
      <c r="B451" s="30" t="s">
        <v>349</v>
      </c>
      <c r="C451" s="192" t="str">
        <f>IF(cluster_wld_domain_chosen="Workload Domain",CONCATENATE(prefix_mgmt_az1_cidr,"18.4/24"),CONCATENATE(prefix_wld_az1_cidr,"18.4/24"))</f>
        <v>10.11.18.4/24</v>
      </c>
      <c r="D451" s="271"/>
      <c r="E451" s="230"/>
    </row>
    <row r="452" spans="2:5" ht="20" customHeight="1" x14ac:dyDescent="0.2">
      <c r="B452" s="30" t="s">
        <v>350</v>
      </c>
      <c r="C452" s="192" t="str">
        <f>IF(cluster_wld_domain_chosen="Workload Domain",CONCATENATE(prefix_mgmt_az1_cidr,"18.5/24"),CONCATENATE(prefix_wld_az1_cidr,"18.5/24"))</f>
        <v>10.11.18.5/24</v>
      </c>
      <c r="D452" s="271"/>
      <c r="E452" s="230"/>
    </row>
    <row r="453" spans="2:5" ht="20" customHeight="1" x14ac:dyDescent="0.2">
      <c r="B453" s="30" t="s">
        <v>353</v>
      </c>
      <c r="C453" s="192" t="str">
        <f>IF(cluster_wld_domain_chosen="Workload Domain",CONCATENATE(asn_start,asn_instance,asn_mgmt_az2,1),CONCATENATE(asn_start,asn_instance,asn_wld_az2,1))</f>
        <v>65121</v>
      </c>
      <c r="D453" s="272"/>
      <c r="E453" s="194" t="s">
        <v>167</v>
      </c>
    </row>
    <row r="454" spans="2:5" ht="20" customHeight="1" x14ac:dyDescent="0.2">
      <c r="B454" s="30" t="s">
        <v>351</v>
      </c>
      <c r="C454" s="192" t="s">
        <v>31</v>
      </c>
      <c r="D454" s="272"/>
      <c r="E454" s="194" t="s">
        <v>168</v>
      </c>
    </row>
    <row r="455" spans="2:5" x14ac:dyDescent="0.2">
      <c r="B455" s="147"/>
      <c r="C455" s="47"/>
      <c r="D455" s="47"/>
      <c r="E455" s="47"/>
    </row>
  </sheetData>
  <sheetProtection algorithmName="SHA-512" hashValue="Hj4z8X5J3TjWoXI6mJgNlX/ySwPVyET1oJr9fu40S1IiaXznWvb7YPYe9lEUe+DStEjgwZSDmd4uAviDEY+r4Q==" saltValue="8Jg7n1QjQo6Ffa2iWD8gxg==" spinCount="100000" sheet="1" selectLockedCells="1"/>
  <mergeCells count="51">
    <mergeCell ref="B82:E82"/>
    <mergeCell ref="B320:E320"/>
    <mergeCell ref="B243:E243"/>
    <mergeCell ref="B191:E191"/>
    <mergeCell ref="B153:E153"/>
    <mergeCell ref="B152:E152"/>
    <mergeCell ref="B94:E94"/>
    <mergeCell ref="B255:E255"/>
    <mergeCell ref="B120:E120"/>
    <mergeCell ref="B132:E132"/>
    <mergeCell ref="B133:E133"/>
    <mergeCell ref="B202:E202"/>
    <mergeCell ref="B122:E122"/>
    <mergeCell ref="B123:E123"/>
    <mergeCell ref="B127:E127"/>
    <mergeCell ref="B128:E128"/>
    <mergeCell ref="B2:E2"/>
    <mergeCell ref="B3:E3"/>
    <mergeCell ref="B21:E21"/>
    <mergeCell ref="B23:E23"/>
    <mergeCell ref="B28:E28"/>
    <mergeCell ref="B46:E46"/>
    <mergeCell ref="B49:E49"/>
    <mergeCell ref="B60:E60"/>
    <mergeCell ref="B71:E71"/>
    <mergeCell ref="B16:E16"/>
    <mergeCell ref="B18:E18"/>
    <mergeCell ref="B172:E172"/>
    <mergeCell ref="B173:E173"/>
    <mergeCell ref="B442:E442"/>
    <mergeCell ref="B265:E265"/>
    <mergeCell ref="B267:E267"/>
    <mergeCell ref="B269:E269"/>
    <mergeCell ref="B274:E274"/>
    <mergeCell ref="B292:E292"/>
    <mergeCell ref="B296:E296"/>
    <mergeCell ref="B304:E304"/>
    <mergeCell ref="B312:E312"/>
    <mergeCell ref="B329:E329"/>
    <mergeCell ref="B354:E354"/>
    <mergeCell ref="B361:E361"/>
    <mergeCell ref="B238:E238"/>
    <mergeCell ref="B398:E398"/>
    <mergeCell ref="B387:E387"/>
    <mergeCell ref="B381:E381"/>
    <mergeCell ref="B435:E435"/>
    <mergeCell ref="B438:E438"/>
    <mergeCell ref="B392:E392"/>
    <mergeCell ref="B397:E397"/>
    <mergeCell ref="B433:E433"/>
    <mergeCell ref="B434:E434"/>
  </mergeCells>
  <conditionalFormatting sqref="B8 D8:E8 B11 D11:E11">
    <cfRule type="expression" dxfId="926" priority="39">
      <formula>$E$8="Cause: Multi Rack Configuration is only supported with vSAN as Principal Storage or vSAN Compute Clusters"</formula>
    </cfRule>
  </conditionalFormatting>
  <conditionalFormatting sqref="B8:B14 D8:D14">
    <cfRule type="expression" dxfId="925" priority="40">
      <formula>vcf_granular_option_chosen&lt;&gt;"Create Cluster"</formula>
    </cfRule>
  </conditionalFormatting>
  <conditionalFormatting sqref="B9 D9">
    <cfRule type="expression" dxfId="924" priority="160">
      <formula>(cluster_compute_hosts_per_rack_chosen="Exclude")</formula>
    </cfRule>
    <cfRule type="expression" dxfId="923" priority="161">
      <formula>(vcf_version_result="Excluded")</formula>
    </cfRule>
    <cfRule type="expression" dxfId="922" priority="163">
      <formula>(vcf_version_chosen&lt;&gt;"Exclude")</formula>
    </cfRule>
  </conditionalFormatting>
  <conditionalFormatting sqref="B9">
    <cfRule type="expression" dxfId="921" priority="97" stopIfTrue="1">
      <formula>AND((vcf_granular_option_chosen="Create Cluster"),(cluster_compute_hosts_per_rack_chosen="Exclude"))</formula>
    </cfRule>
  </conditionalFormatting>
  <conditionalFormatting sqref="B10 D10">
    <cfRule type="expression" dxfId="920" priority="102">
      <formula>cluster_multi_rack_count_chosen="Exclude"</formula>
    </cfRule>
    <cfRule type="expression" dxfId="919" priority="141" stopIfTrue="1">
      <formula>(vcf_version_result="Excluded")</formula>
    </cfRule>
    <cfRule type="expression" dxfId="918" priority="156">
      <formula>(vcf_version_chosen&lt;&gt;"Exclude")</formula>
    </cfRule>
  </conditionalFormatting>
  <conditionalFormatting sqref="B10 D10:E10">
    <cfRule type="expression" dxfId="917" priority="95">
      <formula>AND((cluster_chosen="Deploy a Single-Rack / Multi-Rack Layer 2 Cluster"),(cluster_multi_rack_count_chosen&lt;&gt;"Exclude"))</formula>
    </cfRule>
  </conditionalFormatting>
  <conditionalFormatting sqref="B10">
    <cfRule type="expression" dxfId="916" priority="92">
      <formula>AND((cluster_chosen="Deploy a Multi-Rack Layer 3 Cluster"),(cluster_multi_rack_count_chosen="Exclude"))</formula>
    </cfRule>
  </conditionalFormatting>
  <conditionalFormatting sqref="B11 D11">
    <cfRule type="expression" dxfId="915" priority="94">
      <formula>cluster_principal_storage_result="Excluded"</formula>
    </cfRule>
  </conditionalFormatting>
  <conditionalFormatting sqref="B11 D11:E11">
    <cfRule type="expression" dxfId="914" priority="169">
      <formula>" =AND((cluster_chosen=""Deploy a Multi-Rack Layer 3 Cluster""),AND((cluster_principal_storage_chosen&lt;&gt;""vSAN-ESA""),(cluster_principal_storage_chosen&lt;&gt;""vSAN-OSA""),(cluster_principal_storage_chosen&lt;&gt;""vSAN Compute Cluster"")))"</formula>
    </cfRule>
  </conditionalFormatting>
  <conditionalFormatting sqref="B12">
    <cfRule type="expression" dxfId="913" priority="225" stopIfTrue="1">
      <formula>cluster_secondary_storage_chosen="Exclude"</formula>
    </cfRule>
  </conditionalFormatting>
  <conditionalFormatting sqref="B12:B14">
    <cfRule type="expression" dxfId="912" priority="224">
      <formula>cluster_secondary_storage_chosen&lt;&gt;"Exclude"</formula>
    </cfRule>
  </conditionalFormatting>
  <conditionalFormatting sqref="B13 D13">
    <cfRule type="expression" dxfId="911" priority="83">
      <formula>cluster_az1_reuse_vcf_networkpool_result="Excluded"</formula>
    </cfRule>
  </conditionalFormatting>
  <conditionalFormatting sqref="B14 D14">
    <cfRule type="expression" dxfId="910" priority="84" stopIfTrue="1">
      <formula>cluster_stretched_cluster_result="Excluded"</formula>
    </cfRule>
  </conditionalFormatting>
  <conditionalFormatting sqref="B14 D14:E14">
    <cfRule type="expression" dxfId="909" priority="93">
      <formula>$E$14="Cause: Stretched Cluster is not supported with Multi Rack Layer 3 Cluster"</formula>
    </cfRule>
  </conditionalFormatting>
  <conditionalFormatting sqref="B12:E12">
    <cfRule type="expression" dxfId="908" priority="181">
      <formula>AND((cluster_secondary_storage_chosen&lt;&gt;"Exclude"),(cluster_secondary_storage_result="Excluded"))</formula>
    </cfRule>
  </conditionalFormatting>
  <conditionalFormatting sqref="D8 B8">
    <cfRule type="expression" dxfId="907" priority="175">
      <formula>cluster_chosen="Exclude"</formula>
    </cfRule>
  </conditionalFormatting>
  <conditionalFormatting sqref="D12 B12">
    <cfRule type="expression" dxfId="906" priority="174">
      <formula>cluster_secondary_storage_chosen="Exclude"</formula>
    </cfRule>
  </conditionalFormatting>
  <conditionalFormatting sqref="D12">
    <cfRule type="expression" dxfId="905" priority="167" stopIfTrue="1">
      <formula>cluster_secondary_storage_chosen="Exclude"</formula>
    </cfRule>
    <cfRule type="expression" dxfId="904" priority="222">
      <formula>cluster_secondary_storage_chosen&lt;&gt;"Exclude"</formula>
    </cfRule>
    <cfRule type="expression" dxfId="903" priority="229">
      <formula>AND((cluster_secondary_storage_result&lt;&gt;"Exclude"),(cluster_secondary_storage_result="Included"))</formula>
    </cfRule>
  </conditionalFormatting>
  <conditionalFormatting sqref="D12:D14">
    <cfRule type="expression" dxfId="902" priority="207">
      <formula>(vcf_version_result="Excluded")</formula>
    </cfRule>
  </conditionalFormatting>
  <conditionalFormatting sqref="D13 B13">
    <cfRule type="expression" dxfId="901" priority="223">
      <formula>cluster_az1_reuse_vcf_networkpool_chosen="Include"</formula>
    </cfRule>
  </conditionalFormatting>
  <conditionalFormatting sqref="D19 D24:D27 D29:D44 D48 D50:D59 D61:D70 D72:D81 D83:D92 D96:D118 D125 D130 D135:D150 D155:D170 D175:D176 D181:D212 D214:D217 D219:D222 D224:D227 D229:D232 D234:D237 D239:D242 D244:D254 D256:D263 D270:D273 D275:D290 D294:D295 D297:D303 D305:D311 D313:D319 D321:D327 D331:D352 D356:D359 D364:D380 D383:D386 D389:D391 D394:D396 D401:D432 D437 D440:D441 D444:D454">
    <cfRule type="notContainsBlanks" dxfId="899" priority="422">
      <formula>LEN(TRIM(D19))&gt;0</formula>
    </cfRule>
  </conditionalFormatting>
  <conditionalFormatting sqref="D30:D31">
    <cfRule type="expression" dxfId="898" priority="85">
      <formula>AND((cluster_chosen="Deploy a Multi-Rack Layer 3 Cluster"),(cluster_compute_hosts_per_rack_chosen&lt;2))</formula>
    </cfRule>
  </conditionalFormatting>
  <conditionalFormatting sqref="D31">
    <cfRule type="expression" dxfId="897" priority="19">
      <formula>cluster_compute_hosts_per_rack_chosen&lt;3</formula>
    </cfRule>
  </conditionalFormatting>
  <conditionalFormatting sqref="D32">
    <cfRule type="expression" dxfId="896" priority="137">
      <formula>cluster_compute_hosts_per_rack_chosen&lt;4</formula>
    </cfRule>
  </conditionalFormatting>
  <conditionalFormatting sqref="D33">
    <cfRule type="expression" dxfId="895" priority="138">
      <formula>cluster_compute_hosts_per_rack_chosen&lt;5</formula>
    </cfRule>
  </conditionalFormatting>
  <conditionalFormatting sqref="D34">
    <cfRule type="expression" dxfId="894" priority="143">
      <formula>cluster_compute_hosts_per_rack_chosen&lt;6</formula>
    </cfRule>
  </conditionalFormatting>
  <conditionalFormatting sqref="D35">
    <cfRule type="expression" dxfId="893" priority="144">
      <formula>cluster_compute_hosts_per_rack_chosen&lt;7</formula>
    </cfRule>
  </conditionalFormatting>
  <conditionalFormatting sqref="D36">
    <cfRule type="expression" dxfId="892" priority="145">
      <formula>cluster_compute_hosts_per_rack_chosen&lt;8</formula>
    </cfRule>
  </conditionalFormatting>
  <conditionalFormatting sqref="D37">
    <cfRule type="expression" dxfId="891" priority="146">
      <formula>cluster_compute_hosts_per_rack_chosen&lt;9</formula>
    </cfRule>
  </conditionalFormatting>
  <conditionalFormatting sqref="D38">
    <cfRule type="expression" dxfId="890" priority="147">
      <formula>cluster_compute_hosts_per_rack_chosen&lt;10</formula>
    </cfRule>
  </conditionalFormatting>
  <conditionalFormatting sqref="D39">
    <cfRule type="expression" dxfId="889" priority="148">
      <formula>cluster_compute_hosts_per_rack_chosen&lt;11</formula>
    </cfRule>
  </conditionalFormatting>
  <conditionalFormatting sqref="D40">
    <cfRule type="expression" dxfId="888" priority="149">
      <formula>cluster_compute_hosts_per_rack_chosen&lt;12</formula>
    </cfRule>
  </conditionalFormatting>
  <conditionalFormatting sqref="D41">
    <cfRule type="expression" dxfId="887" priority="150">
      <formula>cluster_compute_hosts_per_rack_chosen&lt;13</formula>
    </cfRule>
  </conditionalFormatting>
  <conditionalFormatting sqref="D42">
    <cfRule type="expression" dxfId="886" priority="151">
      <formula>cluster_compute_hosts_per_rack_chosen&lt;14</formula>
    </cfRule>
  </conditionalFormatting>
  <conditionalFormatting sqref="D43">
    <cfRule type="expression" dxfId="885" priority="152">
      <formula>cluster_compute_hosts_per_rack_chosen&lt;15</formula>
    </cfRule>
  </conditionalFormatting>
  <conditionalFormatting sqref="D44">
    <cfRule type="expression" dxfId="884" priority="153">
      <formula>cluster_compute_hosts_per_rack_chosen&lt;16</formula>
    </cfRule>
  </conditionalFormatting>
  <conditionalFormatting sqref="D50:D59 D61:D70 D72:D81 D135:D150 D19">
    <cfRule type="expression" dxfId="883" priority="154">
      <formula>cluster_result="Excluded"</formula>
    </cfRule>
  </conditionalFormatting>
  <conditionalFormatting sqref="D53 D55 D58:D59">
    <cfRule type="expression" dxfId="882" priority="10">
      <formula>cluster_az1_vmotion_ip_scheme_chosen="IPv4"</formula>
    </cfRule>
  </conditionalFormatting>
  <conditionalFormatting sqref="D54 D56:D57">
    <cfRule type="expression" dxfId="881" priority="9">
      <formula>cluster_az1_vmotion_ip_scheme_chosen="IPv6"</formula>
    </cfRule>
  </conditionalFormatting>
  <conditionalFormatting sqref="D60">
    <cfRule type="expression" dxfId="880" priority="394">
      <formula>input_mgmt_principal_storage_chosen="VMFS on Fibre Channel (FC)"</formula>
    </cfRule>
    <cfRule type="expression" dxfId="879" priority="395">
      <formula>mgmt_domain_existing_vcenter_chosen="Selected"</formula>
    </cfRule>
    <cfRule type="containsBlanks" dxfId="877" priority="397">
      <formula>LEN(TRIM(D60))=0</formula>
    </cfRule>
    <cfRule type="notContainsBlanks" dxfId="876" priority="398">
      <formula>LEN(TRIM(D60))&gt;0</formula>
    </cfRule>
  </conditionalFormatting>
  <conditionalFormatting sqref="D61:D70">
    <cfRule type="expression" dxfId="875" priority="55">
      <formula>AND((cluster_principal_storage_chosen&lt;&gt;"vSAN-ESA"),(cluster_principal_storage_chosen&lt;&gt;"vSAN-OSA"),(cluster_principal_storage_chosen&lt;&gt;"vSAN Compute Cluster"))</formula>
    </cfRule>
  </conditionalFormatting>
  <conditionalFormatting sqref="D64 D66 D69:D70">
    <cfRule type="expression" dxfId="874" priority="8">
      <formula>cluster_az1_principal_storage_ip_scheme_chosen="IPv4"</formula>
    </cfRule>
  </conditionalFormatting>
  <conditionalFormatting sqref="D65 D67:D68">
    <cfRule type="expression" dxfId="873" priority="7">
      <formula>cluster_az1_principal_storage_ip_scheme_chosen="IPv6"</formula>
    </cfRule>
  </conditionalFormatting>
  <conditionalFormatting sqref="D72:D81">
    <cfRule type="expression" dxfId="872" priority="208">
      <formula>cluster_secondary_storage_result="Excluded"</formula>
    </cfRule>
  </conditionalFormatting>
  <conditionalFormatting sqref="D75 D77 D80:D81">
    <cfRule type="expression" dxfId="871" priority="6">
      <formula>cluster_az1_secondary_storage_ip_scheme_chosen="IPv4"</formula>
    </cfRule>
  </conditionalFormatting>
  <conditionalFormatting sqref="D76 D78:D79">
    <cfRule type="expression" dxfId="870" priority="5">
      <formula>cluster_az1_secondary_storage_ip_scheme_chosen="IPv6"</formula>
    </cfRule>
  </conditionalFormatting>
  <conditionalFormatting sqref="D83:D92 D50:D59 D61:D70 D72:D81">
    <cfRule type="expression" dxfId="869" priority="50">
      <formula>cluster_az1_reuse_vcf_networkpool_chosen="Re-use an existing VCF Network Pool"</formula>
    </cfRule>
  </conditionalFormatting>
  <conditionalFormatting sqref="D83:D92">
    <cfRule type="expression" dxfId="868" priority="49">
      <formula>cluster_principal_storage_chosen&lt;&gt;"vSAN Storage Cluster"</formula>
    </cfRule>
  </conditionalFormatting>
  <conditionalFormatting sqref="D86 D88 D91:D92">
    <cfRule type="expression" dxfId="867" priority="4">
      <formula>cluster_az1_storage_cluster_ip_scheme_chosen="IPv4"</formula>
    </cfRule>
  </conditionalFormatting>
  <conditionalFormatting sqref="D87 D89:D90">
    <cfRule type="expression" dxfId="866" priority="3">
      <formula>cluster_az1_storage_cluster_ip_scheme_chosen="IPv6"</formula>
    </cfRule>
  </conditionalFormatting>
  <conditionalFormatting sqref="D98">
    <cfRule type="expression" dxfId="865" priority="18">
      <formula>cluster_compute_hosts_per_rack_chosen&lt;3</formula>
    </cfRule>
  </conditionalFormatting>
  <conditionalFormatting sqref="D99">
    <cfRule type="expression" dxfId="864" priority="117">
      <formula>cluster_compute_hosts_per_rack_chosen&lt;4</formula>
    </cfRule>
  </conditionalFormatting>
  <conditionalFormatting sqref="D100">
    <cfRule type="expression" dxfId="863" priority="118">
      <formula>cluster_compute_hosts_per_rack_chosen&lt;5</formula>
    </cfRule>
  </conditionalFormatting>
  <conditionalFormatting sqref="D101">
    <cfRule type="expression" dxfId="862" priority="125">
      <formula>cluster_compute_hosts_per_rack_chosen&lt;6</formula>
    </cfRule>
  </conditionalFormatting>
  <conditionalFormatting sqref="D102">
    <cfRule type="expression" dxfId="861" priority="126">
      <formula>cluster_compute_hosts_per_rack_chosen&lt;7</formula>
    </cfRule>
  </conditionalFormatting>
  <conditionalFormatting sqref="D103">
    <cfRule type="expression" dxfId="860" priority="127">
      <formula>cluster_compute_hosts_per_rack_chosen&lt;8</formula>
    </cfRule>
  </conditionalFormatting>
  <conditionalFormatting sqref="D104">
    <cfRule type="expression" dxfId="859" priority="128">
      <formula>cluster_compute_hosts_per_rack_chosen&lt;9</formula>
    </cfRule>
  </conditionalFormatting>
  <conditionalFormatting sqref="D105">
    <cfRule type="expression" dxfId="858" priority="129">
      <formula>cluster_compute_hosts_per_rack_chosen&lt;10</formula>
    </cfRule>
  </conditionalFormatting>
  <conditionalFormatting sqref="D106">
    <cfRule type="expression" dxfId="857" priority="130">
      <formula>cluster_compute_hosts_per_rack_chosen&lt;11</formula>
    </cfRule>
  </conditionalFormatting>
  <conditionalFormatting sqref="D107">
    <cfRule type="expression" dxfId="856" priority="131">
      <formula>cluster_compute_hosts_per_rack_chosen&lt;12</formula>
    </cfRule>
  </conditionalFormatting>
  <conditionalFormatting sqref="D108">
    <cfRule type="expression" dxfId="855" priority="132">
      <formula>cluster_compute_hosts_per_rack_chosen&lt;13</formula>
    </cfRule>
  </conditionalFormatting>
  <conditionalFormatting sqref="D109">
    <cfRule type="expression" dxfId="854" priority="133">
      <formula>cluster_compute_hosts_per_rack_chosen&lt;14</formula>
    </cfRule>
  </conditionalFormatting>
  <conditionalFormatting sqref="D110">
    <cfRule type="expression" dxfId="853" priority="134">
      <formula>cluster_compute_hosts_per_rack_chosen&lt;15</formula>
    </cfRule>
  </conditionalFormatting>
  <conditionalFormatting sqref="D111">
    <cfRule type="expression" dxfId="852" priority="135">
      <formula>cluster_compute_hosts_per_rack_chosen&lt;16</formula>
    </cfRule>
  </conditionalFormatting>
  <conditionalFormatting sqref="D113">
    <cfRule type="expression" dxfId="851" priority="36">
      <formula>cluster_principal_storage_chosen="vSAN Storage Cluster"</formula>
    </cfRule>
  </conditionalFormatting>
  <conditionalFormatting sqref="D118">
    <cfRule type="expression" dxfId="850" priority="189">
      <formula>mgmt_domain_deployment_type_chosen="VMware vSphere Foundation"</formula>
    </cfRule>
  </conditionalFormatting>
  <conditionalFormatting sqref="D137:D141 D113:D115 D143:D146">
    <cfRule type="expression" dxfId="849" priority="202">
      <formula>AND((cluster_principal_storage_chosen&lt;&gt;"vSAN-OSA"),(cluster_principal_storage_chosen&lt;&gt;"vSAN-ESA"),(cluster_principal_storage_chosen&lt;&gt;"vSAN Storage Cluster"),(cluster_principal_storage_chosen&lt;&gt;"vSAN Compute Cluster"))</formula>
    </cfRule>
  </conditionalFormatting>
  <conditionalFormatting sqref="D140">
    <cfRule type="expression" dxfId="848" priority="1">
      <formula>cluster_vsan_dit_rekey_type_chosen="Custom"</formula>
    </cfRule>
  </conditionalFormatting>
  <conditionalFormatting sqref="D141">
    <cfRule type="expression" dxfId="847" priority="2">
      <formula>cluster_vsan_dit_rekey_type_chosen="Default"</formula>
    </cfRule>
  </conditionalFormatting>
  <conditionalFormatting sqref="D142">
    <cfRule type="expression" dxfId="846" priority="37">
      <formula>cluster_principal_storage_chosen&lt;&gt;"vSAN Compute Cluster"</formula>
    </cfRule>
  </conditionalFormatting>
  <conditionalFormatting sqref="D144">
    <cfRule type="expression" dxfId="845" priority="182">
      <formula>cluster_secondary_storage_chosen&lt;&gt;"vSAN Storage Client Network"</formula>
    </cfRule>
    <cfRule type="expression" dxfId="844" priority="184">
      <formula>cluster_principal_storage_chosen="vSAN-OSA"</formula>
    </cfRule>
  </conditionalFormatting>
  <conditionalFormatting sqref="D145:D146">
    <cfRule type="expression" dxfId="843" priority="185">
      <formula>cluster_principal_storage_chosen="vSAN-ESA"</formula>
    </cfRule>
  </conditionalFormatting>
  <conditionalFormatting sqref="D147">
    <cfRule type="expression" dxfId="842" priority="176">
      <formula>cluster_principal_storage_chosen&lt;&gt;"VMFS on Fibre Channel (FC)"</formula>
    </cfRule>
  </conditionalFormatting>
  <conditionalFormatting sqref="D148:D150">
    <cfRule type="expression" dxfId="841" priority="155">
      <formula>cluster_principal_storage_chosen&lt;&gt;"NFSv3"</formula>
    </cfRule>
  </conditionalFormatting>
  <conditionalFormatting sqref="D157">
    <cfRule type="expression" dxfId="840" priority="17">
      <formula>cluster_compute_hosts_per_rack_chosen&lt;3</formula>
    </cfRule>
  </conditionalFormatting>
  <conditionalFormatting sqref="D158">
    <cfRule type="expression" dxfId="839" priority="86">
      <formula>cluster_compute_hosts_per_rack_chosen&lt;4</formula>
    </cfRule>
  </conditionalFormatting>
  <conditionalFormatting sqref="D159">
    <cfRule type="expression" dxfId="838" priority="103">
      <formula>cluster_compute_hosts_per_rack_chosen&lt;5</formula>
    </cfRule>
  </conditionalFormatting>
  <conditionalFormatting sqref="D160">
    <cfRule type="expression" dxfId="837" priority="106">
      <formula>cluster_compute_hosts_per_rack_chosen&lt;6</formula>
    </cfRule>
  </conditionalFormatting>
  <conditionalFormatting sqref="D161">
    <cfRule type="expression" dxfId="836" priority="107">
      <formula>cluster_compute_hosts_per_rack_chosen&lt;7</formula>
    </cfRule>
  </conditionalFormatting>
  <conditionalFormatting sqref="D162">
    <cfRule type="expression" dxfId="835" priority="108">
      <formula>cluster_compute_hosts_per_rack_chosen&lt;8</formula>
    </cfRule>
  </conditionalFormatting>
  <conditionalFormatting sqref="D163">
    <cfRule type="expression" dxfId="834" priority="109">
      <formula>cluster_compute_hosts_per_rack_chosen&lt;9</formula>
    </cfRule>
  </conditionalFormatting>
  <conditionalFormatting sqref="D164">
    <cfRule type="expression" dxfId="833" priority="110">
      <formula>cluster_compute_hosts_per_rack_chosen&lt;10</formula>
    </cfRule>
  </conditionalFormatting>
  <conditionalFormatting sqref="D165">
    <cfRule type="expression" dxfId="832" priority="111">
      <formula>cluster_compute_hosts_per_rack_chosen&lt;11</formula>
    </cfRule>
  </conditionalFormatting>
  <conditionalFormatting sqref="D166">
    <cfRule type="expression" dxfId="831" priority="112">
      <formula>cluster_compute_hosts_per_rack_chosen&lt;12</formula>
    </cfRule>
  </conditionalFormatting>
  <conditionalFormatting sqref="D167">
    <cfRule type="expression" dxfId="830" priority="113">
      <formula>cluster_compute_hosts_per_rack_chosen&lt;13</formula>
    </cfRule>
  </conditionalFormatting>
  <conditionalFormatting sqref="D168">
    <cfRule type="expression" dxfId="829" priority="114">
      <formula>cluster_compute_hosts_per_rack_chosen&lt;14</formula>
    </cfRule>
  </conditionalFormatting>
  <conditionalFormatting sqref="D169">
    <cfRule type="expression" dxfId="828" priority="115">
      <formula>cluster_compute_hosts_per_rack_chosen&lt;15</formula>
    </cfRule>
  </conditionalFormatting>
  <conditionalFormatting sqref="D170">
    <cfRule type="expression" dxfId="827" priority="116">
      <formula>cluster_compute_hosts_per_rack_chosen&lt;16</formula>
    </cfRule>
  </conditionalFormatting>
  <conditionalFormatting sqref="D181:D212 D214:D217 D219:D222 D224:D227 D229:D232 D256:D263 D234:D237 D24:D27 D29:D44 D48 D96:D118 D125 D130 D155:D170 D175:D176 D239:D242 D244:D254">
    <cfRule type="expression" dxfId="826" priority="57">
      <formula>cluster_result="Excluded"</formula>
    </cfRule>
  </conditionalFormatting>
  <conditionalFormatting sqref="D181:D212 D239:D242 D244:D254 D256:D263 D214:D217 D229:D232 D72:D81 D96:D118 D135:D150 D234:D237 D19 D50:D59 D61:D70 D29:D44 D155:D170 D24:D27 D48 D125 D130 D175:D176 D219:D222 D224:D227 D305:D311 D83:D92 D297:D303 D313:D319 D321:D327 D270:D273 D275:D290 D294:D295 D331:D352 D356:D359 D364:D380 D383:D386 D389:D391 D394:D396 D401:D432 D437 D440:D441 D444:D454">
    <cfRule type="containsBlanks" dxfId="825" priority="325">
      <formula>LEN(TRIM(D19))=0</formula>
    </cfRule>
  </conditionalFormatting>
  <conditionalFormatting sqref="D182:D189 D215:D217 D220:D222 D225:D227 D230:D232 D256:D263 D235:D237 D239:D242 D244 D246:D254">
    <cfRule type="expression" dxfId="824" priority="44">
      <formula>cluster_cl01_vds_copy_profile_chosen="Unselected"</formula>
    </cfRule>
  </conditionalFormatting>
  <conditionalFormatting sqref="D184:D187">
    <cfRule type="expression" dxfId="823" priority="31">
      <formula>cluster_vds01_link_type_chosen="VDS Uplinks"</formula>
    </cfRule>
  </conditionalFormatting>
  <conditionalFormatting sqref="D189:D212 D181:D187">
    <cfRule type="expression" dxfId="822" priority="324">
      <formula>wld_cl01_vds_profile_chosen="custom"</formula>
    </cfRule>
  </conditionalFormatting>
  <conditionalFormatting sqref="D191">
    <cfRule type="expression" dxfId="821" priority="290">
      <formula>mgmt_host_overlay_addressing_chosen&lt;&gt;"IP Pool"</formula>
    </cfRule>
    <cfRule type="notContainsBlanks" dxfId="820" priority="291" stopIfTrue="1">
      <formula>LEN(TRIM(D191))&gt;0</formula>
    </cfRule>
    <cfRule type="containsBlanks" dxfId="819" priority="292">
      <formula>LEN(TRIM(D191))=0</formula>
    </cfRule>
  </conditionalFormatting>
  <conditionalFormatting sqref="D192:D201">
    <cfRule type="expression" dxfId="818" priority="322" stopIfTrue="1">
      <formula>cluster_vds_profile_chosen="Custom"</formula>
    </cfRule>
    <cfRule type="expression" dxfId="817" priority="323">
      <formula>cluster_vds_profile_chosen="Default"</formula>
    </cfRule>
  </conditionalFormatting>
  <conditionalFormatting sqref="D195:D198">
    <cfRule type="expression" dxfId="816" priority="30">
      <formula>cluster_vds02_link_type_chosen="VDS Uplinks"</formula>
    </cfRule>
  </conditionalFormatting>
  <conditionalFormatting sqref="D203:D212">
    <cfRule type="expression" dxfId="815" priority="61">
      <formula>cluster_vds_profile_chosen ="vSAN Max Storage Traffic Separation"</formula>
    </cfRule>
    <cfRule type="expression" dxfId="814" priority="136">
      <formula>cluster_vds_profile_chosen="Custom"</formula>
    </cfRule>
    <cfRule type="expression" dxfId="813" priority="186">
      <formula>cluster_vds_profile_chosen="NSX Traffic Separation"</formula>
    </cfRule>
    <cfRule type="expression" dxfId="812" priority="317">
      <formula>cluster_vds_profile_chosen="Storage Traffic Separation"</formula>
    </cfRule>
    <cfRule type="expression" dxfId="811" priority="318">
      <formula>cluster_vds_profile_chosen="Default"</formula>
    </cfRule>
  </conditionalFormatting>
  <conditionalFormatting sqref="D206:D209">
    <cfRule type="expression" dxfId="810" priority="29">
      <formula>cluster_vds03_link_type_chosen="VDS Uplinks"</formula>
    </cfRule>
  </conditionalFormatting>
  <conditionalFormatting sqref="D214">
    <cfRule type="expression" dxfId="809" priority="293">
      <formula>wld_cl01_vds_profile_chosen="custom"</formula>
    </cfRule>
  </conditionalFormatting>
  <conditionalFormatting sqref="D215:D217 D220:D222 D225:D227">
    <cfRule type="expression" dxfId="808" priority="28">
      <formula>cluster_vds01_link_type_chosen="VDS Lag"</formula>
    </cfRule>
  </conditionalFormatting>
  <conditionalFormatting sqref="D229">
    <cfRule type="expression" dxfId="807" priority="219">
      <formula>wld_cl01_vds_profile_chosen="custom"</formula>
    </cfRule>
  </conditionalFormatting>
  <conditionalFormatting sqref="D230:D232">
    <cfRule type="expression" dxfId="806" priority="14">
      <formula>AND((cluster_vds_profile_chosen="vvSAN Max Storage Traffic Separation"),(cluster_vds02_link_type_chosen="VDS Lag"))</formula>
    </cfRule>
    <cfRule type="expression" dxfId="805" priority="15">
      <formula>AND((cluster_vds_profile_chosen="vSAN Max Storage Traffic and NSX Traffic Separation"),(cluster_vds02_link_type_chosen="VDS Lag"))</formula>
    </cfRule>
    <cfRule type="expression" dxfId="804" priority="24">
      <formula>AND((cluster_vds_profile_chosen="Default"),(cluster_vds01_link_type_chosen="VDS Lag"))</formula>
    </cfRule>
    <cfRule type="expression" dxfId="803" priority="25">
      <formula>AND((cluster_vds_profile_chosen="NSX Traffic Separation"),(cluster_vds01_link_type_chosen="VDS Lag"))</formula>
    </cfRule>
    <cfRule type="expression" dxfId="802" priority="26">
      <formula>AND((cluster_vds_profile_chosen="Storage Traffic and NSX Traffic Separation"),(cluster_vds02_link_type_chosen="VDS Lag"))</formula>
    </cfRule>
    <cfRule type="expression" dxfId="801" priority="27">
      <formula>AND((cluster_vds_profile_chosen="Storage Traffic Separation"),(cluster_vds02_link_type_chosen="VDS Lag"))</formula>
    </cfRule>
  </conditionalFormatting>
  <conditionalFormatting sqref="D234">
    <cfRule type="expression" dxfId="800" priority="200">
      <formula>wld_cl01_vds_profile_chosen="custom"</formula>
    </cfRule>
  </conditionalFormatting>
  <conditionalFormatting sqref="D234:D237">
    <cfRule type="expression" dxfId="799" priority="16">
      <formula>cluster_secondary_storage_chosen="Exclude"</formula>
    </cfRule>
  </conditionalFormatting>
  <conditionalFormatting sqref="D235:D237">
    <cfRule type="expression" dxfId="798" priority="13">
      <formula>cluster_vds01_link_type_chosen="VDS Lag"</formula>
    </cfRule>
  </conditionalFormatting>
  <conditionalFormatting sqref="D240">
    <cfRule type="expression" dxfId="797" priority="308">
      <formula>cluster_nsx_default_operation_mode_chosen="Selected"</formula>
    </cfRule>
  </conditionalFormatting>
  <conditionalFormatting sqref="D244">
    <cfRule type="expression" dxfId="796" priority="215">
      <formula>$D$176="Unselected"</formula>
    </cfRule>
  </conditionalFormatting>
  <conditionalFormatting sqref="D244:D253">
    <cfRule type="expression" dxfId="795" priority="45">
      <formula>cluster_nsx_overlay_transport_zone_chosen="Unselected"</formula>
    </cfRule>
  </conditionalFormatting>
  <conditionalFormatting sqref="D247:D254 D256:D259">
    <cfRule type="expression" dxfId="794" priority="187">
      <formula>cluster_host_overlay_addressing_chosen="DHCP"</formula>
    </cfRule>
  </conditionalFormatting>
  <conditionalFormatting sqref="D248 D260">
    <cfRule type="expression" dxfId="793" priority="298">
      <formula>wld_host_overlay_addressing_chosen="DHCP"</formula>
    </cfRule>
  </conditionalFormatting>
  <conditionalFormatting sqref="D249:D254 D256:D259">
    <cfRule type="expression" dxfId="792" priority="188">
      <formula>input_cluster_az1_host_overlay_new_pool_chosen="Re-use an existing Pool"</formula>
    </cfRule>
  </conditionalFormatting>
  <conditionalFormatting sqref="D254">
    <cfRule type="expression" dxfId="791" priority="46">
      <formula>cluster_nsx_vlan_transport_zone_chosen="Unselected"</formula>
    </cfRule>
  </conditionalFormatting>
  <conditionalFormatting sqref="D261:D263">
    <cfRule type="expression" dxfId="790" priority="11">
      <formula>AND((cluster_vds_profile_chosen="vSAN MAx Storage Traffic and NSX Traffic Separation"),(cluster_vds03_link_type_chosen="VDS Lag"))</formula>
    </cfRule>
    <cfRule type="expression" dxfId="789" priority="12">
      <formula>AND((cluster_vds_profile_chosen="vSAN Max Storage Traffic Separation"),(cluster_vds01_link_type_chosen="VDS Lag"))</formula>
    </cfRule>
    <cfRule type="expression" dxfId="788" priority="20">
      <formula>AND((cluster_vds_profile_chosen="Default"),(cluster_vds01_link_type_chosen="VDS Lag"))</formula>
    </cfRule>
    <cfRule type="expression" dxfId="787" priority="21">
      <formula>AND((cluster_vds_profile_chosen="NSX Traffic Separation"),(cluster_vds02_link_type_chosen="VDS Lag"))</formula>
    </cfRule>
    <cfRule type="expression" dxfId="786" priority="22">
      <formula>AND((cluster_vds_profile_chosen="Storage Traffic and NSX Traffic Separation"),(cluster_vds03_link_type_chosen="VDS Lag"))</formula>
    </cfRule>
    <cfRule type="expression" dxfId="785" priority="23">
      <formula>AND((cluster_vds_profile_chosen="Storage Traffic Separation"),(cluster_vds01_link_type_chosen="VDS Lag"))</formula>
    </cfRule>
  </conditionalFormatting>
  <conditionalFormatting sqref="D270:D273 D275:D290 D294:D295 D297:D303 D305:D311 D313:D319 D321:D327 D331:D352 D356:D359 D364:D380 D383:D386 D389:D391 D394:D396 D401:D432 D437 D440:D441 D444:D454">
    <cfRule type="expression" dxfId="784" priority="42">
      <formula>cluster_stretched_cluster_result="Excluded"</formula>
    </cfRule>
  </conditionalFormatting>
  <conditionalFormatting sqref="D297:D303 D305:D311 D313:D319 D321:D327">
    <cfRule type="expression" dxfId="783" priority="48">
      <formula>cluster_az2_reuse_vcf_networkpool_chosen="Re-use an existing VCF Network Pool"</formula>
    </cfRule>
  </conditionalFormatting>
  <conditionalFormatting sqref="D305:D311">
    <cfRule type="expression" dxfId="782" priority="54">
      <formula>AND((cluster_principal_storage_chosen&lt;&gt;"vSAN-ESA"),(cluster_principal_storage_chosen&lt;&gt;"vSAN-OSA"))</formula>
    </cfRule>
  </conditionalFormatting>
  <conditionalFormatting sqref="D321:D327">
    <cfRule type="expression" dxfId="781" priority="47">
      <formula>cluster_principal_storage_chosen&lt;&gt;"vSAN Storage Cluster"</formula>
    </cfRule>
  </conditionalFormatting>
  <conditionalFormatting sqref="D417:D418">
    <cfRule type="expression" dxfId="780" priority="33">
      <formula>OR((cluster_principal_storage_chosen&lt;&gt;"vSAN Compute Cluster"),(cluster_stretched_cluster_result&lt;&gt;"Included"))</formula>
    </cfRule>
  </conditionalFormatting>
  <conditionalFormatting sqref="D8:E8 B8">
    <cfRule type="expression" dxfId="779" priority="170">
      <formula>$E$8="Cluster Deployment not selected on VCF &amp; VVF Planning Tab"</formula>
    </cfRule>
  </conditionalFormatting>
  <conditionalFormatting sqref="D8:E8">
    <cfRule type="expression" dxfId="778" priority="41">
      <formula>$E$9="Required: Minimum Number of hosts must be selected"</formula>
    </cfRule>
  </conditionalFormatting>
  <conditionalFormatting sqref="D8:E9">
    <cfRule type="expression" dxfId="776" priority="99">
      <formula>AND((cluster_compute_hosts_per_rack_chosen&lt;&gt;"Exclude"),(cluster_compute_hosts_per_rack_result="Excluded"))</formula>
    </cfRule>
  </conditionalFormatting>
  <conditionalFormatting sqref="D9:E10 B9:B10">
    <cfRule type="expression" dxfId="775" priority="100">
      <formula>$E$9="Cause: Max number of Hosts per Cluster is 64."</formula>
    </cfRule>
  </conditionalFormatting>
  <conditionalFormatting sqref="E9">
    <cfRule type="expression" dxfId="774" priority="162">
      <formula>vcf_version_result="Excluded"</formula>
    </cfRule>
  </conditionalFormatting>
  <dataValidations count="28">
    <dataValidation type="list" allowBlank="1" showInputMessage="1" showErrorMessage="1" sqref="D176 D146 D239 D241:D242 D138" xr:uid="{3811AEB6-F2F0-EE48-9D3A-9674E5CA5224}">
      <formula1>"Selected,Unselected"</formula1>
    </dataValidation>
    <dataValidation type="list" allowBlank="1" showInputMessage="1" showErrorMessage="1" sqref="D145" xr:uid="{BF297065-A292-B94A-8A8D-34226032FCA6}">
      <formula1>storage_ftt</formula1>
    </dataValidation>
    <dataValidation type="list" allowBlank="1" showInputMessage="1" showErrorMessage="1" sqref="D216:D217 D221:D222 D226:D227 D231:D232 D236:D237" xr:uid="{DF9E634B-54CF-D84F-8B60-2A55CCED2116}">
      <formula1>"Active,Standby,Unused"</formula1>
    </dataValidation>
    <dataValidation type="list" allowBlank="1" showInputMessage="1" showErrorMessage="1" sqref="D215 D220 D225 D230 D235" xr:uid="{F2874E36-B5C6-5143-9B7D-C25981DE9BE7}">
      <formula1>"Route based on IP hash,Route based on source MAC hash,Route based on the source of the port ID,Use explicit failover order,Route Based on Physical NIC Load"</formula1>
    </dataValidation>
    <dataValidation type="list" allowBlank="1" showInputMessage="1" showErrorMessage="1" sqref="D261" xr:uid="{97DD5E61-671B-A049-BABD-72E1AD2758C2}">
      <formula1>"Load Balance Source,Failover Order,Load Balance Source MAC Address"</formula1>
    </dataValidation>
    <dataValidation type="list" allowBlank="1" showInputMessage="1" showErrorMessage="1" sqref="D240" xr:uid="{AF996C1F-71DF-274E-B2EF-8F204BB2F48C}">
      <formula1>"Standard,Enhanced Datapath Standard,Enhanced Datapath Dedicated"</formula1>
    </dataValidation>
    <dataValidation type="list" allowBlank="1" showInputMessage="1" showErrorMessage="1" sqref="D175" xr:uid="{2CFDEF2F-DDBC-254F-967A-6062966CD374}">
      <formula1>IF(cluster_secondary_storage_chosen="vSAN Storage Client Network",wld_cl01_vds_vsanmax_preconfigured_profiles,wld_cl01_vds_standard_preconfigured_profiles)</formula1>
    </dataValidation>
    <dataValidation type="list" allowBlank="1" showInputMessage="1" showErrorMessage="1" sqref="D246" xr:uid="{DE08ACB9-7989-E84E-8CB7-9C2BEFD1BB77}">
      <formula1>"DHCP,Static IP Pool"</formula1>
    </dataValidation>
    <dataValidation type="list" allowBlank="1" showInputMessage="1" showErrorMessage="1" sqref="B11" xr:uid="{7E4FA57C-784B-2B4B-AAEE-3D7F6BD7D784}">
      <formula1>table_vcf_version9x_cluster_storage_type</formula1>
    </dataValidation>
    <dataValidation type="list" allowBlank="1" showInputMessage="1" showErrorMessage="1" sqref="B12" xr:uid="{EBACAC01-9461-6146-A4D5-77C44D0F2D82}">
      <formula1>" Exclude,Secondary NFS Storage Network,vSAN Storage Client Network"</formula1>
    </dataValidation>
    <dataValidation type="list" allowBlank="1" showInputMessage="1" showErrorMessage="1" sqref="D247 D420" xr:uid="{B04A3CC5-A2AE-4149-B12B-B0EADD6BDF18}">
      <formula1>"Re-use an existing Pool,Create New Static IP Pool"</formula1>
    </dataValidation>
    <dataValidation type="list" allowBlank="1" showInputMessage="1" showErrorMessage="1" sqref="B14" xr:uid="{CB9AF8FC-75BF-B840-BAE1-8A478D3BAAB6}">
      <formula1>"Include,Exclude"</formula1>
    </dataValidation>
    <dataValidation type="list" allowBlank="1" showInputMessage="1" showErrorMessage="1" sqref="B8" xr:uid="{46402162-C398-744F-9813-2AEA8D0ED7E9}">
      <formula1>"Deploy a Single-Rack / Multi-Rack Layer 2 Cluster,Deploy a Multi-Rack Layer 3 Cluster"</formula1>
    </dataValidation>
    <dataValidation type="list" allowBlank="1" showInputMessage="1" showErrorMessage="1" sqref="B9" xr:uid="{6C8E78C8-E63B-BF4A-9E34-3590D0BB6FBE}">
      <formula1>"Exclude,1,2,3,4,5,6,7,8,9,10,11,12,13,14,15,16"</formula1>
    </dataValidation>
    <dataValidation type="list" allowBlank="1" showInputMessage="1" showErrorMessage="1" sqref="B10" xr:uid="{85FD78EA-8E70-3D4B-BC8C-F0F99D97D3EA}">
      <formula1>"Exclude,3,4,5,6,7"</formula1>
    </dataValidation>
    <dataValidation type="list" allowBlank="1" showInputMessage="1" showErrorMessage="1" sqref="B13 D294" xr:uid="{DB84F846-6867-3446-BB4D-65E6B02D5030}">
      <formula1>"Re-use an existing VCF Network Pool,Create a new VCF Network Pool"</formula1>
    </dataValidation>
    <dataValidation type="list" allowBlank="1" showInputMessage="1" showErrorMessage="1" sqref="D300 D316 D308 D373 D324" xr:uid="{27C3E5C4-FDD5-4748-A7D4-1787DC967E79}">
      <formula1>table_masks</formula1>
    </dataValidation>
    <dataValidation type="list" allowBlank="1" showInputMessage="1" showErrorMessage="1" sqref="D417" xr:uid="{75586F99-D106-CA46-B6D3-76D630620FEC}">
      <formula1>"Symmetric,Asymmetric"</formula1>
    </dataValidation>
    <dataValidation type="list" allowBlank="1" showInputMessage="1" showErrorMessage="1" sqref="D418" xr:uid="{623059D5-F95F-9640-BE3C-BB2D1B9E0644}">
      <formula1>"Primary,Secondary"</formula1>
    </dataValidation>
    <dataValidation type="list" allowBlank="1" showInputMessage="1" showErrorMessage="1" sqref="D183 D194 D205" xr:uid="{4E3965A0-3BF1-4E48-9CD1-E18FCB6D7359}">
      <formula1>"VDS Uplinks, VDS LAG"</formula1>
    </dataValidation>
    <dataValidation type="list" allowBlank="1" showInputMessage="1" showErrorMessage="1" sqref="D185 D196 D207" xr:uid="{6BE82285-977C-E949-A1FB-1C741920DEB2}">
      <formula1>"Active,Passive"</formula1>
    </dataValidation>
    <dataValidation type="list" allowBlank="1" showInputMessage="1" showErrorMessage="1" sqref="D186 D197 D208" xr:uid="{74FC30BA-D432-E841-AB37-5A965F16383C}">
      <formula1>lag_load_balancing</formula1>
    </dataValidation>
    <dataValidation type="list" allowBlank="1" showInputMessage="1" showErrorMessage="1" sqref="D187 D198 D209" xr:uid="{E9D0A69D-091F-E94F-857E-0748FAB5E088}">
      <formula1>"Slow,Fast"</formula1>
    </dataValidation>
    <dataValidation type="list" allowBlank="1" showInputMessage="1" showErrorMessage="1" sqref="D53 D64 D75 D86" xr:uid="{0C20DDD5-34DF-8C4D-BF5A-89B64738571F}">
      <formula1>"Static,DHCP,SLAAC"</formula1>
    </dataValidation>
    <dataValidation type="list" allowBlank="1" showInputMessage="1" showErrorMessage="1" sqref="D50 D61 D72 D83" xr:uid="{01BA80AB-0F5E-5647-AC31-5F06C49AC1BE}">
      <formula1>"IPv4,IPv6"</formula1>
    </dataValidation>
    <dataValidation type="list" allowBlank="1" showInputMessage="1" showErrorMessage="1" sqref="D115" xr:uid="{A954004D-24F8-004C-8DA5-4E8BD667B255}">
      <formula1>"Unselected,Selected"</formula1>
    </dataValidation>
    <dataValidation type="list" allowBlank="1" showInputMessage="1" showErrorMessage="1" sqref="D140" xr:uid="{8AEB5803-32C2-5246-B905-20C889CAECC9}">
      <formula1>"6 Hours,12 hours,1 Day,3 Days,7 Days"</formula1>
    </dataValidation>
    <dataValidation type="list" allowBlank="1" showInputMessage="1" showErrorMessage="1" sqref="D139" xr:uid="{6F4D925F-512F-EA43-B391-FFF0C796962E}">
      <formula1>"Default,Custom"</formula1>
    </dataValidation>
  </dataValidations>
  <pageMargins left="0.7" right="0.7" top="0.75" bottom="0.75" header="0.3" footer="0.3"/>
  <pageSetup paperSize="9" orientation="portrait" horizontalDpi="0" verticalDpi="0"/>
  <ignoredErrors>
    <ignoredError sqref="D145" numberStoredAsText="1"/>
  </ignoredErrors>
  <drawing r:id="rId1"/>
  <extLst>
    <ext xmlns:x14="http://schemas.microsoft.com/office/spreadsheetml/2009/9/main" uri="{78C0D931-6437-407d-A8EE-F0AAD7539E65}">
      <x14:conditionalFormattings>
        <x14:conditionalFormatting xmlns:xm="http://schemas.microsoft.com/office/excel/2006/main">
          <x14:cfRule type="containsText" priority="328" operator="containsText" id="{9A0BD65F-A1E4-AF45-9A88-63E1EA94DF01}">
            <xm:f>NOT(ISERROR(SEARCH("Value Missing",D19)))</xm:f>
            <xm:f>"Value Missing"</xm:f>
            <x14:dxf>
              <font>
                <color theme="1"/>
              </font>
              <fill>
                <patternFill>
                  <bgColor rgb="FFFFBE29"/>
                </patternFill>
              </fill>
            </x14:dxf>
          </x14:cfRule>
          <xm:sqref>D19 D24:D27 D29:D44 D48 D50:D59 D61:D70 D72:D81 D83:D92 D96:D118 D125 D130 D135:D150 D155:D170 D175:D176 D181:D212 D214:D217 D219:D222 D224:D227 D229:D232 D234:D237 D239:D242 D244:D254 D256:D263 D270:D273 D275:D290 D294:D295 D297:D303 D305:D311 D313:D319 D321:D327 D331:D352 D356:D359 D364:D380 D383:D386 D389:D391 D394:D396 D401:D432 D437 D440:D441 D444:D454</xm:sqref>
        </x14:conditionalFormatting>
        <x14:conditionalFormatting xmlns:xm="http://schemas.microsoft.com/office/excel/2006/main">
          <x14:cfRule type="containsText" priority="396" stopIfTrue="1" operator="containsText" id="{0A385B47-D6E5-CB44-AB9F-5502ADAEE367}">
            <xm:f>NOT(ISERROR(SEARCH("Value Missing",D60)))</xm:f>
            <xm:f>"Value Missing"</xm:f>
            <x14:dxf>
              <font>
                <color rgb="FF0E223A"/>
              </font>
              <fill>
                <patternFill>
                  <bgColor rgb="FFFFBE29"/>
                </patternFill>
              </fill>
            </x14:dxf>
          </x14:cfRule>
          <xm:sqref>D60</xm:sqref>
        </x14:conditionalFormatting>
        <x14:conditionalFormatting xmlns:xm="http://schemas.microsoft.com/office/excel/2006/main">
          <x14:cfRule type="containsText" priority="171" operator="containsText" id="{4E80F383-D640-334E-973C-BAC697783004}">
            <xm:f>NOT(ISERROR(SEARCH("A new layer 3 cluster will be added to the chosen Workloaded Domain - Additional Racks Tab must also be filled out",D8)))</xm:f>
            <xm:f>"A new layer 3 cluster will be added to the chosen Workloaded Domain - Additional Racks Tab must also be filled out"</xm:f>
            <x14:dxf>
              <font>
                <color theme="1"/>
              </font>
              <fill>
                <patternFill>
                  <bgColor rgb="FFFFBE29"/>
                </patternFill>
              </fill>
            </x14:dxf>
          </x14:cfRule>
          <xm:sqref>D8:E8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9971-0C8D-2D4A-8DB1-228218BCE545}">
  <sheetPr codeName="Sheet21"/>
  <dimension ref="B1:C37"/>
  <sheetViews>
    <sheetView workbookViewId="0">
      <selection activeCell="C40" sqref="C40"/>
    </sheetView>
  </sheetViews>
  <sheetFormatPr baseColWidth="10" defaultRowHeight="16" x14ac:dyDescent="0.2"/>
  <cols>
    <col min="2" max="2" width="45.83203125" bestFit="1" customWidth="1"/>
    <col min="3" max="3" width="43.6640625" bestFit="1" customWidth="1"/>
  </cols>
  <sheetData>
    <row r="1" spans="2:3" x14ac:dyDescent="0.2">
      <c r="B1" t="s">
        <v>3019</v>
      </c>
      <c r="C1" t="s">
        <v>3020</v>
      </c>
    </row>
    <row r="2" spans="2:3" x14ac:dyDescent="0.2">
      <c r="B2" s="9" t="s">
        <v>3008</v>
      </c>
      <c r="C2" s="9" t="s">
        <v>2996</v>
      </c>
    </row>
    <row r="3" spans="2:3" x14ac:dyDescent="0.2">
      <c r="B3" s="9" t="s">
        <v>3009</v>
      </c>
      <c r="C3" s="9" t="s">
        <v>2997</v>
      </c>
    </row>
    <row r="4" spans="2:3" x14ac:dyDescent="0.2">
      <c r="B4" s="9" t="s">
        <v>3010</v>
      </c>
      <c r="C4" s="9" t="s">
        <v>2998</v>
      </c>
    </row>
    <row r="5" spans="2:3" x14ac:dyDescent="0.2">
      <c r="B5" s="9" t="s">
        <v>3011</v>
      </c>
      <c r="C5" s="9" t="s">
        <v>2999</v>
      </c>
    </row>
    <row r="6" spans="2:3" x14ac:dyDescent="0.2">
      <c r="B6" s="9" t="s">
        <v>3012</v>
      </c>
      <c r="C6" s="9" t="s">
        <v>3000</v>
      </c>
    </row>
    <row r="7" spans="2:3" x14ac:dyDescent="0.2">
      <c r="B7" s="9" t="s">
        <v>3013</v>
      </c>
      <c r="C7" s="9" t="s">
        <v>3001</v>
      </c>
    </row>
    <row r="8" spans="2:3" x14ac:dyDescent="0.2">
      <c r="B8" s="9" t="s">
        <v>3014</v>
      </c>
      <c r="C8" s="9" t="s">
        <v>3002</v>
      </c>
    </row>
    <row r="9" spans="2:3" x14ac:dyDescent="0.2">
      <c r="B9" s="9" t="s">
        <v>3015</v>
      </c>
      <c r="C9" s="9" t="s">
        <v>3003</v>
      </c>
    </row>
    <row r="10" spans="2:3" x14ac:dyDescent="0.2">
      <c r="B10" s="9" t="s">
        <v>3016</v>
      </c>
      <c r="C10" s="9" t="s">
        <v>3004</v>
      </c>
    </row>
    <row r="11" spans="2:3" x14ac:dyDescent="0.2">
      <c r="B11" s="9" t="s">
        <v>3017</v>
      </c>
      <c r="C11" s="9" t="s">
        <v>3005</v>
      </c>
    </row>
    <row r="12" spans="2:3" x14ac:dyDescent="0.2">
      <c r="B12" s="9" t="s">
        <v>3017</v>
      </c>
      <c r="C12" s="9" t="s">
        <v>3006</v>
      </c>
    </row>
    <row r="13" spans="2:3" x14ac:dyDescent="0.2">
      <c r="B13" s="9" t="s">
        <v>3018</v>
      </c>
      <c r="C13" s="9" t="s">
        <v>3007</v>
      </c>
    </row>
    <row r="14" spans="2:3" x14ac:dyDescent="0.2">
      <c r="B14" s="9" t="s">
        <v>3022</v>
      </c>
      <c r="C14" s="9" t="s">
        <v>3021</v>
      </c>
    </row>
    <row r="15" spans="2:3" x14ac:dyDescent="0.2">
      <c r="B15" s="9" t="s">
        <v>3023</v>
      </c>
      <c r="C15" s="9" t="s">
        <v>3009</v>
      </c>
    </row>
    <row r="16" spans="2:3" x14ac:dyDescent="0.2">
      <c r="B16" s="9" t="s">
        <v>3024</v>
      </c>
      <c r="C16" s="9" t="s">
        <v>3012</v>
      </c>
    </row>
    <row r="17" spans="2:3" x14ac:dyDescent="0.2">
      <c r="B17" s="9" t="s">
        <v>3025</v>
      </c>
      <c r="C17" s="9" t="s">
        <v>3026</v>
      </c>
    </row>
    <row r="18" spans="2:3" x14ac:dyDescent="0.2">
      <c r="B18" s="9" t="s">
        <v>3027</v>
      </c>
      <c r="C18" s="9" t="s">
        <v>3028</v>
      </c>
    </row>
    <row r="19" spans="2:3" x14ac:dyDescent="0.2">
      <c r="B19" s="9" t="s">
        <v>3029</v>
      </c>
      <c r="C19" s="9" t="s">
        <v>3030</v>
      </c>
    </row>
    <row r="20" spans="2:3" x14ac:dyDescent="0.2">
      <c r="B20" s="9" t="s">
        <v>3031</v>
      </c>
      <c r="C20" s="9" t="s">
        <v>3032</v>
      </c>
    </row>
    <row r="21" spans="2:3" x14ac:dyDescent="0.2">
      <c r="B21" s="9" t="s">
        <v>3033</v>
      </c>
      <c r="C21" s="9" t="s">
        <v>3034</v>
      </c>
    </row>
    <row r="22" spans="2:3" x14ac:dyDescent="0.2">
      <c r="B22" s="9" t="s">
        <v>3035</v>
      </c>
      <c r="C22" s="9" t="s">
        <v>3036</v>
      </c>
    </row>
    <row r="23" spans="2:3" x14ac:dyDescent="0.2">
      <c r="B23" s="9" t="s">
        <v>3037</v>
      </c>
      <c r="C23" s="9" t="s">
        <v>3038</v>
      </c>
    </row>
    <row r="24" spans="2:3" x14ac:dyDescent="0.2">
      <c r="B24" s="9" t="s">
        <v>3039</v>
      </c>
      <c r="C24" s="9" t="s">
        <v>3040</v>
      </c>
    </row>
    <row r="25" spans="2:3" x14ac:dyDescent="0.2">
      <c r="B25" s="9" t="s">
        <v>3041</v>
      </c>
      <c r="C25" s="9" t="s">
        <v>3042</v>
      </c>
    </row>
    <row r="26" spans="2:3" x14ac:dyDescent="0.2">
      <c r="B26" s="9" t="s">
        <v>3043</v>
      </c>
      <c r="C26" s="9" t="s">
        <v>3044</v>
      </c>
    </row>
    <row r="27" spans="2:3" x14ac:dyDescent="0.2">
      <c r="B27" s="9" t="s">
        <v>3045</v>
      </c>
      <c r="C27" s="9" t="s">
        <v>3046</v>
      </c>
    </row>
    <row r="28" spans="2:3" x14ac:dyDescent="0.2">
      <c r="B28" s="9" t="s">
        <v>3047</v>
      </c>
      <c r="C28" s="9" t="s">
        <v>3048</v>
      </c>
    </row>
    <row r="29" spans="2:3" x14ac:dyDescent="0.2">
      <c r="B29" s="9" t="s">
        <v>3051</v>
      </c>
      <c r="C29" s="9" t="s">
        <v>3053</v>
      </c>
    </row>
    <row r="30" spans="2:3" x14ac:dyDescent="0.2">
      <c r="B30" s="9" t="s">
        <v>3052</v>
      </c>
      <c r="C30" s="9" t="s">
        <v>3054</v>
      </c>
    </row>
    <row r="31" spans="2:3" x14ac:dyDescent="0.2">
      <c r="B31" s="9" t="s">
        <v>3050</v>
      </c>
      <c r="C31" s="9" t="s">
        <v>3049</v>
      </c>
    </row>
    <row r="32" spans="2:3" x14ac:dyDescent="0.2">
      <c r="B32" s="9" t="s">
        <v>3066</v>
      </c>
      <c r="C32" s="9" t="s">
        <v>3062</v>
      </c>
    </row>
    <row r="33" spans="2:3" x14ac:dyDescent="0.2">
      <c r="B33" s="9" t="s">
        <v>3067</v>
      </c>
      <c r="C33" s="9" t="s">
        <v>3063</v>
      </c>
    </row>
    <row r="34" spans="2:3" x14ac:dyDescent="0.2">
      <c r="B34" s="9" t="s">
        <v>3068</v>
      </c>
      <c r="C34" s="9" t="s">
        <v>3064</v>
      </c>
    </row>
    <row r="35" spans="2:3" x14ac:dyDescent="0.2">
      <c r="B35" s="9" t="s">
        <v>3069</v>
      </c>
      <c r="C35" s="9" t="s">
        <v>3065</v>
      </c>
    </row>
    <row r="36" spans="2:3" x14ac:dyDescent="0.2">
      <c r="B36" s="9" t="s">
        <v>3078</v>
      </c>
      <c r="C36" s="9" t="s">
        <v>3079</v>
      </c>
    </row>
    <row r="37" spans="2:3" x14ac:dyDescent="0.2">
      <c r="C37" s="9"/>
    </row>
  </sheetData>
  <sheetProtection algorithmName="SHA-512" hashValue="CkxKXOcog3ji78486liVipiawT2abOJb1UPbL+o0o/WWE0u4KBkr6Eg925bblDfauuYSe9Bh5RrVCMkG6UUjxA==" saltValue="ucCMZObUIuMp+CRluacl3w=="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732C6-4551-7E4C-9C98-306D32A434DF}">
  <sheetPr codeName="Sheet20"/>
  <dimension ref="A1:Z81"/>
  <sheetViews>
    <sheetView topLeftCell="A27" workbookViewId="0">
      <selection activeCell="X74" sqref="X74"/>
    </sheetView>
  </sheetViews>
  <sheetFormatPr baseColWidth="10" defaultRowHeight="16" x14ac:dyDescent="0.2"/>
  <cols>
    <col min="1" max="1" width="45.83203125" style="9" bestFit="1" customWidth="1"/>
    <col min="2" max="2" width="25.1640625" style="9" bestFit="1" customWidth="1"/>
    <col min="3" max="3" width="15.5" style="9" bestFit="1" customWidth="1"/>
    <col min="4" max="4" width="11.83203125" style="9" bestFit="1" customWidth="1"/>
    <col min="5" max="6" width="10.83203125" style="9" customWidth="1"/>
    <col min="7" max="22" width="10.83203125" style="9"/>
    <col min="23" max="23" width="23.6640625" style="9" bestFit="1" customWidth="1"/>
    <col min="24" max="24" width="30.6640625" style="9" bestFit="1" customWidth="1"/>
    <col min="25" max="25" width="10.83203125" style="9"/>
    <col min="26" max="26" width="60.83203125" style="9" bestFit="1" customWidth="1"/>
    <col min="27" max="16384" width="10.83203125" style="9"/>
  </cols>
  <sheetData>
    <row r="1" spans="1:26" x14ac:dyDescent="0.2">
      <c r="A1" s="332" t="s">
        <v>962</v>
      </c>
    </row>
    <row r="2" spans="1:26" x14ac:dyDescent="0.2">
      <c r="A2" s="9" t="s">
        <v>963</v>
      </c>
      <c r="B2" s="345">
        <v>91002</v>
      </c>
      <c r="W2" s="9" t="s">
        <v>3091</v>
      </c>
    </row>
    <row r="3" spans="1:26" ht="18" x14ac:dyDescent="0.2">
      <c r="A3" s="9" t="s">
        <v>964</v>
      </c>
      <c r="B3" s="9" t="str">
        <f>IF(flt_custom_network_chosen="Shared Management Network",IF(mgmt_dpg_reuse_result="Included",CONCATENATE(prefix_mgmt_az1_cidr,"10.0/24"),CONCATENATE(prefix_mgmt_az1_cidr,"11.0/24")),IF(flt_custom_network_chosen="Overlay",CONCATENATE(prefix_xreg_cidr,".0/24"),CONCATENATE(prefix_flt_shared_cidr,".0/24")))</f>
        <v>10.11.99.0/24</v>
      </c>
      <c r="W3" s="412" t="s">
        <v>745</v>
      </c>
      <c r="X3" s="413"/>
      <c r="Y3" s="413"/>
      <c r="Z3" s="414"/>
    </row>
    <row r="4" spans="1:26" x14ac:dyDescent="0.2">
      <c r="A4" s="9" t="s">
        <v>965</v>
      </c>
      <c r="B4" s="9" t="str">
        <f>IF(flt_custom_network_chosen="Shared Management Network",IF(mgmt_dpg_reuse_result="Included",CONCATENATE(prefix_mgmt_az1_cidr,"10.0"),CONCATENATE(prefix_mgmt_az1_cidr,"11.0")),IF(flt_custom_network_chosen="Overlay",CONCATENATE(prefix_xreg_cidr,".0"),CONCATENATE(prefix_flt_shared_cidr,".0")))</f>
        <v>10.11.99.0</v>
      </c>
      <c r="W4" s="521" t="s">
        <v>749</v>
      </c>
      <c r="X4" s="522"/>
      <c r="Y4" s="522"/>
      <c r="Z4" s="523"/>
    </row>
    <row r="5" spans="1:26" x14ac:dyDescent="0.2">
      <c r="A5" s="9" t="s">
        <v>966</v>
      </c>
      <c r="B5" s="9" t="str">
        <f>IF(flt_custom_network_chosen="Shared Management Network",IF(mgmt_dpg_reuse_result="Included",CONCATENATE(prefix_mgmt_az1_cidr,"10.1"),CONCATENATE(prefix_mgmt_az1_cidr,"11.1")),IF(flt_custom_network_chosen="Overlay",CONCATENATE(prefix_xreg_cidr,".1"),CONCATENATE(prefix_flt_shared_cidr,".1")))</f>
        <v>10.11.99.1</v>
      </c>
      <c r="W5" s="4" t="s">
        <v>750</v>
      </c>
      <c r="X5" s="65" t="str">
        <f>CONCATENATE("overlay-tz-",this_instance,"-m01-nsx01")</f>
        <v>overlay-tz-sfo-m01-nsx01</v>
      </c>
      <c r="Y5" s="66"/>
      <c r="Z5" s="8" t="str">
        <f>IF(mgmt_domain_existing_vcenter_chosen="Selected","Inputs are masked out as you have opted to import an existing vCenter Server",
IF(mgmt_cl01_vds_profile_chosen="Storage Traffic Separation","Overlay Traffic will be configured on Primary Distributed Switch",
IF(mgmt_cl01_vds_profile_chosen="NSX Traffic Separation","Overlay Traffic will be configured on Secondary Distributed Switch",
IF(mgmt_cl01_vds_profile_chosen="Storage Traffic and NSX Traffic Separation","Overlay Traffic will be configured on Tertiary Distributed Switch",
IF(mgmt_cl01_vds_profile_chosen="Custom","","Overlay Traffic will be configured on Primary Distributed Switch")))))</f>
        <v>Overlay Traffic will be configured on Tertiary Distributed Switch</v>
      </c>
    </row>
    <row r="6" spans="1:26" ht="17" x14ac:dyDescent="0.2">
      <c r="A6" s="9" t="s">
        <v>967</v>
      </c>
      <c r="B6" s="9" t="s">
        <v>126</v>
      </c>
      <c r="W6" s="4" t="s">
        <v>753</v>
      </c>
      <c r="X6" s="109" t="str">
        <f>CONCATENATE(this_instance,"01-m01","-r01-ip-pool01-host")</f>
        <v>sfo01-m01-r01-ip-pool01-host</v>
      </c>
      <c r="Y6" s="66"/>
      <c r="Z6" s="4" t="str">
        <f>IF(mgmt_host_overlay_addressing_chosen&lt;&gt;"IP Pool","This input is masked out and only required if configuring IP Pools for Host Overlay","")</f>
        <v/>
      </c>
    </row>
    <row r="7" spans="1:26" x14ac:dyDescent="0.2">
      <c r="A7" s="9" t="s">
        <v>968</v>
      </c>
      <c r="B7" s="9">
        <v>9000</v>
      </c>
      <c r="W7" s="4" t="s">
        <v>252</v>
      </c>
      <c r="X7" s="103" t="s">
        <v>754</v>
      </c>
      <c r="Y7" s="66"/>
      <c r="Z7" s="4" t="str">
        <f>IF(mgmt_host_overlay_addressing_chosen&lt;&gt;"IP Pool","This input is masked out and only required if configuring IP Pools for Host Overlay","")</f>
        <v/>
      </c>
    </row>
    <row r="8" spans="1:26" x14ac:dyDescent="0.2">
      <c r="A8" s="9" t="s">
        <v>969</v>
      </c>
      <c r="B8" s="9" t="str">
        <f>CONCATENATE(MID(B5, FIND(".",B5)+1, FIND(".",B5,FIND(".",B5)+1) - FIND(".",B5) - 1),MID(B5, FIND(".", B5, FIND(".", B5)+1)+1, FIND(".", B5, FIND(".", B5, FIND(".", B5)+1)+1) - (FIND(".", B5, FIND(".", B5)+1)+1) ))</f>
        <v>1199</v>
      </c>
    </row>
    <row r="9" spans="1:26" x14ac:dyDescent="0.2">
      <c r="W9" s="521" t="s">
        <v>2830</v>
      </c>
      <c r="X9" s="522"/>
      <c r="Y9" s="522"/>
      <c r="Z9" s="523"/>
    </row>
    <row r="10" spans="1:26" x14ac:dyDescent="0.2">
      <c r="A10" s="332" t="s">
        <v>970</v>
      </c>
      <c r="W10" s="4" t="s">
        <v>2832</v>
      </c>
      <c r="X10" s="65" t="s">
        <v>140</v>
      </c>
      <c r="Y10" s="66" t="s">
        <v>140</v>
      </c>
      <c r="Z10" s="8" t="str">
        <f>IF(mgmt_domain_password_creation_chosen="Selected","Inputs are masked out as you have opted to deploy with system generated passwords","")</f>
        <v/>
      </c>
    </row>
    <row r="11" spans="1:26" x14ac:dyDescent="0.2">
      <c r="A11" s="4" t="s">
        <v>971</v>
      </c>
      <c r="B11" s="103" t="str">
        <f>CONCATENATE(this_instance,".rainpole.io")</f>
        <v>sfo.rainpole.io</v>
      </c>
      <c r="C11" s="66"/>
    </row>
    <row r="12" spans="1:26" x14ac:dyDescent="0.2">
      <c r="A12" s="4" t="s">
        <v>972</v>
      </c>
      <c r="B12" s="103" t="str">
        <f>CONCATENATE(other_instance,".rainpole.io")</f>
        <v>lax.rainpole.io</v>
      </c>
      <c r="C12" s="66"/>
      <c r="W12" s="9" t="s">
        <v>3334</v>
      </c>
      <c r="X12" s="65"/>
    </row>
    <row r="13" spans="1:26" x14ac:dyDescent="0.2">
      <c r="A13" s="4" t="s">
        <v>973</v>
      </c>
      <c r="B13" s="103" t="str">
        <f>IF(mgmt_dpg_reuse_result="Included",CONCATENATE(prefix_mgmt_az1_cidr,"10.4"),CONCATENATE(prefix_mgmt_az1_cidr,"11.4"))</f>
        <v>10.11.10.4</v>
      </c>
      <c r="C13" s="66"/>
      <c r="W13" s="537" t="s">
        <v>530</v>
      </c>
      <c r="X13" s="538"/>
      <c r="Y13" s="538"/>
      <c r="Z13" s="539"/>
    </row>
    <row r="14" spans="1:26" x14ac:dyDescent="0.2">
      <c r="A14" s="4" t="s">
        <v>974</v>
      </c>
      <c r="B14" s="103" t="str">
        <f>IF(mgmt_dpg_reuse_result="Included",CONCATENATE(prefix_mgmt_az1_cidr,"10.5"),CONCATENATE(prefix_mgmt_az1_cidr,"11.5"))</f>
        <v>10.11.10.5</v>
      </c>
      <c r="C14" s="66"/>
      <c r="W14" s="4" t="s">
        <v>531</v>
      </c>
      <c r="X14" s="122" t="s">
        <v>532</v>
      </c>
      <c r="Y14" s="66" t="s">
        <v>532</v>
      </c>
      <c r="Z14" s="8" t="str">
        <f>IF(vcf_automation_cert_type_chosen="Generate Certificate","Create a self signed cert in VMware Cloud Foundation Operations",IF(vcf_automation_cert_type_chosen="Import Certificate","Import a signed cert from your CA",""))</f>
        <v>Create a self signed cert in VMware Cloud Foundation Operations</v>
      </c>
    </row>
    <row r="15" spans="1:26" x14ac:dyDescent="0.2">
      <c r="A15" s="4" t="s">
        <v>975</v>
      </c>
      <c r="B15" s="103" t="str">
        <f>CONCATENATE(this_instance,"-ad01")</f>
        <v>sfo-ad01</v>
      </c>
      <c r="C15" s="66"/>
      <c r="W15" s="4" t="s">
        <v>533</v>
      </c>
      <c r="X15" s="122" t="str">
        <f>CONCATENATE(prefix_portable_component,"-auto01","-cert")</f>
        <v>flt-auto01-cert</v>
      </c>
      <c r="Y15" s="66"/>
      <c r="Z15" s="8"/>
    </row>
    <row r="16" spans="1:26" x14ac:dyDescent="0.2">
      <c r="A16" s="4" t="s">
        <v>976</v>
      </c>
      <c r="B16" s="103" t="s">
        <v>977</v>
      </c>
      <c r="C16" s="66"/>
      <c r="W16" s="4" t="s">
        <v>534</v>
      </c>
      <c r="X16" s="122" t="str">
        <f>CONCATENATE(prefix_portable_component,"-auto01","-cert.pem")</f>
        <v>flt-auto01-cert.pem</v>
      </c>
      <c r="Y16" s="66"/>
      <c r="Z16" s="8"/>
    </row>
    <row r="17" spans="1:26" x14ac:dyDescent="0.2">
      <c r="A17" s="4" t="s">
        <v>978</v>
      </c>
      <c r="B17" s="103">
        <v>25</v>
      </c>
      <c r="C17" s="66"/>
      <c r="W17" s="4" t="s">
        <v>535</v>
      </c>
      <c r="X17" s="122" t="str">
        <f>CONCATENATE(prefix_portable_component,"-auto01.",sample_parent_dns_zone)</f>
        <v>flt-auto01.rainpole.io</v>
      </c>
      <c r="Y17" s="66"/>
      <c r="Z17" s="8"/>
    </row>
    <row r="18" spans="1:26" x14ac:dyDescent="0.2">
      <c r="A18" s="4" t="s">
        <v>979</v>
      </c>
      <c r="B18" s="103" t="str">
        <f>CONCATENATE("ntp.",this_instance,".rainpole.io")</f>
        <v>ntp.sfo.rainpole.io</v>
      </c>
      <c r="C18" s="66"/>
      <c r="W18" s="4" t="s">
        <v>536</v>
      </c>
      <c r="X18" s="122" t="s">
        <v>60</v>
      </c>
      <c r="Y18" s="66"/>
      <c r="Z18" s="8"/>
    </row>
    <row r="19" spans="1:26" x14ac:dyDescent="0.2">
      <c r="A19" s="4" t="s">
        <v>980</v>
      </c>
      <c r="B19" s="103" t="str">
        <f>CONCATENATE("ntp.",other_instance,".rainpole.io")</f>
        <v>ntp.lax.rainpole.io</v>
      </c>
      <c r="C19" s="249"/>
      <c r="W19" s="4" t="s">
        <v>537</v>
      </c>
      <c r="X19" s="122" t="s">
        <v>62</v>
      </c>
      <c r="Y19" s="66"/>
      <c r="Z19" s="8"/>
    </row>
    <row r="20" spans="1:26" x14ac:dyDescent="0.2">
      <c r="A20" s="2"/>
      <c r="B20" s="10" t="str">
        <f>CONCATENATE(prefix_wld_az1_rack_cidr,"23.0/24")</f>
        <v>10.13.23.0/24</v>
      </c>
      <c r="C20" s="66"/>
      <c r="W20" s="4" t="s">
        <v>538</v>
      </c>
      <c r="X20" s="122" t="s">
        <v>64</v>
      </c>
      <c r="Y20" s="66"/>
      <c r="Z20" s="8"/>
    </row>
    <row r="21" spans="1:26" x14ac:dyDescent="0.2">
      <c r="A21" s="2"/>
      <c r="B21" s="10" t="str">
        <f>CONCATENATE(prefix_wld_az1_rack_cidr,"24.0/24")</f>
        <v>10.13.24.0/24</v>
      </c>
      <c r="C21" s="66"/>
      <c r="W21" s="4" t="s">
        <v>539</v>
      </c>
      <c r="X21" s="122" t="s">
        <v>68</v>
      </c>
      <c r="Y21" s="66"/>
      <c r="Z21" s="8"/>
    </row>
    <row r="22" spans="1:26" x14ac:dyDescent="0.2">
      <c r="A22" s="2"/>
      <c r="B22" s="10" t="str">
        <f>CONCATENATE(prefix_wld_az1_rack_cidr,"26.0/24")</f>
        <v>10.13.26.0/24</v>
      </c>
      <c r="C22" s="66"/>
      <c r="W22" s="4" t="s">
        <v>540</v>
      </c>
      <c r="X22" s="122" t="s">
        <v>66</v>
      </c>
      <c r="Y22" s="66"/>
      <c r="Z22" s="8"/>
    </row>
    <row r="23" spans="1:26" x14ac:dyDescent="0.2">
      <c r="A23" s="2"/>
      <c r="B23" s="10" t="str">
        <f>CONCATENATE(prefix_wld_az1_rack_cidr,"25.0/24")</f>
        <v>10.13.25.0/24</v>
      </c>
      <c r="C23" s="66"/>
      <c r="W23" s="4" t="s">
        <v>541</v>
      </c>
      <c r="X23" s="122">
        <v>4096</v>
      </c>
      <c r="Y23" s="66" t="s">
        <v>542</v>
      </c>
      <c r="Z23" s="8"/>
    </row>
    <row r="24" spans="1:26" x14ac:dyDescent="0.2">
      <c r="A24" s="2"/>
      <c r="B24" s="10" t="str">
        <f>CONCATENATE(prefix_wld_az1_rack_cidr,"34.0/24")</f>
        <v>10.13.34.0/24</v>
      </c>
      <c r="C24" s="66"/>
      <c r="W24" s="4" t="s">
        <v>544</v>
      </c>
      <c r="X24" s="65" t="str">
        <f>sample_vcf_automation_cert_alias</f>
        <v>flt-auto01-cert</v>
      </c>
      <c r="Y24" s="66"/>
      <c r="Z24" s="8"/>
    </row>
    <row r="25" spans="1:26" x14ac:dyDescent="0.2">
      <c r="A25" s="2"/>
      <c r="B25" s="10" t="str">
        <f>CONCATENATE(prefix_wld_az1_rack_cidr,"35.0/24")</f>
        <v>10.13.35.0/24</v>
      </c>
      <c r="C25" s="66"/>
      <c r="W25" s="537" t="s">
        <v>545</v>
      </c>
      <c r="X25" s="538"/>
      <c r="Y25" s="538"/>
      <c r="Z25" s="539"/>
    </row>
    <row r="26" spans="1:26" x14ac:dyDescent="0.2">
      <c r="A26" s="2"/>
      <c r="B26" s="10" t="str">
        <f>CONCATENATE(prefix_wld_az1_rack_cidr,"37.0/24")</f>
        <v>10.13.37.0/24</v>
      </c>
      <c r="C26" s="66"/>
      <c r="W26" s="4" t="s">
        <v>546</v>
      </c>
      <c r="X26" s="65" t="str">
        <f>sample_mgmt_vc_fqdn</f>
        <v>sfo-m01-vc01.sfo.rainpole.io</v>
      </c>
      <c r="Y26" s="8" t="str">
        <f>mgmt_vc_fqdn</f>
        <v>Value Missing</v>
      </c>
      <c r="Z26" s="8"/>
    </row>
    <row r="27" spans="1:26" x14ac:dyDescent="0.2">
      <c r="A27" s="2"/>
      <c r="B27" s="10" t="str">
        <f>CONCATENATE(prefix_wld_az1_rack_cidr,"36.0/24")</f>
        <v>10.13.36.0/24</v>
      </c>
      <c r="C27" s="66"/>
      <c r="W27" s="4" t="s">
        <v>547</v>
      </c>
      <c r="X27" s="65" t="str">
        <f>CONCATENATE(sample_mgmt_datacenter,"#",sample_mgmt_cl01_cluster)</f>
        <v>sfo-m01-dc01#sfo-m01-cl01</v>
      </c>
      <c r="Y27" s="66"/>
      <c r="Z27" s="8"/>
    </row>
    <row r="28" spans="1:26" x14ac:dyDescent="0.2">
      <c r="A28" s="2"/>
      <c r="B28" s="10" t="str">
        <f>CONCATENATE(prefix_wld_az1_rack_cidr,"45.0/24")</f>
        <v>10.13.45.0/24</v>
      </c>
      <c r="C28" s="66"/>
      <c r="W28" s="4" t="s">
        <v>548</v>
      </c>
      <c r="X28" s="65" t="str">
        <f>CONCATENATE(this_instance,"-m01-cl01-fd-vcfauto01")</f>
        <v>sfo-m01-cl01-fd-vcfauto01</v>
      </c>
      <c r="Y28" s="66"/>
      <c r="Z28" s="8" t="s">
        <v>549</v>
      </c>
    </row>
    <row r="29" spans="1:26" x14ac:dyDescent="0.2">
      <c r="A29" s="2"/>
      <c r="B29" s="10" t="str">
        <f>CONCATENATE(prefix_wld_az1_rack_cidr,"46.0/24")</f>
        <v>10.13.46.0/24</v>
      </c>
      <c r="C29" s="66"/>
      <c r="W29" s="4" t="s">
        <v>550</v>
      </c>
      <c r="X29" s="65" t="str">
        <f>CONCATENATE(this_instance,"-m01-cl01-rp-vcfauto01")</f>
        <v>sfo-m01-cl01-rp-vcfauto01</v>
      </c>
      <c r="Y29" s="66"/>
      <c r="Z29" s="8" t="s">
        <v>549</v>
      </c>
    </row>
    <row r="30" spans="1:26" x14ac:dyDescent="0.2">
      <c r="A30" s="2"/>
      <c r="B30" s="10" t="str">
        <f>CONCATENATE(prefix_wld_az1_rack_cidr,"48.0/24")</f>
        <v>10.13.48.0/24</v>
      </c>
      <c r="C30" s="66"/>
      <c r="W30" s="4" t="s">
        <v>551</v>
      </c>
      <c r="X30"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sfo-m01-cl01-vds01-pg-flt-mgmt</v>
      </c>
      <c r="Y30" s="66"/>
      <c r="Z30" s="8" t="s">
        <v>549</v>
      </c>
    </row>
    <row r="31" spans="1:26" x14ac:dyDescent="0.2">
      <c r="A31" s="2"/>
      <c r="B31" s="10" t="str">
        <f>CONCATENATE(prefix_wld_az1_rack_cidr,"47.0/24")</f>
        <v>10.13.47.0/24</v>
      </c>
      <c r="C31" s="66"/>
      <c r="W31" s="4" t="s">
        <v>552</v>
      </c>
      <c r="X31" s="65" t="str">
        <f>sample_mgmt_cl01_vsan_datastore</f>
        <v>sfo-m01-cl01-ds-vsan01</v>
      </c>
      <c r="Y31" s="8"/>
      <c r="Z31" s="8"/>
    </row>
    <row r="32" spans="1:26" x14ac:dyDescent="0.2">
      <c r="A32" s="2"/>
      <c r="B32" s="10" t="str">
        <f>CONCATENATE(prefix_wld_az1_rack_cidr,"56.0/24")</f>
        <v>10.13.56.0/24</v>
      </c>
      <c r="C32" s="66"/>
      <c r="W32" s="537" t="s">
        <v>241</v>
      </c>
      <c r="X32" s="538"/>
      <c r="Y32" s="538"/>
      <c r="Z32" s="539"/>
    </row>
    <row r="33" spans="1:26" x14ac:dyDescent="0.2">
      <c r="A33" s="2"/>
      <c r="B33" s="10" t="str">
        <f>CONCATENATE(prefix_wld_az1_rack_cidr,"57.0/24")</f>
        <v>10.13.57.0/24</v>
      </c>
      <c r="C33" s="66"/>
      <c r="W33" s="4" t="s">
        <v>553</v>
      </c>
      <c r="X33" s="65" t="str">
        <f>sample_parent_dns_zone</f>
        <v>rainpole.io</v>
      </c>
      <c r="Y33" s="8" t="str">
        <f>parent_dns_zone</f>
        <v>Value Missing</v>
      </c>
      <c r="Z33" s="8"/>
    </row>
    <row r="34" spans="1:26" x14ac:dyDescent="0.2">
      <c r="A34" s="2"/>
      <c r="B34" s="10" t="str">
        <f>CONCATENATE(prefix_wld_az1_rack_cidr,"59.0/24")</f>
        <v>10.13.59.0/24</v>
      </c>
      <c r="C34" s="66"/>
      <c r="W34" s="4" t="s">
        <v>554</v>
      </c>
      <c r="X34" s="65" t="str">
        <f>sample_parent_dns_zone</f>
        <v>rainpole.io</v>
      </c>
      <c r="Y34" s="8" t="str">
        <f>parent_dns_zone</f>
        <v>Value Missing</v>
      </c>
      <c r="Z34" s="8"/>
    </row>
    <row r="35" spans="1:26" ht="17" x14ac:dyDescent="0.2">
      <c r="A35" s="2"/>
      <c r="B35" s="10" t="str">
        <f>CONCATENATE(prefix_wld_az1_rack_cidr,"58.0/24")</f>
        <v>10.13.58.0/24</v>
      </c>
      <c r="C35" s="66"/>
      <c r="W35" s="4" t="s">
        <v>555</v>
      </c>
      <c r="X35" s="153" t="str">
        <f>CONCATENATE(sample_region_dns1_ip,",",sample_region_dns2_ip)</f>
        <v>10.11.10.4,10.11.10.5</v>
      </c>
      <c r="Y35" s="8" t="str">
        <f>CONCATENATE(region_dns1_ip,",",region_dns2_ip)</f>
        <v>Value Missing,Value Missing</v>
      </c>
      <c r="Z35" s="8"/>
    </row>
    <row r="36" spans="1:26" ht="17" x14ac:dyDescent="0.2">
      <c r="A36" s="2"/>
      <c r="B36" s="10" t="str">
        <f>CONCATENATE(prefix_wld_az1_rack_cidr,"67.0/24")</f>
        <v>10.13.67.0/24</v>
      </c>
      <c r="C36" s="66"/>
      <c r="W36" s="4" t="s">
        <v>556</v>
      </c>
      <c r="X36" s="153" t="s">
        <v>557</v>
      </c>
      <c r="Y36" s="66" t="s">
        <v>557</v>
      </c>
      <c r="Z36" s="8"/>
    </row>
    <row r="37" spans="1:26" x14ac:dyDescent="0.2">
      <c r="A37" s="2"/>
      <c r="B37" s="10" t="str">
        <f>CONCATENATE(prefix_wld_az1_rack_cidr,"68.0/24")</f>
        <v>10.13.68.0/24</v>
      </c>
      <c r="C37" s="66"/>
      <c r="W37" s="4" t="s">
        <v>288</v>
      </c>
      <c r="X37" s="65" t="str">
        <f>CONCATENATE(sample_region_ntp1_server,",",sample_region_ntp2_server)</f>
        <v>ntp0.sfo.rainpole.io,ntp1.sfo.rainpole.io</v>
      </c>
      <c r="Y37" s="8" t="str">
        <f>CONCATENATE(region_ntp1_server,",",region_ntp2_server)</f>
        <v>Value Missing,Value Missing</v>
      </c>
      <c r="Z37" s="8"/>
    </row>
    <row r="38" spans="1:26" x14ac:dyDescent="0.2">
      <c r="A38" s="2"/>
      <c r="B38" s="10" t="str">
        <f>CONCATENATE(prefix_wld_az1_rack_cidr,"70.0/24")</f>
        <v>10.13.70.0/24</v>
      </c>
      <c r="C38" s="66"/>
      <c r="W38" s="4" t="s">
        <v>558</v>
      </c>
      <c r="X38" s="65" t="str">
        <f>IF(flt_custom_network_chosen="Shared Management Network",IF(mgmt_dpg_reuse_result="Included",CONCATENATE(prefix_mgmt_az1_cidr,"10.1"),CONCATENATE(prefix_mgmt_az1_cidr,"11.1")),IF(flt_custom_network_chosen="NSX Overlay Segment",CONCATENATE(prefix_xreg_cidr,".1"),CONCATENATE(prefix_flt_shared_cidr,".1")))</f>
        <v>10.11.99.1</v>
      </c>
      <c r="Y38" s="8"/>
      <c r="Z38" s="8"/>
    </row>
    <row r="39" spans="1:26" x14ac:dyDescent="0.2">
      <c r="A39" s="2"/>
      <c r="B39" s="10" t="str">
        <f>CONCATENATE(prefix_wld_az1_rack_cidr,"69.0/24")</f>
        <v>10.13.69.0/24</v>
      </c>
      <c r="C39" s="66"/>
      <c r="W39" s="4" t="s">
        <v>559</v>
      </c>
      <c r="X39" s="65" t="s">
        <v>126</v>
      </c>
      <c r="Y39" s="8"/>
      <c r="Z39" s="8"/>
    </row>
    <row r="40" spans="1:26" x14ac:dyDescent="0.2">
      <c r="A40" s="2"/>
      <c r="B40" s="10" t="str">
        <f>CONCATENATE(prefix_wld_az1_rack_cidr,"78.0/24")</f>
        <v>10.13.78.0/24</v>
      </c>
      <c r="C40" s="66"/>
      <c r="W40" s="537" t="s">
        <v>560</v>
      </c>
      <c r="X40" s="538"/>
      <c r="Y40" s="538"/>
      <c r="Z40" s="539"/>
    </row>
    <row r="41" spans="1:26" x14ac:dyDescent="0.2">
      <c r="A41" s="2"/>
      <c r="B41" s="10" t="str">
        <f>CONCATENATE(prefix_wld_az1_rack_cidr,"79.0/24")</f>
        <v>10.13.79.0/24</v>
      </c>
      <c r="C41" s="66"/>
      <c r="W41" s="23" t="s">
        <v>561</v>
      </c>
      <c r="X41" s="291" t="s">
        <v>562</v>
      </c>
      <c r="Y41" s="292"/>
      <c r="Z41" s="8"/>
    </row>
    <row r="42" spans="1:26" x14ac:dyDescent="0.2">
      <c r="A42" s="2"/>
      <c r="B42" s="10" t="str">
        <f>CONCATENATE(prefix_wld_az1_rack_cidr,"81.0/24")</f>
        <v>10.13.81.0/24</v>
      </c>
      <c r="C42" s="66"/>
      <c r="W42" s="30" t="s">
        <v>563</v>
      </c>
      <c r="X42" s="293" t="s">
        <v>564</v>
      </c>
      <c r="Y42" s="292"/>
      <c r="Z42" s="8"/>
    </row>
    <row r="43" spans="1:26" x14ac:dyDescent="0.2">
      <c r="A43" s="2"/>
      <c r="B43" s="10" t="str">
        <f>CONCATENATE(prefix_wld_az1_rack_cidr,"80.0/24")</f>
        <v>10.13.80.0/24</v>
      </c>
      <c r="C43" s="66"/>
      <c r="W43" s="30" t="s">
        <v>565</v>
      </c>
      <c r="X43" s="293" t="s">
        <v>418</v>
      </c>
      <c r="Y43" s="292"/>
      <c r="Z43" s="8"/>
    </row>
    <row r="44" spans="1:26" x14ac:dyDescent="0.2">
      <c r="A44" s="2"/>
      <c r="B44" s="10" t="str">
        <f>CONCATENATE(prefix_wld_az1_rack_cidr,"89.0/24")</f>
        <v>10.13.89.0/24</v>
      </c>
      <c r="C44" s="66"/>
      <c r="W44" s="4" t="s">
        <v>566</v>
      </c>
      <c r="X44" s="122" t="str">
        <f>CONCATENATE(prefix_portable_component,"-auto01","-password")</f>
        <v>flt-auto01-password</v>
      </c>
      <c r="Y44" s="66"/>
      <c r="Z44" s="8"/>
    </row>
    <row r="45" spans="1:26" x14ac:dyDescent="0.2">
      <c r="A45" s="2"/>
      <c r="B45" s="10" t="str">
        <f>CONCATENATE(prefix_wld_az1_rack_cidr,"90.0/24")</f>
        <v>10.13.90.0/24</v>
      </c>
      <c r="C45" s="66"/>
      <c r="W45" s="4" t="s">
        <v>522</v>
      </c>
      <c r="X45" s="122" t="s">
        <v>137</v>
      </c>
      <c r="Y45" s="66"/>
      <c r="Z45" s="8"/>
    </row>
    <row r="46" spans="1:26" x14ac:dyDescent="0.2">
      <c r="A46" s="2"/>
      <c r="B46" s="10" t="str">
        <f>CONCATENATE(prefix_wld_az1_rack_cidr,"92.0/24")</f>
        <v>10.13.92.0/24</v>
      </c>
      <c r="C46" s="66"/>
      <c r="W46" s="4" t="s">
        <v>567</v>
      </c>
      <c r="X46" s="122" t="s">
        <v>568</v>
      </c>
      <c r="Y46" s="66"/>
      <c r="Z46" s="8"/>
    </row>
    <row r="47" spans="1:26" x14ac:dyDescent="0.2">
      <c r="A47" s="2"/>
      <c r="B47" s="10" t="str">
        <f>CONCATENATE(prefix_wld_az1_rack_cidr,"91.0/24")</f>
        <v>10.13.91.0/24</v>
      </c>
      <c r="C47" s="66"/>
      <c r="W47" s="4" t="s">
        <v>569</v>
      </c>
      <c r="X47" s="108" t="s">
        <v>258</v>
      </c>
      <c r="Y47" s="107"/>
      <c r="Z47" s="8"/>
    </row>
    <row r="48" spans="1:26" x14ac:dyDescent="0.2">
      <c r="A48" s="2"/>
      <c r="B48" s="2"/>
      <c r="C48" s="2"/>
      <c r="W48" s="4" t="s">
        <v>570</v>
      </c>
      <c r="X48" s="122" t="str">
        <f>sample_mgmt_vc_fqdn</f>
        <v>sfo-m01-vc01.sfo.rainpole.io</v>
      </c>
      <c r="Y48" s="107"/>
      <c r="Z48" s="8"/>
    </row>
    <row r="49" spans="1:26" x14ac:dyDescent="0.2">
      <c r="A49" s="2"/>
      <c r="B49" s="2" t="s">
        <v>981</v>
      </c>
      <c r="C49" s="2" t="str">
        <f>IF(ISBLANK(input_mgmt_existing_active_nsx_gm),"Value Missing",input_mgmt_existing_active_nsx_gm)</f>
        <v>Value Missing</v>
      </c>
      <c r="W49" s="30" t="s">
        <v>39</v>
      </c>
      <c r="X49" s="108" t="str">
        <f>sample_vcf_automation_vip_fqdn</f>
        <v>flt-auto01.rainpole.io</v>
      </c>
      <c r="Y49" s="8" t="str">
        <f t="array" ref="Y49">vcf_automation_vip_fqdn</f>
        <v>Value Missing</v>
      </c>
      <c r="Z49" s="8"/>
    </row>
    <row r="50" spans="1:26" x14ac:dyDescent="0.2">
      <c r="A50" s="2"/>
      <c r="B50" s="2" t="s">
        <v>982</v>
      </c>
      <c r="C50" s="2" t="str">
        <f>IF(ISBLANK(input_mgmt_existing_cross_instance_t0_name),"Value Missing",input_mgmt_existing_cross_instance_t0_name)</f>
        <v>Value Missing</v>
      </c>
      <c r="W50" s="30" t="s">
        <v>530</v>
      </c>
      <c r="X50" s="108" t="str">
        <f>sample_vcf_automation_cert_alias</f>
        <v>flt-auto01-cert</v>
      </c>
      <c r="Y50" s="8" t="str">
        <f t="array" ref="Y50">vcf_automation_cert_alias</f>
        <v>Value Missing</v>
      </c>
      <c r="Z50" s="8"/>
    </row>
    <row r="51" spans="1:26" x14ac:dyDescent="0.2">
      <c r="W51" s="30" t="s">
        <v>39</v>
      </c>
      <c r="X51" s="108" t="str">
        <f>sample_vcf_automation_vip_fqdn</f>
        <v>flt-auto01.rainpole.io</v>
      </c>
      <c r="Y51" s="8" t="str">
        <f t="array" ref="Y51">vcf_automation_vip_fqdn</f>
        <v>Value Missing</v>
      </c>
      <c r="Z51" s="8"/>
    </row>
    <row r="52" spans="1:26" x14ac:dyDescent="0.2">
      <c r="W52" s="30" t="s">
        <v>571</v>
      </c>
      <c r="X52" s="108" t="s">
        <v>572</v>
      </c>
      <c r="Y52" s="66" t="s">
        <v>572</v>
      </c>
      <c r="Z52" s="8"/>
    </row>
    <row r="53" spans="1:26" x14ac:dyDescent="0.2">
      <c r="W53" s="30" t="s">
        <v>523</v>
      </c>
      <c r="X53" s="108" t="str">
        <f>CONCATENATE(prefix_portable_component,"-auto")</f>
        <v>flt-auto</v>
      </c>
      <c r="Y53" s="66" t="s">
        <v>573</v>
      </c>
      <c r="Z53" s="8" t="s">
        <v>524</v>
      </c>
    </row>
    <row r="54" spans="1:26" x14ac:dyDescent="0.2">
      <c r="W54" s="30" t="s">
        <v>574</v>
      </c>
      <c r="X54" s="65" t="str">
        <f>sample_vcf_automation_vip_ip</f>
        <v>10.11.99.25</v>
      </c>
      <c r="Y54" s="8" t="str">
        <f t="array" ref="Y54">vcf_automation_vip_ip</f>
        <v>Value Missing</v>
      </c>
      <c r="Z54" s="8"/>
    </row>
    <row r="55" spans="1:26" x14ac:dyDescent="0.2">
      <c r="B55" s="9" t="s">
        <v>983</v>
      </c>
      <c r="C55" s="9" t="s">
        <v>984</v>
      </c>
      <c r="E55" s="9" t="s">
        <v>985</v>
      </c>
      <c r="F55" s="9" t="s">
        <v>984</v>
      </c>
      <c r="H55" s="333" t="s">
        <v>986</v>
      </c>
      <c r="I55" s="9" t="s">
        <v>984</v>
      </c>
      <c r="K55" s="333" t="s">
        <v>987</v>
      </c>
      <c r="L55" s="9" t="s">
        <v>984</v>
      </c>
      <c r="N55" s="333" t="s">
        <v>988</v>
      </c>
      <c r="O55" s="9" t="s">
        <v>984</v>
      </c>
      <c r="Q55" s="333" t="s">
        <v>989</v>
      </c>
      <c r="R55" s="9" t="s">
        <v>984</v>
      </c>
      <c r="T55" s="333" t="s">
        <v>990</v>
      </c>
      <c r="U55" s="9" t="s">
        <v>984</v>
      </c>
    </row>
    <row r="56" spans="1:26" x14ac:dyDescent="0.2">
      <c r="A56" s="9" t="s">
        <v>991</v>
      </c>
      <c r="B56" s="9" t="str">
        <f>IF(cluster_wld_domain_chosen="VI Workload Domain",(CONCATENATE(prefix_wld_az1_vlan,"28")),(CONCATENATE(prefix_mgmt_az1_vlan,"28")))</f>
        <v>1128</v>
      </c>
      <c r="E56" s="9" t="str">
        <f>IF(cluster_wld_domain_chosen="VI Workload Domain",(CONCATENATE(prefix_wld_az1_vlan,"39")),(CONCATENATE(prefix_mgmt_az1_vlan,"39")))</f>
        <v>1139</v>
      </c>
      <c r="H56" s="9" t="str">
        <f>IF(cluster_wld_domain_chosen="VI Workload Domain",(CONCATENATE(prefix_wld_az1_vlan,"50")),(CONCATENATE(prefix_mgmt_az1_vlan,"50")))</f>
        <v>1150</v>
      </c>
      <c r="K56" s="9" t="str">
        <f>IF(cluster_wld_domain_chosen="VI Workload Domain",(CONCATENATE(prefix_wld_az1_vlan,"61")),(CONCATENATE(prefix_mgmt_az1_vlan,"61")))</f>
        <v>1161</v>
      </c>
      <c r="N56" s="9" t="str">
        <f>IF(cluster_wld_domain_chosen="VI Workload Domain",(CONCATENATE(prefix_wld_az1_vlan,"72")),(CONCATENATE(prefix_mgmt_az1_vlan,"72")))</f>
        <v>1172</v>
      </c>
      <c r="Q56" s="9" t="str">
        <f>IF(cluster_wld_domain_chosen="VI Workload Domain",(CONCATENATE(prefix_wld_az1_vlan,"83")),(CONCATENATE(prefix_mgmt_az1_vlan,"83")))</f>
        <v>1183</v>
      </c>
      <c r="T56" s="9" t="str">
        <f>IF(cluster_wld_domain_chosen="VI Workload Domain",(CONCATENATE(prefix_wld_az1_vlan,"94")),(CONCATENATE(prefix_mgmt_az1_vlan,"94")))</f>
        <v>1194</v>
      </c>
      <c r="W56" s="30" t="s">
        <v>577</v>
      </c>
      <c r="X56" s="108" t="s">
        <v>578</v>
      </c>
      <c r="Y56" s="66"/>
      <c r="Z56" s="8"/>
    </row>
    <row r="57" spans="1:26" x14ac:dyDescent="0.2">
      <c r="A57" s="9" t="s">
        <v>992</v>
      </c>
      <c r="B57" s="9" t="str">
        <f>IF(cluster_wld_domain_chosen="VI Workload Domain",(CONCATENATE(prefix_wld_az1_vlan,"29")),(CONCATENATE(prefix_mgmt_az1_vlan,"29")))</f>
        <v>1129</v>
      </c>
      <c r="E57" s="9" t="str">
        <f>IF(cluster_wld_domain_chosen="VI Workload Domain",(CONCATENATE(prefix_wld_az1_vlan,"40")),(CONCATENATE(prefix_mgmt_az1_vlan,"40")))</f>
        <v>1140</v>
      </c>
      <c r="H57" s="9" t="str">
        <f>IF(cluster_wld_domain_chosen="VI Workload Domain",(CONCATENATE(prefix_wld_az1_vlan,"51")),(CONCATENATE(prefix_mgmt_az1_vlan,"51")))</f>
        <v>1151</v>
      </c>
      <c r="K57" s="9" t="str">
        <f>IF(cluster_wld_domain_chosen="VI Workload Domain",(CONCATENATE(prefix_wld_az1_vlan,"62")),(CONCATENATE(prefix_mgmt_az1_vlan,"62")))</f>
        <v>1162</v>
      </c>
      <c r="N57" s="9" t="str">
        <f>IF(cluster_wld_domain_chosen="VI Workload Domain",(CONCATENATE(prefix_wld_az1_vlan,"73")),(CONCATENATE(prefix_mgmt_az1_vlan,"73")))</f>
        <v>1173</v>
      </c>
      <c r="Q57" s="9" t="str">
        <f>IF(cluster_wld_domain_chosen="VI Workload Domain",(CONCATENATE(prefix_wld_az1_vlan,"84")),(CONCATENATE(prefix_mgmt_az1_vlan,"84")))</f>
        <v>1184</v>
      </c>
      <c r="T57" s="9" t="str">
        <f>IF(cluster_wld_domain_chosen="VI Workload Domain",(CONCATENATE(prefix_wld_az1_vlan,"95")),(CONCATENATE(prefix_mgmt_az1_vlan,"95")))</f>
        <v>1195</v>
      </c>
      <c r="W57" s="30" t="s">
        <v>579</v>
      </c>
      <c r="X57" s="65" t="str">
        <f>IF(flt_custom_network_chosen="Shared Management Network",IF(mgmt_dpg_reuse_result="Included",CONCATENATE(prefix_mgmt_az1_cidr,"10.40"),CONCATENATE(prefix_mgmt_az1_cidr,"11.40")),IF(flt_custom_network_chosen="NSX Overlay Segment",CONCATENATE(prefix_xreg_cidr,".40"),CONCATENATE(prefix_flt_shared_cidr,".40")))</f>
        <v>10.11.99.40</v>
      </c>
      <c r="Y57" s="66"/>
      <c r="Z57" s="8"/>
    </row>
    <row r="58" spans="1:26" x14ac:dyDescent="0.2">
      <c r="A58" s="9" t="s">
        <v>993</v>
      </c>
      <c r="B58" s="9" t="str">
        <f>IF(cluster_wld_domain_chosen="VI Workload Domain",(CONCATENATE(prefix_wld_az1_vlan,"30")),(CONCATENATE(prefix_mgmt_az1_vlan,"30")))</f>
        <v>1130</v>
      </c>
      <c r="E58" s="9" t="str">
        <f>IF(cluster_wld_domain_chosen="VI Workload Domain",(CONCATENATE(prefix_wld_az1_vlan,"41")),(CONCATENATE(prefix_mgmt_az1_vlan,"41")))</f>
        <v>1141</v>
      </c>
      <c r="H58" s="9" t="str">
        <f>IF(cluster_wld_domain_chosen="VI Workload Domain",(CONCATENATE(prefix_wld_az1_vlan,"52")),(CONCATENATE(prefix_mgmt_az1_vlan,"52")))</f>
        <v>1152</v>
      </c>
      <c r="K58" s="9" t="str">
        <f>IF(cluster_wld_domain_chosen="VI Workload Domain",(CONCATENATE(prefix_wld_az1_vlan,"63")),(CONCATENATE(prefix_mgmt_az1_vlan,"63")))</f>
        <v>1163</v>
      </c>
      <c r="N58" s="9" t="str">
        <f>IF(cluster_wld_domain_chosen="VI Workload Domain",(CONCATENATE(prefix_wld_az1_vlan,"74")),(CONCATENATE(prefix_mgmt_az1_vlan,"74")))</f>
        <v>1174</v>
      </c>
      <c r="Q58" s="9" t="str">
        <f>IF(cluster_wld_domain_chosen="VI Workload Domain",(CONCATENATE(prefix_wld_az1_vlan,"85")),(CONCATENATE(prefix_mgmt_az1_vlan,"85")))</f>
        <v>1185</v>
      </c>
      <c r="T58" s="9" t="str">
        <f>IF(cluster_wld_domain_chosen="VI Workload Domain",(CONCATENATE(prefix_wld_az1_vlan,"96")),(CONCATENATE(prefix_mgmt_az1_vlan,"96")))</f>
        <v>1196</v>
      </c>
      <c r="W58" s="30" t="s">
        <v>580</v>
      </c>
      <c r="X58" s="65" t="str">
        <f>IF(flt_custom_network_chosen="Shared Management Network",IF(mgmt_dpg_reuse_result="Included",CONCATENATE(prefix_mgmt_az1_cidr,"10.41"),CONCATENATE(prefix_mgmt_az1_cidr,"11.41")),IF(flt_custom_network_chosen="NSX Overlay Segment",CONCATENATE(prefix_xreg_cidr,".41"),CONCATENATE(prefix_flt_shared_cidr,".41")))</f>
        <v>10.11.99.41</v>
      </c>
      <c r="Y58" s="66"/>
      <c r="Z58" s="8"/>
    </row>
    <row r="59" spans="1:26" x14ac:dyDescent="0.2">
      <c r="A59" s="9" t="s">
        <v>994</v>
      </c>
      <c r="B59" s="9" t="str">
        <f>IF(cluster_wld_domain_chosen="VI Workload Domain",CONCATENATE(prefix_wld_az1_cidr,"28.0"),CONCATENATE(prefix_mgmt_az1_cidr,"28.0"))</f>
        <v>10.11.28.0</v>
      </c>
      <c r="E59" s="9" t="str">
        <f>IF(cluster_wld_domain_chosen="VI Workload Domain",CONCATENATE(prefix_wld_az1_cidr,"39.0"),CONCATENATE(prefix_mgmt_az1_cidr,"39.0"))</f>
        <v>10.11.39.0</v>
      </c>
      <c r="H59" s="9" t="str">
        <f>IF(cluster_wld_domain_chosen="VI Workload Domain",CONCATENATE(prefix_wld_az1_cidr,"50.0"),CONCATENATE(prefix_mgmt_az1_cidr,"50.0"))</f>
        <v>10.11.50.0</v>
      </c>
      <c r="K59" s="9" t="str">
        <f>IF(cluster_wld_domain_chosen="VI Workload Domain",CONCATENATE(prefix_wld_az1_cidr,"61.0"),CONCATENATE(prefix_mgmt_az1_cidr,"61.0"))</f>
        <v>10.11.61.0</v>
      </c>
      <c r="N59" s="9" t="str">
        <f>IF(cluster_wld_domain_chosen="VI Workload Domain",CONCATENATE(prefix_wld_az1_cidr,"72.0"),CONCATENATE(prefix_mgmt_az1_cidr,"72.0"))</f>
        <v>10.11.72.0</v>
      </c>
      <c r="Q59" s="9" t="str">
        <f>IF(cluster_wld_domain_chosen="VI Workload Domain",CONCATENATE(prefix_wld_az1_cidr,"83.0"),CONCATENATE(prefix_mgmt_az1_cidr,"83.0"))</f>
        <v>10.11.83.0</v>
      </c>
      <c r="T59" s="9" t="str">
        <f>IF(cluster_wld_domain_chosen="VI Workload Domain",CONCATENATE(prefix_wld_az1_cidr,"94.0"),CONCATENATE(prefix_mgmt_az1_cidr,"94.0"))</f>
        <v>10.11.94.0</v>
      </c>
      <c r="W59" s="30" t="s">
        <v>581</v>
      </c>
      <c r="X59" s="65" t="str">
        <f>IF(flt_custom_network_chosen="Shared Management Network",IF(mgmt_dpg_reuse_result="Included",CONCATENATE(prefix_mgmt_az1_cidr,"10.42"),CONCATENATE(prefix_mgmt_az1_cidr,"11.42")),IF(flt_custom_network_chosen="NSX Overlay Segment",CONCATENATE(prefix_xreg_cidr,".42"),CONCATENATE(prefix_flt_shared_cidr,".42")))</f>
        <v>10.11.99.42</v>
      </c>
      <c r="Y59" s="66"/>
      <c r="Z59" s="8"/>
    </row>
    <row r="60" spans="1:26" x14ac:dyDescent="0.2">
      <c r="A60" s="9" t="s">
        <v>995</v>
      </c>
      <c r="B60" s="9" t="str">
        <f>IF(cluster_wld_domain_chosen="VI Workload Domain",CONCATENATE(prefix_wld_az1_cidr,"29.0"),CONCATENATE(prefix_mgmt_az1_cidr,"29.0"))</f>
        <v>10.11.29.0</v>
      </c>
      <c r="E60" s="9" t="str">
        <f>IF(cluster_wld_domain_chosen="VI Workload Domain",CONCATENATE(prefix_wld_az1_cidr,"40.0"),CONCATENATE(prefix_mgmt_az1_cidr,"40.0"))</f>
        <v>10.11.40.0</v>
      </c>
      <c r="H60" s="9" t="str">
        <f>IF(cluster_wld_domain_chosen="VI Workload Domain",CONCATENATE(prefix_wld_az1_cidr,"51.0"),CONCATENATE(prefix_mgmt_az1_cidr,"51.0"))</f>
        <v>10.11.51.0</v>
      </c>
      <c r="K60" s="9" t="str">
        <f>IF(cluster_wld_domain_chosen="VI Workload Domain",CONCATENATE(prefix_wld_az1_cidr,"62.0"),CONCATENATE(prefix_mgmt_az1_cidr,"62.0"))</f>
        <v>10.11.62.0</v>
      </c>
      <c r="N60" s="9" t="str">
        <f>IF(cluster_wld_domain_chosen="VI Workload Domain",CONCATENATE(prefix_wld_az1_cidr,"73.0"),CONCATENATE(prefix_mgmt_az1_cidr,"73.0"))</f>
        <v>10.11.73.0</v>
      </c>
      <c r="Q60" s="9" t="str">
        <f>IF(cluster_wld_domain_chosen="VI Workload Domain",CONCATENATE(prefix_wld_az1_cidr,"84.0"),CONCATENATE(prefix_mgmt_az1_cidr,"84.0"))</f>
        <v>10.11.84.0</v>
      </c>
      <c r="T60" s="9" t="str">
        <f>IF(cluster_wld_domain_chosen="VI Workload Domain",CONCATENATE(prefix_wld_az1_cidr,"95.0"),CONCATENATE(prefix_mgmt_az1_cidr,"95.0"))</f>
        <v>10.11.95.0</v>
      </c>
      <c r="W60" s="30" t="s">
        <v>582</v>
      </c>
      <c r="X60" s="65" t="str">
        <f>IF(flt_custom_network_chosen="Shared Management Network",IF(mgmt_dpg_reuse_result="Included",CONCATENATE(prefix_mgmt_az1_cidr,"10.43"),CONCATENATE(prefix_mgmt_az1_cidr,"11.43")),IF(flt_custom_network_chosen="NSX Overlay Segment",CONCATENATE(prefix_xreg_cidr,".43"),CONCATENATE(prefix_flt_shared_cidr,".43")))</f>
        <v>10.11.99.43</v>
      </c>
      <c r="Y60" s="66"/>
      <c r="Z60" s="8"/>
    </row>
    <row r="61" spans="1:26" x14ac:dyDescent="0.2">
      <c r="A61" s="9" t="s">
        <v>996</v>
      </c>
      <c r="B61" s="9" t="str">
        <f>IF(cluster_wld_domain_chosen="VI Workload Domain",CONCATENATE(prefix_wld_az1_cidr,"30.0"),CONCATENATE(prefix_mgmt_az1_cidr,"30.0"))</f>
        <v>10.11.30.0</v>
      </c>
      <c r="E61" s="9" t="str">
        <f>IF(cluster_wld_domain_chosen="VI Workload Domain",CONCATENATE(prefix_wld_az1_cidr,"41.0"),CONCATENATE(prefix_mgmt_az1_cidr,"41.0"))</f>
        <v>10.11.41.0</v>
      </c>
      <c r="H61" s="9" t="str">
        <f>IF(cluster_wld_domain_chosen="VI Workload Domain",CONCATENATE(prefix_wld_az1_cidr,"52.0"),CONCATENATE(prefix_mgmt_az1_cidr,"52.0"))</f>
        <v>10.11.52.0</v>
      </c>
      <c r="K61" s="9" t="str">
        <f>IF(cluster_wld_domain_chosen="VI Workload Domain",CONCATENATE(prefix_wld_az1_cidr,"63.0"),CONCATENATE(prefix_mgmt_az1_cidr,"63.0"))</f>
        <v>10.11.63.0</v>
      </c>
      <c r="N61" s="9" t="str">
        <f>IF(cluster_wld_domain_chosen="VI Workload Domain",CONCATENATE(prefix_wld_az1_cidr,"74.0"),CONCATENATE(prefix_mgmt_az1_cidr,"74.0"))</f>
        <v>10.11.74.0</v>
      </c>
      <c r="Q61" s="9" t="str">
        <f>IF(cluster_wld_domain_chosen="VI Workload Domain",CONCATENATE(prefix_wld_az1_cidr,"85.0"),CONCATENATE(prefix_mgmt_az1_cidr,"85.0"))</f>
        <v>10.11.85.0</v>
      </c>
      <c r="T61" s="9" t="str">
        <f>IF(cluster_wld_domain_chosen="VI Workload Domain",CONCATENATE(prefix_wld_az1_cidr,"96.0"),CONCATENATE(prefix_mgmt_az1_cidr,"96.0"))</f>
        <v>10.11.96.0</v>
      </c>
      <c r="W61" s="30" t="s">
        <v>3161</v>
      </c>
      <c r="X61" s="65" t="str">
        <f>IF(flt_custom_network_chosen="Shared Management Network",IF(mgmt_dpg_reuse_result="Included",CONCATENATE(prefix_mgmt_az1_cidr,"10.44"),CONCATENATE(prefix_mgmt_az1_cidr,"11.44")),IF(flt_custom_network_chosen="NSX Overlay Segment",CONCATENATE(prefix_xreg_cidr,".44"),CONCATENATE(prefix_flt_shared_cidr,".44")))</f>
        <v>10.11.99.44</v>
      </c>
      <c r="Y61" s="1"/>
      <c r="Z61" s="2"/>
    </row>
    <row r="62" spans="1:26" x14ac:dyDescent="0.2">
      <c r="A62" s="9" t="s">
        <v>997</v>
      </c>
      <c r="B62" s="9" t="str">
        <f>IF(cluster_wld_domain_chosen="VI Workload Domain",CONCATENATE(prefix_wld_az1_cidr,"28.1"),CONCATENATE(prefix_mgmt_az1_cidr,"28.1"))</f>
        <v>10.11.28.1</v>
      </c>
      <c r="E62" s="9" t="str">
        <f>IF(cluster_wld_domain_chosen="VI Workload Domain",CONCATENATE(prefix_wld_az1_cidr,"39.1"),CONCATENATE(prefix_mgmt_az1_cidr,"39.1"))</f>
        <v>10.11.39.1</v>
      </c>
      <c r="H62" s="9" t="str">
        <f>IF(cluster_wld_domain_chosen="VI Workload Domain",CONCATENATE(prefix_wld_az1_cidr,"50.1"),CONCATENATE(prefix_mgmt_az1_cidr,"50.1"))</f>
        <v>10.11.50.1</v>
      </c>
      <c r="K62" s="9" t="str">
        <f>IF(cluster_wld_domain_chosen="VI Workload Domain",CONCATENATE(prefix_wld_az1_cidr,"61.1"),CONCATENATE(prefix_mgmt_az1_cidr,"61.1"))</f>
        <v>10.11.61.1</v>
      </c>
      <c r="N62" s="9" t="str">
        <f>IF(cluster_wld_domain_chosen="VI Workload Domain",CONCATENATE(prefix_wld_az1_cidr,"72.1"),CONCATENATE(prefix_mgmt_az1_cidr,"72.1"))</f>
        <v>10.11.72.1</v>
      </c>
      <c r="Q62" s="9" t="str">
        <f>IF(cluster_wld_domain_chosen="VI Workload Domain",CONCATENATE(prefix_wld_az1_cidr,"83.1"),CONCATENATE(prefix_mgmt_az1_cidr,"83.1"))</f>
        <v>10.11.83.1</v>
      </c>
      <c r="T62" s="9" t="str">
        <f>IF(cluster_wld_domain_chosen="VI Workload Domain",CONCATENATE(prefix_wld_az1_cidr,"94.1"),CONCATENATE(prefix_mgmt_az1_cidr,"94.1"))</f>
        <v>10.11.94.1</v>
      </c>
      <c r="W62" s="30" t="s">
        <v>3162</v>
      </c>
      <c r="X62" s="65" t="str">
        <f>IF(flt_custom_network_chosen="Shared Management Network",IF(mgmt_dpg_reuse_result="Included",CONCATENATE(prefix_mgmt_az1_cidr,"10.45"),CONCATENATE(prefix_mgmt_az1_cidr,"11.45")),IF(flt_custom_network_chosen="NSX Overlay Segment",CONCATENATE(prefix_xreg_cidr,".45"),CONCATENATE(prefix_flt_shared_cidr,".45")))</f>
        <v>10.11.99.45</v>
      </c>
      <c r="Y62" s="1"/>
      <c r="Z62" s="2"/>
    </row>
    <row r="63" spans="1:26" x14ac:dyDescent="0.2">
      <c r="A63" s="9" t="s">
        <v>998</v>
      </c>
      <c r="B63" s="9" t="str">
        <f>IF(cluster_wld_domain_chosen="VI Workload Domain",CONCATENATE(prefix_wld_az1_cidr,"29.1"),CONCATENATE(prefix_mgmt_az1_cidr,"29.1"))</f>
        <v>10.11.29.1</v>
      </c>
      <c r="E63" s="9" t="str">
        <f>IF(cluster_wld_domain_chosen="VI Workload Domain",CONCATENATE(prefix_wld_az1_cidr,"40.1"),CONCATENATE(prefix_mgmt_az1_cidr,"40.1"))</f>
        <v>10.11.40.1</v>
      </c>
      <c r="H63" s="9" t="str">
        <f>IF(cluster_wld_domain_chosen="VI Workload Domain",CONCATENATE(prefix_wld_az1_cidr,"51.1"),CONCATENATE(prefix_mgmt_az1_cidr,"51.1"))</f>
        <v>10.11.51.1</v>
      </c>
      <c r="K63" s="9" t="str">
        <f>IF(cluster_wld_domain_chosen="VI Workload Domain",CONCATENATE(prefix_wld_az1_cidr,"62.1"),CONCATENATE(prefix_mgmt_az1_cidr,"62.1"))</f>
        <v>10.11.62.1</v>
      </c>
      <c r="N63" s="9" t="str">
        <f>IF(cluster_wld_domain_chosen="VI Workload Domain",CONCATENATE(prefix_wld_az1_cidr,"73.1"),CONCATENATE(prefix_mgmt_az1_cidr,"73.1"))</f>
        <v>10.11.73.1</v>
      </c>
      <c r="Q63" s="9" t="str">
        <f>IF(cluster_wld_domain_chosen="VI Workload Domain",CONCATENATE(prefix_wld_az1_cidr,"84.1"),CONCATENATE(prefix_mgmt_az1_cidr,"84.1"))</f>
        <v>10.11.84.1</v>
      </c>
      <c r="T63" s="9" t="str">
        <f>IF(cluster_wld_domain_chosen="VI Workload Domain",CONCATENATE(prefix_wld_az1_cidr,"95.1"),CONCATENATE(prefix_mgmt_az1_cidr,"95.1"))</f>
        <v>10.11.95.1</v>
      </c>
    </row>
    <row r="64" spans="1:26" x14ac:dyDescent="0.2">
      <c r="A64" s="9" t="s">
        <v>999</v>
      </c>
      <c r="B64" s="9" t="str">
        <f>IF(cluster_wld_domain_chosen="VI Workload Domain",CONCATENATE(prefix_wld_az1_cidr,"30.1"),CONCATENATE(prefix_mgmt_az1_cidr,"30.1"))</f>
        <v>10.11.30.1</v>
      </c>
      <c r="E64" s="9" t="str">
        <f>IF(cluster_wld_domain_chosen="VI Workload Domain",CONCATENATE(prefix_wld_az1_cidr,"41.1"),CONCATENATE(prefix_mgmt_az1_cidr,"41.1"))</f>
        <v>10.11.41.1</v>
      </c>
      <c r="H64" s="9" t="str">
        <f>IF(cluster_wld_domain_chosen="VI Workload Domain",CONCATENATE(prefix_wld_az1_cidr,"52.1"),CONCATENATE(prefix_mgmt_az1_cidr,"52.1"))</f>
        <v>10.11.52.1</v>
      </c>
      <c r="K64" s="9" t="str">
        <f>IF(cluster_wld_domain_chosen="VI Workload Domain",CONCATENATE(prefix_wld_az1_cidr,"63.1"),CONCATENATE(prefix_mgmt_az1_cidr,"63.1"))</f>
        <v>10.11.63.1</v>
      </c>
      <c r="N64" s="9" t="str">
        <f>IF(cluster_wld_domain_chosen="VI Workload Domain",CONCATENATE(prefix_wld_az1_cidr,"74.1"),CONCATENATE(prefix_mgmt_az1_cidr,"74.1"))</f>
        <v>10.11.74.1</v>
      </c>
      <c r="Q64" s="9" t="str">
        <f>IF(cluster_wld_domain_chosen="VI Workload Domain",CONCATENATE(prefix_wld_az1_cidr,"85.1"),CONCATENATE(prefix_mgmt_az1_cidr,"85.1"))</f>
        <v>10.11.85.1</v>
      </c>
      <c r="T64" s="9" t="str">
        <f>IF(cluster_wld_domain_chosen="VI Workload Domain",CONCATENATE(prefix_wld_az1_cidr,"96.1"),CONCATENATE(prefix_mgmt_az1_cidr,"96.1"))</f>
        <v>10.11.96.1</v>
      </c>
    </row>
    <row r="65" spans="1:24" x14ac:dyDescent="0.2">
      <c r="A65" s="9" t="s">
        <v>1000</v>
      </c>
      <c r="B65" s="9" t="s">
        <v>126</v>
      </c>
      <c r="E65" s="9" t="s">
        <v>126</v>
      </c>
      <c r="H65" s="9" t="s">
        <v>126</v>
      </c>
      <c r="K65" s="9" t="s">
        <v>126</v>
      </c>
      <c r="N65" s="9" t="s">
        <v>126</v>
      </c>
      <c r="Q65" s="9" t="s">
        <v>126</v>
      </c>
      <c r="T65" s="9" t="s">
        <v>126</v>
      </c>
      <c r="W65" s="42" t="s">
        <v>3509</v>
      </c>
      <c r="X65" s="42" t="str">
        <f>IF(mgmt_set_appliance_size_chosen="Selected",mgmt_vcenter_appliance_size_chosen,
IF(mgmt_domain_vcf_operations_ha_mode_chosen="Simple","Small",
IF(AND(mgmt_domain_vcf_operations_ha_mode_chosen="High Availability (Three-Node)",mgmt_domain_vcf_operations_size_chosen="Small"),"Small",
IF(AND(mgmt_domain_vcf_operations_ha_mode_chosen="High Availability (Three-Node)",mgmt_domain_vcf_operations_size_chosen="Medium"),"Medium",
IF(AND(mgmt_domain_vcf_operations_ha_mode_chosen="High Availability (Three-Node)",mgmt_domain_vcf_operations_size_chosen="Large"),"Large")))))</f>
        <v>Medium</v>
      </c>
    </row>
    <row r="66" spans="1:24" x14ac:dyDescent="0.2">
      <c r="A66" s="9" t="s">
        <v>1001</v>
      </c>
      <c r="B66" s="9" t="s">
        <v>126</v>
      </c>
      <c r="E66" s="9" t="s">
        <v>126</v>
      </c>
      <c r="H66" s="9" t="s">
        <v>126</v>
      </c>
      <c r="K66" s="9" t="s">
        <v>126</v>
      </c>
      <c r="N66" s="9" t="s">
        <v>126</v>
      </c>
      <c r="Q66" s="9" t="s">
        <v>126</v>
      </c>
      <c r="T66" s="9" t="s">
        <v>126</v>
      </c>
      <c r="W66" s="42" t="s">
        <v>3510</v>
      </c>
      <c r="X66" s="42" t="str">
        <f>IF(mgmt_set_appliance_size_chosen="Selected",mgmt_vcenter_storage_size_chosen,
IF(mgmt_domain_vcf_operations_ha_mode_chosen="Simple","lstorage",
IF(AND(mgmt_domain_vcf_operations_ha_mode_chosen="High Availability (Three-Node)",mgmt_domain_vcf_operations_size_chosen="Small"),"lstorage",
IF(AND(mgmt_domain_vcf_operations_ha_mode_chosen="High Availability (Three-Node)",mgmt_domain_vcf_operations_size_chosen="Medium"),"lstorage",
IF(AND(mgmt_domain_vcf_operations_ha_mode_chosen="High Availability (Three-Node)",mgmt_domain_vcf_operations_size_chosen="Large"),"lstorage")))))</f>
        <v>lstorage</v>
      </c>
    </row>
    <row r="67" spans="1:24" x14ac:dyDescent="0.2">
      <c r="A67" s="9" t="s">
        <v>1002</v>
      </c>
      <c r="B67" s="9" t="s">
        <v>126</v>
      </c>
      <c r="E67" s="9" t="s">
        <v>126</v>
      </c>
      <c r="H67" s="9" t="s">
        <v>126</v>
      </c>
      <c r="K67" s="9" t="s">
        <v>126</v>
      </c>
      <c r="N67" s="9" t="s">
        <v>126</v>
      </c>
      <c r="Q67" s="9" t="s">
        <v>126</v>
      </c>
      <c r="T67" s="9" t="s">
        <v>126</v>
      </c>
      <c r="W67" s="42" t="s">
        <v>1766</v>
      </c>
      <c r="X67" s="42" t="str">
        <f>IF(mgmt_set_appliance_size_chosen="Selected",mgmt_nsxt_appliance_size_chosen,
IF(mgmt_domain_vcf_operations_ha_mode_chosen="Simple","Medium",
IF(AND(mgmt_domain_vcf_operations_ha_mode_chosen="High Availability (Three-Node)",sizing_vcf_deployment_size_chosen="Medium"),"Medium",
IF(AND(mgmt_domain_vcf_operations_ha_mode_chosen="High Availability (Three-Node)",sizing_vcf_deployment_size_chosen="Large"),"Large","Large"))))</f>
        <v>Large</v>
      </c>
    </row>
    <row r="68" spans="1:24" x14ac:dyDescent="0.2">
      <c r="A68" s="9" t="s">
        <v>1003</v>
      </c>
      <c r="B68" s="334">
        <v>9000</v>
      </c>
      <c r="C68" s="334"/>
      <c r="D68" s="334"/>
      <c r="E68" s="334">
        <v>9000</v>
      </c>
      <c r="F68" s="334"/>
      <c r="G68" s="334"/>
      <c r="H68" s="334">
        <v>9000</v>
      </c>
      <c r="I68" s="334"/>
      <c r="J68" s="334"/>
      <c r="K68" s="334">
        <v>9000</v>
      </c>
      <c r="L68" s="334"/>
      <c r="M68" s="334"/>
      <c r="N68" s="334">
        <v>9000</v>
      </c>
      <c r="O68" s="334"/>
      <c r="P68" s="334"/>
      <c r="Q68" s="334">
        <v>9000</v>
      </c>
      <c r="R68" s="334"/>
      <c r="S68" s="334"/>
      <c r="T68" s="334">
        <v>9000</v>
      </c>
      <c r="W68" s="42" t="s">
        <v>3511</v>
      </c>
      <c r="X68" s="42" t="str">
        <f>IF(mgmt_set_appliance_size_chosen="Selected",mgmt_vcfops_appliance_size_chosen,
IF(mgmt_domain_vcf_operations_ha_mode_chosen="Simple","Small",
IF(AND(mgmt_domain_vcf_operations_ha_mode_chosen="High Availability (Three-Node)",mgmt_domain_vcf_operations_size_chosen="Medium"),"Medium",
IF(AND(mgmt_domain_vcf_operations_ha_mode_chosen="High Availability (Three-Node)",mgmt_domain_vcf_operations_size_chosen="Large"),"Large","Large"))))</f>
        <v>Medium</v>
      </c>
    </row>
    <row r="69" spans="1:24" x14ac:dyDescent="0.2">
      <c r="A69" s="9" t="s">
        <v>1004</v>
      </c>
      <c r="B69" s="334">
        <v>9000</v>
      </c>
      <c r="C69" s="334"/>
      <c r="D69" s="334"/>
      <c r="E69" s="334">
        <v>9000</v>
      </c>
      <c r="F69" s="334"/>
      <c r="G69" s="334"/>
      <c r="H69" s="334">
        <v>9000</v>
      </c>
      <c r="I69" s="334"/>
      <c r="J69" s="334"/>
      <c r="K69" s="334">
        <v>9000</v>
      </c>
      <c r="L69" s="334"/>
      <c r="M69" s="334"/>
      <c r="N69" s="334">
        <v>9000</v>
      </c>
      <c r="O69" s="334"/>
      <c r="P69" s="334"/>
      <c r="Q69" s="334">
        <v>9000</v>
      </c>
      <c r="R69" s="334"/>
      <c r="S69" s="334"/>
      <c r="T69" s="334">
        <v>9000</v>
      </c>
      <c r="W69" s="42" t="s">
        <v>3512</v>
      </c>
      <c r="X69" s="42" t="str">
        <f>IF(mgmt_set_appliance_size_chosen="Selected",mgmt_vcfops_collector_size_chosen,
IF(mgmt_domain_vcf_operations_ha_mode_chosen="Simple","Small",
IF(AND(mgmt_domain_vcf_operations_ha_mode_chosen="High Availability (Three-Node)",mgmt_domain_vcf_operations_size_chosen="Medium"),"Standard",
IF(AND(mgmt_domain_vcf_operations_ha_mode_chosen="High Availability (Three-Node)",mgmt_domain_vcf_operations_size_chosen="Large"),"Standard","Small"))))</f>
        <v>Standard</v>
      </c>
    </row>
    <row r="70" spans="1:24" x14ac:dyDescent="0.2">
      <c r="A70" s="9" t="s">
        <v>1005</v>
      </c>
      <c r="B70" s="334">
        <v>9000</v>
      </c>
      <c r="C70" s="334"/>
      <c r="D70" s="334"/>
      <c r="E70" s="334">
        <v>9000</v>
      </c>
      <c r="F70" s="334"/>
      <c r="G70" s="334"/>
      <c r="H70" s="334">
        <v>9000</v>
      </c>
      <c r="I70" s="334"/>
      <c r="J70" s="334"/>
      <c r="K70" s="334">
        <v>9000</v>
      </c>
      <c r="L70" s="334"/>
      <c r="M70" s="334"/>
      <c r="N70" s="334">
        <v>9000</v>
      </c>
      <c r="O70" s="334"/>
      <c r="P70" s="334"/>
      <c r="Q70" s="334">
        <v>9000</v>
      </c>
      <c r="R70" s="334"/>
      <c r="S70" s="334"/>
      <c r="T70" s="334">
        <v>9000</v>
      </c>
      <c r="W70" s="42" t="s">
        <v>3154</v>
      </c>
      <c r="X70" s="42" t="str">
        <f>IF(mgmt_set_appliance_size_chosen="Selected",mgmt_vcfops_collector_size_chosen,
IF(mgmt_domain_vcf_operations_ha_mode_chosen="Simple","Small",
IF(AND(mgmt_domain_vcf_operations_ha_mode_chosen="High Availability (Three-Node)",mgmt_domain_vcf_operations_size_chosen="Medium"),"Standard",
IF(AND(mgmt_domain_vcf_operations_ha_mode_chosen="High Availability (Three-Node)",mgmt_domain_vcf_operations_size_chosen="Large"),"Standard","Small"))))</f>
        <v>Standard</v>
      </c>
    </row>
    <row r="71" spans="1:24" ht="17" x14ac:dyDescent="0.2">
      <c r="A71" s="37" t="s">
        <v>120</v>
      </c>
      <c r="B71" s="9" t="str">
        <f>IF(cluster_wld_domain_chosen="VI Workload Domain",CONCATENATE(prefix_wld_az1_cidr,"30.2"),CONCATENATE(prefix_mgmt_az1_cidr,"30.2"))</f>
        <v>10.11.30.2</v>
      </c>
      <c r="E71" s="9" t="str">
        <f>IF(cluster_wld_domain_chosen="VI Workload Domain",CONCATENATE(prefix_wld_az1_cidr,"41.2"),CONCATENATE(prefix_mgmt_az1_cidr,"41.2"))</f>
        <v>10.11.41.2</v>
      </c>
      <c r="H71" s="9" t="str">
        <f>IF(cluster_wld_domain_chosen="VI Workload Domain",CONCATENATE(prefix_wld_az1_cidr,"52.2"),CONCATENATE(prefix_mgmt_az1_cidr,"52.2"))</f>
        <v>10.11.52.2</v>
      </c>
      <c r="K71" s="9" t="str">
        <f>IF(cluster_wld_domain_chosen="VI Workload Domain",CONCATENATE(prefix_wld_az1_cidr,"63.2"),CONCATENATE(prefix_mgmt_az1_cidr,"63.2"))</f>
        <v>10.11.63.2</v>
      </c>
      <c r="N71" s="9" t="str">
        <f>IF(cluster_wld_domain_chosen="VI Workload Domain",CONCATENATE(prefix_wld_az1_cidr,"74.2"),CONCATENATE(prefix_mgmt_az1_cidr,"74.2"))</f>
        <v>10.11.74.2</v>
      </c>
      <c r="Q71" s="9" t="str">
        <f>IF(cluster_wld_domain_chosen="VI Workload Domain",CONCATENATE(prefix_wld_az1_cidr,"85.2"),CONCATENATE(prefix_mgmt_az1_cidr,"85.2"))</f>
        <v>10.11.85.2</v>
      </c>
      <c r="T71" s="9" t="str">
        <f>IF(cluster_wld_domain_chosen="VI Workload Domain",CONCATENATE(prefix_wld_az1_cidr,"96.2"),CONCATENATE(prefix_mgmt_az1_cidr,"96.2"))</f>
        <v>10.11.96.2</v>
      </c>
      <c r="W71" s="42" t="s">
        <v>2814</v>
      </c>
      <c r="X71" s="42" t="str">
        <f>IF(mgmt_set_appliance_size_chosen="Selected",mgmt_vcfops_collector_size_chosen,
IF(mgmt_domain_vcf_operations_ha_mode_chosen="Simple","Small",
IF(AND(mgmt_domain_vcf_operations_ha_mode_chosen="High Availability (Three-Node)",mgmt_domain_vcf_operations_size_chosen="Medium"),"Standard",
IF(AND(mgmt_domain_vcf_operations_ha_mode_chosen="High Availability (Three-Node)",mgmt_domain_vcf_operations_size_chosen="Large"),"Standard","Small"))))</f>
        <v>Standard</v>
      </c>
    </row>
    <row r="72" spans="1:24" ht="17" x14ac:dyDescent="0.2">
      <c r="A72" s="268" t="s">
        <v>121</v>
      </c>
      <c r="B72" s="9" t="str">
        <f>IF(cluster_wld_domain_chosen="VI Workload Domain",CONCATENATE(prefix_wld_az1_cidr,"30.5"),CONCATENATE(prefix_mgmt_az1_cidr,"30.5"))</f>
        <v>10.11.30.5</v>
      </c>
      <c r="E72" s="9" t="str">
        <f>IF(cluster_wld_domain_chosen="VI Workload Domain",CONCATENATE(prefix_wld_az1_cidr,"41.5"),CONCATENATE(prefix_mgmt_az1_cidr,"41.5"))</f>
        <v>10.11.41.5</v>
      </c>
      <c r="H72" s="9" t="str">
        <f>IF(cluster_wld_domain_chosen="VI Workload Domain",CONCATENATE(prefix_wld_az1_cidr,"52.5"),CONCATENATE(prefix_mgmt_az1_cidr,"52.5"))</f>
        <v>10.11.52.5</v>
      </c>
      <c r="K72" s="9" t="str">
        <f>IF(cluster_wld_domain_chosen="VI Workload Domain",CONCATENATE(prefix_wld_az1_cidr,"63.5"),CONCATENATE(prefix_mgmt_az1_cidr,"63.5"))</f>
        <v>10.11.63.5</v>
      </c>
      <c r="N72" s="9" t="str">
        <f>IF(cluster_wld_domain_chosen="VI Workload Domain",CONCATENATE(prefix_wld_az1_cidr,"74.5"),CONCATENATE(prefix_mgmt_az1_cidr,"74.5"))</f>
        <v>10.11.74.5</v>
      </c>
      <c r="Q72" s="9" t="str">
        <f>IF(cluster_wld_domain_chosen="VI Workload Domain",CONCATENATE(prefix_wld_az1_cidr,"85.5"),CONCATENATE(prefix_mgmt_az1_cidr,"85.5"))</f>
        <v>10.11.85.5</v>
      </c>
      <c r="T72" s="9" t="str">
        <f>IF(cluster_wld_domain_chosen="VI Workload Domain",CONCATENATE(prefix_wld_az1_cidr,"96.5"),CONCATENATE(prefix_mgmt_az1_cidr,"96.5"))</f>
        <v>10.11.96.5</v>
      </c>
    </row>
    <row r="73" spans="1:24" x14ac:dyDescent="0.2">
      <c r="A73" s="4" t="s">
        <v>1006</v>
      </c>
      <c r="B73" s="9" t="str">
        <f>IF(cluster_wld_domain_chosen="VI Workload Domain",IF(mgmt_domain_chosen="First Instance","65102",IF(wld_nsxt_federation_result="Included","65202","65102")),IF(mgmt_domain_chosen="First Instance","65101",IF(mgmt_nsxt_federation_result="Included","65201","65101")))</f>
        <v>65101</v>
      </c>
      <c r="E73" s="9" t="str">
        <f>IF(cluster_wld_domain_chosen="VI Workload Domain",IF(mgmt_domain_chosen="First Instance","65102",IF(wld_nsxt_federation_result="Included","65202","65102")),IF(mgmt_domain_chosen="First Instance","65101",IF(mgmt_nsxt_federation_result="Included","65201","65101")))</f>
        <v>65101</v>
      </c>
      <c r="H73" s="9" t="str">
        <f>IF(cluster_wld_domain_chosen="VI Workload Domain",IF(mgmt_domain_chosen="First Instance","65102",IF(wld_nsxt_federation_result="Included","65202","65102")),IF(mgmt_domain_chosen="First Instance","65101",IF(mgmt_nsxt_federation_result="Included","65201","65101")))</f>
        <v>65101</v>
      </c>
      <c r="K73" s="9" t="str">
        <f>IF(cluster_wld_domain_chosen="VI Workload Domain",IF(mgmt_domain_chosen="First Instance","65102",IF(wld_nsxt_federation_result="Included","65202","65102")),IF(mgmt_domain_chosen="First Instance","65101",IF(mgmt_nsxt_federation_result="Included","65201","65101")))</f>
        <v>65101</v>
      </c>
      <c r="N73" s="9" t="str">
        <f>IF(cluster_wld_domain_chosen="VI Workload Domain",IF(mgmt_domain_chosen="First Instance","65102",IF(wld_nsxt_federation_result="Included","65202","65102")),IF(mgmt_domain_chosen="First Instance","65101",IF(mgmt_nsxt_federation_result="Included","65201","65101")))</f>
        <v>65101</v>
      </c>
      <c r="Q73" s="9" t="str">
        <f>IF(cluster_wld_domain_chosen="VI Workload Domain",IF(mgmt_domain_chosen="First Instance","65102",IF(wld_nsxt_federation_result="Included","65202","65102")),IF(mgmt_domain_chosen="First Instance","65101",IF(mgmt_nsxt_federation_result="Included","65201","65101")))</f>
        <v>65101</v>
      </c>
      <c r="T73" s="9" t="str">
        <f>IF(cluster_wld_domain_chosen="VI Workload Domain",IF(mgmt_domain_chosen="First Instance","65102",IF(wld_nsxt_federation_result="Included","65202","65102")),IF(mgmt_domain_chosen="First Instance","65101",IF(mgmt_nsxt_federation_result="Included","65201","65101")))</f>
        <v>65101</v>
      </c>
    </row>
    <row r="74" spans="1:24" x14ac:dyDescent="0.2">
      <c r="A74" s="4" t="s">
        <v>163</v>
      </c>
      <c r="B74" s="9" t="str">
        <f>IF(cluster_wld_domain_chosen="VI Workload Domain",CONCATENATE(prefix_wld_az1_cidr,"28.10"),CONCATENATE(prefix_mgmt_az1_cidr,"28.10"))</f>
        <v>10.11.28.10</v>
      </c>
      <c r="E74" s="9" t="str">
        <f>IF(cluster_wld_domain_chosen="VI Workload Domain",CONCATENATE(prefix_wld_az1_cidr,"39.10"),CONCATENATE(prefix_mgmt_az1_cidr,"39.10"))</f>
        <v>10.11.39.10</v>
      </c>
      <c r="H74" s="9" t="str">
        <f>IF(cluster_wld_domain_chosen="VI Workload Domain",CONCATENATE(prefix_wld_az1_cidr,"50.10"),CONCATENATE(prefix_mgmt_az1_cidr,"50.10"))</f>
        <v>10.11.50.10</v>
      </c>
      <c r="K74" s="9" t="str">
        <f>IF(cluster_wld_domain_chosen="VI Workload Domain",CONCATENATE(prefix_wld_az1_cidr,"61.10"),CONCATENATE(prefix_mgmt_az1_cidr,"61.10"))</f>
        <v>10.11.61.10</v>
      </c>
      <c r="N74" s="9" t="str">
        <f>IF(cluster_wld_domain_chosen="VI Workload Domain",CONCATENATE(prefix_wld_az1_cidr,"72.10"),CONCATENATE(prefix_mgmt_az1_cidr,"72.10"))</f>
        <v>10.11.72.10</v>
      </c>
      <c r="Q74" s="9" t="str">
        <f>IF(cluster_wld_domain_chosen="VI Workload Domain",CONCATENATE(prefix_wld_az1_cidr,"83.10"),CONCATENATE(prefix_mgmt_az1_cidr,"83.10"))</f>
        <v>10.11.83.10</v>
      </c>
      <c r="T74" s="9" t="str">
        <f>IF(cluster_wld_domain_chosen="VI Workload Domain",CONCATENATE(prefix_wld_az1_cidr,"94.10"),CONCATENATE(prefix_mgmt_az1_cidr,"94.10"))</f>
        <v>10.11.94.10</v>
      </c>
      <c r="W74" s="42" t="s">
        <v>3511</v>
      </c>
      <c r="X74" s="42" t="str">
        <f>IF(flt_def_vcf_custom_size_chosen="Selected",flt_def_vcf_operations_custom_size_chosen,
IF(flt_def_vcf_operations_ha_mode_chosen="Simple","Small",
IF(AND(flt_def_vcf_operations_ha_mode_chosen="High Availability (Three-Node)",flt_def_vcf_operations_size_chosen="Medium"),"Medium",
IF(AND(flt_def_vcf_operations_ha_mode_chosen="High Availability (Three-Node)",flt_def_vcf_operations_size_chosen="Large"),"Large","Small"))))</f>
        <v>Medium</v>
      </c>
    </row>
    <row r="75" spans="1:24" x14ac:dyDescent="0.2">
      <c r="A75" s="4" t="s">
        <v>164</v>
      </c>
      <c r="B75" s="9"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65112</v>
      </c>
      <c r="E75" s="9"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65113</v>
      </c>
      <c r="H75" s="9"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65114</v>
      </c>
      <c r="K75" s="9"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65115</v>
      </c>
      <c r="N75" s="9"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65116</v>
      </c>
      <c r="Q75" s="9"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65117</v>
      </c>
      <c r="T75" s="9"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65118</v>
      </c>
      <c r="W75" s="42" t="s">
        <v>3512</v>
      </c>
      <c r="X75" s="42" t="str">
        <f>IF(flt_def_vcf_custom_size_chosen="Selected",flt_def_vcf_operations_proxy_custom_size_chosen,
IF(flt_def_vcf_operations_ha_mode_chosen="Simple","Small",
IF(AND(flt_def_vcf_operations_ha_mode_chosen="High Availability (Three-Node)",flt_def_vcf_operations_size_chosen="Medium"),"Standard",
IF(AND(flt_def_vcf_operations_ha_mode_chosen="High Availability (Three-Node)",flt_def_vcf_operations_size_chosen="Large"),"Standard","Standard"))))</f>
        <v>Standard</v>
      </c>
    </row>
    <row r="76" spans="1:24" x14ac:dyDescent="0.2">
      <c r="A76" s="4" t="s">
        <v>165</v>
      </c>
      <c r="B76" s="9" t="s">
        <v>31</v>
      </c>
      <c r="E76" s="9" t="s">
        <v>31</v>
      </c>
      <c r="H76" s="9" t="s">
        <v>31</v>
      </c>
      <c r="K76" s="9" t="s">
        <v>31</v>
      </c>
      <c r="N76" s="9" t="s">
        <v>31</v>
      </c>
      <c r="Q76" s="9" t="s">
        <v>31</v>
      </c>
      <c r="T76" s="9" t="s">
        <v>31</v>
      </c>
      <c r="W76" s="42" t="s">
        <v>2814</v>
      </c>
      <c r="X76" s="42" t="str">
        <f>IF(flt_def_vcf_custom_size_chosen="Selected",flt_def_auto_size_chosen,
IF(flt_def_vcf_operations_ha_mode_chosen="Simple","Small",
IF(AND(flt_def_vcf_operations_ha_mode_chosen="High Availability (Three-Node)",flt_def_vcf_operations_size_chosen="Medium"),"Medium",
IF(AND(flt_def_vcf_operations_ha_mode_chosen="High Availability (Three-Node)",flt_def_vcf_operations_size_chosen="Large"),"Large","Small"))))</f>
        <v>Medium</v>
      </c>
    </row>
    <row r="77" spans="1:24" x14ac:dyDescent="0.2">
      <c r="A77" s="4" t="s">
        <v>166</v>
      </c>
      <c r="B77" s="9" t="str">
        <f>IF(cluster_wld_domain_chosen="VI Workload Domain",CONCATENATE(prefix_wld_az1_cidr,"29.10"),CONCATENATE(prefix_mgmt_az1_cidr,"29.10"))</f>
        <v>10.11.29.10</v>
      </c>
      <c r="E77" s="9" t="str">
        <f>IF(cluster_wld_domain_chosen="VI Workload Domain",CONCATENATE(prefix_wld_az1_cidr,"40.10"),CONCATENATE(prefix_mgmt_az1_cidr,"40.10"))</f>
        <v>10.11.40.10</v>
      </c>
      <c r="H77" s="9" t="str">
        <f>IF(cluster_wld_domain_chosen="VI Workload Domain",CONCATENATE(prefix_wld_az1_cidr,"51.10"),CONCATENATE(prefix_mgmt_az1_cidr,"51.10"))</f>
        <v>10.11.51.10</v>
      </c>
      <c r="K77" s="9" t="str">
        <f>IF(cluster_wld_domain_chosen="VI Workload Domain",CONCATENATE(prefix_wld_az1_cidr,"62.10"),CONCATENATE(prefix_mgmt_az1_cidr,"62.10"))</f>
        <v>10.11.62.10</v>
      </c>
      <c r="N77" s="9" t="str">
        <f>IF(cluster_wld_domain_chosen="VI Workload Domain",CONCATENATE(prefix_wld_az1_cidr,"73.10"),CONCATENATE(prefix_mgmt_az1_cidr,"73.10"))</f>
        <v>10.11.73.10</v>
      </c>
      <c r="Q77" s="9" t="str">
        <f>IF(cluster_wld_domain_chosen="VI Workload Domain",CONCATENATE(prefix_wld_az1_cidr,"84.10"),CONCATENATE(prefix_mgmt_az1_cidr,"84.10"))</f>
        <v>10.11.84.10</v>
      </c>
      <c r="T77" s="9" t="str">
        <f>IF(cluster_wld_domain_chosen="VI Workload Domain",CONCATENATE(prefix_wld_az1_cidr,"95.10"),CONCATENATE(prefix_mgmt_az1_cidr,"95.10"))</f>
        <v>10.11.95.10</v>
      </c>
    </row>
    <row r="78" spans="1:24" x14ac:dyDescent="0.2">
      <c r="A78" s="4" t="s">
        <v>167</v>
      </c>
      <c r="B78" s="9"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65112</v>
      </c>
      <c r="E78" s="9"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65113</v>
      </c>
      <c r="H78" s="9"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65114</v>
      </c>
      <c r="K78" s="9"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65115</v>
      </c>
      <c r="N78" s="9"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65116</v>
      </c>
      <c r="Q78" s="9"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65117</v>
      </c>
      <c r="T78" s="9"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65118</v>
      </c>
    </row>
    <row r="79" spans="1:24" x14ac:dyDescent="0.2">
      <c r="A79" s="4" t="s">
        <v>168</v>
      </c>
      <c r="B79" s="9" t="s">
        <v>31</v>
      </c>
      <c r="E79" s="9" t="s">
        <v>31</v>
      </c>
      <c r="H79" s="9" t="s">
        <v>31</v>
      </c>
      <c r="K79" s="9" t="s">
        <v>31</v>
      </c>
      <c r="N79" s="9" t="s">
        <v>31</v>
      </c>
      <c r="Q79" s="9" t="s">
        <v>31</v>
      </c>
      <c r="T79" s="9" t="s">
        <v>31</v>
      </c>
      <c r="W79" s="9" t="s">
        <v>3653</v>
      </c>
      <c r="X79" s="9">
        <f>IF(mgmt_cl01_vsan_dit_rekey_type_chosen="Custom",mgmt_cl01_vsan_dit_rekey_custom_interval,
IF(AND(mgmt_cl01_vsan_dit_rekey_type_chosen="Default",mgmt_cl01_vsan_dit_rekey_default_interval="6 Hours"),360,
IF(AND(mgmt_cl01_vsan_dit_rekey_type_chosen="Default",mgmt_cl01_vsan_dit_rekey_default_interval="12 Hours"),720,
IF(AND(mgmt_cl01_vsan_dit_rekey_type_chosen="Default",mgmt_cl01_vsan_dit_rekey_default_interval="1 Day"),1440,
IF(AND(mgmt_cl01_vsan_dit_rekey_type_chosen="Default",mgmt_cl01_vsan_dit_rekey_default_interval="3 Days"),4320,
IF(AND(mgmt_cl01_vsan_dit_rekey_type_chosen="Default",mgmt_cl01_vsan_dit_rekey_default_interval="7 Days"),10080,""))))))</f>
        <v>720</v>
      </c>
    </row>
    <row r="80" spans="1:24" x14ac:dyDescent="0.2">
      <c r="W80" s="9" t="s">
        <v>3652</v>
      </c>
      <c r="X80" s="9">
        <f>IF(wld_cl01_vsan_dit_rekey_type_chosen="Custom",wld_cl01_vsan_dit_rekey_custom_interval,
IF(AND(wld_cl01_vsan_dit_rekey_type_chosen="Default",wld_cl01_vsan_dit_rekey_default_interval="6 Hours"),360,
IF(AND(wld_cl01_vsan_dit_rekey_type_chosen="Default",wld_cl01_vsan_dit_rekey_default_interval="12 Hours"),720,
IF(AND(wld_cl01_vsan_dit_rekey_type_chosen="Default",wld_cl01_vsan_dit_rekey_default_interval="1 Day"),1440,
IF(AND(wld_cl01_vsan_dit_rekey_type_chosen="Default",wld_cl01_vsan_dit_rekey_default_interval="3 Days"),4320,
IF(AND(wld_cl01_vsan_dit_rekey_type_chosen="Default",wld_cl01_vsan_dit_rekey_default_interval="7 Days"),10080,""))))))</f>
        <v>1440</v>
      </c>
    </row>
    <row r="81" spans="23:24" x14ac:dyDescent="0.2">
      <c r="W81" s="9" t="s">
        <v>3654</v>
      </c>
      <c r="X81" s="9" cm="1">
        <f t="array" ref="X81">IF(cluster_vsan_dit_rekey_type_chosen="Custom",cluster_vsan_dit_rekey_custom_interval,
IF(AND(cluster_vsan_dit_rekey_type_chosen="Default",cluster_vsan_dit_rekey_default_interval="6 Hours"),360,
IF(AND(cluster_vsan_dit_rekey_type_chosen="Default",cluster_vsan_dit_rekey_default_interval="12 Hours"),720,
IF(AND(cluster_vsan_dit_rekey_type_chosen="Default",cluster_vsan_dit_rekey_default_interval="1 Day"),1440,
IF(AND(cluster_vsan_dit_rekey_type_chosen="Default",cluster_vsan_dit_rekey_default_interval="3 Days"),4320,
IF(AND(cluster_vsan_dit_rekey_type_chosen="Default",cluster_vsan_dit_rekey_default_interval="7 Days"),10080,""))))))</f>
        <v>4320</v>
      </c>
    </row>
  </sheetData>
  <sheetProtection algorithmName="SHA-512" hashValue="NBtLhUsVjUkk4+9p6IMRoTDE3ZXU1zVNxaGBCNTHifnTNnvp6SsTRQP5As1Sn/wjWhZ/gBkNS2UgY3sQu9riSw==" saltValue="BajCM6grgrX1GaJpYO5/ig==" spinCount="100000" sheet="1" objects="1" scenarios="1"/>
  <mergeCells count="7">
    <mergeCell ref="W25:Z25"/>
    <mergeCell ref="W40:Z40"/>
    <mergeCell ref="W32:Z32"/>
    <mergeCell ref="W4:Z4"/>
    <mergeCell ref="W3:Z3"/>
    <mergeCell ref="W9:Z9"/>
    <mergeCell ref="W13:Z13"/>
  </mergeCells>
  <conditionalFormatting sqref="C11:C14">
    <cfRule type="notContainsBlanks" dxfId="773" priority="59">
      <formula>LEN(TRIM(C11))&gt;0</formula>
    </cfRule>
  </conditionalFormatting>
  <conditionalFormatting sqref="C11:C18">
    <cfRule type="containsBlanks" dxfId="772" priority="55">
      <formula>LEN(TRIM(C11))=0</formula>
    </cfRule>
  </conditionalFormatting>
  <conditionalFormatting sqref="C12">
    <cfRule type="expression" dxfId="771" priority="52">
      <formula>AND((mgmt_stretched_cluster_result="Excluded"),(wld_stretched_cluster_result="Excluded"))</formula>
    </cfRule>
  </conditionalFormatting>
  <conditionalFormatting sqref="C19">
    <cfRule type="expression" dxfId="770" priority="58">
      <formula>AND((OR((spr_chosen="Management Only"),(spr_chosen="Management &amp; VI Workload"))),(ISBLANK(input_xregion_ntp2_server)))</formula>
    </cfRule>
  </conditionalFormatting>
  <conditionalFormatting sqref="Y5">
    <cfRule type="notContainsBlanks" dxfId="768" priority="50">
      <formula>LEN(TRIM(Y5))&gt;0</formula>
    </cfRule>
    <cfRule type="containsBlanks" dxfId="767" priority="51">
      <formula>LEN(TRIM(Y5))=0</formula>
    </cfRule>
  </conditionalFormatting>
  <conditionalFormatting sqref="Y5:Y7">
    <cfRule type="expression" dxfId="766" priority="43">
      <formula>mgmt_cl01_vds_profile_chosen="Custom Switch Configuration"</formula>
    </cfRule>
    <cfRule type="expression" dxfId="765" priority="44">
      <formula>mgmt_domain_existing_vcenter_chosen="Selected"</formula>
    </cfRule>
    <cfRule type="expression" dxfId="764" priority="45">
      <formula>mgmt_domain_deployment_type_chosen="VMware vSphere Foundation"</formula>
    </cfRule>
  </conditionalFormatting>
  <conditionalFormatting sqref="Y6:Y7">
    <cfRule type="expression" dxfId="763" priority="46">
      <formula>mgmt_host_overlay_addressing_chosen&lt;&gt;"IP Pool"</formula>
    </cfRule>
    <cfRule type="containsBlanks" dxfId="762" priority="47">
      <formula>LEN(TRIM(Y6))=0</formula>
    </cfRule>
    <cfRule type="notContainsBlanks" dxfId="761" priority="48">
      <formula>LEN(TRIM(Y6))&gt;0</formula>
    </cfRule>
  </conditionalFormatting>
  <conditionalFormatting sqref="Y10">
    <cfRule type="expression" dxfId="760" priority="35">
      <formula>vcf_granular_option_chosen="Deploy a VCF Instance in an existing VCF Fleet"</formula>
    </cfRule>
    <cfRule type="expression" dxfId="759" priority="36">
      <formula>mgmt_domain_deployment_type_chosen="VMware vSphere Foundation"</formula>
    </cfRule>
    <cfRule type="expression" dxfId="758" priority="37">
      <formula>mgmt_domain_password_creation_chosen="Selected"</formula>
    </cfRule>
    <cfRule type="expression" dxfId="757" priority="38">
      <formula>mgmt_domain_ops_automation_later_chosen="Selected"</formula>
    </cfRule>
    <cfRule type="expression" dxfId="756" priority="39">
      <formula>mgmt_domain_existing_vcf_operations_chosen="Selected"</formula>
    </cfRule>
    <cfRule type="notContainsBlanks" dxfId="754" priority="41">
      <formula>LEN(TRIM(Y10))&gt;0</formula>
    </cfRule>
    <cfRule type="containsBlanks" dxfId="753" priority="42">
      <formula>LEN(TRIM(Y10))=0</formula>
    </cfRule>
  </conditionalFormatting>
  <conditionalFormatting sqref="Y14:Y23">
    <cfRule type="containsBlanks" dxfId="752" priority="32">
      <formula>LEN(TRIM(Y14))=0</formula>
    </cfRule>
    <cfRule type="notContainsBlanks" dxfId="750" priority="34">
      <formula>LEN(TRIM(Y14))&gt;0</formula>
    </cfRule>
  </conditionalFormatting>
  <conditionalFormatting sqref="Y17:Y23">
    <cfRule type="expression" dxfId="749" priority="30">
      <formula>vcf_automation_cert_type_chosen="Import Certificate"</formula>
    </cfRule>
  </conditionalFormatting>
  <conditionalFormatting sqref="Y24 Y26:Y31 Y33:Y39">
    <cfRule type="containsBlanks" dxfId="748" priority="24">
      <formula>LEN(TRIM(Y24))=0</formula>
    </cfRule>
    <cfRule type="notContainsBlanks" dxfId="746" priority="26">
      <formula>LEN(TRIM(Y24))&gt;0</formula>
    </cfRule>
  </conditionalFormatting>
  <conditionalFormatting sqref="Y41:Y54 Y56:Y62">
    <cfRule type="expression" dxfId="745" priority="1">
      <formula>OR((flt_custom_network_vcf_ops_automation_chosen="Exclude"),(flt_custom_network_vcf_ops_automation_chosen ="Deploy VCF Operations and Automation"))</formula>
    </cfRule>
    <cfRule type="expression" dxfId="744" priority="2">
      <formula>AND((flt_custom_network_vcf_ops_automation_chosen="Deploy VCF Automation"),(flt_custom_network_vcf_ops_automation_result="Excluded"))</formula>
    </cfRule>
    <cfRule type="containsBlanks" dxfId="743" priority="4">
      <formula>LEN(TRIM(Y41))=0</formula>
    </cfRule>
    <cfRule type="notContainsBlanks" dxfId="741" priority="6">
      <formula>LEN(TRIM(Y41))&gt;0</formula>
    </cfRule>
  </conditionalFormatting>
  <dataValidations count="6">
    <dataValidation type="list" allowBlank="1" showInputMessage="1" showErrorMessage="1" sqref="C65:C67 F65:F67 I65:I67 L65:L67 O65:O67 R65:R67 U65:U67 Y39" xr:uid="{B13B4DB8-4DCC-2047-88E4-EBB71F90E5ED}">
      <formula1>table_masks</formula1>
    </dataValidation>
    <dataValidation type="list" allowBlank="1" showInputMessage="1" showErrorMessage="1" sqref="Y10" xr:uid="{AF68374F-C6E0-4249-91F4-B8396AEC4F33}">
      <formula1>"Selected,Unselected"</formula1>
    </dataValidation>
    <dataValidation type="list" allowBlank="1" showInputMessage="1" showErrorMessage="1" sqref="Y14" xr:uid="{ACAEE1EB-150C-A14A-8278-1F506B21EB1E}">
      <formula1>"Generate Certificate, Import Certificate"</formula1>
    </dataValidation>
    <dataValidation type="list" allowBlank="1" showInputMessage="1" showErrorMessage="1" sqref="Y23" xr:uid="{7143FC7E-7305-1444-9565-F8667B6757B2}">
      <formula1>"2048,4096"</formula1>
    </dataValidation>
    <dataValidation type="list" allowBlank="1" showInputMessage="1" showErrorMessage="1" sqref="Y36" xr:uid="{4D64331C-7C4C-904C-BDEB-9EA82E3E962B}">
      <formula1>"Use NTP Server,Use Host Time"</formula1>
    </dataValidation>
    <dataValidation type="list" allowBlank="1" showInputMessage="1" showErrorMessage="1" sqref="Y52" xr:uid="{BA2A58DB-A6BD-BA47-AEDB-5812ACF09ED2}">
      <formula1>"Internal Load Balancer, Others"</formula1>
    </dataValidation>
  </dataValidation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49" operator="containsText" id="{8F8CCDBB-59A0-CA4D-8AED-EC36C61D5D50}">
            <xm:f>NOT(ISERROR(SEARCH("Value Missing",Y5)))</xm:f>
            <xm:f>"Value Missing"</xm:f>
            <x14:dxf>
              <font>
                <color rgb="FF0E223A"/>
              </font>
              <fill>
                <patternFill>
                  <bgColor rgb="FFFFBE29"/>
                </patternFill>
              </fill>
            </x14:dxf>
          </x14:cfRule>
          <xm:sqref>Y5</xm:sqref>
        </x14:conditionalFormatting>
        <x14:conditionalFormatting xmlns:xm="http://schemas.microsoft.com/office/excel/2006/main">
          <x14:cfRule type="containsText" priority="40" operator="containsText" id="{A67E0F63-B090-7247-B03E-6F600A9B0962}">
            <xm:f>NOT(ISERROR(SEARCH("Value Missing",Y10)))</xm:f>
            <xm:f>"Value Missing"</xm:f>
            <x14:dxf>
              <font>
                <color rgb="FF0E223A"/>
              </font>
              <fill>
                <patternFill>
                  <bgColor rgb="FFFFBE29"/>
                </patternFill>
              </fill>
            </x14:dxf>
          </x14:cfRule>
          <xm:sqref>Y10</xm:sqref>
        </x14:conditionalFormatting>
        <x14:conditionalFormatting xmlns:xm="http://schemas.microsoft.com/office/excel/2006/main">
          <x14:cfRule type="containsText" priority="33" operator="containsText" id="{66D4F762-F733-B94C-9D38-657E09FAB079}">
            <xm:f>NOT(ISERROR(SEARCH("Value Missing",Y14)))</xm:f>
            <xm:f>"Value Missing"</xm:f>
            <x14:dxf>
              <font>
                <color rgb="FF0E223A"/>
              </font>
              <fill>
                <patternFill>
                  <bgColor rgb="FFFFBE29"/>
                </patternFill>
              </fill>
            </x14:dxf>
          </x14:cfRule>
          <xm:sqref>Y14:Y23</xm:sqref>
        </x14:conditionalFormatting>
        <x14:conditionalFormatting xmlns:xm="http://schemas.microsoft.com/office/excel/2006/main">
          <x14:cfRule type="containsText" priority="25" operator="containsText" id="{3E48B7E1-2203-E14A-9AFC-4358F07A0DAE}">
            <xm:f>NOT(ISERROR(SEARCH("Value Missing",Y24)))</xm:f>
            <xm:f>"Value Missing"</xm:f>
            <x14:dxf>
              <font>
                <color rgb="FF0E223A"/>
              </font>
              <fill>
                <patternFill>
                  <bgColor rgb="FFFFBE29"/>
                </patternFill>
              </fill>
            </x14:dxf>
          </x14:cfRule>
          <xm:sqref>Y24 Y26:Y31 Y33:Y39</xm:sqref>
        </x14:conditionalFormatting>
        <x14:conditionalFormatting xmlns:xm="http://schemas.microsoft.com/office/excel/2006/main">
          <x14:cfRule type="containsText" priority="5" operator="containsText" id="{32CD9589-5CD7-4544-BD2E-4127BA6E2550}">
            <xm:f>NOT(ISERROR(SEARCH("Value Missing",Y41)))</xm:f>
            <xm:f>"Value Missing"</xm:f>
            <x14:dxf>
              <font>
                <color rgb="FF0E223A"/>
              </font>
              <fill>
                <patternFill>
                  <bgColor rgb="FFFFBE29"/>
                </patternFill>
              </fill>
            </x14:dxf>
          </x14:cfRule>
          <xm:sqref>Y41:Y54 Y56:Y62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E573-5D55-1F41-89DB-9AB72D7C1F17}">
  <sheetPr codeName="Sheet28"/>
  <dimension ref="A1:AK499"/>
  <sheetViews>
    <sheetView showGridLines="0" topLeftCell="Q1" zoomScaleNormal="100" workbookViewId="0">
      <pane ySplit="4" topLeftCell="A5" activePane="bottomLeft" state="frozen"/>
      <selection pane="bottomLeft" activeCell="F185" sqref="F185"/>
    </sheetView>
  </sheetViews>
  <sheetFormatPr baseColWidth="10" defaultColWidth="11" defaultRowHeight="20" customHeight="1" x14ac:dyDescent="0.2"/>
  <cols>
    <col min="1" max="1" width="2.83203125" style="9" customWidth="1"/>
    <col min="2" max="2" width="72.1640625" style="9" bestFit="1" customWidth="1"/>
    <col min="3" max="3" width="33.83203125" style="9" bestFit="1" customWidth="1"/>
    <col min="4" max="4" width="2.83203125" style="9" customWidth="1"/>
    <col min="5" max="5" width="55.6640625" style="9" bestFit="1" customWidth="1"/>
    <col min="6" max="6" width="40" style="9" bestFit="1" customWidth="1"/>
    <col min="7" max="7" width="2.83203125" style="9" customWidth="1"/>
    <col min="8" max="8" width="55.6640625" style="9" bestFit="1" customWidth="1"/>
    <col min="9" max="9" width="40.83203125" style="9" bestFit="1" customWidth="1"/>
    <col min="10" max="10" width="2.83203125" style="9" customWidth="1"/>
    <col min="11" max="11" width="54.6640625" style="9" bestFit="1" customWidth="1"/>
    <col min="12" max="12" width="49.6640625" style="9" bestFit="1" customWidth="1"/>
    <col min="13" max="13" width="2.83203125" style="9" customWidth="1"/>
    <col min="14" max="14" width="54.6640625" style="9" bestFit="1" customWidth="1"/>
    <col min="15" max="15" width="49.6640625" style="9" bestFit="1" customWidth="1"/>
    <col min="16" max="16" width="4.33203125" style="9" customWidth="1"/>
    <col min="17" max="17" width="54.6640625" style="9" bestFit="1" customWidth="1"/>
    <col min="18" max="18" width="49.6640625" style="9" bestFit="1" customWidth="1"/>
    <col min="19" max="19" width="4" style="9" customWidth="1"/>
    <col min="20" max="20" width="54.6640625" style="9" bestFit="1" customWidth="1"/>
    <col min="21" max="21" width="49.6640625" style="9" bestFit="1" customWidth="1"/>
    <col min="22" max="22" width="3.5" style="9" customWidth="1"/>
    <col min="23" max="23" width="54.6640625" style="9" bestFit="1" customWidth="1"/>
    <col min="24" max="24" width="49.6640625" style="9" bestFit="1" customWidth="1"/>
    <col min="25" max="25" width="2.6640625" style="9" customWidth="1"/>
    <col min="26" max="26" width="54.6640625" style="9" bestFit="1" customWidth="1"/>
    <col min="27" max="27" width="49.6640625" style="9" bestFit="1" customWidth="1"/>
    <col min="28" max="28" width="2.83203125" style="9" customWidth="1"/>
    <col min="29" max="29" width="54.6640625" style="9" bestFit="1" customWidth="1"/>
    <col min="30" max="30" width="49.6640625" style="9" bestFit="1" customWidth="1"/>
    <col min="31" max="31" width="2.83203125" style="9" customWidth="1"/>
    <col min="32" max="32" width="2.33203125" style="9" customWidth="1"/>
    <col min="33" max="33" width="51.6640625" style="9" bestFit="1" customWidth="1"/>
    <col min="34" max="34" width="50.83203125" style="9" customWidth="1"/>
    <col min="35" max="35" width="40.83203125" style="9" customWidth="1"/>
    <col min="36" max="37" width="2.83203125" style="9" customWidth="1"/>
    <col min="38" max="40" width="11" style="9" customWidth="1"/>
    <col min="41" max="16384" width="11" style="9"/>
  </cols>
  <sheetData>
    <row r="1" spans="1:34" s="2" customFormat="1" ht="16" customHeight="1" x14ac:dyDescent="0.2">
      <c r="A1" s="1"/>
      <c r="B1" s="1"/>
      <c r="C1" s="1"/>
      <c r="D1" s="1"/>
      <c r="E1" s="1"/>
      <c r="F1" s="1"/>
      <c r="G1" s="1"/>
      <c r="H1" s="1"/>
      <c r="I1" s="1"/>
      <c r="J1" s="1"/>
    </row>
    <row r="2" spans="1:34" s="2" customFormat="1" ht="54" customHeight="1" x14ac:dyDescent="0.2">
      <c r="E2" s="617" t="s">
        <v>1007</v>
      </c>
      <c r="F2" s="617"/>
      <c r="G2" s="617"/>
      <c r="H2" s="617"/>
      <c r="I2" s="617"/>
      <c r="J2" s="617"/>
      <c r="K2" s="617"/>
      <c r="L2" s="617"/>
      <c r="M2" s="617"/>
    </row>
    <row r="3" spans="1:34" s="2" customFormat="1" ht="20" customHeight="1" x14ac:dyDescent="0.2">
      <c r="E3" s="429" t="s">
        <v>1008</v>
      </c>
      <c r="F3" s="429"/>
      <c r="G3" s="429"/>
      <c r="H3" s="429"/>
      <c r="I3" s="429"/>
      <c r="J3" s="429"/>
      <c r="K3" s="429"/>
      <c r="L3" s="429"/>
      <c r="M3" s="429"/>
    </row>
    <row r="4" spans="1:34" s="2" customFormat="1" ht="16" x14ac:dyDescent="0.2">
      <c r="M4" s="11"/>
    </row>
    <row r="5" spans="1:34" s="2" customFormat="1" ht="16" x14ac:dyDescent="0.2">
      <c r="M5" s="11"/>
    </row>
    <row r="6" spans="1:34" s="2" customFormat="1" ht="20" customHeight="1" x14ac:dyDescent="0.2">
      <c r="B6" s="615" t="s">
        <v>1009</v>
      </c>
      <c r="C6" s="616"/>
      <c r="E6" s="615" t="s">
        <v>1010</v>
      </c>
      <c r="F6" s="616"/>
      <c r="H6" s="12" t="s">
        <v>1011</v>
      </c>
      <c r="I6" s="13"/>
      <c r="K6" s="12" t="s">
        <v>1012</v>
      </c>
      <c r="L6" s="13"/>
      <c r="N6" s="12" t="s">
        <v>1013</v>
      </c>
      <c r="O6" s="13"/>
      <c r="Q6" s="14" t="s">
        <v>1014</v>
      </c>
      <c r="R6" s="15"/>
      <c r="T6" s="14" t="s">
        <v>1015</v>
      </c>
      <c r="U6" s="15"/>
      <c r="W6" s="14" t="s">
        <v>1016</v>
      </c>
      <c r="X6" s="15"/>
      <c r="Z6" s="14" t="s">
        <v>1017</v>
      </c>
      <c r="AA6" s="15"/>
      <c r="AB6" s="7"/>
      <c r="AC6" s="14" t="s">
        <v>1018</v>
      </c>
      <c r="AD6" s="15"/>
      <c r="AG6" s="618" t="s">
        <v>1019</v>
      </c>
      <c r="AH6" s="620"/>
    </row>
    <row r="7" spans="1:34" s="2" customFormat="1" ht="20" customHeight="1" x14ac:dyDescent="0.2">
      <c r="B7" s="17" t="s">
        <v>250</v>
      </c>
      <c r="C7" s="18" t="s">
        <v>1020</v>
      </c>
      <c r="E7" s="17" t="s">
        <v>250</v>
      </c>
      <c r="F7" s="18" t="s">
        <v>1021</v>
      </c>
      <c r="H7" s="17" t="s">
        <v>250</v>
      </c>
      <c r="I7" s="18" t="s">
        <v>1021</v>
      </c>
      <c r="K7" s="17" t="s">
        <v>250</v>
      </c>
      <c r="L7" s="18" t="s">
        <v>1021</v>
      </c>
      <c r="N7" s="17" t="s">
        <v>250</v>
      </c>
      <c r="O7" s="18" t="s">
        <v>1021</v>
      </c>
      <c r="Q7" s="19" t="s">
        <v>250</v>
      </c>
      <c r="R7" s="20" t="s">
        <v>1021</v>
      </c>
      <c r="S7" s="21"/>
      <c r="T7" s="19" t="s">
        <v>250</v>
      </c>
      <c r="U7" s="20" t="s">
        <v>1021</v>
      </c>
      <c r="V7" s="21"/>
      <c r="W7" s="19" t="s">
        <v>250</v>
      </c>
      <c r="X7" s="20" t="s">
        <v>1021</v>
      </c>
      <c r="Y7" s="21"/>
      <c r="Z7" s="19" t="s">
        <v>250</v>
      </c>
      <c r="AA7" s="20" t="s">
        <v>1021</v>
      </c>
      <c r="AB7" s="21"/>
      <c r="AC7" s="19" t="s">
        <v>250</v>
      </c>
      <c r="AD7" s="20" t="s">
        <v>1021</v>
      </c>
      <c r="AG7" s="22" t="s">
        <v>1022</v>
      </c>
      <c r="AH7" s="8">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8" spans="1:34" s="2" customFormat="1" ht="20" customHeight="1" x14ac:dyDescent="0.2">
      <c r="B8" s="4" t="s">
        <v>1023</v>
      </c>
      <c r="C8" s="8" t="str">
        <f>mgmt_offline_depot_chosen</f>
        <v>Online</v>
      </c>
      <c r="E8" s="4" t="s">
        <v>1024</v>
      </c>
      <c r="F8" s="8" t="str">
        <f>IF(ISBLANK(input_mgmt_az1_mgmt_vm_vlan),"Value Missing",input_mgmt_az1_mgmt_vm_vlan)</f>
        <v>Value Missing</v>
      </c>
      <c r="H8" s="4" t="s">
        <v>1024</v>
      </c>
      <c r="I8" s="8" t="str">
        <f>IF(ISBLANK(input_wld_az1_mgmt_vm_vlan),"Value Missing",input_wld_az1_mgmt_vm_vlan)</f>
        <v>Value Missing</v>
      </c>
      <c r="K8" s="4" t="s">
        <v>1024</v>
      </c>
      <c r="L8" s="8" t="str">
        <f>IF(ISBLANK(input_wld_az1_rack2_mgmt_vm_vlan),"Value Missing",input_wld_az1_rack2_mgmt_vm_vlan)</f>
        <v>Value Missing</v>
      </c>
      <c r="N8" s="4" t="s">
        <v>1024</v>
      </c>
      <c r="O8" s="8" t="str">
        <f>IF(ISBLANK(input_wld_az1_rack3_mgmt_vm_vlan),"Value Missing",input_wld_az1_rack3_mgmt_vm_vlan)</f>
        <v>Value Missing</v>
      </c>
      <c r="Q8" s="4" t="s">
        <v>1024</v>
      </c>
      <c r="R8" s="8" t="str">
        <f>IF(ISBLANK(input_wld_az1_rack4_mgmt_vm_vlan),"Value Missing",input_wld_az1_rack4_mgmt_vm_vlan)</f>
        <v>Value Missing</v>
      </c>
      <c r="T8" s="4" t="s">
        <v>1024</v>
      </c>
      <c r="U8" s="8" t="str">
        <f>IF(ISBLANK(input_wld_az1_rack5_mgmt_vm_vlan),"Value Missing",input_wld_az1_rack5_mgmt_vm_vlan)</f>
        <v>Value Missing</v>
      </c>
      <c r="W8" s="4" t="s">
        <v>1024</v>
      </c>
      <c r="X8" s="8" t="str">
        <f>IF(ISBLANK(input_wld_az1_rack6_mgmt_vm_vlan),"Value Missing",input_wld_az1_rack6_mgmt_vm_vlan)</f>
        <v>Value Missing</v>
      </c>
      <c r="Z8" s="4" t="s">
        <v>1024</v>
      </c>
      <c r="AA8" s="8" t="str">
        <f>IF(ISBLANK(input_wld_az1_rack7_mgmt_vm_vlan),"Value Missing",input_wld_az1_rack7_mgmt_vm_vlan)</f>
        <v>Value Missing</v>
      </c>
      <c r="AC8" s="4" t="s">
        <v>1024</v>
      </c>
      <c r="AD8" s="8" t="str">
        <f>IF(ISBLANK(input_wld_az1_rack8_mgmt_vm_vlan),"Value Missing",input_wld_az1_rack8_mgmt_vm_vlan)</f>
        <v>Value Missing</v>
      </c>
      <c r="AG8" s="22" t="s">
        <v>1025</v>
      </c>
      <c r="AH8" s="8">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9" spans="1:34" s="2" customFormat="1" ht="20" customHeight="1" x14ac:dyDescent="0.2">
      <c r="B9" s="4" t="s">
        <v>291</v>
      </c>
      <c r="C9" s="8" t="str">
        <f>mgmt_offline_depot_fqdn</f>
        <v>Value Missing</v>
      </c>
      <c r="E9" s="4" t="s">
        <v>1026</v>
      </c>
      <c r="F9" s="8" t="str">
        <f>IF(ISBLANK(input_mgmt_az1_mgmt_vlan),"Value Missing",input_mgmt_az1_mgmt_vlan)</f>
        <v>Value Missing</v>
      </c>
      <c r="H9" s="4" t="s">
        <v>1026</v>
      </c>
      <c r="I9" s="8" t="str">
        <f>IF(ISBLANK(input_wld_az1_mgmt_vlan),"Value Missing",input_wld_az1_mgmt_vlan)</f>
        <v>Value Missing</v>
      </c>
      <c r="K9" s="4" t="s">
        <v>1026</v>
      </c>
      <c r="L9" s="8" t="str">
        <f>IF(ISBLANK(input_wld_az1_rack2_mgmt_vlan),"Value Missing",input_wld_az1_rack2_mgmt_vlan)</f>
        <v>Value Missing</v>
      </c>
      <c r="N9" s="4" t="s">
        <v>1026</v>
      </c>
      <c r="O9" s="8" t="str">
        <f>IF(ISBLANK(input_wld_az1_rack3_mgmt_vlan),"Value Missing",input_wld_az1_rack3_mgmt_vlan)</f>
        <v>Value Missing</v>
      </c>
      <c r="Q9" s="4" t="s">
        <v>1026</v>
      </c>
      <c r="R9" s="8" t="str">
        <f>IF(ISBLANK(input_wld_az1_rack4_mgmt_vlan),"Value Missing",input_wld_az1_rack4_mgmt_vlan)</f>
        <v>Value Missing</v>
      </c>
      <c r="T9" s="4" t="s">
        <v>1026</v>
      </c>
      <c r="U9" s="8" t="str">
        <f>IF(ISBLANK(input_wld_az1_rack5_mgmt_vlan),"Value Missing",input_wld_az1_rack5_mgmt_vlan)</f>
        <v>Value Missing</v>
      </c>
      <c r="W9" s="4" t="s">
        <v>1026</v>
      </c>
      <c r="X9" s="8" t="str">
        <f>IF(ISBLANK(input_wld_az1_rack6_mgmt_vlan),"Value Missing",input_wld_az1_rack6_mgmt_vlan)</f>
        <v>Value Missing</v>
      </c>
      <c r="Z9" s="4" t="s">
        <v>1026</v>
      </c>
      <c r="AA9" s="8" t="str">
        <f>IF(ISBLANK(input_wld_az1_rack7_mgmt_vlan),"Value Missing",input_wld_az1_rack7_mgmt_vlan)</f>
        <v>Value Missing</v>
      </c>
      <c r="AC9" s="4" t="s">
        <v>1026</v>
      </c>
      <c r="AD9" s="8" t="str">
        <f>IF(ISBLANK(input_wld_az1_rack8_mgmt_vlan),"Value Missing",input_wld_az1_rack8_mgmt_vlan)</f>
        <v>Value Missing</v>
      </c>
      <c r="AG9" s="22" t="s">
        <v>1027</v>
      </c>
      <c r="AH9" s="8" t="str">
        <f>CONCATENATE("10.",prefix_wld_az1_rack_vlan,".")</f>
        <v>10.13.</v>
      </c>
    </row>
    <row r="10" spans="1:34" s="2" customFormat="1" ht="20" customHeight="1" x14ac:dyDescent="0.2">
      <c r="B10" s="4" t="s">
        <v>25</v>
      </c>
      <c r="C10" s="8" t="str">
        <f>mgmt_offline_depot_port</f>
        <v>Value Missing</v>
      </c>
      <c r="E10" s="4" t="s">
        <v>240</v>
      </c>
      <c r="F10" s="8" t="str">
        <f>IF(ISBLANK(input_mgmt_az1_vmotion_vlan),"Value Missing",input_mgmt_az1_vmotion_vlan)</f>
        <v>Value Missing</v>
      </c>
      <c r="H10" s="4" t="s">
        <v>240</v>
      </c>
      <c r="I10" s="8" t="str">
        <f>IF(ISBLANK(input_wld_az1_vmotion_vlan),"Value Missing",input_wld_az1_vmotion_vlan)</f>
        <v>Value Missing</v>
      </c>
      <c r="K10" s="4" t="s">
        <v>240</v>
      </c>
      <c r="L10" s="8" t="str">
        <f>IF(ISBLANK(input_wld_az1_rack2_vmotion_vlan),"Value Missing",input_wld_az1_rack2_vmotion_vlan)</f>
        <v>Value Missing</v>
      </c>
      <c r="N10" s="4" t="s">
        <v>240</v>
      </c>
      <c r="O10" s="8" t="str">
        <f>IF(ISBLANK(input_wld_az1_rack3_vmotion_vlan),"Value Missing",input_wld_az1_rack3_vmotion_vlan)</f>
        <v>Value Missing</v>
      </c>
      <c r="Q10" s="4" t="s">
        <v>240</v>
      </c>
      <c r="R10" s="8" t="str">
        <f>IF(ISBLANK(input_wld_az1_rack4_vmotion_vlan),"Value Missing",input_wld_az1_rack4_vmotion_vlan)</f>
        <v>Value Missing</v>
      </c>
      <c r="T10" s="4" t="s">
        <v>240</v>
      </c>
      <c r="U10" s="8" t="str">
        <f>IF(ISBLANK(input_wld_az1_rack5_vmotion_vlan),"Value Missing",input_wld_az1_rack5_vmotion_vlan)</f>
        <v>Value Missing</v>
      </c>
      <c r="W10" s="4" t="s">
        <v>240</v>
      </c>
      <c r="X10" s="8" t="str">
        <f>IF(ISBLANK(input_wld_az1_rack6_vmotion_vlan),"Value Missing",input_wld_az1_rack6_vmotion_vlan)</f>
        <v>Value Missing</v>
      </c>
      <c r="Z10" s="4" t="s">
        <v>240</v>
      </c>
      <c r="AA10" s="8" t="str">
        <f>IF(ISBLANK(input_wld_az1_rack7_vmotion_vlan),"Value Missing",input_wld_az1_rack7_vmotion_vlan)</f>
        <v>Value Missing</v>
      </c>
      <c r="AC10" s="4" t="s">
        <v>240</v>
      </c>
      <c r="AD10" s="8" t="str">
        <f>IF(ISBLANK(input_wld_az1_rack8_vmotion_vlan),"Value Missing",input_wld_az1_rack8_vmotion_vlan)</f>
        <v>Value Missing</v>
      </c>
      <c r="AG10" s="22" t="s">
        <v>1028</v>
      </c>
      <c r="AH10" s="8" t="str">
        <f>CONCATENATE("10.",prefix_wld_az2_rack_vlan)</f>
        <v>10.14</v>
      </c>
    </row>
    <row r="11" spans="1:34" s="2" customFormat="1" ht="20" customHeight="1" x14ac:dyDescent="0.2">
      <c r="B11" s="4" t="s">
        <v>30</v>
      </c>
      <c r="C11" s="8" t="str">
        <f>svc_my_vmware_password</f>
        <v>Value Missing</v>
      </c>
      <c r="E11" s="23" t="str">
        <f>CONCATENATE("Principal Storage Network ",wld_principal_storage_chosen)</f>
        <v>Principal Storage Network vSAN-ESA</v>
      </c>
      <c r="F11" s="8" t="str">
        <f>IF(ISBLANK(input_mgmt_az1_vsan_vlan),"Value Missing",input_mgmt_az1_vsan_vlan)</f>
        <v>Value Missing</v>
      </c>
      <c r="H11" s="23" t="s">
        <v>246</v>
      </c>
      <c r="I11" s="8" t="str">
        <f>IF(ISBLANK(input_wld_az1_principal_storage_vlan),"Value Missing",input_wld_az1_principal_storage_vlan)</f>
        <v>Value Missing</v>
      </c>
      <c r="K11" s="23" t="str">
        <f>CONCATENATE("Principal Storage Network ",wld_principal_storage_chosen)</f>
        <v>Principal Storage Network vSAN-ESA</v>
      </c>
      <c r="L11" s="8" t="str">
        <f>IF(ISBLANK(input_wld_az1_rack2_principal_storage_vlan),"Value Missing",input_wld_az1_rack2_principal_storage_vlan)</f>
        <v>Value Missing</v>
      </c>
      <c r="N11" s="23" t="str">
        <f>CONCATENATE("Principal Storage Network ",wld_principal_storage_chosen)</f>
        <v>Principal Storage Network vSAN-ESA</v>
      </c>
      <c r="O11" s="8" t="str">
        <f>IF(ISBLANK(input_wld_az1_rack3_principal_storage_vlan),"Value Missing",input_wld_az1_rack3_principal_storage_vlan)</f>
        <v>Value Missing</v>
      </c>
      <c r="Q11" s="23" t="str">
        <f>CONCATENATE("Principal Storage Network ",wld_principal_storage_chosen)</f>
        <v>Principal Storage Network vSAN-ESA</v>
      </c>
      <c r="R11" s="8" t="str">
        <f>IF(ISBLANK(input_wld_az1_rack4_principal_storage_vlan),"Value Missing",input_wld_az1_rack4_principal_storage_vlan)</f>
        <v>Value Missing</v>
      </c>
      <c r="T11" s="23" t="str">
        <f>CONCATENATE("Principal Storage Network ",wld_principal_storage_chosen)</f>
        <v>Principal Storage Network vSAN-ESA</v>
      </c>
      <c r="U11" s="8" t="str">
        <f>IF(ISBLANK(input_wld_az1_rack5_principal_storage_vlan),"Value Missing",input_wld_az1_rack5_principal_storage_vlan)</f>
        <v>Value Missing</v>
      </c>
      <c r="W11" s="23" t="str">
        <f>CONCATENATE("Principal Storage Network ",wld_principal_storage_chosen)</f>
        <v>Principal Storage Network vSAN-ESA</v>
      </c>
      <c r="X11" s="8" t="str">
        <f>IF(ISBLANK(input_wld_az1_rack6_principal_storage_vlan),"Value Missing",input_wld_az1_rack6_principal_storage_vlan)</f>
        <v>Value Missing</v>
      </c>
      <c r="Z11" s="23" t="str">
        <f>CONCATENATE("Principal Storage Network ",wld_principal_storage_chosen)</f>
        <v>Principal Storage Network vSAN-ESA</v>
      </c>
      <c r="AA11" s="8" t="str">
        <f>IF(ISBLANK(input_wld_az1_rack7_principal_storage_vlan),"Value Missing",input_wld_az1_rack7_principal_storage_vlan)</f>
        <v>Value Missing</v>
      </c>
      <c r="AC11" s="23" t="str">
        <f>CONCATENATE("Principal Storage Network ",wld_principal_storage_chosen)</f>
        <v>Principal Storage Network vSAN-ESA</v>
      </c>
      <c r="AD11" s="8" t="str">
        <f>IF(ISBLANK(input_wld_az1_rack8_principal_storage_vlan),"Value Missing",input_wld_az1_rack8_principal_storage_vlan)</f>
        <v>Value Missing</v>
      </c>
      <c r="AG11" s="9"/>
    </row>
    <row r="12" spans="1:34" s="2" customFormat="1" ht="20" customHeight="1" x14ac:dyDescent="0.2">
      <c r="B12" s="4" t="s">
        <v>1029</v>
      </c>
      <c r="C12" s="8" t="str">
        <f>mgmt_offline_depot_chosen</f>
        <v>Online</v>
      </c>
      <c r="E12" s="4" t="s">
        <v>1030</v>
      </c>
      <c r="F12" s="8" t="str">
        <f>IF(ISBLANK(input_mgmt_az1_host_overlay_vlan),"Value Missing",input_mgmt_az1_host_overlay_vlan)</f>
        <v>Value Missing</v>
      </c>
      <c r="H12" s="4" t="s">
        <v>1030</v>
      </c>
      <c r="I12" s="8" t="str">
        <f>IF(ISBLANK(input_wld_az1_host_overlay_vlan),"Value Missing",input_wld_az1_host_overlay_vlan)</f>
        <v>Value Missing</v>
      </c>
      <c r="K12" s="4" t="s">
        <v>1030</v>
      </c>
      <c r="L12" s="8" t="str">
        <f>IF(ISBLANK(input_wld_az1_rack2_host_overlay_vlan),"Value Missing",input_wld_az1_rack2_host_overlay_vlan)</f>
        <v>Value Missing</v>
      </c>
      <c r="N12" s="4" t="s">
        <v>1030</v>
      </c>
      <c r="O12" s="8" t="str">
        <f>IF(ISBLANK(input_wld_az1_rack3_host_overlay_vlan),"Value Missing",input_wld_az1_rack3_host_overlay_vlan)</f>
        <v>Value Missing</v>
      </c>
      <c r="Q12" s="4" t="s">
        <v>1030</v>
      </c>
      <c r="R12" s="8" t="str">
        <f>IF(ISBLANK(input_wld_az1_rack4_host_overlay_vlan),"Value Missing",input_wld_az1_rack4_host_overlay_vlan)</f>
        <v>Value Missing</v>
      </c>
      <c r="T12" s="4" t="s">
        <v>1030</v>
      </c>
      <c r="U12" s="8" t="str">
        <f>IF(ISBLANK(input_wld_az1_rack5_host_overlay_vlan),"Value Missing",input_wld_az1_rack5_host_overlay_vlan)</f>
        <v>Value Missing</v>
      </c>
      <c r="W12" s="4" t="s">
        <v>1030</v>
      </c>
      <c r="X12" s="8" t="str">
        <f>IF(ISBLANK(input_wld_az1_rack6_host_overlay_vlan),"Value Missing",input_wld_az1_rack6_host_overlay_vlan)</f>
        <v>Value Missing</v>
      </c>
      <c r="Z12" s="4" t="s">
        <v>1030</v>
      </c>
      <c r="AA12" s="8" t="str">
        <f>IF(ISBLANK(input_wld_az1_rack7_host_overlay_vlan),"Value Missing",input_wld_az1_rack7_host_overlay_vlan)</f>
        <v>Value Missing</v>
      </c>
      <c r="AC12" s="4" t="s">
        <v>1030</v>
      </c>
      <c r="AD12" s="8" t="str">
        <f>IF(ISBLANK(input_wld_az1_rack8_host_overlay_vlan),"Value Missing",input_wld_az1_rack8_host_overlay_vlan)</f>
        <v>Value Missing</v>
      </c>
    </row>
    <row r="13" spans="1:34" s="2" customFormat="1" ht="20" customHeight="1" x14ac:dyDescent="0.2">
      <c r="B13" s="4" t="s">
        <v>1031</v>
      </c>
      <c r="C13" s="8" t="str">
        <f>mgmt_internet_proxy_type_chosen</f>
        <v>HTTPS</v>
      </c>
      <c r="E13" s="24" t="s">
        <v>1032</v>
      </c>
      <c r="F13" s="8" t="str">
        <f>IF(ISBLANK(input_mgmt_az1_secondary_storage_vlan),"Value Missing",input_mgmt_az1_secondary_storage_vlan)</f>
        <v>Value Missing</v>
      </c>
      <c r="H13" s="4" t="s">
        <v>1032</v>
      </c>
      <c r="I13" s="8" t="str">
        <f>IF(ISBLANK(input_wld_az1_secondary_storage_vlan),"Value Missing",input_wld_az1_secondary_storage_vlan)</f>
        <v>Value Missing</v>
      </c>
      <c r="K13" s="4" t="s">
        <v>1032</v>
      </c>
      <c r="L13" s="8" t="str">
        <f>IF(ISBLANK(input_wld_az1_rack2_secondary_storage_vlan),"Value Missing",input_wld_az1_rack2_secondary_storage_vlan)</f>
        <v>Value Missing</v>
      </c>
      <c r="N13" s="4" t="s">
        <v>1032</v>
      </c>
      <c r="O13" s="8" t="str">
        <f>IF(ISBLANK(input_wld_az1_rack3_secondary_storage_vlan),"Value Missing",input_wld_az1_rack3_secondary_storage_vlan)</f>
        <v>Value Missing</v>
      </c>
      <c r="Q13" s="4" t="s">
        <v>1032</v>
      </c>
      <c r="R13" s="8" t="str">
        <f>IF(ISBLANK(input_wld_az1_rack4_secondary_storage_vlan),"Value Missing",input_wld_az1_rack4_secondary_storage_vlan)</f>
        <v>Value Missing</v>
      </c>
      <c r="T13" s="4" t="s">
        <v>1032</v>
      </c>
      <c r="U13" s="8" t="str">
        <f>IF(ISBLANK(input_wld_az1_rack5_secondary_storage_vlan),"Value Missing",input_wld_az1_rack5_secondary_storage_vlan)</f>
        <v>Value Missing</v>
      </c>
      <c r="W13" s="4" t="s">
        <v>1032</v>
      </c>
      <c r="X13" s="8" t="str">
        <f>IF(ISBLANK(input_wld_az1_rack6_secondary_storage_vlan),"Value Missing",input_wld_az1_rack6_secondary_storage_vlan)</f>
        <v>Value Missing</v>
      </c>
      <c r="Z13" s="4" t="s">
        <v>1032</v>
      </c>
      <c r="AA13" s="8" t="str">
        <f>IF(ISBLANK(input_wld_az1_rack7_secondary_storage_vlan),"Value Missing",input_wld_az1_rack7_secondary_storage_vlan)</f>
        <v>Value Missing</v>
      </c>
      <c r="AC13" s="4" t="s">
        <v>1032</v>
      </c>
      <c r="AD13" s="8" t="str">
        <f>IF(ISBLANK(input_wld_az1_rack8_secondary_storage_vlan),"Value Missing",input_wld_az1_rack8_secondary_storage_vlan)</f>
        <v>Value Missing</v>
      </c>
    </row>
    <row r="14" spans="1:34" s="2" customFormat="1" ht="20" customHeight="1" x14ac:dyDescent="0.2">
      <c r="B14" s="4" t="s">
        <v>1033</v>
      </c>
      <c r="C14" s="2" t="str">
        <f>mgmt_internet_proxy_chosen</f>
        <v>Unselected</v>
      </c>
      <c r="E14" s="24" t="s">
        <v>3260</v>
      </c>
      <c r="F14" s="8" t="str">
        <f>IF(ISBLANK(input_mgmt_az1_vcf_mgmt_vlan),"Value Missing",input_mgmt_az1_vcf_mgmt_vlan)</f>
        <v>Value Missing</v>
      </c>
      <c r="H14" s="4" t="s">
        <v>686</v>
      </c>
      <c r="I14" s="8" t="str">
        <f>IF(ISBLANK(input_wld_az1_storage_cluster_vlan),"Value Missing",input_wld_az1_storage_cluster_vlan)</f>
        <v>Value Missing</v>
      </c>
      <c r="K14" s="30" t="s">
        <v>686</v>
      </c>
      <c r="L14" s="8"/>
      <c r="N14" s="30" t="s">
        <v>686</v>
      </c>
      <c r="O14" s="8"/>
      <c r="Q14" s="30" t="s">
        <v>686</v>
      </c>
      <c r="R14" s="8"/>
      <c r="T14" s="30" t="s">
        <v>686</v>
      </c>
      <c r="U14" s="8"/>
      <c r="W14" s="30" t="s">
        <v>686</v>
      </c>
      <c r="X14" s="8"/>
      <c r="Z14" s="30" t="s">
        <v>686</v>
      </c>
      <c r="AA14" s="8"/>
      <c r="AC14" s="30" t="s">
        <v>686</v>
      </c>
      <c r="AD14" s="8"/>
    </row>
    <row r="15" spans="1:34" s="2" customFormat="1" ht="20" customHeight="1" x14ac:dyDescent="0.2">
      <c r="B15" s="4" t="s">
        <v>1034</v>
      </c>
      <c r="C15" s="8" t="str">
        <f>IF(ISBLANK(input_mgmt_internet_proxy_address),"Value Missing",input_mgmt_internet_proxy_address)</f>
        <v>Value Missing</v>
      </c>
      <c r="E15" s="4" t="s">
        <v>1035</v>
      </c>
      <c r="F15" s="8" t="str">
        <f>IF(ISBLANK(input_mgmt_az1_uplink01_vlan),"Value Missing",input_mgmt_az1_uplink01_vlan)</f>
        <v>Value Missing</v>
      </c>
      <c r="H15" s="4" t="s">
        <v>1035</v>
      </c>
      <c r="I15" s="8" t="str">
        <f>IF(ISBLANK(input_wld_az1_uplink01_vlan),"Value Missing",input_wld_az1_uplink01_vlan)</f>
        <v>Value Missing</v>
      </c>
      <c r="K15" s="4" t="s">
        <v>1035</v>
      </c>
      <c r="L15" s="8" t="str">
        <f>IF(ISBLANK(input_wld_az1_rack2_uplink01_vlan),"Value Missing",input_wld_az1_rack2_uplink01_vlan)</f>
        <v>Value Missing</v>
      </c>
      <c r="N15" s="4" t="s">
        <v>1035</v>
      </c>
      <c r="O15" s="8" t="str">
        <f>IF(ISBLANK(input_wld_az1_rack3_uplink01_vlan),"Value Missing",input_wld_az1_rack3_uplink01_vlan)</f>
        <v>Value Missing</v>
      </c>
      <c r="Q15" s="4" t="s">
        <v>1035</v>
      </c>
      <c r="R15" s="8" t="str">
        <f>IF(ISBLANK(input_wld_az1_rack4_uplink01_vlan),"Value Missing",input_wld_az1_rack4_uplink01_vlan)</f>
        <v>Value Missing</v>
      </c>
      <c r="T15" s="4" t="s">
        <v>1035</v>
      </c>
      <c r="U15" s="8" t="str">
        <f>IF(ISBLANK(input_wld_az1_rack5_uplink01_vlan),"Value Missing",input_wld_az1_rack5_uplink01_vlan)</f>
        <v>Value Missing</v>
      </c>
      <c r="W15" s="4" t="s">
        <v>1035</v>
      </c>
      <c r="X15" s="8" t="str">
        <f>IF(ISBLANK(input_wld_az1_rack6_uplink01_vlan),"Value Missing",input_wld_az1_rack6_uplink01_vlan)</f>
        <v>Value Missing</v>
      </c>
      <c r="Z15" s="4" t="s">
        <v>1035</v>
      </c>
      <c r="AA15" s="335" t="str">
        <f>IF(ISBLANK(input_wld_az1_rack7_uplink01_vlan),"Value Missing",input_wld_az1_rack7_uplink01_vlan)</f>
        <v>Value Missing</v>
      </c>
      <c r="AC15" s="4" t="s">
        <v>1035</v>
      </c>
      <c r="AD15" s="8" t="str">
        <f>IF(ISBLANK(input_wld_az1_rack8_uplink01_vlan),"Value Missing",input_wld_az1_rack8_uplink01_vlan)</f>
        <v>Value Missing</v>
      </c>
    </row>
    <row r="16" spans="1:34" s="2" customFormat="1" ht="20" customHeight="1" x14ac:dyDescent="0.2">
      <c r="B16" s="4" t="s">
        <v>1036</v>
      </c>
      <c r="C16" s="8" t="str">
        <f>mgmt_internet_proxy_port</f>
        <v>Value Missing</v>
      </c>
      <c r="E16" s="4" t="s">
        <v>1037</v>
      </c>
      <c r="F16" s="8" t="str">
        <f>IF(ISBLANK(input_mgmt_az1_uplink02_vlan),"Value Missing",input_mgmt_az1_uplink02_vlan)</f>
        <v>Value Missing</v>
      </c>
      <c r="H16" s="4" t="s">
        <v>1037</v>
      </c>
      <c r="I16" s="8" t="str">
        <f>IF(ISBLANK(input_wld_az1_uplink02_vlan),"Value Missing",input_wld_az1_uplink02_vlan)</f>
        <v>Value Missing</v>
      </c>
      <c r="K16" s="4" t="s">
        <v>1037</v>
      </c>
      <c r="L16" s="8" t="str">
        <f>IF(ISBLANK(input_wld_az1_rack2_uplink02_vlan),"Value Missing",input_wld_az1_rack2_uplink02_vlan)</f>
        <v>Value Missing</v>
      </c>
      <c r="N16" s="4" t="s">
        <v>1037</v>
      </c>
      <c r="O16" s="8" t="str">
        <f>IF(ISBLANK(input_wld_az1_rack3_uplink02_vlan),"Value Missing",input_wld_az1_rack3_uplink02_vlan)</f>
        <v>Value Missing</v>
      </c>
      <c r="Q16" s="4" t="s">
        <v>1037</v>
      </c>
      <c r="R16" s="8" t="str">
        <f>IF(ISBLANK(input_wld_az1_rack4_uplink02_vlan),"Value Missing",input_wld_az1_rack4_uplink02_vlan)</f>
        <v>Value Missing</v>
      </c>
      <c r="T16" s="4" t="s">
        <v>1037</v>
      </c>
      <c r="U16" s="8" t="str">
        <f>IF(ISBLANK(input_wld_az1_rack5_uplink02_vlan),"Value Missing",input_wld_az1_rack5_uplink02_vlan)</f>
        <v>Value Missing</v>
      </c>
      <c r="W16" s="4" t="s">
        <v>1037</v>
      </c>
      <c r="X16" s="8" t="str">
        <f>IF(ISBLANK(input_wld_az1_rack6_uplink02_vlan),"Value Missing",input_wld_az1_rack6_uplink02_vlan)</f>
        <v>Value Missing</v>
      </c>
      <c r="Z16" s="4" t="s">
        <v>1037</v>
      </c>
      <c r="AA16" s="8" t="str">
        <f>IF(ISBLANK(input_wld_az1_rack7_uplink02_vlan),"Value Missing",input_wld_az1_rack7_uplink02_vlan)</f>
        <v>Value Missing</v>
      </c>
      <c r="AC16" s="4" t="s">
        <v>1037</v>
      </c>
      <c r="AD16" s="8" t="str">
        <f>IF(ISBLANK(input_wld_az1_rack8_uplink02_vlan),"Value Missing",input_wld_az1_rack8_uplink02_vlan)</f>
        <v>Value Missing</v>
      </c>
    </row>
    <row r="17" spans="2:34" s="2" customFormat="1" ht="20" customHeight="1" x14ac:dyDescent="0.2">
      <c r="B17" s="4" t="s">
        <v>1038</v>
      </c>
      <c r="C17" s="2" t="str">
        <f>mgmt_internet_proxy_auth_chosen</f>
        <v>Unselected</v>
      </c>
      <c r="E17" s="4" t="s">
        <v>1039</v>
      </c>
      <c r="F17" s="8" t="str">
        <f>IF(ISBLANK(input_mgmt_az1_edge_overlay_vlan),"Value Missing",input_mgmt_az1_edge_overlay_vlan)</f>
        <v>Value Missing</v>
      </c>
      <c r="H17" s="4" t="s">
        <v>1039</v>
      </c>
      <c r="I17" s="8" t="str">
        <f>IF(ISBLANK(input_wld_az1_edge_overlay_vlan),"Value Missing",input_wld_az1_edge_overlay_vlan)</f>
        <v>Value Missing</v>
      </c>
      <c r="K17" s="4" t="s">
        <v>1039</v>
      </c>
      <c r="L17" s="8" t="str">
        <f>IF(ISBLANK(input_wld_az1_rack2_edge_overlay_vlan),"Value Missing",input_wld_az1_rack2_edge_overlay_vlan)</f>
        <v>Value Missing</v>
      </c>
      <c r="N17" s="4" t="s">
        <v>1039</v>
      </c>
      <c r="O17" s="8" t="str">
        <f>IF(ISBLANK(input_wld_az1_rack3_edge_overlay_vlan),"Value Missing",input_wld_az1_rack3_edge_overlay_vlan)</f>
        <v>Value Missing</v>
      </c>
      <c r="Q17" s="4" t="s">
        <v>1039</v>
      </c>
      <c r="R17" s="8" t="str">
        <f>IF(ISBLANK(input_wld_az1_rack4_edge_overlay_vlan),"Value Missing",input_wld_az1_rack4_edge_overlay_vlan)</f>
        <v>Value Missing</v>
      </c>
      <c r="T17" s="4" t="s">
        <v>1039</v>
      </c>
      <c r="U17" s="8" t="str">
        <f>IF(ISBLANK(input_wld_az1_rack5_edge_overlay_vlan),"Value Missing",input_wld_az1_rack5_edge_overlay_vlan)</f>
        <v>Value Missing</v>
      </c>
      <c r="W17" s="4" t="s">
        <v>1039</v>
      </c>
      <c r="X17" s="8" t="str">
        <f>IF(ISBLANK(input_wld_az1_rack6_edge_overlay_vlan),"Value Missing",input_wld_az1_rack6_edge_overlay_vlan)</f>
        <v>Value Missing</v>
      </c>
      <c r="Z17" s="4" t="s">
        <v>1039</v>
      </c>
      <c r="AA17" s="8" t="str">
        <f>IF(ISBLANK(input_wld_az1_rack7_edge_overlay_vlan),"Value Missing",input_wld_az1_rack7_edge_overlay_vlan)</f>
        <v>Value Missing</v>
      </c>
      <c r="AC17" s="4" t="s">
        <v>1039</v>
      </c>
      <c r="AD17" s="8" t="str">
        <f>IF(ISBLANK(input_wld_az1_rack8_edge_overlay_vlan),"Value Missing",input_wld_az1_rack8_edge_overlay_vlan)</f>
        <v>Value Missing</v>
      </c>
      <c r="AG17" s="618" t="s">
        <v>1040</v>
      </c>
      <c r="AH17" s="619">
        <v>65</v>
      </c>
    </row>
    <row r="18" spans="2:34" s="2" customFormat="1" ht="20" customHeight="1" x14ac:dyDescent="0.2">
      <c r="B18" s="4" t="s">
        <v>28</v>
      </c>
      <c r="C18" s="8" t="str">
        <f>IF(ISBLANK(input_mgmt_internet_proxy_email),"Value Missing",input_mgmt_internet_proxy_email)</f>
        <v>Value Missing</v>
      </c>
      <c r="E18" s="4" t="s">
        <v>1041</v>
      </c>
      <c r="F18" s="8" t="str">
        <f>IF(ISBLANK(input_mgmt_az1_rtep_overlay_vlan),"Value Missing",input_mgmt_az1_rtep_overlay_vlan)</f>
        <v>Value Missing</v>
      </c>
      <c r="H18" s="4" t="s">
        <v>1041</v>
      </c>
      <c r="I18" s="8" t="str">
        <f>IF(ISBLANK(input_wld_az1_rtep_overlay_vlan),"Value Missing",input_wld_az1_rtep_overlay_vlan)</f>
        <v>Value Missing</v>
      </c>
      <c r="K18" s="4" t="s">
        <v>1041</v>
      </c>
      <c r="L18" s="8"/>
      <c r="N18" s="4" t="s">
        <v>1041</v>
      </c>
      <c r="O18" s="8"/>
      <c r="Q18" s="4" t="s">
        <v>1041</v>
      </c>
      <c r="R18" s="8"/>
      <c r="T18" s="4" t="s">
        <v>1041</v>
      </c>
      <c r="U18" s="8"/>
      <c r="W18" s="4" t="s">
        <v>1041</v>
      </c>
      <c r="X18" s="8"/>
      <c r="Z18" s="4" t="s">
        <v>1041</v>
      </c>
      <c r="AA18" s="8"/>
      <c r="AC18" s="4" t="s">
        <v>1041</v>
      </c>
      <c r="AD18" s="8"/>
      <c r="AG18" s="8" t="s">
        <v>1042</v>
      </c>
      <c r="AH18" s="8">
        <f>IF(this_instance="sfo",1,2)</f>
        <v>1</v>
      </c>
    </row>
    <row r="19" spans="2:34" s="2" customFormat="1" ht="20" customHeight="1" x14ac:dyDescent="0.2">
      <c r="B19" s="4" t="s">
        <v>30</v>
      </c>
      <c r="C19" s="8" t="str">
        <f>IF(ISBLANK(input_mgmt_internet_proxy_password),"Value Missing",input_mgmt_internet_proxy_password)</f>
        <v>Value Missing</v>
      </c>
      <c r="E19" s="4" t="s">
        <v>1043</v>
      </c>
      <c r="F19" s="8" t="str">
        <f>IF(ISBLANK(input_mgmt_az1_vrms_vlan),"Value Missing",input_mgmt_az1_vrms_vlan)</f>
        <v>Value Missing</v>
      </c>
      <c r="H19" s="4" t="s">
        <v>1043</v>
      </c>
      <c r="I19" s="8" t="str">
        <f>IF(ISBLANK(input_wld_az1_vrms_vlan),"Value Missing",input_wld_az1_vrms_vlan)</f>
        <v>Value Missing</v>
      </c>
      <c r="K19" s="4" t="s">
        <v>1043</v>
      </c>
      <c r="L19" s="8"/>
      <c r="N19" s="4" t="s">
        <v>1043</v>
      </c>
      <c r="O19" s="8"/>
      <c r="Q19" s="4" t="s">
        <v>1043</v>
      </c>
      <c r="R19" s="8"/>
      <c r="T19" s="4" t="s">
        <v>1043</v>
      </c>
      <c r="U19" s="8"/>
      <c r="W19" s="4" t="s">
        <v>1043</v>
      </c>
      <c r="X19" s="8"/>
      <c r="Z19" s="4" t="s">
        <v>1043</v>
      </c>
      <c r="AA19" s="8"/>
      <c r="AC19" s="4" t="s">
        <v>1043</v>
      </c>
      <c r="AD19" s="8"/>
      <c r="AG19" s="8" t="s">
        <v>1044</v>
      </c>
      <c r="AH19" s="8">
        <v>1</v>
      </c>
    </row>
    <row r="20" spans="2:34" s="2" customFormat="1" ht="20" customHeight="1" x14ac:dyDescent="0.2">
      <c r="B20" s="6"/>
      <c r="AG20" s="8" t="s">
        <v>1045</v>
      </c>
      <c r="AH20" s="8">
        <v>2</v>
      </c>
    </row>
    <row r="21" spans="2:34" s="2" customFormat="1" ht="20" customHeight="1" x14ac:dyDescent="0.2">
      <c r="B21" s="615" t="s">
        <v>1046</v>
      </c>
      <c r="C21" s="616"/>
      <c r="E21" s="12" t="s">
        <v>1047</v>
      </c>
      <c r="F21" s="13"/>
      <c r="H21" s="12" t="s">
        <v>1048</v>
      </c>
      <c r="I21" s="13"/>
      <c r="K21" s="12" t="s">
        <v>1049</v>
      </c>
      <c r="L21" s="13"/>
      <c r="N21" s="12" t="s">
        <v>1050</v>
      </c>
      <c r="O21" s="13"/>
      <c r="Q21" s="14" t="s">
        <v>1051</v>
      </c>
      <c r="R21" s="15"/>
      <c r="T21" s="14" t="s">
        <v>1052</v>
      </c>
      <c r="U21" s="15"/>
      <c r="W21" s="14" t="s">
        <v>1053</v>
      </c>
      <c r="X21" s="15"/>
      <c r="Z21" s="14" t="s">
        <v>1054</v>
      </c>
      <c r="AA21" s="15"/>
      <c r="AC21" s="14" t="s">
        <v>1055</v>
      </c>
      <c r="AD21" s="15"/>
      <c r="AG21" s="8" t="s">
        <v>1056</v>
      </c>
      <c r="AH21" s="8">
        <f>IF(wld_domain_number_chosen=1,3,IF(wld_domain_number_chosen=2,5,7))</f>
        <v>3</v>
      </c>
    </row>
    <row r="22" spans="2:34" s="2" customFormat="1" ht="20" customHeight="1" x14ac:dyDescent="0.2">
      <c r="B22" s="17" t="s">
        <v>250</v>
      </c>
      <c r="C22" s="18" t="s">
        <v>1020</v>
      </c>
      <c r="E22" s="17" t="s">
        <v>250</v>
      </c>
      <c r="F22" s="18" t="s">
        <v>1021</v>
      </c>
      <c r="H22" s="17" t="s">
        <v>250</v>
      </c>
      <c r="I22" s="18" t="s">
        <v>1021</v>
      </c>
      <c r="K22" s="17" t="s">
        <v>250</v>
      </c>
      <c r="L22" s="18" t="s">
        <v>1021</v>
      </c>
      <c r="N22" s="17" t="s">
        <v>250</v>
      </c>
      <c r="O22" s="18" t="s">
        <v>1021</v>
      </c>
      <c r="Q22" s="19" t="s">
        <v>250</v>
      </c>
      <c r="R22" s="20" t="s">
        <v>1021</v>
      </c>
      <c r="S22" s="21"/>
      <c r="T22" s="19" t="s">
        <v>250</v>
      </c>
      <c r="U22" s="20" t="s">
        <v>1021</v>
      </c>
      <c r="V22" s="21"/>
      <c r="W22" s="19" t="s">
        <v>250</v>
      </c>
      <c r="X22" s="20" t="s">
        <v>1021</v>
      </c>
      <c r="Y22" s="21"/>
      <c r="Z22" s="19" t="s">
        <v>250</v>
      </c>
      <c r="AA22" s="20" t="s">
        <v>1021</v>
      </c>
      <c r="AB22" s="21"/>
      <c r="AC22" s="19" t="s">
        <v>250</v>
      </c>
      <c r="AD22" s="20" t="s">
        <v>1021</v>
      </c>
      <c r="AG22" s="8" t="s">
        <v>1057</v>
      </c>
      <c r="AH22" s="8">
        <f>IF(wld_domain_number_chosen=1,4,IF(wld_domain_number_chosen=2,6,8))</f>
        <v>4</v>
      </c>
    </row>
    <row r="23" spans="2:34" s="2" customFormat="1" ht="20" customHeight="1" x14ac:dyDescent="0.2">
      <c r="B23" s="4" t="s">
        <v>1058</v>
      </c>
      <c r="C23" s="8" t="str">
        <f>mgmt_domain_deployment_type_chosen</f>
        <v>VMware Cloud Foundation</v>
      </c>
      <c r="E23" s="4" t="s">
        <v>1024</v>
      </c>
      <c r="F23" s="8" t="str">
        <f>IF(mgmt_az1_mgmt_vm_network="Value missing","Value Missing",CONCATENATE(mgmt_az1_mgmt_vm_network,"/",VLOOKUP(mgmt_az1_mgmt_vm_mask,table_mask_to_cidr,2,FALSE)))</f>
        <v>Value Missing</v>
      </c>
      <c r="H23" s="4" t="s">
        <v>1024</v>
      </c>
      <c r="I23" s="8" t="str">
        <f>IF(wld_az1_mgmt_vm_network="Value missing","Value Missing",CONCATENATE(wld_az1_mgmt_vm_network,"/",VLOOKUP(wld_az1_mgmt_vm_mask,table_mask_to_cidr,2,FALSE)))</f>
        <v>Value Missing</v>
      </c>
      <c r="K23" s="4" t="s">
        <v>1024</v>
      </c>
      <c r="L23" s="8" t="str">
        <f>IF(ISBLANK(input_wld_az1_rack2_mgmt_vm_cidr),"Value Missing",input_wld_az1_rack2_mgmt_vm_cidr)</f>
        <v>Value Missing</v>
      </c>
      <c r="N23" s="4" t="s">
        <v>1024</v>
      </c>
      <c r="O23" s="8" t="str">
        <f>IF(ISBLANK(input_wld_az1_rack3_mgmt_vm_cidr),"Value Missing",input_wld_az1_rack3_mgmt_vm_cidr)</f>
        <v>Value Missing</v>
      </c>
      <c r="Q23" s="4" t="s">
        <v>1024</v>
      </c>
      <c r="R23" s="8" t="str">
        <f>IF(ISBLANK(input_wld_az1_rack4_mgmt_vm_cidr),"Value Missing",input_wld_az1_rack4_mgmt_vm_cidr)</f>
        <v>Value Missing</v>
      </c>
      <c r="T23" s="4" t="s">
        <v>1024</v>
      </c>
      <c r="U23" s="8" t="str">
        <f>IF(ISBLANK(input_wld_az1_rack5_mgmt_vm_cidr),"Value Missing",input_wld_az1_rack5_mgmt_vm_cidr)</f>
        <v>Value Missing</v>
      </c>
      <c r="W23" s="4" t="s">
        <v>1024</v>
      </c>
      <c r="X23" s="8" t="str">
        <f>IF(ISBLANK(input_wld_az1_rack6_mgmt_vm_cidr),"Value Missing",input_wld_az1_rack6_mgmt_vm_cidr)</f>
        <v>Value Missing</v>
      </c>
      <c r="Z23" s="4" t="s">
        <v>1024</v>
      </c>
      <c r="AA23" s="8" t="str">
        <f>IF(ISBLANK(input_wld_az1_rack7_mgmt_vm_cidr),"Value Missing",input_wld_az1_rack7_mgmt_vm_cidr)</f>
        <v>Value Missing</v>
      </c>
      <c r="AC23" s="4" t="s">
        <v>1024</v>
      </c>
      <c r="AD23" s="8" t="str">
        <f>IF(ISBLANK(input_wld_az1_rack8_mgmt_vm_cidr),"Value Missing",input_wld_az1_rack8_mgmt_vm_cidr)</f>
        <v>Value Missing</v>
      </c>
      <c r="AG23" s="9"/>
    </row>
    <row r="24" spans="2:34" s="2" customFormat="1" ht="20" customHeight="1" x14ac:dyDescent="0.2">
      <c r="B24" s="4" t="s">
        <v>1059</v>
      </c>
      <c r="C24" s="8" t="str">
        <f>IF(ISBLANK(input_mgmt_sddc_domain),"Value Missing",input_mgmt_sddc_domain)</f>
        <v>Value Missing</v>
      </c>
      <c r="E24" s="4" t="s">
        <v>1026</v>
      </c>
      <c r="F24" s="8" t="str">
        <f>IF(mgmt_az1_mgmt_network="Value missing","Value Missing",CONCATENATE(mgmt_az1_mgmt_network,"/",VLOOKUP(mgmt_az1_mgmt_mask,table_mask_to_cidr,2,FALSE)))</f>
        <v>Value Missing</v>
      </c>
      <c r="H24" s="4" t="s">
        <v>1026</v>
      </c>
      <c r="I24" s="8" t="str">
        <f>IF(wld_az1_mgmt_network="Value missing","Value Missing",CONCATENATE(wld_az1_mgmt_network,"/",VLOOKUP(wld_az1_mgmt_mask,table_mask_to_cidr,2,FALSE)))</f>
        <v>Value Missing</v>
      </c>
      <c r="K24" s="4" t="s">
        <v>1026</v>
      </c>
      <c r="L24" s="8" t="str">
        <f>IF(ISBLANK(input_wld_az1_rack2_mgmt_cidr),"Value Missing",input_wld_az1_rack2_mgmt_cidr)</f>
        <v>Value Missing</v>
      </c>
      <c r="N24" s="4" t="s">
        <v>1026</v>
      </c>
      <c r="O24" s="8" t="str">
        <f>IF(ISBLANK(input_wld_az1_rack3_mgmt_cidr),"Value Missing",input_wld_az1_rack3_mgmt_cidr)</f>
        <v>Value Missing</v>
      </c>
      <c r="Q24" s="4" t="s">
        <v>1026</v>
      </c>
      <c r="R24" s="8" t="str">
        <f>IF(ISBLANK(input_wld_az1_rack4_mgmt_cidr),"Value Missing",input_wld_az1_rack4_mgmt_cidr)</f>
        <v>Value Missing</v>
      </c>
      <c r="T24" s="4" t="s">
        <v>1026</v>
      </c>
      <c r="U24" s="8" t="str">
        <f>IF(ISBLANK(input_wld_az1_rack5_mgmt_cidr),"Value Missing",input_wld_az1_rack5_mgmt_cidr)</f>
        <v>Value Missing</v>
      </c>
      <c r="W24" s="4" t="s">
        <v>1026</v>
      </c>
      <c r="X24" s="8" t="str">
        <f>IF(ISBLANK(input_wld_az1_rack6_mgmt_cidr),"Value Missing",input_wld_az1_rack6_mgmt_cidr)</f>
        <v>Value Missing</v>
      </c>
      <c r="Z24" s="4" t="s">
        <v>1026</v>
      </c>
      <c r="AA24" s="8" t="str">
        <f>IF(ISBLANK(input_wld_az1_rack7_mgmt_cidr),"Value Missing",input_wld_az1_rack7_mgmt_cidr)</f>
        <v>Value Missing</v>
      </c>
      <c r="AC24" s="4" t="s">
        <v>1026</v>
      </c>
      <c r="AD24" s="8" t="str">
        <f>IF(ISBLANK(input_wld_az1_rack8_mgmt_cidr),"Value Missing",input_wld_az1_rack8_mgmt_cidr)</f>
        <v>Value Missing</v>
      </c>
      <c r="AG24" s="9"/>
    </row>
    <row r="25" spans="2:34" s="2" customFormat="1" ht="20" customHeight="1" x14ac:dyDescent="0.2">
      <c r="B25" s="4" t="s">
        <v>186</v>
      </c>
      <c r="C25" s="8" t="str">
        <f>vcf_version</f>
        <v>9.1.1.0</v>
      </c>
      <c r="E25" s="4" t="s">
        <v>240</v>
      </c>
      <c r="F25" s="8" t="str">
        <f>IF(mgmt_az1_vmotion_network="Value missing","Value Missing",CONCATENATE(mgmt_az1_vmotion_network,"/",VLOOKUP(mgmt_az1_vmotion_mask,table_mask_to_cidr,2,FALSE)))</f>
        <v>Value Missing</v>
      </c>
      <c r="H25" s="4" t="s">
        <v>240</v>
      </c>
      <c r="I25" s="8" t="str">
        <f>IF(wld_az1_vmotion_network="Value missing","Value Missing",CONCATENATE(wld_az1_vmotion_network,"/",VLOOKUP(wld_az1_vmotion_mask,table_mask_to_cidr,2,FALSE)))</f>
        <v>Value Missing</v>
      </c>
      <c r="K25" s="4" t="s">
        <v>240</v>
      </c>
      <c r="L25" s="8" t="str">
        <f>IF(OR(wld_az1_rack2_vmotion_network="Value Missing",wld_az1_rack2_vmotion_mask="Value Missing"),"Value Missing",(CONCATENATE(wld_az1_rack2_vmotion_network,"/",VLOOKUP(wld_az1_rack2_vmotion_mask,table_mask_to_cidr,2,FALSE))))</f>
        <v>Value Missing</v>
      </c>
      <c r="N25" s="4" t="s">
        <v>240</v>
      </c>
      <c r="O25" s="8" t="str">
        <f>IF(OR(wld_az1_rack3_vmotion_network="Value Missing",wld_az1_rack3_vmotion_mask="Value Missing"),"Value Missing",(CONCATENATE(wld_az1_rack3_vmotion_network,"/",VLOOKUP(wld_az1_rack3_vmotion_mask,table_mask_to_cidr,2,FALSE))))</f>
        <v>Value Missing</v>
      </c>
      <c r="Q25" s="4" t="s">
        <v>240</v>
      </c>
      <c r="R25" s="8" t="str">
        <f>IF(OR(wld_az1_rack4_vmotion_network="Value Missing",wld_az1_rack4_vmotion_mask="Value Missing"),"Value Missing",(CONCATENATE(wld_az1_rack4_vmotion_network,"/",VLOOKUP(wld_az1_rack4_vmotion_mask,table_mask_to_cidr,2,FALSE))))</f>
        <v>Value Missing</v>
      </c>
      <c r="T25" s="4" t="s">
        <v>240</v>
      </c>
      <c r="U25" s="8" t="str">
        <f>IF(OR(wld_az1_rack5_vmotion_network="Value Missing",wld_az1_rack5_vmotion_mask="Value Missing"),"Value Missing",(CONCATENATE(wld_az1_rack5_vmotion_network,"/",VLOOKUP(wld_az1_rack5_vmotion_mask,table_mask_to_cidr,2,FALSE))))</f>
        <v>Value Missing</v>
      </c>
      <c r="W25" s="4" t="s">
        <v>240</v>
      </c>
      <c r="X25" s="8" t="str">
        <f>IF(OR(wld_az1_rack6_vmotion_network="Value Missing",wld_az1_rack6_vmotion_mask="Value Missing"),"Value Missing",(CONCATENATE(wld_az1_rack6_vmotion_network,"/",VLOOKUP(wld_az1_rack6_vmotion_mask,table_mask_to_cidr,2,FALSE))))</f>
        <v>Value Missing</v>
      </c>
      <c r="Z25" s="4" t="s">
        <v>240</v>
      </c>
      <c r="AA25" s="8" t="str">
        <f>IF(OR(wld_az1_rack7_vmotion_network="Value Missing",wld_az1_rack7_vmotion_mask="Value Missing"),"Value Missing",(CONCATENATE(wld_az1_rack7_vmotion_network,"/",VLOOKUP(wld_az1_rack7_vmotion_mask,table_mask_to_cidr,2,FALSE))))</f>
        <v>Value Missing</v>
      </c>
      <c r="AC25" s="4" t="s">
        <v>240</v>
      </c>
      <c r="AD25" s="8" t="str">
        <f>IF(OR(wld_az1_rack8_vmotion_network="Value Missing",wld_az1_rack8_vmotion_mask="Value Missing"),"Value Missing",(CONCATENATE(wld_az1_rack8_vmotion_network,"/",VLOOKUP(wld_az1_rack8_vmotion_mask,table_mask_to_cidr,2,FALSE))))</f>
        <v>Value Missing</v>
      </c>
    </row>
    <row r="26" spans="2:34" s="2" customFormat="1" ht="20" customHeight="1" x14ac:dyDescent="0.2">
      <c r="B26" s="4" t="s">
        <v>1060</v>
      </c>
      <c r="C26" s="8" t="str">
        <f>mgmt_domain_vcf_operations_ha_mode_chosen</f>
        <v>High Availability (Three-Node)</v>
      </c>
      <c r="E26" s="23" t="str">
        <f>CONCATENATE("Principal Storage Network ",wld_principal_storage_chosen)</f>
        <v>Principal Storage Network vSAN-ESA</v>
      </c>
      <c r="F26" s="8" t="str">
        <f>IF(mgmt_az1_vsan_network="Value missing","Value Missing",CONCATENATE(mgmt_az1_vsan_network,"/",VLOOKUP(mgmt_az1_vsan_mask,table_mask_to_cidr,2,FALSE)))</f>
        <v>Value Missing</v>
      </c>
      <c r="H26" s="23" t="s">
        <v>246</v>
      </c>
      <c r="I26" s="8" t="str">
        <f>IF(wld_az1_principal_storage_network="Value missing","Value Missing",CONCATENATE(wld_az1_principal_storage_network,"/",VLOOKUP(wld_az1_principal_storage_mask,table_mask_to_cidr,2,FALSE)))</f>
        <v>Value Missing</v>
      </c>
      <c r="K26" s="23" t="str">
        <f>CONCATENATE("Principal Storage Network ",wld_principal_storage_chosen)</f>
        <v>Principal Storage Network vSAN-ESA</v>
      </c>
      <c r="L26" s="8" t="str">
        <f>IF(OR(wld_az1_rack2_principal_storage_network="Value Missing",wld_az1_rack2_principal_storage_mask="Value Missing"),"Value Missing",(CONCATENATE(wld_az1_rack2_principal_storage_network,"/",VLOOKUP(wld_az1_rack2_principal_storage_mask,table_mask_to_cidr,2,FALSE))))</f>
        <v>Value Missing</v>
      </c>
      <c r="N26" s="23" t="str">
        <f>CONCATENATE("Principal Storage Network ",wld_principal_storage_chosen)</f>
        <v>Principal Storage Network vSAN-ESA</v>
      </c>
      <c r="O26" s="8" t="str">
        <f>IF(OR(wld_az1_rack3_principal_storage_network="Value Missing",wld_az1_rack3_principal_storage_mask="Value Missing"),"Value Missing",(CONCATENATE(wld_az1_rack3_principal_storage_network,"/",VLOOKUP(wld_az1_rack3_principal_storage_mask,table_mask_to_cidr,2,FALSE))))</f>
        <v>Value Missing</v>
      </c>
      <c r="Q26" s="23" t="str">
        <f>CONCATENATE("Principal Storage Network ",wld_principal_storage_chosen)</f>
        <v>Principal Storage Network vSAN-ESA</v>
      </c>
      <c r="R26" s="8" t="str">
        <f>IF(OR(wld_az1_rack4_principal_storage_network="Value Missing",wld_az1_rack4_principal_storage_mask="Value Missing"),"Value Missing",(CONCATENATE(wld_az1_rack4_principal_storage_network,"/",VLOOKUP(wld_az1_rack4_principal_storage_mask,table_mask_to_cidr,2,FALSE))))</f>
        <v>Value Missing</v>
      </c>
      <c r="T26" s="23" t="str">
        <f>CONCATENATE("Principal Storage Network ",wld_principal_storage_chosen)</f>
        <v>Principal Storage Network vSAN-ESA</v>
      </c>
      <c r="U26" s="8" t="str">
        <f>IF(OR(wld_az1_rack5_principal_storage_network="Value Missing",wld_az1_rack5_principal_storage_mask="Value Missing"),"Value Missing",(CONCATENATE(wld_az1_rack5_principal_storage_network,"/",VLOOKUP(wld_az1_rack5_principal_storage_mask,table_mask_to_cidr,2,FALSE))))</f>
        <v>Value Missing</v>
      </c>
      <c r="W26" s="23" t="str">
        <f>CONCATENATE("Principal Storage Network ",wld_principal_storage_chosen)</f>
        <v>Principal Storage Network vSAN-ESA</v>
      </c>
      <c r="X26" s="8" t="str">
        <f>IF(OR(wld_az1_rack6_principal_storage_network="Value Missing",wld_az1_rack6_principal_storage_mask="Value Missing"),"Value Missing",(CONCATENATE(wld_az1_rack6_principal_storage_network,"/",VLOOKUP(wld_az1_rack6_principal_storage_mask,table_mask_to_cidr,2,FALSE))))</f>
        <v>Value Missing</v>
      </c>
      <c r="Z26" s="23" t="str">
        <f>CONCATENATE("Principal Storage Network ",wld_principal_storage_chosen)</f>
        <v>Principal Storage Network vSAN-ESA</v>
      </c>
      <c r="AA26" s="8" t="str">
        <f>IF(OR(wld_az1_rack7_principal_storage_network="Value Missing",wld_az1_rack7_principal_storage_mask="Value Missing"),"Value Missing",(CONCATENATE(wld_az1_rack7_principal_storage_network,"/",VLOOKUP(wld_az1_rack7_principal_storage_mask,table_mask_to_cidr,2,FALSE))))</f>
        <v>Value Missing</v>
      </c>
      <c r="AC26" s="23" t="str">
        <f>CONCATENATE("Principal Storage Network ",wld_principal_storage_chosen)</f>
        <v>Principal Storage Network vSAN-ESA</v>
      </c>
      <c r="AD26" s="8" t="str">
        <f>IF(OR(wld_az1_rack8_principal_storage_network="Value Missing",wld_az1_rack8_principal_storage_mask="Value Missing"),"Value Missing",(CONCATENATE(wld_az1_rack8_principal_storage_network,"/",VLOOKUP(wld_az1_rack8_principal_storage_mask,table_mask_to_cidr,2,FALSE))))</f>
        <v>Value Missing</v>
      </c>
      <c r="AG26" s="9"/>
    </row>
    <row r="27" spans="2:34" s="2" customFormat="1" ht="20" customHeight="1" x14ac:dyDescent="0.2">
      <c r="B27" s="4" t="s">
        <v>1061</v>
      </c>
      <c r="C27" s="8" t="str">
        <f>IF(mgmt_domain_password_creation_chosen="Included","Selected","Unselected")</f>
        <v>Unselected</v>
      </c>
      <c r="E27" s="4" t="s">
        <v>1030</v>
      </c>
      <c r="F27" s="8" t="str">
        <f>IF(mgmt_az1_host_overlay_network="Value missing","Value Missing",CONCATENATE(mgmt_az1_host_overlay_network,"/",VLOOKUP(mgmt_az1_host_overlay_mask,table_mask_to_cidr,2,FALSE)))</f>
        <v>Value Missing</v>
      </c>
      <c r="H27" s="4" t="s">
        <v>1030</v>
      </c>
      <c r="I27" s="8" t="str">
        <f>IF(ISBLANK(input_wld_az1_host_overlay_cidr),"Value Missing",input_wld_az1_host_overlay_cidr)</f>
        <v>Value Missing</v>
      </c>
      <c r="K27" s="4" t="s">
        <v>1030</v>
      </c>
      <c r="L27" s="8" t="str">
        <f>IF(OR(wld_az1_rack2_host_overlay_network="Value Missing",wld_az1_rack2_host_overlay_mask="Value Missing"),"Value Missing",(CONCATENATE(wld_az1_rack2_host_overlay_network,"/",VLOOKUP(wld_az1_rack2_host_overlay_mask,table_mask_to_cidr,2,FALSE))))</f>
        <v>Value Missing</v>
      </c>
      <c r="N27" s="4" t="s">
        <v>1030</v>
      </c>
      <c r="O27" s="8" t="str">
        <f>IF(OR(wld_az1_rack3_host_overlay_network="Value Missing",wld_az1_rack3_host_overlay_mask="Value Missing"),"Value Missing",(CONCATENATE(wld_az1_rack3_host_overlay_network,"/",VLOOKUP(wld_az1_rack3_host_overlay_mask,table_mask_to_cidr,2,FALSE))))</f>
        <v>Value Missing</v>
      </c>
      <c r="Q27" s="4" t="s">
        <v>1030</v>
      </c>
      <c r="R27" s="8" t="str">
        <f>IF(OR(wld_az1_rack4_host_overlay_network="Value Missing",wld_az1_rack4_host_overlay_mask="Value Missing"),"Value Missing",(CONCATENATE(wld_az1_rack4_host_overlay_network,"/",VLOOKUP(wld_az1_rack4_host_overlay_mask,table_mask_to_cidr,2,FALSE))))</f>
        <v>Value Missing</v>
      </c>
      <c r="T27" s="4" t="s">
        <v>1030</v>
      </c>
      <c r="U27" s="8" t="str">
        <f>IF(OR(wld_az1_rack5_host_overlay_network="Value Missing",wld_az1_rack5_host_overlay_mask="Value Missing"),"Value Missing",(CONCATENATE(wld_az1_rack5_host_overlay_network,"/",VLOOKUP(wld_az1_rack5_host_overlay_mask,table_mask_to_cidr,2,FALSE))))</f>
        <v>Value Missing</v>
      </c>
      <c r="W27" s="4" t="s">
        <v>1030</v>
      </c>
      <c r="X27" s="8" t="str">
        <f>IF(OR(wld_az1_rack6_host_overlay_network="Value Missing",wld_az1_rack6_host_overlay_mask="Value Missing"),"Value Missing",(CONCATENATE(wld_az1_rack6_host_overlay_network,"/",VLOOKUP(wld_az1_rack6_host_overlay_mask,table_mask_to_cidr,2,FALSE))))</f>
        <v>Value Missing</v>
      </c>
      <c r="Z27" s="4" t="s">
        <v>1030</v>
      </c>
      <c r="AA27" s="8" t="str">
        <f>IF(OR(wld_az1_rack7_host_overlay_network="Value Missing",wld_az1_rack7_host_overlay_mask="Value Missing"),"Value Missing",(CONCATENATE(wld_az1_rack7_host_overlay_network,"/",VLOOKUP(wld_az1_rack7_host_overlay_mask,table_mask_to_cidr,2,FALSE))))</f>
        <v>Value Missing</v>
      </c>
      <c r="AC27" s="4" t="s">
        <v>1030</v>
      </c>
      <c r="AD27" s="8" t="str">
        <f>IF(OR(wld_az1_rack8_host_overlay_network="Value Missing",wld_az1_rack8_host_overlay_mask="Value Missing"),"Value Missing",(CONCATENATE(wld_az1_rack8_host_overlay_network,"/",VLOOKUP(wld_az1_rack8_host_overlay_mask,table_mask_to_cidr,2,FALSE))))</f>
        <v>Value Missing</v>
      </c>
      <c r="AG27" s="9"/>
    </row>
    <row r="28" spans="2:34" s="2" customFormat="1" ht="20" customHeight="1" x14ac:dyDescent="0.2">
      <c r="B28" s="4" t="s">
        <v>1062</v>
      </c>
      <c r="C28" s="8" t="str">
        <f>mgmt_flt_fm_reuse_password_chosen</f>
        <v>Unselected</v>
      </c>
      <c r="E28" s="24" t="s">
        <v>1032</v>
      </c>
      <c r="F28" s="8" t="str">
        <f>IF(mgmt_az1_secondary_storage_network="Value missing","Value Missing",CONCATENATE(mgmt_az1_secondary_storage_network,"/",VLOOKUP(mgmt_az1_secondary_storage_mask,table_mask_to_cidr,2,FALSE)))</f>
        <v>Value Missing</v>
      </c>
      <c r="H28" s="4" t="s">
        <v>1032</v>
      </c>
      <c r="I28" s="8" t="str">
        <f>IF(wld_az1_secondary_storage_network="Value missing","Value Missing",CONCATENATE(wld_az1_secondary_storage_network,"/",VLOOKUP(wld_az1_secondary_storage_mask,table_mask_to_cidr,2,FALSE)))</f>
        <v>Value Missing</v>
      </c>
      <c r="K28" s="4" t="s">
        <v>1032</v>
      </c>
      <c r="L28" s="8" t="str">
        <f>IF(OR(wld_az1_rack2_secondary_storage_network="Value Missing",wld_az1_rack2_secondary_storage_mask="Value Missing"),"Value Missing",(CONCATENATE(wld_az1_rack2_secondary_storage_network,"/",VLOOKUP(wld_az1_rack2_secondary_storage_mask,table_mask_to_cidr,2,FALSE))))</f>
        <v>Value Missing</v>
      </c>
      <c r="N28" s="4" t="s">
        <v>1032</v>
      </c>
      <c r="O28" s="8" t="str">
        <f>IF(OR(wld_az1_rack3_secondary_storage_network="Value Missing",wld_az1_rack3_secondary_storage_mask="Value Missing"),"Value Missing",(CONCATENATE(wld_az1_rack3_secondary_storage_network,"/",VLOOKUP(wld_az1_rack3_secondary_storage_mask,table_mask_to_cidr,2,FALSE))))</f>
        <v>Value Missing</v>
      </c>
      <c r="Q28" s="4" t="s">
        <v>1032</v>
      </c>
      <c r="R28" s="8" t="str">
        <f>IF(OR(wld_az1_rack4_secondary_storage_network="Value Missing",wld_az1_rack4_secondary_storage_mask="Value Missing"),"Value Missing",(CONCATENATE(wld_az1_rack4_secondary_storage_network,"/",VLOOKUP(wld_az1_rack4_secondary_storage_mask,table_mask_to_cidr,2,FALSE))))</f>
        <v>Value Missing</v>
      </c>
      <c r="T28" s="4" t="s">
        <v>1032</v>
      </c>
      <c r="U28" s="8" t="str">
        <f>IF(OR(wld_az1_rack5_secondary_storage_network="Value Missing",wld_az1_rack5_secondary_storage_mask="Value Missing"),"Value Missing",(CONCATENATE(wld_az1_rack5_secondary_storage_network,"/",VLOOKUP(wld_az1_rack5_secondary_storage_mask,table_mask_to_cidr,2,FALSE))))</f>
        <v>Value Missing</v>
      </c>
      <c r="W28" s="4" t="s">
        <v>1032</v>
      </c>
      <c r="X28" s="8" t="str">
        <f>IF(OR(wld_az1_rack6_secondary_storage_network="Value Missing",wld_az1_rack6_secondary_storage_mask="Value Missing"),"Value Missing",(CONCATENATE(wld_az1_rack6_secondary_storage_network,"/",VLOOKUP(wld_az1_rack6_secondary_storage_mask,table_mask_to_cidr,2,FALSE))))</f>
        <v>Value Missing</v>
      </c>
      <c r="Z28" s="4" t="s">
        <v>1032</v>
      </c>
      <c r="AA28" s="8" t="str">
        <f>IF(OR(wld_az1_rack7_secondary_storage_network="Value Missing",wld_az1_rack7_secondary_storage_mask="Value Missing"),"Value Missing",(CONCATENATE(wld_az1_rack7_secondary_storage_network,"/",VLOOKUP(wld_az1_rack7_secondary_storage_mask,table_mask_to_cidr,2,FALSE))))</f>
        <v>Value Missing</v>
      </c>
      <c r="AC28" s="4" t="s">
        <v>1032</v>
      </c>
      <c r="AD28" s="8" t="str">
        <f>IF(OR(wld_az1_rack7_secondary_storage_network="Value Missing",wld_az1_rack8_secondary_storage_mask="Value Missing"),"Value Missing",(CONCATENATE(wld_az1_rack8_secondary_storage_network,"/",VLOOKUP(wld_az1_rack8_secondary_storage_mask,table_mask_to_cidr,2,FALSE))))</f>
        <v>Value Missing</v>
      </c>
      <c r="AG28" s="9"/>
    </row>
    <row r="29" spans="2:34" s="2" customFormat="1" ht="20" customHeight="1" x14ac:dyDescent="0.2">
      <c r="E29" s="24" t="s">
        <v>3125</v>
      </c>
      <c r="F29" s="8" t="str">
        <f>IF(mgmt_az1_vcf_mgmt_network="Value missing","Value Missing",CONCATENATE(mgmt_az1_vcf_mgmt_network,"/",VLOOKUP(mgmt_az1_vcf_mgmt_mask,table_mask_to_cidr,2,FALSE)))</f>
        <v>Value Missing</v>
      </c>
      <c r="H29" s="4" t="s">
        <v>686</v>
      </c>
      <c r="I29" s="8" t="str">
        <f>IF(wld_az1_storage_cluster_network="Value missing","Value Missing",CONCATENATE(wld_az1_storage_cluster_network,"/",VLOOKUP(wld_az1_storage_cluster_mask,table_mask_to_cidr,2,FALSE)))</f>
        <v>Value Missing</v>
      </c>
      <c r="K29" s="30" t="s">
        <v>686</v>
      </c>
      <c r="L29" s="8"/>
      <c r="N29" s="30" t="s">
        <v>686</v>
      </c>
      <c r="O29" s="8"/>
      <c r="Q29" s="30" t="s">
        <v>686</v>
      </c>
      <c r="R29" s="8"/>
      <c r="T29" s="30" t="s">
        <v>686</v>
      </c>
      <c r="U29" s="8"/>
      <c r="W29" s="30" t="s">
        <v>686</v>
      </c>
      <c r="X29" s="8"/>
      <c r="Z29" s="30" t="s">
        <v>686</v>
      </c>
      <c r="AA29" s="8"/>
      <c r="AC29" s="30" t="s">
        <v>686</v>
      </c>
      <c r="AD29" s="8"/>
      <c r="AG29" s="9"/>
    </row>
    <row r="30" spans="2:34" s="2" customFormat="1" ht="20" customHeight="1" x14ac:dyDescent="0.2">
      <c r="B30" s="615" t="s">
        <v>1063</v>
      </c>
      <c r="C30" s="616"/>
      <c r="E30" s="4" t="s">
        <v>1035</v>
      </c>
      <c r="F30" s="8" t="str">
        <f>IF(ISBLANK(input_mgmt_az1_uplink01_cidr),"Value Missing",input_mgmt_az1_uplink01_cidr)</f>
        <v>Value Missing</v>
      </c>
      <c r="H30" s="4" t="s">
        <v>1035</v>
      </c>
      <c r="I30" s="8" t="str">
        <f>IF(ISBLANK(input_wld_az1_uplink01_cidr),"Value Missing",input_wld_az1_uplink01_cidr)</f>
        <v>Value Missing</v>
      </c>
      <c r="K30" s="4" t="s">
        <v>1035</v>
      </c>
      <c r="L30" s="8" t="str">
        <f>IF(OR(wld_az1_rack2_uplink01_network="Value Missing",wld_az1_rack2_uplink01_mask="Value Missing"),"Value Missing",(CONCATENATE(wld_az1_rack2_uplink01_network,"/",VLOOKUP(wld_az1_rack2_uplink01_mask,table_mask_to_cidr,2,FALSE))))</f>
        <v>Value Missing</v>
      </c>
      <c r="N30" s="4" t="s">
        <v>1035</v>
      </c>
      <c r="O30" s="8" t="str">
        <f>IF(OR(wld_az1_rack3_uplink01_network="Value Missing",wld_az1_rack3_uplink01_mask="Value Missing"),"Value Missing",(CONCATENATE(wld_az1_rack3_uplink01_network,"/",VLOOKUP(wld_az1_rack3_uplink01_mask,table_mask_to_cidr,2,FALSE))))</f>
        <v>Value Missing</v>
      </c>
      <c r="Q30" s="4" t="s">
        <v>1035</v>
      </c>
      <c r="R30" s="8" t="str">
        <f>IF(OR(wld_az1_rack4_uplink01_network="Value Missing",wld_az1_rack4_uplink01_mask="Value Missing"),"Value Missing",(CONCATENATE(wld_az1_rack4_uplink01_network,"/",VLOOKUP(wld_az1_rack4_uplink01_mask,table_mask_to_cidr,2,FALSE))))</f>
        <v>Value Missing</v>
      </c>
      <c r="T30" s="4" t="s">
        <v>1035</v>
      </c>
      <c r="U30" s="8" t="str">
        <f>IF(OR(wld_az1_rack5_uplink01_network="Value Missing",wld_az1_rack5_uplink01_mask="Value Missing"),"Value Missing",(CONCATENATE(wld_az1_rack5_uplink01_network,"/",VLOOKUP(wld_az1_rack5_uplink01_mask,table_mask_to_cidr,2,FALSE))))</f>
        <v>Value Missing</v>
      </c>
      <c r="W30" s="4" t="s">
        <v>1035</v>
      </c>
      <c r="X30" s="8" t="str">
        <f>IF(OR(wld_az1_rack6_uplink01_network="Value Missing",wld_az1_rack6_uplink01_mask="Value Missing"),"Value Missing",(CONCATENATE(wld_az1_rack6_uplink01_network,"/",VLOOKUP(wld_az1_rack6_uplink01_mask,table_mask_to_cidr,2,FALSE))))</f>
        <v>Value Missing</v>
      </c>
      <c r="Z30" s="4" t="s">
        <v>1035</v>
      </c>
      <c r="AA30" s="8" t="str">
        <f>IF(OR(wld_az1_rack7_uplink01_network="Value Missing",wld_az1_rack7_uplink01_mask="Value Missing"),"Value Missing",(CONCATENATE(wld_az1_rack7_uplink01_network,"/",VLOOKUP(wld_az1_rack7_uplink01_mask,table_mask_to_cidr,2,FALSE))))</f>
        <v>Value Missing</v>
      </c>
      <c r="AC30" s="4" t="s">
        <v>1035</v>
      </c>
      <c r="AD30" s="8" t="str">
        <f>IF(OR(wld_az1_rack8_uplink01_network="Value Missing",wld_az1_rack8_uplink01_mask="Value Missing"),"Value Missing",(CONCATENATE(wld_az1_rack8_uplink01_network,"/",VLOOKUP(wld_az1_rack8_uplink01_mask,table_mask_to_cidr,2,FALSE))))</f>
        <v>Value Missing</v>
      </c>
      <c r="AG30" s="9"/>
    </row>
    <row r="31" spans="2:34" s="2" customFormat="1" ht="20" customHeight="1" x14ac:dyDescent="0.2">
      <c r="B31" s="17" t="s">
        <v>250</v>
      </c>
      <c r="C31" s="18" t="s">
        <v>1020</v>
      </c>
      <c r="E31" s="4" t="s">
        <v>1037</v>
      </c>
      <c r="F31" s="8" t="str">
        <f>IF(ISBLANK(input_mgmt_az1_uplink02_cidr),"Value Missing",input_mgmt_az1_uplink02_cidr)</f>
        <v>Value Missing</v>
      </c>
      <c r="H31" s="4" t="s">
        <v>1037</v>
      </c>
      <c r="I31" s="8" t="str">
        <f>IF(ISBLANK(input_wld_az1_uplink02_cidr),"Value Missing",input_wld_az1_uplink02_cidr)</f>
        <v>Value Missing</v>
      </c>
      <c r="K31" s="4" t="s">
        <v>1037</v>
      </c>
      <c r="L31" s="8" t="str">
        <f>IF(OR(wld_az1_rack2_uplink02_network="Value Missing",wld_az1_rack2_uplink02_mask="Value Missing"),"Value Missing",(CONCATENATE(wld_az1_rack2_uplink02_network,"/",VLOOKUP(wld_az1_rack2_uplink02_mask,table_mask_to_cidr,2,FALSE))))</f>
        <v>Value Missing</v>
      </c>
      <c r="N31" s="4" t="s">
        <v>1037</v>
      </c>
      <c r="O31" s="8" t="str">
        <f>IF(OR(wld_az1_rack3_uplink02_network="Value Missing",wld_az1_rack3_uplink02_mask="Value Missing"),"Value Missing",(CONCATENATE(wld_az1_rack3_uplink02_network,"/",VLOOKUP(wld_az1_rack3_uplink02_mask,table_mask_to_cidr,2,FALSE))))</f>
        <v>Value Missing</v>
      </c>
      <c r="Q31" s="4" t="s">
        <v>1037</v>
      </c>
      <c r="R31" s="8" t="str">
        <f>IF(OR(wld_az1_rack4_uplink02_network="Value Missing",wld_az1_rack4_uplink02_mask="Value Missing"),"Value Missing",(CONCATENATE(wld_az1_rack4_uplink02_network,"/",VLOOKUP(wld_az1_rack4_uplink02_mask,table_mask_to_cidr,2,FALSE))))</f>
        <v>Value Missing</v>
      </c>
      <c r="T31" s="4" t="s">
        <v>1037</v>
      </c>
      <c r="U31" s="8" t="str">
        <f>IF(OR(wld_az1_rack5_uplink02_network="Value Missing",wld_az1_rack5_uplink02_mask="Value Missing"),"Value Missing",(CONCATENATE(wld_az1_rack5_uplink02_network,"/",VLOOKUP(wld_az1_rack5_uplink02_mask,table_mask_to_cidr,2,FALSE))))</f>
        <v>Value Missing</v>
      </c>
      <c r="W31" s="4" t="s">
        <v>1037</v>
      </c>
      <c r="X31" s="8" t="str">
        <f>IF(OR(wld_az1_rack6_uplink02_network="Value Missing",wld_az1_rack6_uplink02_mask="Value Missing"),"Value Missing",(CONCATENATE(wld_az1_rack6_uplink02_network,"/",VLOOKUP(wld_az1_rack6_uplink02_mask,table_mask_to_cidr,2,FALSE))))</f>
        <v>Value Missing</v>
      </c>
      <c r="Z31" s="4" t="s">
        <v>1037</v>
      </c>
      <c r="AA31" s="8" t="str">
        <f>IF(OR(wld_az1_rack7_uplink02_network="Value Missing",wld_az1_rack7_uplink02_mask="Value Missing"),"Value Missing",(CONCATENATE(wld_az1_rack7_uplink02_network,"/",VLOOKUP(wld_az1_rack7_uplink02_mask,table_mask_to_cidr,2,FALSE))))</f>
        <v>Value Missing</v>
      </c>
      <c r="AC31" s="4" t="s">
        <v>1037</v>
      </c>
      <c r="AD31" s="8" t="str">
        <f>IF(OR(wld_az1_rack8_uplink02_network="Value Missing",wld_az1_rack8_uplink02_mask="Value Missing"),"Value Missing",(CONCATENATE(wld_az1_rack8_uplink02_network,"/",VLOOKUP(wld_az1_rack8_uplink02_mask,table_mask_to_cidr,2,FALSE))))</f>
        <v>Value Missing</v>
      </c>
      <c r="AG31" s="9"/>
    </row>
    <row r="32" spans="2:34" s="2" customFormat="1" ht="20" customHeight="1" x14ac:dyDescent="0.2">
      <c r="B32" s="17" t="s">
        <v>1064</v>
      </c>
      <c r="C32" s="18"/>
      <c r="E32" s="4" t="s">
        <v>1039</v>
      </c>
      <c r="F32" s="8" t="str">
        <f>IF(ISBLANK(input_mgmt_az1_edge_overlay_cidr),"Value Missing",input_mgmt_az1_edge_overlay_cidr)</f>
        <v>Value Missing</v>
      </c>
      <c r="H32" s="4" t="s">
        <v>1039</v>
      </c>
      <c r="I32" s="8" t="str">
        <f>IF(ISBLANK(input_wld_az1_edge_overlay_cidr),"Value Missing",input_wld_az1_edge_overlay_cidr)</f>
        <v>Value Missing</v>
      </c>
      <c r="K32" s="4" t="s">
        <v>1039</v>
      </c>
      <c r="L32" s="8" t="str">
        <f>IF(OR(wld_az1_rack2_edge_overlay_network="Value Missing",wld_az1_rack2_edge_overlay_mask="Value Missing"),"Value Missing",(CONCATENATE(wld_az1_rack2_edge_overlay_network,"/",VLOOKUP(wld_az1_rack2_edge_overlay_mask,table_mask_to_cidr,2,FALSE))))</f>
        <v>Value Missing</v>
      </c>
      <c r="N32" s="4" t="s">
        <v>1039</v>
      </c>
      <c r="O32" s="8" t="str">
        <f>IF(OR(wld_az1_rack3_edge_overlay_network="Value Missing",wld_az1_rack3_edge_overlay_mask="Value Missing"),"Value Missing",(CONCATENATE(wld_az1_rack3_edge_overlay_network,"/",VLOOKUP(wld_az1_rack3_edge_overlay_mask,table_mask_to_cidr,2,FALSE))))</f>
        <v>Value Missing</v>
      </c>
      <c r="Q32" s="4" t="s">
        <v>1039</v>
      </c>
      <c r="R32" s="8" t="str">
        <f>IF(OR(wld_az1_rack4_edge_overlay_network="Value Missing",wld_az1_rack4_edge_overlay_mask="Value Missing"),"Value Missing",(CONCATENATE(wld_az1_rack4_edge_overlay_network,"/",VLOOKUP(wld_az1_rack4_edge_overlay_mask,table_mask_to_cidr,2,FALSE))))</f>
        <v>Value Missing</v>
      </c>
      <c r="T32" s="4" t="s">
        <v>1039</v>
      </c>
      <c r="U32" s="8" t="str">
        <f>IF(OR(wld_az1_rack5_edge_overlay_network="Value Missing",wld_az1_rack5_edge_overlay_mask="Value Missing"),"Value Missing",(CONCATENATE(wld_az1_rack5_edge_overlay_network,"/",VLOOKUP(wld_az1_rack5_edge_overlay_mask,table_mask_to_cidr,2,FALSE))))</f>
        <v>Value Missing</v>
      </c>
      <c r="W32" s="4" t="s">
        <v>1039</v>
      </c>
      <c r="X32" s="8" t="str">
        <f>IF(OR(wld_az1_rack6_edge_overlay_network="Value Missing",wld_az1_rack6_edge_overlay_mask="Value Missing"),"Value Missing",(CONCATENATE(wld_az1_rack6_edge_overlay_network,"/",VLOOKUP(wld_az1_rack6_edge_overlay_mask,table_mask_to_cidr,2,FALSE))))</f>
        <v>Value Missing</v>
      </c>
      <c r="Z32" s="4" t="s">
        <v>1039</v>
      </c>
      <c r="AA32" s="8" t="str">
        <f>IF(OR(wld_az1_rack7_edge_overlay_network="Value Missing",wld_az1_rack7_edge_overlay_mask="Value Missing"),"Value Missing",(CONCATENATE(wld_az1_rack7_edge_overlay_network,"/",VLOOKUP(wld_az1_rack7_edge_overlay_mask,table_mask_to_cidr,2,FALSE))))</f>
        <v>Value Missing</v>
      </c>
      <c r="AC32" s="4" t="s">
        <v>1039</v>
      </c>
      <c r="AD32" s="8" t="str">
        <f>IF(OR(wld_az1_rack8_edge_overlay_network="Value Missing",wld_az1_rack8_edge_overlay_mask="Value Missing"),"Value Missing",(CONCATENATE(wld_az1_rack8_edge_overlay_network,"/",VLOOKUP(wld_az1_rack8_edge_overlay_mask,table_mask_to_cidr,2,FALSE))))</f>
        <v>Value Missing</v>
      </c>
      <c r="AG32" s="9"/>
    </row>
    <row r="33" spans="2:34" s="2" customFormat="1" ht="20" customHeight="1" x14ac:dyDescent="0.2">
      <c r="B33" s="4" t="s">
        <v>1065</v>
      </c>
      <c r="C33" s="8" t="str">
        <f>parent_dns_zone</f>
        <v>Value Missing</v>
      </c>
      <c r="E33" s="4" t="s">
        <v>1041</v>
      </c>
      <c r="F33" s="8" t="str">
        <f>IF(ISBLANK(input_mgmt_az1_rtep_overlay_cidr),"Value Missing",input_mgmt_az1_rtep_overlay_cidr)</f>
        <v>Value Missing</v>
      </c>
      <c r="H33" s="4" t="s">
        <v>1041</v>
      </c>
      <c r="I33" s="8" t="str">
        <f>IF(ISBLANK(input_wld_az1_rtep_overlay_cidr),"Value Missing",input_wld_az1_rtep_overlay_cidr)</f>
        <v>Value Missing</v>
      </c>
      <c r="K33" s="4" t="s">
        <v>1041</v>
      </c>
      <c r="L33" s="8"/>
      <c r="N33" s="4" t="s">
        <v>1041</v>
      </c>
      <c r="O33" s="8"/>
      <c r="Q33" s="4" t="s">
        <v>1041</v>
      </c>
      <c r="R33" s="8"/>
      <c r="T33" s="4" t="s">
        <v>1041</v>
      </c>
      <c r="U33" s="8"/>
      <c r="W33" s="4" t="s">
        <v>1041</v>
      </c>
      <c r="X33" s="8"/>
      <c r="Z33" s="4" t="s">
        <v>1041</v>
      </c>
      <c r="AA33" s="8"/>
      <c r="AC33" s="4" t="s">
        <v>1041</v>
      </c>
      <c r="AD33" s="8"/>
      <c r="AG33" s="9"/>
    </row>
    <row r="34" spans="2:34" s="2" customFormat="1" ht="20" customHeight="1" x14ac:dyDescent="0.2">
      <c r="B34" s="4" t="s">
        <v>1066</v>
      </c>
      <c r="C34" s="8" t="str">
        <f>region_dns1_ip</f>
        <v>Value Missing</v>
      </c>
      <c r="E34" s="4" t="s">
        <v>1043</v>
      </c>
      <c r="F34" s="8"/>
      <c r="H34" s="4" t="s">
        <v>1043</v>
      </c>
      <c r="I34" s="8" t="str">
        <f>IF(ISBLANK(input_wld_az1_vrms_cidr),"Value Missing",input_wld_az1_vrms_cidr)</f>
        <v>Value Missing</v>
      </c>
      <c r="K34" s="4" t="s">
        <v>1043</v>
      </c>
      <c r="L34" s="8"/>
      <c r="N34" s="4" t="s">
        <v>1043</v>
      </c>
      <c r="O34" s="8"/>
      <c r="Q34" s="4" t="s">
        <v>1043</v>
      </c>
      <c r="R34" s="8"/>
      <c r="T34" s="4" t="s">
        <v>1043</v>
      </c>
      <c r="U34" s="8"/>
      <c r="W34" s="4" t="s">
        <v>1043</v>
      </c>
      <c r="X34" s="8"/>
      <c r="Z34" s="4" t="s">
        <v>1043</v>
      </c>
      <c r="AA34" s="8"/>
      <c r="AC34" s="4" t="s">
        <v>1043</v>
      </c>
      <c r="AD34" s="8"/>
      <c r="AG34" s="9"/>
      <c r="AH34" s="9"/>
    </row>
    <row r="35" spans="2:34" s="2" customFormat="1" ht="20" customHeight="1" x14ac:dyDescent="0.2">
      <c r="B35" s="4" t="s">
        <v>1067</v>
      </c>
      <c r="C35" s="8" t="str">
        <f>region_dns2_ip</f>
        <v>Value Missing</v>
      </c>
      <c r="AG35" s="9"/>
      <c r="AH35" s="9"/>
    </row>
    <row r="36" spans="2:34" s="2" customFormat="1" ht="20" customHeight="1" x14ac:dyDescent="0.2">
      <c r="B36" s="17" t="s">
        <v>1077</v>
      </c>
      <c r="C36" s="18"/>
      <c r="E36" s="12" t="s">
        <v>1068</v>
      </c>
      <c r="F36" s="13"/>
      <c r="H36" s="12" t="s">
        <v>1069</v>
      </c>
      <c r="I36" s="13"/>
      <c r="K36" s="12" t="s">
        <v>1070</v>
      </c>
      <c r="L36" s="13"/>
      <c r="N36" s="12" t="s">
        <v>1071</v>
      </c>
      <c r="O36" s="13"/>
      <c r="Q36" s="14" t="s">
        <v>1072</v>
      </c>
      <c r="R36" s="15"/>
      <c r="T36" s="14" t="s">
        <v>1073</v>
      </c>
      <c r="U36" s="15"/>
      <c r="W36" s="14" t="s">
        <v>1074</v>
      </c>
      <c r="X36" s="15"/>
      <c r="Z36" s="14" t="s">
        <v>1075</v>
      </c>
      <c r="AA36" s="15"/>
      <c r="AC36" s="14" t="s">
        <v>1076</v>
      </c>
      <c r="AD36" s="15"/>
      <c r="AG36" s="9"/>
      <c r="AH36" s="9"/>
    </row>
    <row r="37" spans="2:34" s="2" customFormat="1" ht="20" customHeight="1" x14ac:dyDescent="0.2">
      <c r="B37" s="4" t="s">
        <v>1066</v>
      </c>
      <c r="C37" s="8" t="str">
        <f>region_ntp1_server</f>
        <v>Value Missing</v>
      </c>
      <c r="E37" s="17" t="s">
        <v>250</v>
      </c>
      <c r="F37" s="18" t="s">
        <v>1021</v>
      </c>
      <c r="H37" s="17" t="s">
        <v>250</v>
      </c>
      <c r="I37" s="18" t="s">
        <v>1021</v>
      </c>
      <c r="K37" s="17" t="s">
        <v>250</v>
      </c>
      <c r="L37" s="18" t="s">
        <v>1021</v>
      </c>
      <c r="N37" s="17" t="s">
        <v>250</v>
      </c>
      <c r="O37" s="18" t="s">
        <v>1021</v>
      </c>
      <c r="Q37" s="19" t="s">
        <v>250</v>
      </c>
      <c r="R37" s="20" t="s">
        <v>1021</v>
      </c>
      <c r="S37" s="21"/>
      <c r="T37" s="19" t="s">
        <v>250</v>
      </c>
      <c r="U37" s="20" t="s">
        <v>1021</v>
      </c>
      <c r="V37" s="21"/>
      <c r="W37" s="19" t="s">
        <v>250</v>
      </c>
      <c r="X37" s="20" t="s">
        <v>1021</v>
      </c>
      <c r="Y37" s="21"/>
      <c r="Z37" s="19" t="s">
        <v>250</v>
      </c>
      <c r="AA37" s="20" t="s">
        <v>1021</v>
      </c>
      <c r="AB37" s="21"/>
      <c r="AC37" s="19" t="s">
        <v>250</v>
      </c>
      <c r="AD37" s="20" t="s">
        <v>1021</v>
      </c>
      <c r="AG37" s="9"/>
      <c r="AH37" s="9"/>
    </row>
    <row r="38" spans="2:34" s="2" customFormat="1" ht="20" customHeight="1" x14ac:dyDescent="0.2">
      <c r="B38" s="4" t="s">
        <v>1067</v>
      </c>
      <c r="C38" s="8" t="str">
        <f>region_ntp2_server</f>
        <v>Value Missing</v>
      </c>
      <c r="E38" s="4" t="s">
        <v>1024</v>
      </c>
      <c r="F38" s="8" t="str">
        <f>IF(mgmt_az1_mgmt_vm_gateway_cidr="Value Missing","Value Missing",CONCATENATE(_xlfn.TEXTBEFORE(mgmt_az1_mgmt_vm_gateway_cidr,".",3),".0"))</f>
        <v>Value Missing</v>
      </c>
      <c r="H38" s="4" t="s">
        <v>1024</v>
      </c>
      <c r="I38" s="8" t="str">
        <f>IF(wld_az1_mgmt_vm_gateway_cidr="Value Missing","Value Missing",CONCATENATE(_xlfn.TEXTBEFORE(wld_az1_mgmt_vm_gateway_cidr,".",3),".0"))</f>
        <v>Value Missing</v>
      </c>
      <c r="K38" s="4" t="s">
        <v>1024</v>
      </c>
      <c r="N38" s="4" t="s">
        <v>1024</v>
      </c>
      <c r="Q38" s="4" t="s">
        <v>1024</v>
      </c>
      <c r="T38" s="4" t="s">
        <v>1024</v>
      </c>
      <c r="W38" s="4" t="s">
        <v>1024</v>
      </c>
      <c r="Z38" s="4" t="s">
        <v>1024</v>
      </c>
      <c r="AC38" s="4" t="s">
        <v>1024</v>
      </c>
      <c r="AG38" s="9"/>
      <c r="AH38" s="9"/>
    </row>
    <row r="39" spans="2:34" s="2" customFormat="1" ht="20" customHeight="1" x14ac:dyDescent="0.2">
      <c r="B39" s="95" t="s">
        <v>1078</v>
      </c>
      <c r="C39" s="8"/>
      <c r="E39" s="4" t="s">
        <v>1026</v>
      </c>
      <c r="F39" s="8" t="str">
        <f>IF(mgmt_az1_mgmt_gateway_cidr="Value Missing","Value Missing",CONCATENATE(_xlfn.TEXTBEFORE(mgmt_az1_mgmt_gateway_cidr,".",3),".0"))</f>
        <v>Value Missing</v>
      </c>
      <c r="H39" s="4" t="s">
        <v>1026</v>
      </c>
      <c r="I39" s="8" t="str">
        <f>IF(wld_az1_mgmt_gateway_cidr="Value Missing","Value Missing",CONCATENATE(_xlfn.TEXTBEFORE(wld_az1_mgmt_gateway_cidr,".",3),".0"))</f>
        <v>Value Missing</v>
      </c>
      <c r="K39" s="4" t="s">
        <v>1026</v>
      </c>
      <c r="L39" s="8" t="str">
        <f>IF(wld_az1_rack2_mgmt_cidr="Value Missing","Value Missing",IF(ISBLANK(wld_az1_rack2_mgmt_cidr),"Value Missing",LEFT(wld_az1_rack2_mgmt_cidr,(FIND("/",wld_az1_rack2_mgmt_cidr)-1))))</f>
        <v>Value Missing</v>
      </c>
      <c r="N39" s="4" t="s">
        <v>1026</v>
      </c>
      <c r="O39" s="8" t="str">
        <f>IF(wld_az1_rack3_mgmt_cidr="Value Missing","Value Missing",IF(ISBLANK(wld_az1_rack3_mgmt_cidr),"Value Missing",LEFT(wld_az1_rack3_mgmt_cidr,(FIND("/",wld_az1_rack3_mgmt_cidr)-1))))</f>
        <v>Value Missing</v>
      </c>
      <c r="Q39" s="4" t="s">
        <v>1026</v>
      </c>
      <c r="R39" s="8" t="str">
        <f>IF(wld_az1_rack4_mgmt_cidr="Value Missing","Value Missing",IF(ISBLANK(wld_az1_rack4_mgmt_cidr),"Value Missing",LEFT(wld_az1_rack4_mgmt_cidr,(FIND("/",wld_az1_rack4_mgmt_cidr)-1))))</f>
        <v>Value Missing</v>
      </c>
      <c r="T39" s="4" t="s">
        <v>1026</v>
      </c>
      <c r="U39" s="8" t="str">
        <f>IF(wld_az1_rack5_mgmt_cidr="Value Missing","Value Missing",IF(ISBLANK(wld_az1_rack5_mgmt_cidr),"Value Missing",LEFT(wld_az1_rack5_mgmt_cidr,(FIND("/",wld_az1_rack5_mgmt_cidr)-1))))</f>
        <v>Value Missing</v>
      </c>
      <c r="W39" s="4" t="s">
        <v>1026</v>
      </c>
      <c r="X39" s="8" t="str">
        <f>IF(wld_az1_rack6_mgmt_cidr="Value Missing","Value Missing",IF(ISBLANK(wld_az1_rack6_mgmt_cidr),"Value Missing",LEFT(wld_az1_rack6_mgmt_cidr,(FIND("/",wld_az1_rack6_mgmt_cidr)-1))))</f>
        <v>Value Missing</v>
      </c>
      <c r="Z39" s="4" t="s">
        <v>1026</v>
      </c>
      <c r="AA39" s="8" t="str">
        <f>IF(wld_az1_rack7_mgmt_cidr="Value Missing","Value Missing",IF(ISBLANK(wld_az1_rack7_mgmt_cidr),"Value Missing",LEFT(wld_az1_rack7_mgmt_cidr,(FIND("/",wld_az1_rack7_mgmt_cidr)-1))))</f>
        <v>Value Missing</v>
      </c>
      <c r="AC39" s="4" t="s">
        <v>1026</v>
      </c>
      <c r="AD39" s="8" t="str">
        <f>IF(wld_az1_rack8_mgmt_cidr="Value Missing","Value Missing",IF(ISBLANK(wld_az1_rack8_mgmt_cidr),"Value Missing",LEFT(wld_az1_rack8_mgmt_cidr,(FIND("/",wld_az1_rack8_mgmt_cidr)-1))))</f>
        <v>Value Missing</v>
      </c>
      <c r="AG39" s="9"/>
      <c r="AH39" s="9"/>
    </row>
    <row r="40" spans="2:34" s="2" customFormat="1" ht="20" customHeight="1" x14ac:dyDescent="0.2">
      <c r="B40" s="4" t="s">
        <v>1079</v>
      </c>
      <c r="C40" s="8" t="str">
        <f>IF(ISBLANK(mgmt_ceip_status_chosen),"Value Missing",mgmt_ceip_status_chosen)</f>
        <v>Selected</v>
      </c>
      <c r="E40" s="4" t="s">
        <v>240</v>
      </c>
      <c r="F40" s="8" t="str">
        <f>IF(mgmt_az1_vmotion_gateway_cidr="Value Missing","Value Missing",CONCATENATE(_xlfn.TEXTBEFORE(mgmt_az1_vmotion_gateway_cidr,".",3),".0"))</f>
        <v>Value Missing</v>
      </c>
      <c r="H40" s="4" t="s">
        <v>240</v>
      </c>
      <c r="I40" s="8" t="str">
        <f>IF(wld_az1_vmotion_gateway_cidr="Value Missing","Value Missing",CONCATENATE(_xlfn.TEXTBEFORE(wld_az1_vmotion_gateway_cidr,".",3),".0"))</f>
        <v>Value Missing</v>
      </c>
      <c r="K40" s="4" t="s">
        <v>240</v>
      </c>
      <c r="L40" s="8" t="str">
        <f>IF(ISBLANK(input_wld_az1_rack2_vmotion_network),"Value Missing",input_wld_az1_rack2_vmotion_network)</f>
        <v>Value Missing</v>
      </c>
      <c r="N40" s="4" t="s">
        <v>240</v>
      </c>
      <c r="O40" s="8" t="str">
        <f>IF(ISBLANK(input_wld_az1_rack3_vmotion_network),"Value Missing",input_wld_az1_rack3_vmotion_network)</f>
        <v>Value Missing</v>
      </c>
      <c r="Q40" s="4" t="s">
        <v>240</v>
      </c>
      <c r="R40" s="8" t="str">
        <f>IF(ISBLANK(input_wld_az1_rack4_vmotion_network),"Value Missing",input_wld_az1_rack4_vmotion_network)</f>
        <v>Value Missing</v>
      </c>
      <c r="T40" s="4" t="s">
        <v>240</v>
      </c>
      <c r="U40" s="8" t="str">
        <f>IF(ISBLANK(input_wld_az1_rack5_vmotion_network),"Value Missing",input_wld_az1_rack5_vmotion_network)</f>
        <v>Value Missing</v>
      </c>
      <c r="W40" s="4" t="s">
        <v>240</v>
      </c>
      <c r="X40" s="8" t="str">
        <f>IF(ISBLANK(input_wld_az1_rack6_vmotion_network),"Value Missing",input_wld_az1_rack6_vmotion_network)</f>
        <v>Value Missing</v>
      </c>
      <c r="Z40" s="4" t="s">
        <v>240</v>
      </c>
      <c r="AA40" s="8" t="str">
        <f>IF(ISBLANK(input_wld_az1_rack7_vmotion_network),"Value Missing",input_wld_az1_rack7_vmotion_network)</f>
        <v>Value Missing</v>
      </c>
      <c r="AC40" s="4" t="s">
        <v>240</v>
      </c>
      <c r="AD40" s="8" t="str">
        <f>IF(ISBLANK(input_wld_az1_rack8_vmotion_network),"Value Missing",input_wld_az1_rack8_vmotion_network)</f>
        <v>Value Missing</v>
      </c>
      <c r="AG40" s="9"/>
      <c r="AH40" s="9"/>
    </row>
    <row r="41" spans="2:34" s="2" customFormat="1" ht="20" customHeight="1" x14ac:dyDescent="0.2">
      <c r="E41" s="23" t="str">
        <f>CONCATENATE("Principal Storage Network ",wld_principal_storage_chosen)</f>
        <v>Principal Storage Network vSAN-ESA</v>
      </c>
      <c r="F41" s="8" t="str">
        <f>IF(mgmt_az1_vsan_gateway_cidr="Value Missing","Value Missing",CONCATENATE(_xlfn.TEXTBEFORE(mgmt_az1_vsan_gateway_cidr,".",3),".0"))</f>
        <v>Value Missing</v>
      </c>
      <c r="H41" s="23" t="s">
        <v>246</v>
      </c>
      <c r="I41" s="8" t="str">
        <f>IF(wld_az1_principal_storage_gateway_cidr="Value Missing","Value Missing",CONCATENATE(_xlfn.TEXTBEFORE(wld_az1_principal_storage_gateway_cidr,".",3),".0"))</f>
        <v>Value Missing</v>
      </c>
      <c r="K41" s="23" t="str">
        <f>CONCATENATE("Principal Storage Network ",wld_principal_storage_chosen)</f>
        <v>Principal Storage Network vSAN-ESA</v>
      </c>
      <c r="L41" s="8" t="str">
        <f>IF(ISBLANK(input_wld_az1_rack2_principal_storage_network),"Value Missing",input_wld_az1_rack2_principal_storage_network)</f>
        <v>Value Missing</v>
      </c>
      <c r="N41" s="23" t="str">
        <f>CONCATENATE("Principal Storage Network ",wld_principal_storage_chosen)</f>
        <v>Principal Storage Network vSAN-ESA</v>
      </c>
      <c r="O41" s="8" t="str">
        <f>IF(ISBLANK(input_wld_az1_rack3_principal_storage_network),"Value Missing",input_wld_az1_rack3_principal_storage_network)</f>
        <v>Value Missing</v>
      </c>
      <c r="Q41" s="23" t="str">
        <f>CONCATENATE("Principal Storage Network ",wld_principal_storage_chosen)</f>
        <v>Principal Storage Network vSAN-ESA</v>
      </c>
      <c r="R41" s="8" t="str">
        <f>IF(ISBLANK(input_wld_az1_rack4_principal_storage_network),"Value Missing",input_wld_az1_rack4_principal_storage_network)</f>
        <v>Value Missing</v>
      </c>
      <c r="T41" s="23" t="str">
        <f>CONCATENATE("Principal Storage Network ",wld_principal_storage_chosen)</f>
        <v>Principal Storage Network vSAN-ESA</v>
      </c>
      <c r="U41" s="8" t="str">
        <f>IF(ISBLANK(input_wld_az1_rack5_principal_storage_network),"Value Missing",input_wld_az1_rack5_principal_storage_network)</f>
        <v>Value Missing</v>
      </c>
      <c r="W41" s="23" t="str">
        <f>CONCATENATE("Principal Storage Network ",wld_principal_storage_chosen)</f>
        <v>Principal Storage Network vSAN-ESA</v>
      </c>
      <c r="X41" s="8" t="str">
        <f>IF(ISBLANK(input_wld_az1_rack6_principal_storage_network),"Value Missing",input_wld_az1_rack6_principal_storage_network)</f>
        <v>Value Missing</v>
      </c>
      <c r="Z41" s="23" t="str">
        <f>CONCATENATE("Principal Storage Network ",wld_principal_storage_chosen)</f>
        <v>Principal Storage Network vSAN-ESA</v>
      </c>
      <c r="AA41" s="8" t="str">
        <f>IF(ISBLANK(input_wld_az1_rack7_principal_storage_network),"Value Missing",input_wld_az1_rack7_principal_storage_network)</f>
        <v>Value Missing</v>
      </c>
      <c r="AC41" s="23" t="str">
        <f>CONCATENATE("Principal Storage Network ",wld_principal_storage_chosen)</f>
        <v>Principal Storage Network vSAN-ESA</v>
      </c>
      <c r="AD41" s="8" t="str">
        <f>IF(ISBLANK(input_wld_az1_rack8_principal_storage_network),"Value Missing",input_wld_az1_rack8_principal_storage_network)</f>
        <v>Value Missing</v>
      </c>
      <c r="AG41" s="9"/>
      <c r="AH41" s="9"/>
    </row>
    <row r="42" spans="2:34" s="2" customFormat="1" ht="20" customHeight="1" x14ac:dyDescent="0.2">
      <c r="B42" s="615" t="s">
        <v>693</v>
      </c>
      <c r="C42" s="616"/>
      <c r="E42" s="4" t="s">
        <v>1030</v>
      </c>
      <c r="F42" s="8" t="str">
        <f>IF(mgmt_az1_host_overlay_gateway_cidr="Value Missing","Value Missing",CONCATENATE(_xlfn.TEXTBEFORE(mgmt_az1_host_overlay_gateway_cidr,".",3),".0"))</f>
        <v>Value Missing</v>
      </c>
      <c r="H42" s="4" t="s">
        <v>1030</v>
      </c>
      <c r="I42" s="8" t="str">
        <f>IF(wld_az1_host_overlay_cidr="Value Missing","Value Missing",IF(ISBLANK(wld_az1_host_overlay_cidr),"Value Missing",LEFT(wld_az1_host_overlay_cidr,(FIND("/",wld_az1_host_overlay_cidr)-1))))</f>
        <v>Value Missing</v>
      </c>
      <c r="K42" s="4" t="s">
        <v>1030</v>
      </c>
      <c r="L42" s="8" t="str">
        <f>IF(ISBLANK(input_wld_az1_rack2_host_overlay_network),"Value Missing",input_wld_az1_rack2_host_overlay_network)</f>
        <v>Value Missing</v>
      </c>
      <c r="N42" s="4" t="s">
        <v>1030</v>
      </c>
      <c r="O42" s="8" t="str">
        <f>IF(ISBLANK(input_wld_az1_rack2_host_overlay_network),"Value Missing",input_wld_az1_rack3_host_overlay_network)</f>
        <v>Value Missing</v>
      </c>
      <c r="Q42" s="4" t="s">
        <v>1030</v>
      </c>
      <c r="R42" s="8" t="str">
        <f>IF(ISBLANK(input_wld_az1_rack4_host_overlay_network),"Value Missing",input_wld_az1_rack4_host_overlay_network)</f>
        <v>Value Missing</v>
      </c>
      <c r="T42" s="4" t="s">
        <v>1030</v>
      </c>
      <c r="U42" s="8" t="str">
        <f>IF(ISBLANK(input_wld_az1_rack5_host_overlay_network),"Value Missing",input_wld_az1_rack5_host_overlay_network)</f>
        <v>Value Missing</v>
      </c>
      <c r="W42" s="4" t="s">
        <v>1030</v>
      </c>
      <c r="X42" s="8" t="str">
        <f>IF(ISBLANK(input_wld_az1_rack6_host_overlay_network),"Value Missing",input_wld_az1_rack6_host_overlay_network)</f>
        <v>Value Missing</v>
      </c>
      <c r="Z42" s="4" t="s">
        <v>1030</v>
      </c>
      <c r="AA42" s="8" t="str">
        <f>IF(ISBLANK(input_wld_az1_rack7_host_overlay_network),"Value Missing",input_wld_az1_rack7_host_overlay_network)</f>
        <v>Value Missing</v>
      </c>
      <c r="AC42" s="4" t="s">
        <v>1030</v>
      </c>
      <c r="AD42" s="8" t="str">
        <f>IF(ISBLANK(input_wld_az1_rack8_host_overlay_network),"Value Missing",input_wld_az1_rack8_host_overlay_network)</f>
        <v>Value Missing</v>
      </c>
      <c r="AG42" s="9"/>
      <c r="AH42" s="9"/>
    </row>
    <row r="43" spans="2:34" s="2" customFormat="1" ht="20" customHeight="1" x14ac:dyDescent="0.2">
      <c r="B43" s="17" t="s">
        <v>250</v>
      </c>
      <c r="C43" s="18" t="s">
        <v>1020</v>
      </c>
      <c r="E43" s="24" t="s">
        <v>1032</v>
      </c>
      <c r="F43" s="8" t="str">
        <f>IF(mgmt_az1_secondary_storage_gateway_cidr="Value Missing","Value Missing",CONCATENATE(_xlfn.TEXTBEFORE(mgmt_az1_secondary_storage_gateway_cidr,".",3),".0"))</f>
        <v>Value Missing</v>
      </c>
      <c r="H43" s="4" t="s">
        <v>1032</v>
      </c>
      <c r="I43" s="8" t="str">
        <f>IF(wld_az1_secondary_storage_gateway_cidr="Value Missing","Value Missing",CONCATENATE(_xlfn.TEXTBEFORE(wld_az1_secondary_storage_gateway_cidr,".",3),".0"))</f>
        <v>Value Missing</v>
      </c>
      <c r="K43" s="30" t="s">
        <v>686</v>
      </c>
      <c r="L43" s="8"/>
      <c r="N43" s="30" t="s">
        <v>686</v>
      </c>
      <c r="O43" s="8"/>
      <c r="Q43" s="30" t="s">
        <v>686</v>
      </c>
      <c r="R43" s="8"/>
      <c r="T43" s="30" t="s">
        <v>686</v>
      </c>
      <c r="U43" s="8"/>
      <c r="W43" s="30" t="s">
        <v>686</v>
      </c>
      <c r="X43" s="8"/>
      <c r="Z43" s="30" t="s">
        <v>686</v>
      </c>
      <c r="AA43" s="8"/>
      <c r="AC43" s="30" t="s">
        <v>686</v>
      </c>
      <c r="AD43" s="8"/>
      <c r="AG43" s="9"/>
      <c r="AH43" s="9"/>
    </row>
    <row r="44" spans="2:34" s="2" customFormat="1" ht="20" customHeight="1" x14ac:dyDescent="0.2">
      <c r="B44" s="4" t="s">
        <v>39</v>
      </c>
      <c r="C44" s="8" t="str">
        <f>IF(ISBLANK(mgmt_vc_fqdn),"Value Missing",mgmt_vc_fqdn)</f>
        <v>Value Missing</v>
      </c>
      <c r="E44" s="24" t="s">
        <v>3125</v>
      </c>
      <c r="F44" s="8" t="str">
        <f>IF(mgmt_az1_vcf_mgmt_gateway_cidr="Value Missing","Value Missing",CONCATENATE(_xlfn.TEXTBEFORE(mgmt_az1_vcf_mgmt_gateway_cidr,".",3),".0"))</f>
        <v>Value Missing</v>
      </c>
      <c r="H44" s="4" t="s">
        <v>686</v>
      </c>
      <c r="I44" s="8" t="str">
        <f>IF(wld_az1_storage_cluster_gateway_cidr="Value Missing","Value Missing",CONCATENATE(_xlfn.TEXTBEFORE(wld_az1_storage_cluster_gateway_cidr,".",3),".0"))</f>
        <v>Value Missing</v>
      </c>
      <c r="K44" s="24" t="s">
        <v>1032</v>
      </c>
      <c r="L44" s="8" t="str">
        <f>IF(ISBLANK(input_wld_az1_rack2_secondary_storage_network),"Value Missing",input_wld_az1_rack2_secondary_storage_network)</f>
        <v>Value Missing</v>
      </c>
      <c r="N44" s="24" t="s">
        <v>1032</v>
      </c>
      <c r="O44" s="8" t="str">
        <f>IF(ISBLANK(input_wld_az1_rack3_secondary_storage_network),"Value Missing",input_wld_az1_rack3_secondary_storage_network)</f>
        <v>Value Missing</v>
      </c>
      <c r="Q44" s="24" t="s">
        <v>1032</v>
      </c>
      <c r="R44" s="8" t="str">
        <f>IF(ISBLANK(input_wld_az1_rack4_secondary_storage_network),"Value Missing",input_wld_az1_rack4_secondary_storage_network)</f>
        <v>Value Missing</v>
      </c>
      <c r="T44" s="24" t="s">
        <v>1032</v>
      </c>
      <c r="U44" s="8" t="str">
        <f>IF(ISBLANK(input_wld_az1_rack5_secondary_storage_network),"Value Missing",input_wld_az1_rack5_secondary_storage_network)</f>
        <v>Value Missing</v>
      </c>
      <c r="W44" s="24" t="s">
        <v>1032</v>
      </c>
      <c r="X44" s="8" t="str">
        <f>IF(ISBLANK(input_wld_az1_rack6_secondary_storage_network),"Value Missing",input_wld_az1_rack6_secondary_storage_network)</f>
        <v>Value Missing</v>
      </c>
      <c r="Z44" s="24" t="s">
        <v>1032</v>
      </c>
      <c r="AA44" s="8" t="str">
        <f>IF(ISBLANK(input_wld_az1_rack7_secondary_storage_network),"Value Missing",input_wld_az1_rack7_secondary_storage_network)</f>
        <v>Value Missing</v>
      </c>
      <c r="AC44" s="24" t="s">
        <v>1032</v>
      </c>
      <c r="AD44" s="8" t="str">
        <f>IF(ISBLANK(input_wld_az1_rack8_secondary_storage_network),"Value Missing",input_wld_az1_rack8_secondary_storage_network)</f>
        <v>Value Missing</v>
      </c>
      <c r="AG44" s="9"/>
      <c r="AH44" s="9"/>
    </row>
    <row r="45" spans="2:34" s="2" customFormat="1" ht="20" customHeight="1" x14ac:dyDescent="0.2">
      <c r="B45" s="4" t="s">
        <v>667</v>
      </c>
      <c r="C45" s="8" t="str">
        <f>mgmt_vcenter_appliance_size_chosen</f>
        <v>Medium</v>
      </c>
      <c r="E45" s="4" t="s">
        <v>1035</v>
      </c>
      <c r="F45" s="8" t="str">
        <f>IF(mgmt_az1_uplink01_cidr="Value Missing",mgmt_az1_uplink01_cidr,LEFT(mgmt_az1_uplink01_cidr,(FIND("/",mgmt_az1_uplink01_cidr)-1)))</f>
        <v>Value Missing</v>
      </c>
      <c r="H45" s="4" t="s">
        <v>1035</v>
      </c>
      <c r="I45" s="8" t="str">
        <f>IF(wld_az1_uplink01_cidr="Value Missing",wld_az1_uplink01_cidr,IF(ISBLANK(wld_az1_uplink01_cidr),"Value Missing",LEFT(wld_az1_uplink01_cidr,(FIND("/",wld_az1_uplink01_cidr)-1))))</f>
        <v>Value Missing</v>
      </c>
      <c r="K45" s="4" t="s">
        <v>1035</v>
      </c>
      <c r="L45" s="8" t="str">
        <f>IF(ISBLANK(input_wld_az1_rack2_uplink01_network),"Value Missing",input_wld_az1_rack2_uplink01_network)</f>
        <v>Value Missing</v>
      </c>
      <c r="N45" s="4" t="s">
        <v>1035</v>
      </c>
      <c r="O45" s="8" t="str">
        <f>IF(ISBLANK(input_wld_az1_rack3_uplink01_network),"Value Missing",input_wld_az1_rack3_uplink01_network)</f>
        <v>Value Missing</v>
      </c>
      <c r="Q45" s="4" t="s">
        <v>1035</v>
      </c>
      <c r="R45" s="8" t="str">
        <f>IF(ISBLANK(input_wld_az1_rack4_uplink01_network),"Value Missing",input_wld_az1_rack4_uplink01_network)</f>
        <v>Value Missing</v>
      </c>
      <c r="T45" s="4" t="s">
        <v>1035</v>
      </c>
      <c r="U45" s="8" t="str">
        <f>IF(ISBLANK(input_wld_az1_rack5_uplink01_network),"Value Missing",input_wld_az1_rack5_uplink01_network)</f>
        <v>Value Missing</v>
      </c>
      <c r="W45" s="4" t="s">
        <v>1035</v>
      </c>
      <c r="X45" s="8" t="str">
        <f>IF(ISBLANK(input_wld_az1_rack6_uplink01_network),"Value Missing",input_wld_az1_rack6_uplink01_network)</f>
        <v>Value Missing</v>
      </c>
      <c r="Z45" s="4" t="s">
        <v>1035</v>
      </c>
      <c r="AA45" s="8" t="str">
        <f>IF(ISBLANK(input_wld_az1_rack7_uplink01_network),"Value Missing",input_wld_az1_rack7_uplink01_network)</f>
        <v>Value Missing</v>
      </c>
      <c r="AC45" s="4" t="s">
        <v>1035</v>
      </c>
      <c r="AD45" s="8" t="str">
        <f>IF(ISBLANK(input_wld_az1_rack8_uplink01_network),"Value Missing",input_wld_az1_rack8_uplink01_network)</f>
        <v>Value Missing</v>
      </c>
      <c r="AG45" s="9"/>
      <c r="AH45" s="9"/>
    </row>
    <row r="46" spans="2:34" s="2" customFormat="1" ht="20" customHeight="1" x14ac:dyDescent="0.2">
      <c r="B46" s="4" t="s">
        <v>1080</v>
      </c>
      <c r="C46" s="8" t="str">
        <f>sizing_m01_vcenter_storage_size_chosen</f>
        <v>Large</v>
      </c>
      <c r="E46" s="4" t="s">
        <v>1037</v>
      </c>
      <c r="F46" s="8" t="str">
        <f>IF(mgmt_az1_uplink02_cidr="Value Missing",mgmt_az1_uplink02_cidr,LEFT(mgmt_az1_uplink02_cidr,(FIND("/",mgmt_az1_uplink02_cidr)-1)))</f>
        <v>Value Missing</v>
      </c>
      <c r="H46" s="4" t="s">
        <v>1037</v>
      </c>
      <c r="I46" s="8" t="str">
        <f>IF(wld_az1_uplink02_cidr="Value Missing",wld_az1_uplink02_cidr,IF(ISBLANK(wld_az1_uplink02_cidr),"Value Missing",LEFT(wld_az1_uplink02_cidr,(FIND("/",wld_az1_uplink02_cidr)-1))))</f>
        <v>Value Missing</v>
      </c>
      <c r="K46" s="4" t="s">
        <v>1037</v>
      </c>
      <c r="L46" s="8" t="str">
        <f>IF(ISBLANK(input_wld_az1_rack2_uplink02_network),"Value Missing",input_wld_az1_rack2_uplink02_network)</f>
        <v>Value Missing</v>
      </c>
      <c r="N46" s="4" t="s">
        <v>1037</v>
      </c>
      <c r="O46" s="8" t="str">
        <f>IF(ISBLANK(input_wld_az1_rack3_uplink02_network),"Value Missing",input_wld_az1_rack3_uplink02_network)</f>
        <v>Value Missing</v>
      </c>
      <c r="Q46" s="4" t="s">
        <v>1037</v>
      </c>
      <c r="R46" s="8" t="str">
        <f>IF(ISBLANK(input_wld_az1_rack4_uplink02_network),"Value Missing",input_wld_az1_rack4_uplink02_network)</f>
        <v>Value Missing</v>
      </c>
      <c r="T46" s="4" t="s">
        <v>1037</v>
      </c>
      <c r="U46" s="8" t="str">
        <f>IF(ISBLANK(input_wld_az1_rack5_uplink02_network),"Value Missing",input_wld_az1_rack5_uplink02_network)</f>
        <v>Value Missing</v>
      </c>
      <c r="W46" s="4" t="s">
        <v>1037</v>
      </c>
      <c r="X46" s="8" t="str">
        <f>IF(ISBLANK(input_wld_az1_rack6_uplink02_network),"Value Missing",input_wld_az1_rack6_uplink02_network)</f>
        <v>Value Missing</v>
      </c>
      <c r="Z46" s="4" t="s">
        <v>1037</v>
      </c>
      <c r="AA46" s="8" t="str">
        <f>IF(ISBLANK(input_wld_az1_rack7_uplink02_network),"Value Missing",input_wld_az1_rack7_uplink02_network)</f>
        <v>Value Missing</v>
      </c>
      <c r="AC46" s="4" t="s">
        <v>1037</v>
      </c>
      <c r="AD46" s="8" t="str">
        <f>IF(ISBLANK(input_wld_az1_rack8_uplink02_network),"Value Missing",input_wld_az1_rack8_uplink02_network)</f>
        <v>Value Missing</v>
      </c>
      <c r="AG46" s="9"/>
    </row>
    <row r="47" spans="2:34" s="2" customFormat="1" ht="20" customHeight="1" x14ac:dyDescent="0.2">
      <c r="B47" s="4" t="s">
        <v>1081</v>
      </c>
      <c r="C47" s="8" t="str">
        <f>IF(ISBLANK(input_mgmt_datacenter),"Value Missing",input_mgmt_datacenter)</f>
        <v>Value Missing</v>
      </c>
      <c r="E47" s="4" t="s">
        <v>1039</v>
      </c>
      <c r="F47" s="8" t="str">
        <f>IF(mgmt_az1_edge_overlay_cidr="Value Missing",mgmt_az1_edge_overlay_cidr,(LEFT(mgmt_az1_edge_overlay_cidr,(FIND("/",mgmt_az1_edge_overlay_cidr)-1))))</f>
        <v>Value Missing</v>
      </c>
      <c r="H47" s="4" t="s">
        <v>1039</v>
      </c>
      <c r="I47" s="8" t="str">
        <f>IF(wld_az1_edge_overlay_cidr="Value Missing",wld_az1_edge_overlay_cidr,IF(ISBLANK(wld_az1_edge_overlay_cidr),"Value Missing",LEFT(wld_az1_edge_overlay_cidr,(FIND("/",wld_az1_edge_overlay_cidr)-1))))</f>
        <v>Value Missing</v>
      </c>
      <c r="K47" s="4" t="s">
        <v>1039</v>
      </c>
      <c r="L47" s="8" t="str">
        <f>IF(ISBLANK(input_wld_az1_rack2_edge_overlay_network),"Value Missing",input_wld_az1_rack2_edge_overlay_network)</f>
        <v>Value Missing</v>
      </c>
      <c r="N47" s="4" t="s">
        <v>1039</v>
      </c>
      <c r="O47" s="8" t="str">
        <f>IF(ISBLANK(input_wld_az1_rack3_edge_overlay_network),"Value Missing",input_wld_az1_rack3_edge_overlay_network)</f>
        <v>Value Missing</v>
      </c>
      <c r="Q47" s="4" t="s">
        <v>1039</v>
      </c>
      <c r="R47" s="8" t="str">
        <f>IF(ISBLANK(input_wld_az1_rack4_edge_overlay_network),"Value Missing",input_wld_az1_rack4_edge_overlay_network)</f>
        <v>Value Missing</v>
      </c>
      <c r="T47" s="4" t="s">
        <v>1039</v>
      </c>
      <c r="U47" s="8" t="str">
        <f>IF(ISBLANK(input_wld_az1_rack5_edge_overlay_network),"Value Missing",input_wld_az1_rack5_edge_overlay_network)</f>
        <v>Value Missing</v>
      </c>
      <c r="W47" s="4" t="s">
        <v>1039</v>
      </c>
      <c r="X47" s="8" t="str">
        <f>IF(ISBLANK(input_wld_az1_rack6_edge_overlay_network),"Value Missing",input_wld_az1_rack6_edge_overlay_network)</f>
        <v>Value Missing</v>
      </c>
      <c r="Z47" s="4" t="s">
        <v>1039</v>
      </c>
      <c r="AA47" s="8" t="str">
        <f>IF(ISBLANK(input_wld_az1_rack7_edge_overlay_network),"Value Missing",input_wld_az1_rack7_edge_overlay_network)</f>
        <v>Value Missing</v>
      </c>
      <c r="AC47" s="4" t="s">
        <v>1039</v>
      </c>
      <c r="AD47" s="8" t="str">
        <f>IF(ISBLANK(input_wld_az1_rack8_edge_overlay_network),"Value Missing",input_wld_az1_rack8_edge_overlay_network)</f>
        <v>Value Missing</v>
      </c>
      <c r="AG47" s="9"/>
    </row>
    <row r="48" spans="2:34" s="2" customFormat="1" ht="20" customHeight="1" x14ac:dyDescent="0.2">
      <c r="B48" s="4" t="s">
        <v>1082</v>
      </c>
      <c r="C48" s="8" t="str">
        <f>IF(ISBLANK(input_mgmt_cl01_cluster),"Value Missing",input_mgmt_cl01_cluster)</f>
        <v>Value Missing</v>
      </c>
      <c r="E48" s="4" t="s">
        <v>1041</v>
      </c>
      <c r="F48" s="8" t="str">
        <f>IF(mgmt_az1_rtep_overlay_cidr="Value Missing",mgmt_az1_rtep_overlay_cidr,(LEFT(mgmt_az1_rtep_overlay_cidr,(FIND("/",mgmt_az1_rtep_overlay_cidr)-1))))</f>
        <v>Value Missing</v>
      </c>
      <c r="H48" s="4" t="s">
        <v>1041</v>
      </c>
      <c r="I48" s="8" t="str">
        <f>IF(wld_az1_rtep_overlay_cidr="Value Missing",wld_az1_rtep_overlay_cidr,(LEFT(wld_az1_rtep_overlay_cidr,(FIND("/",wld_az1_rtep_overlay_cidr)-1))))</f>
        <v>Value Missing</v>
      </c>
      <c r="K48" s="4" t="s">
        <v>1041</v>
      </c>
      <c r="N48" s="4" t="s">
        <v>1041</v>
      </c>
      <c r="Q48" s="4" t="s">
        <v>1041</v>
      </c>
      <c r="T48" s="4" t="s">
        <v>1041</v>
      </c>
      <c r="W48" s="4" t="s">
        <v>1041</v>
      </c>
      <c r="Z48" s="4" t="s">
        <v>1041</v>
      </c>
      <c r="AC48" s="4" t="s">
        <v>1041</v>
      </c>
      <c r="AG48" s="9"/>
    </row>
    <row r="49" spans="2:34" s="2" customFormat="1" ht="20" customHeight="1" x14ac:dyDescent="0.2">
      <c r="E49" s="4" t="s">
        <v>1043</v>
      </c>
      <c r="F49" s="8"/>
      <c r="H49" s="4" t="s">
        <v>1043</v>
      </c>
      <c r="I49" s="8" t="str">
        <f>IF(wld_az1_vrms_cidr="Value Missing",wld_az1_vrms_cidr,(LEFT(wld_az1_vrms_cidr,(FIND("/",wld_az1_vrms_cidr)-1))))</f>
        <v>Value Missing</v>
      </c>
      <c r="K49" s="4" t="s">
        <v>1043</v>
      </c>
      <c r="N49" s="4" t="s">
        <v>1043</v>
      </c>
      <c r="Q49" s="4" t="s">
        <v>1043</v>
      </c>
      <c r="T49" s="4" t="s">
        <v>1043</v>
      </c>
      <c r="W49" s="4" t="s">
        <v>1043</v>
      </c>
      <c r="Z49" s="4" t="s">
        <v>1043</v>
      </c>
      <c r="AC49" s="4" t="s">
        <v>1043</v>
      </c>
      <c r="AG49" s="9"/>
    </row>
    <row r="50" spans="2:34" s="2" customFormat="1" ht="20" customHeight="1" x14ac:dyDescent="0.2">
      <c r="B50" s="615" t="s">
        <v>241</v>
      </c>
      <c r="C50" s="616"/>
      <c r="Q50" s="7"/>
      <c r="R50" s="7"/>
      <c r="AG50" s="9"/>
    </row>
    <row r="51" spans="2:34" s="2" customFormat="1" ht="20" customHeight="1" x14ac:dyDescent="0.2">
      <c r="B51" s="17" t="s">
        <v>250</v>
      </c>
      <c r="C51" s="18" t="s">
        <v>1020</v>
      </c>
      <c r="E51" s="45" t="s">
        <v>1083</v>
      </c>
      <c r="F51" s="46"/>
      <c r="H51" s="45" t="s">
        <v>1084</v>
      </c>
      <c r="I51" s="46"/>
      <c r="K51" s="45" t="s">
        <v>1085</v>
      </c>
      <c r="L51" s="46"/>
      <c r="N51" s="45" t="s">
        <v>1086</v>
      </c>
      <c r="O51" s="46"/>
      <c r="Q51" s="45" t="s">
        <v>1087</v>
      </c>
      <c r="R51" s="46"/>
      <c r="T51" s="45" t="s">
        <v>1088</v>
      </c>
      <c r="U51" s="46"/>
      <c r="W51" s="45" t="s">
        <v>1089</v>
      </c>
      <c r="X51" s="46"/>
      <c r="Z51" s="45" t="s">
        <v>1090</v>
      </c>
      <c r="AA51" s="46"/>
      <c r="AC51" s="45" t="s">
        <v>1091</v>
      </c>
      <c r="AD51" s="46"/>
      <c r="AG51" s="9"/>
    </row>
    <row r="52" spans="2:34" s="2" customFormat="1" ht="20" customHeight="1" x14ac:dyDescent="0.2">
      <c r="B52" s="8" t="s">
        <v>667</v>
      </c>
      <c r="C52" s="8" t="str">
        <f>sizing_m01_nsxt_appliance_size</f>
        <v>Medium</v>
      </c>
      <c r="E52" s="48" t="s">
        <v>250</v>
      </c>
      <c r="F52" s="49" t="s">
        <v>1021</v>
      </c>
      <c r="H52" s="48" t="s">
        <v>250</v>
      </c>
      <c r="I52" s="49" t="s">
        <v>1021</v>
      </c>
      <c r="K52" s="48" t="s">
        <v>250</v>
      </c>
      <c r="L52" s="49" t="s">
        <v>1021</v>
      </c>
      <c r="N52" s="48" t="s">
        <v>250</v>
      </c>
      <c r="O52" s="49" t="s">
        <v>1021</v>
      </c>
      <c r="Q52" s="48" t="s">
        <v>250</v>
      </c>
      <c r="R52" s="49" t="s">
        <v>1021</v>
      </c>
      <c r="T52" s="48" t="s">
        <v>250</v>
      </c>
      <c r="U52" s="49" t="s">
        <v>1021</v>
      </c>
      <c r="W52" s="48" t="s">
        <v>250</v>
      </c>
      <c r="X52" s="49" t="s">
        <v>1021</v>
      </c>
      <c r="Z52" s="48" t="s">
        <v>250</v>
      </c>
      <c r="AA52" s="49" t="s">
        <v>1021</v>
      </c>
      <c r="AC52" s="48" t="s">
        <v>250</v>
      </c>
      <c r="AD52" s="49" t="s">
        <v>1021</v>
      </c>
      <c r="AG52" s="9"/>
    </row>
    <row r="53" spans="2:34" s="2" customFormat="1" ht="20" customHeight="1" x14ac:dyDescent="0.2">
      <c r="B53" s="8" t="s">
        <v>668</v>
      </c>
      <c r="C53" s="8" t="str">
        <f>IF(ISBLANK(mgmt_nsxt_mgra_fqdn),"Value Missing",mgmt_nsxt_mgra_fqdn)</f>
        <v>Value Missing</v>
      </c>
      <c r="E53" s="30" t="s">
        <v>1024</v>
      </c>
      <c r="F53" s="8" t="str">
        <f>IF(mgmt_az1_mgmt_vm_gateway_cidr="Value Missing",mgmt_az1_mgmt_vm_gateway_cidr,VLOOKUP(INT(RIGHT(mgmt_az1_mgmt_vm_gateway_cidr,LEN(mgmt_az1_mgmt_vm_gateway_cidr)-FIND("/",mgmt_az1_mgmt_vm_gateway_cidr))),table_cidr_to_mask,2,FALSE))</f>
        <v>Value Missing</v>
      </c>
      <c r="H53" s="30" t="s">
        <v>1024</v>
      </c>
      <c r="I53" s="8" t="str">
        <f>IF(wld_az1_mgmt_vm_gateway_cidr="Value Missing",wld_az1_mgmt_vm_gateway_cidr,VLOOKUP(INT(RIGHT(wld_az1_mgmt_vm_gateway_cidr,LEN(wld_az1_mgmt_vm_gateway_cidr)-FIND("/",wld_az1_mgmt_vm_gateway_cidr))),table_cidr_to_mask,2,FALSE))</f>
        <v>Value Missing</v>
      </c>
      <c r="K53" s="30" t="s">
        <v>1024</v>
      </c>
      <c r="L53" s="39"/>
      <c r="N53" s="30" t="s">
        <v>1024</v>
      </c>
      <c r="O53" s="39"/>
      <c r="Q53" s="30" t="s">
        <v>1024</v>
      </c>
      <c r="R53" s="39"/>
      <c r="T53" s="30" t="s">
        <v>1024</v>
      </c>
      <c r="U53" s="39"/>
      <c r="W53" s="30" t="s">
        <v>1024</v>
      </c>
      <c r="X53" s="39"/>
      <c r="Z53" s="30" t="s">
        <v>1024</v>
      </c>
      <c r="AA53" s="39"/>
      <c r="AC53" s="30" t="s">
        <v>1024</v>
      </c>
      <c r="AD53" s="39"/>
      <c r="AG53" s="9"/>
    </row>
    <row r="54" spans="2:34" s="2" customFormat="1" ht="20" customHeight="1" x14ac:dyDescent="0.2">
      <c r="B54" s="8" t="s">
        <v>1092</v>
      </c>
      <c r="C54" s="8" t="str">
        <f>IF(ISBLANK(mgmt_nsxt_mgrb_fqdn),"Value Missing",mgmt_nsxt_mgrb_fqdn)</f>
        <v>Value Missing</v>
      </c>
      <c r="E54" s="30" t="s">
        <v>1026</v>
      </c>
      <c r="F54" s="8" t="str">
        <f>IF(mgmt_az1_mgmt_gateway_cidr="Value Missing",mgmt_az1_mgmt_gateway_cidr,VLOOKUP(INT(RIGHT(mgmt_az1_mgmt_gateway_cidr,LEN(mgmt_az1_mgmt_gateway_cidr)-FIND("/",mgmt_az1_mgmt_gateway_cidr))),table_cidr_to_mask,2,FALSE))</f>
        <v>Value Missing</v>
      </c>
      <c r="H54" s="30" t="s">
        <v>1026</v>
      </c>
      <c r="I54" s="8" t="str">
        <f>IF(wld_az1_mgmt_gateway_cidr="Value Missing",wld_az1_mgmt_gateway_cidr,VLOOKUP(INT(RIGHT(wld_az1_mgmt_gateway_cidr,LEN(wld_az1_mgmt_gateway_cidr)-FIND("/",wld_az1_mgmt_gateway_cidr))),table_cidr_to_mask,2,FALSE))</f>
        <v>Value Missing</v>
      </c>
      <c r="K54" s="30" t="s">
        <v>1026</v>
      </c>
      <c r="L54" s="8" t="str">
        <f>IF(wld_az1_rack2_mgmt_cidr="Value Missing","Value Missing",IF(ISBLANK(wld_az1_rack2_mgmt_cidr),"Value Missing",VLOOKUP(INT(RIGHT(wld_az1_rack2_mgmt_cidr,LEN(wld_az1_rack2_mgmt_cidr)-FIND("/",wld_az1_rack2_mgmt_cidr))),table_cidr_to_mask,2,FALSE)))</f>
        <v>Value Missing</v>
      </c>
      <c r="N54" s="30" t="s">
        <v>1026</v>
      </c>
      <c r="O54" s="8" t="str">
        <f>IF(wld_az1_rack3_mgmt_cidr="Value Missing","Value Missing",IF(ISBLANK(wld_az1_rack3_mgmt_cidr),"Value Missing",VLOOKUP(INT(RIGHT(wld_az1_rack3_mgmt_cidr,LEN(wld_az1_rack3_mgmt_cidr)-FIND("/",wld_az1_rack3_mgmt_cidr))),table_cidr_to_mask,2,FALSE)))</f>
        <v>Value Missing</v>
      </c>
      <c r="Q54" s="30" t="s">
        <v>1026</v>
      </c>
      <c r="R54" s="8" t="str">
        <f>IF(wld_az1_rack4_mgmt_cidr="Value Missing","Value Missing",IF(ISBLANK(wld_az1_rack4_mgmt_cidr),"Value Missing",VLOOKUP(INT(RIGHT(wld_az1_rack4_mgmt_cidr,LEN(wld_az1_rack4_mgmt_cidr)-FIND("/",wld_az1_rack4_mgmt_cidr))),table_cidr_to_mask,2,FALSE)))</f>
        <v>Value Missing</v>
      </c>
      <c r="T54" s="30" t="s">
        <v>1026</v>
      </c>
      <c r="U54" s="8" t="str">
        <f>IF(wld_az1_rack5_mgmt_cidr="Value Missing","Value Missing",IF(ISBLANK(wld_az1_rack5_mgmt_cidr),"Value Missing",VLOOKUP(INT(RIGHT(wld_az1_rack5_mgmt_cidr,LEN(wld_az1_rack5_mgmt_cidr)-FIND("/",wld_az1_rack5_mgmt_cidr))),table_cidr_to_mask,2,FALSE)))</f>
        <v>Value Missing</v>
      </c>
      <c r="W54" s="30" t="s">
        <v>1026</v>
      </c>
      <c r="X54" s="8" t="str">
        <f>IF(wld_az1_rack6_mgmt_cidr="Value Missing","Value Missing",IF(ISBLANK(wld_az1_rack6_mgmt_cidr),"Value Missing",VLOOKUP(INT(RIGHT(wld_az1_rack6_mgmt_cidr,LEN(wld_az1_rack6_mgmt_cidr)-FIND("/",wld_az1_rack6_mgmt_cidr))),table_cidr_to_mask,2,FALSE)))</f>
        <v>Value Missing</v>
      </c>
      <c r="Z54" s="30" t="s">
        <v>1026</v>
      </c>
      <c r="AA54" s="8" t="str">
        <f>IF(wld_az1_rack7_mgmt_cidr="Value Missing","Value Missing",IF(ISBLANK(wld_az1_rack7_mgmt_cidr),"Value Missing",VLOOKUP(INT(RIGHT(wld_az1_rack7_mgmt_cidr,LEN(wld_az1_rack7_mgmt_cidr)-FIND("/",wld_az1_rack7_mgmt_cidr))),table_cidr_to_mask,2,FALSE)))</f>
        <v>Value Missing</v>
      </c>
      <c r="AC54" s="30" t="s">
        <v>1026</v>
      </c>
      <c r="AD54" s="8" t="str">
        <f>IF(wld_az1_rack8_mgmt_cidr="Value Missing","Value Missing",IF(ISBLANK(wld_az1_rack8_mgmt_cidr),"Value Missing",VLOOKUP(INT(RIGHT(wld_az1_rack8_mgmt_cidr,LEN(wld_az1_rack8_mgmt_cidr)-FIND("/",wld_az1_rack8_mgmt_cidr))),table_cidr_to_mask,2,FALSE)))</f>
        <v>Value Missing</v>
      </c>
      <c r="AG54" s="9"/>
    </row>
    <row r="55" spans="2:34" s="2" customFormat="1" ht="20" customHeight="1" x14ac:dyDescent="0.2">
      <c r="B55" s="8" t="s">
        <v>1093</v>
      </c>
      <c r="C55" s="8" t="str">
        <f>IF(ISBLANK(mgmt_nsxt_mgrc_fqdn),"Value Missing",mgmt_nsxt_mgrc_fqdn)</f>
        <v>Value Missing</v>
      </c>
      <c r="E55" s="30" t="s">
        <v>240</v>
      </c>
      <c r="F55" s="8" t="str">
        <f>IF(mgmt_az1_vmotion_gateway_cidr="Value Missing",mgmt_az1_vmotion_gateway_cidr,VLOOKUP(INT(RIGHT(mgmt_az1_vmotion_gateway_cidr,LEN(mgmt_az1_vmotion_gateway_cidr)-FIND("/",mgmt_az1_vmotion_gateway_cidr))),table_cidr_to_mask,2,FALSE))</f>
        <v>Value Missing</v>
      </c>
      <c r="H55" s="30" t="s">
        <v>240</v>
      </c>
      <c r="I55" s="8" t="str">
        <f>IF(wld_az1_vmotion_gateway_cidr="Value Missing",wld_az1_vmotion_gateway_cidr,VLOOKUP(INT(RIGHT(wld_az1_vmotion_gateway_cidr,LEN(wld_az1_vmotion_gateway_cidr)-FIND("/",wld_az1_vmotion_gateway_cidr))),table_cidr_to_mask,2,FALSE))</f>
        <v>Value Missing</v>
      </c>
      <c r="K55" s="30" t="s">
        <v>240</v>
      </c>
      <c r="L55" s="8" t="str">
        <f>IF(ISBLANK(input_wld_az1_rack2_vmotion_mask),"Value Missing",input_wld_az1_rack2_vmotion_mask)</f>
        <v>Value Missing</v>
      </c>
      <c r="N55" s="30" t="s">
        <v>240</v>
      </c>
      <c r="O55" s="8" t="str">
        <f>IF(ISBLANK(input_wld_az1_rack3_vmotion_mask),"Value Missing",input_wld_az1_rack3_vmotion_mask)</f>
        <v>Value Missing</v>
      </c>
      <c r="Q55" s="30" t="s">
        <v>240</v>
      </c>
      <c r="R55" s="8" t="str">
        <f>IF(ISBLANK(input_wld_az1_rack4_vmotion_mask),"Value Missing",input_wld_az1_rack4_vmotion_mask)</f>
        <v>Value Missing</v>
      </c>
      <c r="T55" s="30" t="s">
        <v>240</v>
      </c>
      <c r="U55" s="8" t="str">
        <f>IF(ISBLANK(input_wld_az1_rack5_vmotion_mask),"Value Missing",input_wld_az1_rack5_vmotion_mask)</f>
        <v>Value Missing</v>
      </c>
      <c r="W55" s="30" t="s">
        <v>240</v>
      </c>
      <c r="X55" s="8" t="str">
        <f>IF(ISBLANK(input_wld_az1_rack6_vmotion_mask),"Value Missing",input_wld_az1_rack6_vmotion_mask)</f>
        <v>Value Missing</v>
      </c>
      <c r="Z55" s="30" t="s">
        <v>240</v>
      </c>
      <c r="AA55" s="8" t="str">
        <f>IF(ISBLANK(input_wld_az1_rack7_vmotion_mask),"Value Missing",input_wld_az1_rack7_vmotion_mask)</f>
        <v>Value Missing</v>
      </c>
      <c r="AC55" s="30" t="s">
        <v>240</v>
      </c>
      <c r="AD55" s="8" t="str">
        <f>IF(ISBLANK(input_wld_az1_rack8_vmotion_mask),"Value Missing",input_wld_az1_rack8_vmotion_mask)</f>
        <v>Value Missing</v>
      </c>
      <c r="AG55" s="9"/>
    </row>
    <row r="56" spans="2:34" s="2" customFormat="1" ht="20" customHeight="1" x14ac:dyDescent="0.2">
      <c r="B56" s="8" t="s">
        <v>674</v>
      </c>
      <c r="C56" s="8" t="str">
        <f>IF(ISBLANK(mgmt_nsxt_vip_fqdn),"Value Missing",mgmt_nsxt_vip_fqdn)</f>
        <v>Value Missing</v>
      </c>
      <c r="E56" s="30" t="s">
        <v>1094</v>
      </c>
      <c r="F56" s="8" t="str">
        <f>IF(mgmt_az1_vsan_gateway_cidr="Value Missing",mgmt_az1_vsan_gateway_cidr,VLOOKUP(INT(RIGHT(mgmt_az1_vsan_gateway_cidr,LEN(mgmt_az1_vsan_gateway_cidr)-FIND("/",mgmt_az1_vsan_gateway_cidr))),table_cidr_to_mask,2,FALSE))</f>
        <v>Value Missing</v>
      </c>
      <c r="H56" s="30" t="s">
        <v>1094</v>
      </c>
      <c r="I56" s="8" t="str">
        <f>IF(wld_az1_principal_storage_gateway_cidr="Value Missing",wld_az1_principal_storage_gateway_cidr,VLOOKUP(INT(RIGHT(wld_az1_principal_storage_gateway_cidr,LEN(wld_az1_principal_storage_gateway_cidr)-FIND("/",wld_az1_principal_storage_gateway_cidr))),table_cidr_to_mask,2,FALSE))</f>
        <v>Value Missing</v>
      </c>
      <c r="K56" s="30" t="s">
        <v>1094</v>
      </c>
      <c r="L56" s="8" t="str">
        <f>IF(ISBLANK(input_wld_az1_rack2_principal_storage_mask),"Value Missing",input_wld_az1_rack2_principal_storage_mask)</f>
        <v>Value Missing</v>
      </c>
      <c r="N56" s="30" t="s">
        <v>1094</v>
      </c>
      <c r="O56" s="8" t="str">
        <f>IF(ISBLANK(input_wld_az1_rack3_principal_storage_mask),"Value Missing",input_wld_az1_rack3_principal_storage_mask)</f>
        <v>Value Missing</v>
      </c>
      <c r="Q56" s="30" t="s">
        <v>1094</v>
      </c>
      <c r="R56" s="8" t="str">
        <f>IF(ISBLANK(input_wld_az1_rack4_principal_storage_mask),"Value Missing",input_wld_az1_rack4_principal_storage_mask)</f>
        <v>Value Missing</v>
      </c>
      <c r="T56" s="30" t="s">
        <v>1094</v>
      </c>
      <c r="U56" s="8" t="str">
        <f>IF(ISBLANK(input_wld_az1_rack5_principal_storage_mask),"Value Missing",input_wld_az1_rack5_principal_storage_mask)</f>
        <v>Value Missing</v>
      </c>
      <c r="W56" s="30" t="s">
        <v>1094</v>
      </c>
      <c r="X56" s="8" t="str">
        <f>IF(ISBLANK(input_wld_az1_rack6_principal_storage_mask),"Value Missing",input_wld_az1_rack6_principal_storage_mask)</f>
        <v>Value Missing</v>
      </c>
      <c r="Z56" s="30" t="s">
        <v>1094</v>
      </c>
      <c r="AA56" s="8" t="str">
        <f>IF(ISBLANK(input_wld_az1_rack7_principal_storage_mask),"Value Missing",input_wld_az1_rack7_principal_storage_mask)</f>
        <v>Value Missing</v>
      </c>
      <c r="AC56" s="30" t="s">
        <v>1094</v>
      </c>
      <c r="AD56" s="8" t="str">
        <f>IF(ISBLANK(input_wld_az1_rack8_principal_storage_mask),"Value Missing",input_wld_az1_rack8_principal_storage_mask)</f>
        <v>Value Missing</v>
      </c>
      <c r="AG56" s="9"/>
    </row>
    <row r="57" spans="2:34" s="2" customFormat="1" ht="20" customHeight="1" x14ac:dyDescent="0.2">
      <c r="E57" s="30" t="s">
        <v>1030</v>
      </c>
      <c r="F57" s="8" t="str">
        <f>IF(mgmt_az1_host_overlay_gateway_cidr="Value Missing",mgmt_az1_host_overlay_gateway_cidr,VLOOKUP(INT(RIGHT(mgmt_az1_host_overlay_gateway_cidr,LEN(mgmt_az1_host_overlay_gateway_cidr)-FIND("/",mgmt_az1_host_overlay_gateway_cidr))),table_cidr_to_mask,2,FALSE))</f>
        <v>Value Missing</v>
      </c>
      <c r="H57" s="30" t="s">
        <v>1030</v>
      </c>
      <c r="I57" s="8" t="str">
        <f>IF(wld_az1_host_overlay_cidr="Value Missing","Value Missing",VLOOKUP(INT(RIGHT(wld_az1_host_overlay_cidr,LEN(wld_az1_host_overlay_cidr)-FIND("/",wld_az1_host_overlay_cidr))),table_cidr_to_mask,2,FALSE))</f>
        <v>Value Missing</v>
      </c>
      <c r="K57" s="30" t="s">
        <v>1030</v>
      </c>
      <c r="L57" s="8" t="str">
        <f>IF(ISBLANK(input_wld_az1_rack2_host_overlay_mask),"Value Missing",input_wld_az1_rack2_host_overlay_mask)</f>
        <v>Value Missing</v>
      </c>
      <c r="N57" s="30" t="s">
        <v>1030</v>
      </c>
      <c r="O57" s="8" t="str">
        <f>IF(ISBLANK(input_wld_az1_rack3_host_overlay_mask),"Value Missing",input_wld_az1_rack3_host_overlay_mask)</f>
        <v>Value Missing</v>
      </c>
      <c r="Q57" s="30" t="s">
        <v>1030</v>
      </c>
      <c r="R57" s="8" t="str">
        <f>IF(ISBLANK(input_wld_az1_rack4_host_overlay_mask),"Value Missing",input_wld_az1_rack4_host_overlay_mask)</f>
        <v>Value Missing</v>
      </c>
      <c r="T57" s="30" t="s">
        <v>1030</v>
      </c>
      <c r="U57" s="8" t="str">
        <f>IF(ISBLANK(input_wld_az1_rack5_host_overlay_mask),"Value Missing",input_wld_az1_rack5_host_overlay_mask)</f>
        <v>Value Missing</v>
      </c>
      <c r="W57" s="30" t="s">
        <v>1030</v>
      </c>
      <c r="X57" s="8" t="str">
        <f>IF(ISBLANK(input_wld_az1_rack6_host_overlay_mask),"Value Missing",input_wld_az1_rack6_host_overlay_mask)</f>
        <v>Value Missing</v>
      </c>
      <c r="Z57" s="30" t="s">
        <v>1030</v>
      </c>
      <c r="AA57" s="8" t="str">
        <f>IF(ISBLANK(input_wld_az1_rack7_host_overlay_mask),"Value Missing",input_wld_az1_rack7_host_overlay_mask)</f>
        <v>Value Missing</v>
      </c>
      <c r="AC57" s="30" t="s">
        <v>1030</v>
      </c>
      <c r="AD57" s="8" t="str">
        <f>IF(ISBLANK(input_wld_az1_rack8_host_overlay_mask),"Value Missing",input_wld_az1_rack8_host_overlay_mask)</f>
        <v>Value Missing</v>
      </c>
      <c r="AG57" s="9"/>
    </row>
    <row r="58" spans="2:34" s="2" customFormat="1" ht="20" customHeight="1" x14ac:dyDescent="0.2">
      <c r="B58" s="615" t="s">
        <v>1095</v>
      </c>
      <c r="C58" s="616"/>
      <c r="E58" s="24" t="s">
        <v>3125</v>
      </c>
      <c r="F58" s="8" t="str">
        <f>IF(mgmt_az1_vcf_mgmt_gateway_cidr="Value Missing",mgmt_az1_vcf_mgmt_gateway_cidr,VLOOKUP(INT(RIGHT(mgmt_az1_vcf_mgmt_gateway_cidr,LEN(mgmt_az1_vcf_mgmt_gateway_cidr)-FIND("/",mgmt_az1_vcf_mgmt_gateway_cidr))),table_cidr_to_mask,2,FALSE))</f>
        <v>Value Missing</v>
      </c>
      <c r="H58" s="30" t="s">
        <v>1032</v>
      </c>
      <c r="I58" s="8" t="str">
        <f>IF(wld_az1_secondary_storage_gateway_cidr="Value Missing",wld_az1_secondary_storage_gateway_cidr,VLOOKUP(INT(RIGHT(wld_az1_secondary_storage_gateway_cidr,LEN(wld_az1_secondary_storage_gateway_cidr)-FIND("/",wld_az1_secondary_storage_gateway_cidr))),table_cidr_to_mask,2,FALSE))</f>
        <v>Value Missing</v>
      </c>
      <c r="K58" s="30" t="s">
        <v>1032</v>
      </c>
      <c r="L58" s="8" t="str">
        <f>IF(ISBLANK(input_wld_az1_rack2_secondary_storage_mask),"Value Missing",input_wld_az1_rack2_secondary_storage_mask)</f>
        <v>Value Missing</v>
      </c>
      <c r="N58" s="30" t="s">
        <v>1032</v>
      </c>
      <c r="O58" s="8" t="str">
        <f>IF(ISBLANK(input_wld_az1_rack3_secondary_storage_mask),"Value Missing",input_wld_az1_rack3_secondary_storage_mask)</f>
        <v>Value Missing</v>
      </c>
      <c r="Q58" s="30" t="s">
        <v>1032</v>
      </c>
      <c r="R58" s="8" t="str">
        <f>IF(ISBLANK(input_wld_az1_rack4_secondary_storage_mask),"Value Missing",input_wld_az1_rack4_secondary_storage_mask)</f>
        <v>Value Missing</v>
      </c>
      <c r="T58" s="30" t="s">
        <v>1032</v>
      </c>
      <c r="U58" s="8" t="str">
        <f>IF(ISBLANK(input_wld_az1_rack5_secondary_storage_mask),"Value Missing",input_wld_az1_rack5_secondary_storage_mask)</f>
        <v>Value Missing</v>
      </c>
      <c r="W58" s="30" t="s">
        <v>1032</v>
      </c>
      <c r="X58" s="8" t="str">
        <f>IF(ISBLANK(input_wld_az1_rack6_secondary_storage_mask),"Value Missing",input_wld_az1_rack6_secondary_storage_mask)</f>
        <v>Value Missing</v>
      </c>
      <c r="Z58" s="30" t="s">
        <v>1032</v>
      </c>
      <c r="AA58" s="8" t="str">
        <f>IF(ISBLANK(input_wld_az1_rack7_secondary_storage_mask),"Value Missing",input_wld_az1_rack7_secondary_storage_mask)</f>
        <v>Value Missing</v>
      </c>
      <c r="AC58" s="30" t="s">
        <v>1032</v>
      </c>
      <c r="AD58" s="8" t="str">
        <f>IF(ISBLANK(input_wld_az1_rack8_secondary_storage_mask),"Value Missing",input_wld_az1_rack8_secondary_storage_mask)</f>
        <v>Value Missing</v>
      </c>
      <c r="AG58" s="9"/>
    </row>
    <row r="59" spans="2:34" s="2" customFormat="1" ht="20" customHeight="1" x14ac:dyDescent="0.2">
      <c r="B59" s="17" t="s">
        <v>250</v>
      </c>
      <c r="C59" s="18" t="s">
        <v>1020</v>
      </c>
      <c r="E59" s="50" t="s">
        <v>1032</v>
      </c>
      <c r="F59" s="8" t="str">
        <f>IF(mgmt_az1_secondary_storage_gateway_cidr="Value Missing",mgmt_az1_secondary_storage_gateway_cidr,VLOOKUP(INT(RIGHT(mgmt_az1_secondary_storage_gateway_cidr,LEN(mgmt_az1_secondary_storage_gateway_cidr)-FIND("/",mgmt_az1_secondary_storage_gateway_cidr))),table_cidr_to_mask,2,FALSE))</f>
        <v>Value Missing</v>
      </c>
      <c r="H59" s="30" t="s">
        <v>686</v>
      </c>
      <c r="I59" s="8" t="str">
        <f>IF(wld_az1_storage_cluster_gateway_cidr="Value Missing",wld_az1_storage_cluster_gateway_cidr,VLOOKUP(INT(RIGHT(wld_az1_storage_cluster_gateway_cidr,LEN(wld_az1_storage_cluster_gateway_cidr)-FIND("/",wld_az1_storage_cluster_gateway_cidr))),table_cidr_to_mask,2,FALSE))</f>
        <v>Value Missing</v>
      </c>
      <c r="K59" s="30" t="s">
        <v>686</v>
      </c>
      <c r="L59" s="8"/>
      <c r="N59" s="30" t="s">
        <v>686</v>
      </c>
      <c r="O59" s="8"/>
      <c r="Q59" s="30" t="s">
        <v>686</v>
      </c>
      <c r="R59" s="8"/>
      <c r="T59" s="30" t="s">
        <v>686</v>
      </c>
      <c r="U59" s="8"/>
      <c r="W59" s="30" t="s">
        <v>686</v>
      </c>
      <c r="X59" s="8"/>
      <c r="Z59" s="30" t="s">
        <v>686</v>
      </c>
      <c r="AA59" s="8"/>
      <c r="AC59" s="30" t="s">
        <v>686</v>
      </c>
      <c r="AD59" s="8"/>
      <c r="AG59" s="9"/>
    </row>
    <row r="60" spans="2:34" s="2" customFormat="1" ht="20" customHeight="1" x14ac:dyDescent="0.2">
      <c r="B60" s="8" t="s">
        <v>1096</v>
      </c>
      <c r="C60" s="8" t="str">
        <f>'Value Reference Tables'!R41</f>
        <v>Value Missing</v>
      </c>
      <c r="E60" s="30" t="s">
        <v>1035</v>
      </c>
      <c r="F60" s="8" t="str">
        <f>IF(mgmt_az1_uplink01_cidr="Value Missing",mgmt_az1_uplink01_cidr,VLOOKUP(INT(RIGHT(mgmt_az1_uplink01_cidr,LEN(mgmt_az1_uplink01_cidr)-FIND("/",mgmt_az1_uplink01_cidr))),table_cidr_to_mask,2,FALSE))</f>
        <v>Value Missing</v>
      </c>
      <c r="H60" s="30" t="s">
        <v>1035</v>
      </c>
      <c r="I60" s="8" t="str">
        <f>IF(wld_az1_uplink01_cidr="Value Missing",wld_az1_uplink01_cidr,VLOOKUP(INT(RIGHT(wld_az1_uplink01_cidr,LEN(wld_az1_uplink01_cidr)-FIND("/",wld_az1_uplink01_cidr))),table_cidr_to_mask,2,FALSE))</f>
        <v>Value Missing</v>
      </c>
      <c r="K60" s="30" t="s">
        <v>1035</v>
      </c>
      <c r="L60" s="8" t="str">
        <f>IF(ISBLANK(input_wld_az1_rack2_uplink01_mask),"Value Missing",input_wld_az1_rack2_uplink01_mask)</f>
        <v>Value Missing</v>
      </c>
      <c r="N60" s="30" t="s">
        <v>1035</v>
      </c>
      <c r="O60" s="8" t="str">
        <f>IF(ISBLANK(input_wld_az1_rack3_uplink01_mask),"Value Missing",input_wld_az1_rack3_uplink01_mask)</f>
        <v>Value Missing</v>
      </c>
      <c r="Q60" s="30" t="s">
        <v>1035</v>
      </c>
      <c r="R60" s="8" t="str">
        <f>IF(ISBLANK(input_wld_az1_rack4_uplink01_mask),"Value Missing",input_wld_az1_rack4_uplink01_mask)</f>
        <v>Value Missing</v>
      </c>
      <c r="T60" s="30" t="s">
        <v>1035</v>
      </c>
      <c r="U60" s="8" t="str">
        <f>IF(ISBLANK(input_wld_az1_rack5_uplink01_mask),"Value Missing",input_wld_az1_rack5_uplink01_mask)</f>
        <v>Value Missing</v>
      </c>
      <c r="W60" s="30" t="s">
        <v>1035</v>
      </c>
      <c r="X60" s="8" t="str">
        <f>IF(ISBLANK(input_wld_az1_rack6_uplink01_mask),"Value Missing",input_wld_az1_rack6_uplink01_mask)</f>
        <v>Value Missing</v>
      </c>
      <c r="Z60" s="30" t="s">
        <v>1035</v>
      </c>
      <c r="AA60" s="8" t="str">
        <f>IF(ISBLANK(input_wld_az1_rack7_uplink01_mask),"Value Missing",input_wld_az1_rack7_uplink01_mask)</f>
        <v>Value Missing</v>
      </c>
      <c r="AC60" s="30" t="s">
        <v>1035</v>
      </c>
      <c r="AD60" s="8" t="str">
        <f>IF(ISBLANK(input_wld_az1_rack8_uplink01_mask),"Value Missing",input_wld_az1_rack8_uplink01_mask)</f>
        <v>Value Missing</v>
      </c>
      <c r="AG60" s="9"/>
    </row>
    <row r="61" spans="2:34" s="2" customFormat="1" ht="20" customHeight="1" x14ac:dyDescent="0.2">
      <c r="E61" s="30" t="s">
        <v>1037</v>
      </c>
      <c r="F61" s="8" t="str">
        <f>IF(mgmt_az1_uplink02_cidr="Value Missing",mgmt_az1_uplink02_cidr,VLOOKUP(INT(RIGHT(mgmt_az1_uplink02_cidr,LEN(mgmt_az1_uplink02_cidr)-FIND("/",mgmt_az1_uplink02_cidr))),table_cidr_to_mask,2,FALSE))</f>
        <v>Value Missing</v>
      </c>
      <c r="H61" s="30" t="s">
        <v>1037</v>
      </c>
      <c r="I61" s="8" t="str">
        <f>IF(wld_az1_uplink02_cidr="Value Missing",wld_az1_uplink02_cidr,VLOOKUP(INT(RIGHT(wld_az1_uplink02_cidr,LEN(wld_az1_uplink02_cidr)-FIND("/",wld_az1_uplink02_cidr))),table_cidr_to_mask,2,FALSE))</f>
        <v>Value Missing</v>
      </c>
      <c r="K61" s="30" t="s">
        <v>1037</v>
      </c>
      <c r="L61" s="8" t="str">
        <f>IF(ISBLANK(input_wld_az1_rack2_uplink02_mask),"Value Missing",input_wld_az1_rack2_uplink02_mask)</f>
        <v>Value Missing</v>
      </c>
      <c r="N61" s="30" t="s">
        <v>1037</v>
      </c>
      <c r="O61" s="8" t="str">
        <f>IF(ISBLANK(input_wld_az1_rack3_uplink02_mask),"Value Missing",input_wld_az1_rack3_uplink02_mask)</f>
        <v>Value Missing</v>
      </c>
      <c r="Q61" s="30" t="s">
        <v>1037</v>
      </c>
      <c r="R61" s="8" t="str">
        <f>IF(ISBLANK(input_wld_az1_rack4_uplink02_mask),"Value Missing",input_wld_az1_rack4_uplink02_mask)</f>
        <v>Value Missing</v>
      </c>
      <c r="T61" s="30" t="s">
        <v>1037</v>
      </c>
      <c r="U61" s="8" t="str">
        <f>IF(ISBLANK(input_wld_az1_rack5_uplink02_mask),"Value Missing",input_wld_az1_rack5_uplink02_mask)</f>
        <v>Value Missing</v>
      </c>
      <c r="W61" s="30" t="s">
        <v>1037</v>
      </c>
      <c r="X61" s="8" t="str">
        <f>IF(ISBLANK(input_wld_az1_rack6_uplink02_mask),"Value Missing",input_wld_az1_rack6_uplink02_mask)</f>
        <v>Value Missing</v>
      </c>
      <c r="Z61" s="30" t="s">
        <v>1037</v>
      </c>
      <c r="AA61" s="8" t="str">
        <f>IF(ISBLANK(input_wld_az1_rack7_uplink02_mask),"Value Missing",input_wld_az1_rack7_uplink02_mask)</f>
        <v>Value Missing</v>
      </c>
      <c r="AC61" s="30" t="s">
        <v>1037</v>
      </c>
      <c r="AD61" s="8" t="str">
        <f>IF(ISBLANK(input_wld_az1_rack8_uplink02_mask),"Value Missing",input_wld_az1_rack8_uplink02_mask)</f>
        <v>Value Missing</v>
      </c>
      <c r="AG61" s="9"/>
    </row>
    <row r="62" spans="2:34" s="2" customFormat="1" ht="20" customHeight="1" x14ac:dyDescent="0.2">
      <c r="E62" s="30" t="s">
        <v>1039</v>
      </c>
      <c r="F62" s="8" t="str">
        <f>IF(ISBLANK(input_mgmt_az1_edge_overlay_mask),"Value Missing",input_mgmt_az1_edge_overlay_mask)</f>
        <v>Value Missing</v>
      </c>
      <c r="H62" s="30" t="s">
        <v>1039</v>
      </c>
      <c r="I62" s="8" t="str">
        <f>IF(ISBLANK(input_wld_az1_edge_overlay_mask),"Value Missing",input_wld_az1_edge_overlay_mask)</f>
        <v>Value Missing</v>
      </c>
      <c r="K62" s="30" t="s">
        <v>1039</v>
      </c>
      <c r="L62" s="8" t="str">
        <f>IF(ISBLANK(input_wld_az1_rack2_edge_overlay_mask),"Value Missing",input_wld_az1_rack2_edge_overlay_mask)</f>
        <v>Value Missing</v>
      </c>
      <c r="N62" s="30" t="s">
        <v>1039</v>
      </c>
      <c r="O62" s="8" t="str">
        <f>IF(ISBLANK(input_wld_az1_rack3_edge_overlay_mask),"Value Missing",input_wld_az1_rack3_edge_overlay_mask)</f>
        <v>Value Missing</v>
      </c>
      <c r="Q62" s="30" t="s">
        <v>1039</v>
      </c>
      <c r="R62" s="8" t="str">
        <f>IF(ISBLANK(input_wld_az1_rack4_edge_overlay_mask),"Value Missing",input_wld_az1_rack4_edge_overlay_mask)</f>
        <v>Value Missing</v>
      </c>
      <c r="T62" s="30" t="s">
        <v>1039</v>
      </c>
      <c r="U62" s="8" t="str">
        <f>IF(ISBLANK(input_wld_az1_rack5_edge_overlay_mask),"Value Missing",input_wld_az1_rack5_edge_overlay_mask)</f>
        <v>Value Missing</v>
      </c>
      <c r="W62" s="30" t="s">
        <v>1039</v>
      </c>
      <c r="X62" s="8" t="str">
        <f>IF(ISBLANK(input_wld_az1_rack6_edge_overlay_mask),"Value Missing",input_wld_az1_rack6_edge_overlay_mask)</f>
        <v>Value Missing</v>
      </c>
      <c r="Z62" s="30" t="s">
        <v>1039</v>
      </c>
      <c r="AA62" s="8" t="str">
        <f>IF(ISBLANK(input_wld_az1_rack7_edge_overlay_mask),"Value Missing",input_wld_az1_rack7_edge_overlay_mask)</f>
        <v>Value Missing</v>
      </c>
      <c r="AC62" s="30" t="s">
        <v>1039</v>
      </c>
      <c r="AD62" s="8" t="str">
        <f>IF(ISBLANK(input_wld_az1_rack8_edge_overlay_mask),"Value Missing",input_wld_az1_rack8_edge_overlay_mask)</f>
        <v>Value Missing</v>
      </c>
      <c r="AG62" s="9"/>
    </row>
    <row r="63" spans="2:34" s="2" customFormat="1" ht="20" customHeight="1" x14ac:dyDescent="0.2">
      <c r="E63" s="30" t="s">
        <v>1041</v>
      </c>
      <c r="F63" s="8" t="str">
        <f>IF(mgmt_az1_rtep_overlay_cidr="Value Missing",mgmt_az1_rtep_overlay_cidr,VLOOKUP(INT(RIGHT(mgmt_az1_rtep_overlay_cidr,LEN(mgmt_az1_rtep_overlay_cidr)-FIND("/",mgmt_az1_rtep_overlay_cidr))),table_cidr_to_mask,2,FALSE))</f>
        <v>Value Missing</v>
      </c>
      <c r="H63" s="30" t="s">
        <v>1041</v>
      </c>
      <c r="I63" s="8" t="str">
        <f>IF(wld_az1_rtep_overlay_cidr="Value Missing",wld_az1_rtep_overlay_cidr,VLOOKUP(INT(RIGHT(wld_az1_rtep_overlay_cidr,LEN(wld_az1_rtep_overlay_cidr)-FIND("/",wld_az1_rtep_overlay_cidr))),table_cidr_to_mask,2,FALSE))</f>
        <v>Value Missing</v>
      </c>
      <c r="K63" s="30" t="s">
        <v>1041</v>
      </c>
      <c r="L63" s="8"/>
      <c r="N63" s="30" t="s">
        <v>1041</v>
      </c>
      <c r="O63" s="8"/>
      <c r="Q63" s="30" t="s">
        <v>1041</v>
      </c>
      <c r="R63" s="8"/>
      <c r="T63" s="30" t="s">
        <v>1041</v>
      </c>
      <c r="U63" s="8"/>
      <c r="W63" s="30" t="s">
        <v>1041</v>
      </c>
      <c r="X63" s="8"/>
      <c r="Z63" s="30" t="s">
        <v>1041</v>
      </c>
      <c r="AA63" s="8"/>
      <c r="AC63" s="30" t="s">
        <v>1041</v>
      </c>
      <c r="AD63" s="8"/>
      <c r="AG63" s="9"/>
    </row>
    <row r="64" spans="2:34" s="2" customFormat="1" ht="20" customHeight="1" x14ac:dyDescent="0.2">
      <c r="E64" s="30" t="s">
        <v>1043</v>
      </c>
      <c r="F64" s="8"/>
      <c r="H64" s="30" t="s">
        <v>1043</v>
      </c>
      <c r="I64" s="8" t="str">
        <f>IF(wld_az1_vrms_cidr="Value Missing",wld_az1_vrms_cidr,VLOOKUP(INT(RIGHT(wld_az1_vrms_cidr,LEN(wld_az1_vrms_cidr)-FIND("/",wld_az1_vrms_cidr))),table_cidr_to_mask,2,FALSE))</f>
        <v>Value Missing</v>
      </c>
      <c r="K64" s="30" t="s">
        <v>1043</v>
      </c>
      <c r="L64" s="8"/>
      <c r="N64" s="30" t="s">
        <v>1043</v>
      </c>
      <c r="O64" s="8"/>
      <c r="Q64" s="30" t="s">
        <v>1043</v>
      </c>
      <c r="R64" s="8"/>
      <c r="T64" s="30" t="s">
        <v>1043</v>
      </c>
      <c r="U64" s="8"/>
      <c r="W64" s="30" t="s">
        <v>1043</v>
      </c>
      <c r="X64" s="8"/>
      <c r="Z64" s="30" t="s">
        <v>1043</v>
      </c>
      <c r="AA64" s="8"/>
      <c r="AC64" s="30" t="s">
        <v>1043</v>
      </c>
      <c r="AD64" s="8"/>
      <c r="AG64" s="25"/>
      <c r="AH64" s="7"/>
    </row>
    <row r="65" spans="5:34" s="2" customFormat="1" ht="20" customHeight="1" x14ac:dyDescent="0.2">
      <c r="H65" s="47"/>
      <c r="I65" s="47"/>
      <c r="AG65" s="9"/>
    </row>
    <row r="66" spans="5:34" s="2" customFormat="1" ht="20" customHeight="1" x14ac:dyDescent="0.2">
      <c r="AG66" s="9"/>
    </row>
    <row r="67" spans="5:34" s="2" customFormat="1" ht="20" customHeight="1" x14ac:dyDescent="0.2">
      <c r="E67" s="12" t="s">
        <v>1097</v>
      </c>
      <c r="F67" s="13"/>
      <c r="H67" s="12" t="s">
        <v>1098</v>
      </c>
      <c r="I67" s="13"/>
      <c r="K67" s="12" t="s">
        <v>1099</v>
      </c>
      <c r="L67" s="13"/>
      <c r="N67" s="12" t="s">
        <v>1100</v>
      </c>
      <c r="O67" s="13"/>
      <c r="Q67" s="14" t="s">
        <v>1101</v>
      </c>
      <c r="R67" s="15"/>
      <c r="T67" s="14" t="s">
        <v>1102</v>
      </c>
      <c r="U67" s="15"/>
      <c r="W67" s="14" t="s">
        <v>1103</v>
      </c>
      <c r="X67" s="15"/>
      <c r="Z67" s="14" t="s">
        <v>1104</v>
      </c>
      <c r="AA67" s="15"/>
      <c r="AC67" s="14" t="s">
        <v>1105</v>
      </c>
      <c r="AD67" s="15"/>
      <c r="AG67" s="9"/>
      <c r="AH67" s="9"/>
    </row>
    <row r="68" spans="5:34" s="2" customFormat="1" ht="20" customHeight="1" x14ac:dyDescent="0.2">
      <c r="E68" s="17" t="s">
        <v>250</v>
      </c>
      <c r="F68" s="18" t="s">
        <v>1021</v>
      </c>
      <c r="H68" s="17" t="s">
        <v>250</v>
      </c>
      <c r="I68" s="18" t="s">
        <v>1021</v>
      </c>
      <c r="K68" s="17" t="s">
        <v>250</v>
      </c>
      <c r="L68" s="18" t="s">
        <v>1021</v>
      </c>
      <c r="N68" s="17" t="s">
        <v>250</v>
      </c>
      <c r="O68" s="18" t="s">
        <v>1021</v>
      </c>
      <c r="Q68" s="19" t="s">
        <v>250</v>
      </c>
      <c r="R68" s="20" t="s">
        <v>1021</v>
      </c>
      <c r="S68" s="21"/>
      <c r="T68" s="19" t="s">
        <v>250</v>
      </c>
      <c r="U68" s="20" t="s">
        <v>1021</v>
      </c>
      <c r="V68" s="21"/>
      <c r="W68" s="19" t="s">
        <v>250</v>
      </c>
      <c r="X68" s="20" t="s">
        <v>1021</v>
      </c>
      <c r="Y68" s="21"/>
      <c r="Z68" s="19" t="s">
        <v>250</v>
      </c>
      <c r="AA68" s="20" t="s">
        <v>1021</v>
      </c>
      <c r="AB68" s="21"/>
      <c r="AC68" s="19" t="s">
        <v>250</v>
      </c>
      <c r="AD68" s="20" t="s">
        <v>1021</v>
      </c>
      <c r="AG68" s="9"/>
      <c r="AH68" s="9"/>
    </row>
    <row r="69" spans="5:34" s="2" customFormat="1" ht="20" customHeight="1" x14ac:dyDescent="0.2">
      <c r="E69" s="4" t="s">
        <v>1024</v>
      </c>
      <c r="F69" s="8" t="str">
        <f>IF(ISBLANK(input_mgmt_az1_mgmt_vm_mtu),"Value Missing",input_mgmt_az1_mgmt_vm_mtu)</f>
        <v>Value Missing</v>
      </c>
      <c r="H69" s="4" t="s">
        <v>1024</v>
      </c>
      <c r="I69" s="8" t="str">
        <f>IF(ISBLANK(input_wld_az1_mgmt_vm_mtu),"Value Missing",input_wld_az1_mgmt_vm_mtu)</f>
        <v>Value Missing</v>
      </c>
      <c r="K69" s="4" t="s">
        <v>1024</v>
      </c>
      <c r="L69" s="8" t="str">
        <f>IF(ISBLANK(input_wld_az1_rack2_mgmt_vm_mtu),"Value Missing",input_wld_az1_rack2_mgmt_vm_mtu)</f>
        <v>Value Missing</v>
      </c>
      <c r="N69" s="4" t="s">
        <v>1024</v>
      </c>
      <c r="O69" s="8" t="str">
        <f>IF(ISBLANK(input_wld_az1_rack3_mgmt_vm_mtu),"Value Missing",input_wld_az1_rack3_mgmt_vm_mtu)</f>
        <v>Value Missing</v>
      </c>
      <c r="Q69" s="4" t="s">
        <v>1024</v>
      </c>
      <c r="R69" s="8" t="str">
        <f>IF(ISBLANK(input_wld_az1_rack4_mgmt_vm_mtu),"Value Missing",input_wld_az1_rack4_mgmt_vm_mtu)</f>
        <v>Value Missing</v>
      </c>
      <c r="T69" s="4" t="s">
        <v>1024</v>
      </c>
      <c r="U69" s="8" t="str">
        <f>IF(ISBLANK(input_wld_az1_rack5_mgmt_vm_mtu),"Value Missing",input_wld_az1_rack5_mgmt_vm_mtu)</f>
        <v>Value Missing</v>
      </c>
      <c r="W69" s="4" t="s">
        <v>1024</v>
      </c>
      <c r="X69" s="8" t="str">
        <f>IF(ISBLANK(input_wld_az1_rack6_mgmt_vm_mtu),"Value Missing",input_wld_az1_rack6_mgmt_vm_mtu)</f>
        <v>Value Missing</v>
      </c>
      <c r="Z69" s="4" t="s">
        <v>1024</v>
      </c>
      <c r="AA69" s="8" t="str">
        <f>IF(ISBLANK(input_wld_az1_rack7_mgmt_vm_mtu),"Value Missing",input_wld_az1_rack7_mgmt_vm_mtu)</f>
        <v>Value Missing</v>
      </c>
      <c r="AC69" s="4" t="s">
        <v>1024</v>
      </c>
      <c r="AD69" s="8" t="str">
        <f>IF(ISBLANK(input_wld_az1_rack8_mgmt_vm_mtu),"Value Missing",input_wld_az1_rack8_mgmt_vm_mtu)</f>
        <v>Value Missing</v>
      </c>
      <c r="AG69" s="9"/>
      <c r="AH69" s="9"/>
    </row>
    <row r="70" spans="5:34" s="2" customFormat="1" ht="20" customHeight="1" x14ac:dyDescent="0.2">
      <c r="E70" s="4" t="s">
        <v>1026</v>
      </c>
      <c r="F70" s="8" t="str">
        <f>IF(ISBLANK(input_mgmt_az1_mgmt_mtu),"Value Missing",input_mgmt_az1_mgmt_mtu)</f>
        <v>Value Missing</v>
      </c>
      <c r="H70" s="4" t="s">
        <v>1026</v>
      </c>
      <c r="I70" s="8" t="str">
        <f>IF(ISBLANK(input_wld_az1_mgmt_mtu),"Value Missing",input_wld_az1_mgmt_mtu)</f>
        <v>Value Missing</v>
      </c>
      <c r="K70" s="4" t="s">
        <v>1026</v>
      </c>
      <c r="L70" s="8" t="str">
        <f>IF(ISBLANK(input_wld_az1_rack2_mgmt_mtu),"Value Missing",input_wld_az1_rack2_mgmt_mtu)</f>
        <v>Value Missing</v>
      </c>
      <c r="N70" s="4" t="s">
        <v>1026</v>
      </c>
      <c r="O70" s="8" t="str">
        <f>IF(ISBLANK(input_wld_az1_rack3_mgmt_mtu),"Value Missing",input_wld_az1_rack3_mgmt_mtu)</f>
        <v>Value Missing</v>
      </c>
      <c r="Q70" s="4" t="s">
        <v>1026</v>
      </c>
      <c r="R70" s="8" t="str">
        <f>IF(ISBLANK(input_wld_az1_rack4_mgmt_mtu),"Value Missing",input_wld_az1_rack4_mgmt_mtu)</f>
        <v>Value Missing</v>
      </c>
      <c r="T70" s="4" t="s">
        <v>1026</v>
      </c>
      <c r="U70" s="8" t="str">
        <f>IF(ISBLANK(input_wld_az1_rack5_mgmt_mtu),"Value Missing",input_wld_az1_rack5_mgmt_mtu)</f>
        <v>Value Missing</v>
      </c>
      <c r="W70" s="4" t="s">
        <v>1026</v>
      </c>
      <c r="X70" s="8" t="str">
        <f>IF(ISBLANK(input_wld_az1_rack6_mgmt_mtu),"Value Missing",input_wld_az1_rack6_mgmt_mtu)</f>
        <v>Value Missing</v>
      </c>
      <c r="Z70" s="4" t="s">
        <v>1026</v>
      </c>
      <c r="AA70" s="8" t="str">
        <f>IF(ISBLANK(input_wld_az1_rack7_mgmt_mtu),"Value Missing",input_wld_az1_rack7_mgmt_mtu)</f>
        <v>Value Missing</v>
      </c>
      <c r="AC70" s="4" t="s">
        <v>1026</v>
      </c>
      <c r="AD70" s="8" t="str">
        <f>IF(ISBLANK(input_wld_az1_rack8_mgmt_mtu),"Value Missing",input_wld_az1_rack8_mgmt_mtu)</f>
        <v>Value Missing</v>
      </c>
      <c r="AG70" s="9"/>
      <c r="AH70" s="9"/>
    </row>
    <row r="71" spans="5:34" s="2" customFormat="1" ht="20" customHeight="1" x14ac:dyDescent="0.2">
      <c r="E71" s="4" t="s">
        <v>240</v>
      </c>
      <c r="F71" s="8" t="str">
        <f>IF(ISBLANK(input_mgmt_az1_vmotion_mtu),"Value Missing",input_mgmt_az1_vmotion_mtu)</f>
        <v>Value Missing</v>
      </c>
      <c r="H71" s="4" t="s">
        <v>240</v>
      </c>
      <c r="I71" s="8" t="str">
        <f>IF(ISBLANK(input_wld_az1_vmotion_mtu),"Value Missing",input_wld_az1_vmotion_mtu)</f>
        <v>Value Missing</v>
      </c>
      <c r="K71" s="4" t="s">
        <v>240</v>
      </c>
      <c r="L71" s="8" t="str">
        <f>IF(ISBLANK(input_wld_az1_rack2_vmotion_mtu),"Value Missing",input_wld_az1_rack2_vmotion_mtu)</f>
        <v>Value Missing</v>
      </c>
      <c r="N71" s="4" t="s">
        <v>240</v>
      </c>
      <c r="O71" s="8" t="str">
        <f>IF(ISBLANK(input_wld_az1_rack3_vmotion_mtu),"Value Missing",input_wld_az1_rack3_vmotion_mtu)</f>
        <v>Value Missing</v>
      </c>
      <c r="Q71" s="4" t="s">
        <v>240</v>
      </c>
      <c r="R71" s="8" t="str">
        <f>IF(ISBLANK(input_wld_az1_rack4_vmotion_mtu),"Value Missing",input_wld_az1_rack4_vmotion_mtu)</f>
        <v>Value Missing</v>
      </c>
      <c r="T71" s="4" t="s">
        <v>240</v>
      </c>
      <c r="U71" s="8" t="str">
        <f>IF(ISBLANK(input_wld_az1_rack5_vmotion_mtu),"Value Missing",input_wld_az1_rack5_vmotion_mtu)</f>
        <v>Value Missing</v>
      </c>
      <c r="W71" s="4" t="s">
        <v>240</v>
      </c>
      <c r="X71" s="8" t="str">
        <f>IF(ISBLANK(input_wld_az1_rack6_vmotion_mtu),"Value Missing",input_wld_az1_rack6_vmotion_mtu)</f>
        <v>Value Missing</v>
      </c>
      <c r="Z71" s="4" t="s">
        <v>240</v>
      </c>
      <c r="AA71" s="8" t="str">
        <f>IF(ISBLANK(input_wld_az1_rack7_vmotion_mtu),"Value Missing",input_wld_az1_rack7_vmotion_mtu)</f>
        <v>Value Missing</v>
      </c>
      <c r="AC71" s="4" t="s">
        <v>240</v>
      </c>
      <c r="AD71" s="8" t="str">
        <f>IF(ISBLANK(input_wld_az1_rack8_vmotion_mtu),"Value Missing",input_wld_az1_rack8_vmotion_mtu)</f>
        <v>Value Missing</v>
      </c>
      <c r="AG71" s="9"/>
      <c r="AH71" s="9"/>
    </row>
    <row r="72" spans="5:34" s="2" customFormat="1" ht="20" customHeight="1" x14ac:dyDescent="0.2">
      <c r="E72" s="23" t="str">
        <f>CONCATENATE("Principal Storage Network ",wld_principal_storage_chosen)</f>
        <v>Principal Storage Network vSAN-ESA</v>
      </c>
      <c r="F72" s="8" t="str">
        <f>IF(ISBLANK(input_mgmt_az1_vsan_mtu),"Value Missing",input_mgmt_az1_vsan_mtu)</f>
        <v>Value Missing</v>
      </c>
      <c r="H72" s="23" t="s">
        <v>246</v>
      </c>
      <c r="I72" s="8" t="str">
        <f>IF(ISBLANK(input_wld_az1_principal_storage_mtu),"Value Missing",input_wld_az1_principal_storage_mtu)</f>
        <v>Value Missing</v>
      </c>
      <c r="K72" s="23" t="str">
        <f>CONCATENATE("Principal Storage Network ",wld_principal_storage_chosen)</f>
        <v>Principal Storage Network vSAN-ESA</v>
      </c>
      <c r="L72" s="8" t="str">
        <f>IF(ISBLANK(input_wld_az1_rack2_principal_storage_mtu),"Value Missing",input_wld_az1_rack2_principal_storage_mtu)</f>
        <v>Value Missing</v>
      </c>
      <c r="N72" s="23" t="str">
        <f>CONCATENATE("Principal Storage Network ",wld_principal_storage_chosen)</f>
        <v>Principal Storage Network vSAN-ESA</v>
      </c>
      <c r="O72" s="8" t="str">
        <f>IF(ISBLANK(input_wld_az1_rack3_principal_storage_mtu),"Value Missing",input_wld_az1_rack3_principal_storage_mtu)</f>
        <v>Value Missing</v>
      </c>
      <c r="Q72" s="23" t="str">
        <f>CONCATENATE("Principal Storage Network ",wld_principal_storage_chosen)</f>
        <v>Principal Storage Network vSAN-ESA</v>
      </c>
      <c r="R72" s="8" t="str">
        <f>IF(ISBLANK(input_wld_az1_rack4_principal_storage_mtu),"Value Missing",input_wld_az1_rack4_principal_storage_mtu)</f>
        <v>Value Missing</v>
      </c>
      <c r="T72" s="23" t="str">
        <f>CONCATENATE("Principal Storage Network ",wld_principal_storage_chosen)</f>
        <v>Principal Storage Network vSAN-ESA</v>
      </c>
      <c r="U72" s="8" t="str">
        <f>IF(ISBLANK(input_wld_az1_rack5_principal_storage_mtu),"Value Missing",input_wld_az1_rack5_principal_storage_mtu)</f>
        <v>Value Missing</v>
      </c>
      <c r="W72" s="23" t="str">
        <f>CONCATENATE("Principal Storage Network ",wld_principal_storage_chosen)</f>
        <v>Principal Storage Network vSAN-ESA</v>
      </c>
      <c r="X72" s="8" t="str">
        <f>IF(ISBLANK(input_wld_az1_rack6_principal_storage_mtu),"Value Missing",input_wld_az1_rack6_principal_storage_mtu)</f>
        <v>Value Missing</v>
      </c>
      <c r="Z72" s="23" t="str">
        <f>CONCATENATE("Principal Storage Network ",wld_principal_storage_chosen)</f>
        <v>Principal Storage Network vSAN-ESA</v>
      </c>
      <c r="AA72" s="8" t="str">
        <f>IF(ISBLANK(input_wld_az1_rack7_principal_storage_mtu),"Value Missing",input_wld_az1_rack7_principal_storage_mtu)</f>
        <v>Value Missing</v>
      </c>
      <c r="AC72" s="23" t="str">
        <f>CONCATENATE("Principal Storage Network ",wld_principal_storage_chosen)</f>
        <v>Principal Storage Network vSAN-ESA</v>
      </c>
      <c r="AD72" s="8" t="str">
        <f>IF(ISBLANK(input_wld_az1_rack8_principal_storage_mtu),"Value Missing",input_wld_az1_rack8_principal_storage_mtu)</f>
        <v>Value Missing</v>
      </c>
      <c r="AG72" s="9"/>
      <c r="AH72" s="9"/>
    </row>
    <row r="73" spans="5:34" s="2" customFormat="1" ht="20" customHeight="1" x14ac:dyDescent="0.2">
      <c r="E73" s="4" t="s">
        <v>1030</v>
      </c>
      <c r="F73" s="8" t="str">
        <f>IF(ISBLANK(input_mgmt_az1_host_overlay_mtu),"Value Missing",input_mgmt_az1_host_overlay_mtu)</f>
        <v>Value Missing</v>
      </c>
      <c r="H73" s="4" t="s">
        <v>1030</v>
      </c>
      <c r="I73" s="8" t="str">
        <f>IF(ISBLANK(input_wld_az1_host_overlay_mtu),"Value Missing",input_wld_az1_host_overlay_mtu)</f>
        <v>Value Missing</v>
      </c>
      <c r="K73" s="4" t="s">
        <v>1030</v>
      </c>
      <c r="L73" s="8" t="str">
        <f>IF(ISBLANK(input_wld_az1_rack2_host_overlay_mtu),"Value Missing",input_wld_az1_rack2_host_overlay_mtu)</f>
        <v>Value Missing</v>
      </c>
      <c r="N73" s="4" t="s">
        <v>1030</v>
      </c>
      <c r="O73" s="8" t="str">
        <f>IF(ISBLANK(input_wld_az1_rack3_host_overlay_mtu),"Value Missing",input_wld_az1_rack3_host_overlay_mtu)</f>
        <v>Value Missing</v>
      </c>
      <c r="Q73" s="4" t="s">
        <v>1030</v>
      </c>
      <c r="R73" s="8" t="str">
        <f>IF(ISBLANK(input_wld_az1_rack4_host_overlay_mtu),"Value Missing",input_wld_az1_rack4_host_overlay_mtu)</f>
        <v>Value Missing</v>
      </c>
      <c r="T73" s="4" t="s">
        <v>1030</v>
      </c>
      <c r="U73" s="8" t="str">
        <f>IF(ISBLANK(input_wld_az1_rack5_host_overlay_mtu),"Value Missing",input_wld_az1_rack5_host_overlay_mtu)</f>
        <v>Value Missing</v>
      </c>
      <c r="W73" s="4" t="s">
        <v>1030</v>
      </c>
      <c r="X73" s="8" t="str">
        <f>IF(ISBLANK(input_wld_az1_rack6_host_overlay_mtu),"Value Missing",input_wld_az1_rack6_host_overlay_mtu)</f>
        <v>Value Missing</v>
      </c>
      <c r="Z73" s="4" t="s">
        <v>1030</v>
      </c>
      <c r="AA73" s="8" t="str">
        <f>IF(ISBLANK(input_wld_az1_rack7_host_overlay_mtu),"Value Missing",input_wld_az1_rack7_host_overlay_mtu)</f>
        <v>Value Missing</v>
      </c>
      <c r="AC73" s="4" t="s">
        <v>1030</v>
      </c>
      <c r="AD73" s="8" t="str">
        <f>IF(ISBLANK(input_wld_az1_rack8_host_overlay_mtu),"Value Missing",input_wld_az1_rack8_host_overlay_mtu)</f>
        <v>Value Missing</v>
      </c>
      <c r="AG73" s="9"/>
      <c r="AH73" s="9"/>
    </row>
    <row r="74" spans="5:34" s="2" customFormat="1" ht="20" customHeight="1" x14ac:dyDescent="0.2">
      <c r="E74" s="24" t="s">
        <v>1032</v>
      </c>
      <c r="F74" s="8" t="str">
        <f>IF(ISBLANK(input_mgmt_az1_secondary_storage_mtu),"Value Missing",input_mgmt_az1_secondary_storage_mtu)</f>
        <v>Value Missing</v>
      </c>
      <c r="H74" s="4" t="s">
        <v>1032</v>
      </c>
      <c r="I74" s="8" t="str">
        <f>IF(ISBLANK(input_wld_az1_secondary_storage_mtu),"Value Missing",input_wld_az1_secondary_storage_mtu)</f>
        <v>Value Missing</v>
      </c>
      <c r="K74" s="4" t="s">
        <v>1032</v>
      </c>
      <c r="L74" s="8" t="str">
        <f>IF(ISBLANK(input_wld_az1_rack2_secondary_storage_mtu),"Value Missing",input_wld_az1_rack2_secondary_storage_mtu)</f>
        <v>Value Missing</v>
      </c>
      <c r="N74" s="4" t="s">
        <v>1032</v>
      </c>
      <c r="O74" s="8" t="str">
        <f>IF(ISBLANK(input_wld_az1_rack3_secondary_storage_mtu),"Value Missing",input_wld_az1_rack3_secondary_storage_mtu)</f>
        <v>Value Missing</v>
      </c>
      <c r="Q74" s="4" t="s">
        <v>1032</v>
      </c>
      <c r="R74" s="8" t="str">
        <f>IF(ISBLANK(input_wld_az1_rack4_secondary_storage_mtu),"Value Missing",input_wld_az1_rack4_secondary_storage_mtu)</f>
        <v>Value Missing</v>
      </c>
      <c r="T74" s="4" t="s">
        <v>1032</v>
      </c>
      <c r="U74" s="8" t="str">
        <f>IF(ISBLANK(input_wld_az1_rack5_secondary_storage_mtu),"Value Missing",input_wld_az1_rack5_secondary_storage_mtu)</f>
        <v>Value Missing</v>
      </c>
      <c r="W74" s="4" t="s">
        <v>1032</v>
      </c>
      <c r="X74" s="8" t="str">
        <f>IF(ISBLANK(input_wld_az1_rack6_secondary_storage_mtu),"Value Missing",input_wld_az1_rack6_secondary_storage_mtu)</f>
        <v>Value Missing</v>
      </c>
      <c r="Z74" s="4" t="s">
        <v>1032</v>
      </c>
      <c r="AA74" s="8" t="str">
        <f>IF(ISBLANK(input_wld_az1_rack7_secondary_storage_mtu),"Value Missing",input_wld_az1_rack7_secondary_storage_mtu)</f>
        <v>Value Missing</v>
      </c>
      <c r="AC74" s="4" t="s">
        <v>1032</v>
      </c>
      <c r="AD74" s="8" t="str">
        <f>IF(ISBLANK(input_wld_az1_rack8_secondary_storage_mtu),"Value Missing",input_wld_az1_rack8_secondary_storage_mtu)</f>
        <v>Value Missing</v>
      </c>
      <c r="AG74" s="9"/>
      <c r="AH74" s="9"/>
    </row>
    <row r="75" spans="5:34" s="2" customFormat="1" ht="20" customHeight="1" x14ac:dyDescent="0.2">
      <c r="E75" s="24" t="s">
        <v>3125</v>
      </c>
      <c r="F75" s="8" t="str">
        <f>IF(ISBLANK(input_mgmt_az1_vcf_mgmt_mtu),"Value Missing",input_mgmt_az1_vcf_mgmt_mtu)</f>
        <v>Value Missing</v>
      </c>
      <c r="H75" s="4" t="s">
        <v>686</v>
      </c>
      <c r="I75" s="8" t="str">
        <f>IF(ISBLANK(input_wld_az1_storage_cluster_mtu),"Value Missing",input_wld_az1_storage_cluster_mtu)</f>
        <v>Value Missing</v>
      </c>
      <c r="K75" s="4"/>
      <c r="L75" s="8"/>
      <c r="N75" s="4"/>
      <c r="O75" s="8"/>
      <c r="Q75" s="4"/>
      <c r="R75" s="8"/>
      <c r="T75" s="4"/>
      <c r="U75" s="8"/>
      <c r="W75" s="4"/>
      <c r="X75" s="8"/>
      <c r="Z75" s="4"/>
      <c r="AA75" s="8"/>
      <c r="AC75" s="4"/>
      <c r="AD75" s="8"/>
      <c r="AG75" s="9"/>
      <c r="AH75" s="9"/>
    </row>
    <row r="76" spans="5:34" s="2" customFormat="1" ht="20" customHeight="1" x14ac:dyDescent="0.2">
      <c r="E76" s="4" t="s">
        <v>1035</v>
      </c>
      <c r="F76" s="8" t="str">
        <f>IF(ISBLANK(input_mgmt_az1_uplink01_mtu),"Value Missing",input_mgmt_az1_uplink01_mtu)</f>
        <v>Value Missing</v>
      </c>
      <c r="H76" s="4" t="s">
        <v>1035</v>
      </c>
      <c r="I76" s="8" t="str">
        <f>IF(ISBLANK(input_wld_az1_uplink01_mtu),"Value Missing",input_wld_az1_uplink01_mtu)</f>
        <v>Value Missing</v>
      </c>
      <c r="K76" s="4" t="s">
        <v>1035</v>
      </c>
      <c r="L76" s="8" t="str">
        <f>IF(ISBLANK(input_wld_az1_rack2_uplink01_mtu),"Value Missing",input_wld_az1_rack2_uplink01_mtu)</f>
        <v>Value Missing</v>
      </c>
      <c r="N76" s="4" t="s">
        <v>1035</v>
      </c>
      <c r="O76" s="8" t="str">
        <f>IF(ISBLANK(input_wld_az1_rack3_uplink01_mtu),"Value Missing",input_wld_az1_rack3_uplink01_mtu)</f>
        <v>Value Missing</v>
      </c>
      <c r="Q76" s="4" t="s">
        <v>1035</v>
      </c>
      <c r="R76" s="8" t="str">
        <f>IF(ISBLANK(input_wld_az1_rack4_uplink01_mtu),"Value Missing",input_wld_az1_rack4_uplink01_mtu)</f>
        <v>Value Missing</v>
      </c>
      <c r="T76" s="4" t="s">
        <v>1035</v>
      </c>
      <c r="U76" s="8" t="str">
        <f>IF(ISBLANK(input_wld_az1_rack5_uplink01_mtu),"Value Missing",input_wld_az1_rack5_uplink01_mtu)</f>
        <v>Value Missing</v>
      </c>
      <c r="W76" s="4" t="s">
        <v>1035</v>
      </c>
      <c r="X76" s="8" t="str">
        <f>IF(ISBLANK(input_wld_az1_rack6_uplink01_mtu),"Value Missing",input_wld_az1_rack6_uplink01_mtu)</f>
        <v>Value Missing</v>
      </c>
      <c r="Z76" s="4" t="s">
        <v>1035</v>
      </c>
      <c r="AA76" s="8" t="str">
        <f>IF(ISBLANK(input_wld_az1_rack7_uplink01_mtu),"Value Missing",input_wld_az1_rack7_uplink01_mtu)</f>
        <v>Value Missing</v>
      </c>
      <c r="AC76" s="4" t="s">
        <v>1035</v>
      </c>
      <c r="AD76" s="8" t="str">
        <f>IF(ISBLANK(input_wld_az1_rack8_uplink01_mtu),"Value Missing",input_wld_az1_rack8_uplink01_mtu)</f>
        <v>Value Missing</v>
      </c>
      <c r="AG76" s="9"/>
      <c r="AH76" s="9"/>
    </row>
    <row r="77" spans="5:34" s="2" customFormat="1" ht="20" customHeight="1" x14ac:dyDescent="0.2">
      <c r="E77" s="4" t="s">
        <v>1037</v>
      </c>
      <c r="F77" s="8" t="str">
        <f>IF(ISBLANK(input_mgmt_az1_uplink02_mtu),"Value Missing",input_mgmt_az1_uplink02_mtu)</f>
        <v>Value Missing</v>
      </c>
      <c r="H77" s="4" t="s">
        <v>1037</v>
      </c>
      <c r="I77" s="8" t="str">
        <f>IF(ISBLANK(input_wld_az1_uplink02_mtu),"Value Missing",input_wld_az1_uplink02_mtu)</f>
        <v>Value Missing</v>
      </c>
      <c r="K77" s="4" t="s">
        <v>1037</v>
      </c>
      <c r="L77" s="8" t="str">
        <f>IF(ISBLANK(input_wld_az1_rack2_uplink02_mtu),"Value Missing",input_wld_az1_rack2_uplink02_mtu)</f>
        <v>Value Missing</v>
      </c>
      <c r="N77" s="4" t="s">
        <v>1037</v>
      </c>
      <c r="O77" s="8" t="str">
        <f>IF(ISBLANK(input_wld_az1_rack3_uplink02_mtu),"Value Missing",input_wld_az1_rack3_uplink02_mtu)</f>
        <v>Value Missing</v>
      </c>
      <c r="Q77" s="4" t="s">
        <v>1037</v>
      </c>
      <c r="R77" s="8" t="str">
        <f>IF(ISBLANK(input_wld_az1_rack4_uplink02_mtu),"Value Missing",input_wld_az1_rack4_uplink02_mtu)</f>
        <v>Value Missing</v>
      </c>
      <c r="T77" s="4" t="s">
        <v>1037</v>
      </c>
      <c r="U77" s="8" t="str">
        <f>IF(ISBLANK(input_wld_az1_rack5_uplink02_mtu),"Value Missing",input_wld_az1_rack5_uplink02_mtu)</f>
        <v>Value Missing</v>
      </c>
      <c r="W77" s="4" t="s">
        <v>1037</v>
      </c>
      <c r="X77" s="8" t="str">
        <f>IF(ISBLANK(input_wld_az1_rack6_uplink02_mtu),"Value Missing",input_wld_az1_rack6_uplink02_mtu)</f>
        <v>Value Missing</v>
      </c>
      <c r="Z77" s="4" t="s">
        <v>1037</v>
      </c>
      <c r="AA77" s="8" t="str">
        <f>IF(ISBLANK(input_wld_az1_rack7_uplink02_mtu),"Value Missing",input_wld_az1_rack7_uplink02_mtu)</f>
        <v>Value Missing</v>
      </c>
      <c r="AC77" s="4" t="s">
        <v>1037</v>
      </c>
      <c r="AD77" s="8" t="str">
        <f>IF(ISBLANK(input_wld_az1_rack8_uplink02_mtu),"Value Missing",input_wld_az1_rack8_uplink02_mtu)</f>
        <v>Value Missing</v>
      </c>
      <c r="AG77" s="9"/>
      <c r="AH77" s="9"/>
    </row>
    <row r="78" spans="5:34" s="2" customFormat="1" ht="20" customHeight="1" x14ac:dyDescent="0.2">
      <c r="E78" s="4" t="s">
        <v>1039</v>
      </c>
      <c r="F78" s="8" t="str">
        <f>IF(ISBLANK(input_mgmt_az1_edge_overlay_mtu),"Value Missing",input_mgmt_az1_edge_overlay_mtu)</f>
        <v>Value Missing</v>
      </c>
      <c r="H78" s="4" t="s">
        <v>1039</v>
      </c>
      <c r="I78" s="8" t="s">
        <v>578</v>
      </c>
      <c r="K78" s="4" t="s">
        <v>1039</v>
      </c>
      <c r="L78" s="8" t="str">
        <f>IF(ISBLANK(input_wld_az1_rack2_edge_overlay_mtu),"Value Missing",input_wld_az1_rack2_edge_overlay_mtu)</f>
        <v>Value Missing</v>
      </c>
      <c r="N78" s="4" t="s">
        <v>1039</v>
      </c>
      <c r="O78" s="8" t="str">
        <f>IF(ISBLANK(input_wld_az1_rack3_edge_overlay_mtu),"Value Missing",input_wld_az1_rack3_edge_overlay_mtu)</f>
        <v>Value Missing</v>
      </c>
      <c r="Q78" s="4" t="s">
        <v>1039</v>
      </c>
      <c r="R78" s="43" t="str">
        <f>IF(ISBLANK(input_wld_az1_rack4_edge_overlay_mtu),"Value Missing",input_wld_az1_rack4_edge_overlay_mtu)</f>
        <v>Value Missing</v>
      </c>
      <c r="T78" s="4" t="s">
        <v>1039</v>
      </c>
      <c r="U78" s="8" t="str">
        <f>IF(ISBLANK(input_wld_az1_rack5_edge_overlay_mtu),"Value Missing",input_wld_az1_rack5_edge_overlay_mtu)</f>
        <v>Value Missing</v>
      </c>
      <c r="W78" s="4" t="s">
        <v>1039</v>
      </c>
      <c r="X78" s="8" t="str">
        <f>IF(ISBLANK(input_wld_az1_rack6_edge_overlay_mtu),"Value Missing",input_wld_az1_rack6_edge_overlay_mtu)</f>
        <v>Value Missing</v>
      </c>
      <c r="Z78" s="4" t="s">
        <v>1039</v>
      </c>
      <c r="AA78" s="8" t="str">
        <f>IF(ISBLANK(input_wld_az1_rack7_edge_overlay_mtu),"Value Missing",input_wld_az1_rack7_edge_overlay_mtu)</f>
        <v>Value Missing</v>
      </c>
      <c r="AC78" s="4" t="s">
        <v>1039</v>
      </c>
      <c r="AD78" s="8" t="str">
        <f>IF(ISBLANK(input_wld_az1_rack8_edge_overlay_mtu),"Value Missing",input_wld_az1_rack8_edge_overlay_mtu)</f>
        <v>Value Missing</v>
      </c>
      <c r="AG78" s="9"/>
      <c r="AH78" s="9"/>
    </row>
    <row r="79" spans="5:34" s="2" customFormat="1" ht="20" customHeight="1" x14ac:dyDescent="0.2">
      <c r="E79" s="4" t="s">
        <v>1041</v>
      </c>
      <c r="F79" s="8"/>
      <c r="H79" s="4" t="s">
        <v>1041</v>
      </c>
      <c r="I79" s="8"/>
      <c r="K79" s="4" t="s">
        <v>1041</v>
      </c>
      <c r="L79" s="8"/>
      <c r="N79" s="4" t="s">
        <v>1041</v>
      </c>
      <c r="O79" s="8"/>
      <c r="Q79" s="4" t="s">
        <v>1041</v>
      </c>
      <c r="R79" s="8"/>
      <c r="T79" s="4" t="s">
        <v>1041</v>
      </c>
      <c r="U79" s="8"/>
      <c r="W79" s="4" t="s">
        <v>1041</v>
      </c>
      <c r="X79" s="8"/>
      <c r="Z79" s="4" t="s">
        <v>1041</v>
      </c>
      <c r="AA79" s="8"/>
      <c r="AC79" s="4" t="s">
        <v>1041</v>
      </c>
      <c r="AD79" s="8"/>
      <c r="AG79" s="9"/>
      <c r="AH79" s="9"/>
    </row>
    <row r="80" spans="5:34" s="2" customFormat="1" ht="20" customHeight="1" x14ac:dyDescent="0.2">
      <c r="E80" s="4" t="s">
        <v>1043</v>
      </c>
      <c r="F80" s="8" t="str">
        <f>IF(ISBLANK(input_mgmt_az1_vrms_mtu),"Value Missing",input_mgmt_az1_vrms_mtu)</f>
        <v>Value Missing</v>
      </c>
      <c r="H80" s="4" t="s">
        <v>1043</v>
      </c>
      <c r="I80" s="8" t="str">
        <f>IF(ISBLANK(input_wld_az1_vrms_mtu),"Value Missing",input_wld_az1_vrms_mtu)</f>
        <v>Value Missing</v>
      </c>
      <c r="K80" s="4" t="s">
        <v>1043</v>
      </c>
      <c r="L80" s="8"/>
      <c r="N80" s="4" t="s">
        <v>1043</v>
      </c>
      <c r="O80" s="8"/>
      <c r="Q80" s="4" t="s">
        <v>1043</v>
      </c>
      <c r="R80" s="8"/>
      <c r="T80" s="4" t="s">
        <v>1043</v>
      </c>
      <c r="U80" s="8"/>
      <c r="W80" s="4" t="s">
        <v>1043</v>
      </c>
      <c r="X80" s="8"/>
      <c r="Z80" s="4" t="s">
        <v>1043</v>
      </c>
      <c r="AA80" s="8"/>
      <c r="AC80" s="4" t="s">
        <v>1043</v>
      </c>
      <c r="AD80" s="8"/>
      <c r="AG80" s="9"/>
      <c r="AH80" s="9"/>
    </row>
    <row r="81" spans="2:36" s="2" customFormat="1" ht="20" customHeight="1" x14ac:dyDescent="0.2">
      <c r="B81" s="9"/>
      <c r="C81" s="9"/>
      <c r="AG81" s="9"/>
      <c r="AH81" s="9"/>
      <c r="AI81" s="9"/>
      <c r="AJ81" s="9"/>
    </row>
    <row r="82" spans="2:36" s="2" customFormat="1" ht="20" customHeight="1" x14ac:dyDescent="0.2">
      <c r="B82" s="9"/>
      <c r="C82" s="9"/>
      <c r="AG82" s="9"/>
      <c r="AH82" s="9"/>
      <c r="AI82" s="9"/>
      <c r="AJ82" s="9"/>
    </row>
    <row r="83" spans="2:36" s="2" customFormat="1" ht="20" customHeight="1" x14ac:dyDescent="0.2">
      <c r="B83" s="6"/>
      <c r="E83" s="12" t="s">
        <v>1106</v>
      </c>
      <c r="F83" s="13"/>
      <c r="H83" s="12" t="s">
        <v>1107</v>
      </c>
      <c r="I83" s="13"/>
      <c r="K83" s="12" t="s">
        <v>1108</v>
      </c>
      <c r="L83" s="13"/>
      <c r="N83" s="12" t="s">
        <v>1109</v>
      </c>
      <c r="O83" s="13"/>
      <c r="Q83" s="14" t="s">
        <v>1110</v>
      </c>
      <c r="R83" s="15"/>
      <c r="T83" s="14" t="s">
        <v>1111</v>
      </c>
      <c r="U83" s="15"/>
      <c r="W83" s="14" t="s">
        <v>1112</v>
      </c>
      <c r="X83" s="15"/>
      <c r="Z83" s="14" t="s">
        <v>1113</v>
      </c>
      <c r="AA83" s="15"/>
      <c r="AC83" s="14" t="s">
        <v>1114</v>
      </c>
      <c r="AD83" s="15"/>
      <c r="AG83" s="9"/>
      <c r="AH83" s="9"/>
      <c r="AI83" s="9"/>
      <c r="AJ83" s="9"/>
    </row>
    <row r="84" spans="2:36" s="2" customFormat="1" ht="20" customHeight="1" x14ac:dyDescent="0.2">
      <c r="B84" s="6"/>
      <c r="C84" s="35"/>
      <c r="E84" s="17" t="s">
        <v>250</v>
      </c>
      <c r="F84" s="18" t="s">
        <v>1021</v>
      </c>
      <c r="H84" s="17" t="s">
        <v>250</v>
      </c>
      <c r="I84" s="18" t="s">
        <v>1021</v>
      </c>
      <c r="K84" s="17" t="s">
        <v>250</v>
      </c>
      <c r="L84" s="18" t="s">
        <v>1021</v>
      </c>
      <c r="N84" s="17" t="s">
        <v>250</v>
      </c>
      <c r="O84" s="18" t="s">
        <v>1021</v>
      </c>
      <c r="Q84" s="17" t="s">
        <v>250</v>
      </c>
      <c r="R84" s="20" t="s">
        <v>1021</v>
      </c>
      <c r="S84" s="21"/>
      <c r="T84" s="17" t="s">
        <v>250</v>
      </c>
      <c r="U84" s="20" t="s">
        <v>1021</v>
      </c>
      <c r="V84" s="21"/>
      <c r="W84" s="17" t="s">
        <v>250</v>
      </c>
      <c r="X84" s="20" t="s">
        <v>1021</v>
      </c>
      <c r="Y84" s="21"/>
      <c r="Z84" s="17" t="s">
        <v>250</v>
      </c>
      <c r="AA84" s="20" t="s">
        <v>1021</v>
      </c>
      <c r="AB84" s="21"/>
      <c r="AC84" s="17" t="s">
        <v>250</v>
      </c>
      <c r="AD84" s="20" t="s">
        <v>1021</v>
      </c>
      <c r="AG84" s="9"/>
      <c r="AH84" s="9"/>
      <c r="AI84" s="9"/>
      <c r="AJ84" s="9"/>
    </row>
    <row r="85" spans="2:36" s="2" customFormat="1" ht="20" customHeight="1" x14ac:dyDescent="0.2">
      <c r="B85" s="6"/>
      <c r="E85" s="4" t="s">
        <v>1024</v>
      </c>
      <c r="F85" s="8" t="str">
        <f>IF(mgmt_az1_mgmt_vm_gateway_cidr="Value Missing","Value Missing",LEFT(mgmt_az1_mgmt_vm_gateway_cidr,FIND("/",mgmt_az1_mgmt_vm_gateway_cidr)-1))</f>
        <v>Value Missing</v>
      </c>
      <c r="H85" s="4" t="s">
        <v>1024</v>
      </c>
      <c r="I85" s="8" t="str">
        <f>IF(wld_az1_mgmt_vm_gateway_cidr="Value Missing","Value Missing",LEFT(wld_az1_mgmt_vm_gateway_cidr,FIND("/",wld_az1_mgmt_vm_gateway_cidr)-1))</f>
        <v>Value Missing</v>
      </c>
      <c r="K85" s="4" t="s">
        <v>1024</v>
      </c>
      <c r="L85" s="8" t="str">
        <f>IF(ISBLANK(input_wld_az1_rack2_mgmt_vm_gateway_ip),"Value Missing",input_wld_az1_rack2_mgmt_vm_gateway_ip)</f>
        <v>Value Missing</v>
      </c>
      <c r="N85" s="4" t="s">
        <v>1024</v>
      </c>
      <c r="O85" s="8" t="str">
        <f>IF(ISBLANK(input_wld_az1_rack3_mgmt_vm_gateway_ip),"Value Missing",input_wld_az1_rack3_mgmt_vm_gateway_ip)</f>
        <v>Value Missing</v>
      </c>
      <c r="Q85" s="4" t="s">
        <v>1024</v>
      </c>
      <c r="R85" s="8" t="str">
        <f>IF(ISBLANK(input_wld_az1_rack4_mgmt_vm_gateway_ip),"Value Missing",input_wld_az1_rack4_mgmt_vm_gateway_ip)</f>
        <v>Value Missing</v>
      </c>
      <c r="T85" s="4" t="s">
        <v>1024</v>
      </c>
      <c r="U85" s="8" t="str">
        <f>IF(ISBLANK(input_wld_az1_rack5_mgmt_vm_gateway_ip),"Value Missing",input_wld_az1_rack5_mgmt_vm_gateway_ip)</f>
        <v>Value Missing</v>
      </c>
      <c r="W85" s="4" t="s">
        <v>1024</v>
      </c>
      <c r="X85" s="8" t="str">
        <f>IF(ISBLANK(input_wld_az1_rack6_mgmt_vm_gateway_ip),"Value Missing",input_wld_az1_rack6_mgmt_vm_gateway_ip)</f>
        <v>Value Missing</v>
      </c>
      <c r="Z85" s="4" t="s">
        <v>1024</v>
      </c>
      <c r="AA85" s="8" t="str">
        <f>IF(ISBLANK(input_wld_az1_rack7_mgmt_vm_gateway_ip),"Value Missing",input_wld_az1_rack7_mgmt_vm_gateway_ip)</f>
        <v>Value Missing</v>
      </c>
      <c r="AC85" s="4" t="s">
        <v>1024</v>
      </c>
      <c r="AD85" s="8" t="str">
        <f>IF(ISBLANK(input_wld_az1_rack8_mgmt_vm_gateway_ip),"Value Missing",input_wld_az1_rack8_mgmt_vm_gateway_ip)</f>
        <v>Value Missing</v>
      </c>
      <c r="AG85" s="9"/>
      <c r="AH85" s="9"/>
      <c r="AI85" s="9"/>
      <c r="AJ85" s="9"/>
    </row>
    <row r="86" spans="2:36" s="2" customFormat="1" ht="20" customHeight="1" x14ac:dyDescent="0.2">
      <c r="B86" s="201"/>
      <c r="E86" s="4" t="s">
        <v>1026</v>
      </c>
      <c r="F86" s="8" t="str">
        <f>IF(mgmt_az1_mgmt_gateway_cidr="Value Missing","Value Missing",LEFT(mgmt_az1_mgmt_gateway_cidr,FIND("/",mgmt_az1_mgmt_gateway_cidr)-1))</f>
        <v>Value Missing</v>
      </c>
      <c r="H86" s="4" t="s">
        <v>1026</v>
      </c>
      <c r="I86" s="8" t="str" cm="1">
        <f t="array" ref="I86">IF(wld_az1_mgmt_gateway_cidr="Value Missing","Value Missing",LEFT(wld_az1_mgmt_gateway_cidr,FIND("/",wld_az1_mgmt_gateway_cidr)-1))</f>
        <v>Value Missing</v>
      </c>
      <c r="K86" s="4" t="s">
        <v>1026</v>
      </c>
      <c r="L86" s="8" t="str">
        <f>IF(ISBLANK(input_wld_az1_rack2_mgmt_gateway_ip),"Value Missing",input_wld_az1_rack2_mgmt_gateway_ip)</f>
        <v>Value Missing</v>
      </c>
      <c r="N86" s="4" t="s">
        <v>1026</v>
      </c>
      <c r="O86" s="8" t="str">
        <f>IF(ISBLANK(input_wld_az1_rack3_mgmt_gateway_ip),"Value Missing",input_wld_az1_rack3_mgmt_gateway_ip)</f>
        <v>Value Missing</v>
      </c>
      <c r="Q86" s="4" t="s">
        <v>1026</v>
      </c>
      <c r="R86" s="8" t="str">
        <f>IF(ISBLANK(input_wld_az1_rack4_mgmt_gateway_ip),"Value Missing",input_wld_az1_rack4_mgmt_gateway_ip)</f>
        <v>Value Missing</v>
      </c>
      <c r="T86" s="4" t="s">
        <v>1026</v>
      </c>
      <c r="U86" s="8" t="str">
        <f>IF(ISBLANK(input_wld_az1_rack5_mgmt_gateway_ip),"Value Missing",input_wld_az1_rack5_mgmt_gateway_ip)</f>
        <v>Value Missing</v>
      </c>
      <c r="W86" s="4" t="s">
        <v>1026</v>
      </c>
      <c r="X86" s="8" t="str">
        <f>IF(ISBLANK(input_wld_az1_rack6_mgmt_gateway_ip),"Value Missing",input_wld_az1_rack6_mgmt_gateway_ip)</f>
        <v>Value Missing</v>
      </c>
      <c r="Z86" s="4" t="s">
        <v>1026</v>
      </c>
      <c r="AA86" s="8" t="str">
        <f>IF(ISBLANK(input_wld_az1_rack7_mgmt_gateway_ip),"Value Missing",input_wld_az1_rack7_mgmt_gateway_ip)</f>
        <v>Value Missing</v>
      </c>
      <c r="AC86" s="4" t="s">
        <v>1026</v>
      </c>
      <c r="AD86" s="8" t="str">
        <f>IF(ISBLANK(input_wld_az1_rack8_mgmt_gateway_ip),"Value Missing",input_wld_az1_rack8_mgmt_gateway_ip)</f>
        <v>Value Missing</v>
      </c>
      <c r="AG86" s="9"/>
      <c r="AH86" s="9"/>
      <c r="AI86" s="9"/>
      <c r="AJ86" s="9"/>
    </row>
    <row r="87" spans="2:36" s="2" customFormat="1" ht="20" customHeight="1" x14ac:dyDescent="0.2">
      <c r="B87" s="201"/>
      <c r="E87" s="4" t="s">
        <v>240</v>
      </c>
      <c r="F87" s="8" t="str">
        <f>IF(mgmt_az1_vmotion_gateway_cidr="Value Missing","Value Missing",LEFT(mgmt_az1_vmotion_gateway_cidr,FIND("/",mgmt_az1_vmotion_gateway_cidr)-1))</f>
        <v>Value Missing</v>
      </c>
      <c r="H87" s="4" t="s">
        <v>240</v>
      </c>
      <c r="I87" s="8" t="str" cm="1">
        <f t="array" ref="I87">IF(wld_az1_vmotion_gateway_cidr="Value Missing","Value Missing",LEFT(wld_az1_vmotion_gateway_cidr,FIND("/",wld_az1_vmotion_gateway_cidr)-1))</f>
        <v>Value Missing</v>
      </c>
      <c r="K87" s="4" t="s">
        <v>240</v>
      </c>
      <c r="L87" s="8" t="str">
        <f>IF(ISBLANK(input_wld_az1_rack2_vmotion_gateway_ip),"Value Missing",input_wld_az1_rack2_vmotion_gateway_ip)</f>
        <v>Value Missing</v>
      </c>
      <c r="N87" s="4" t="s">
        <v>240</v>
      </c>
      <c r="O87" s="8" t="str">
        <f>IF(ISBLANK(input_wld_az1_rack3_vmotion_gateway_ip),"Value Missing",input_wld_az1_rack3_vmotion_gateway_ip)</f>
        <v>Value Missing</v>
      </c>
      <c r="Q87" s="4" t="s">
        <v>240</v>
      </c>
      <c r="R87" s="8" t="str">
        <f>IF(ISBLANK(input_wld_az1_rack4_vmotion_gateway_ip),"Value Missing",input_wld_az1_rack4_vmotion_gateway_ip)</f>
        <v>Value Missing</v>
      </c>
      <c r="T87" s="4" t="s">
        <v>240</v>
      </c>
      <c r="U87" s="8" t="str">
        <f>IF(ISBLANK(input_wld_az1_rack5_vmotion_gateway_ip),"Value Missing",input_wld_az1_rack5_vmotion_gateway_ip)</f>
        <v>Value Missing</v>
      </c>
      <c r="W87" s="4" t="s">
        <v>240</v>
      </c>
      <c r="X87" s="8" t="str">
        <f>IF(ISBLANK(input_wld_az1_rack6_vmotion_gateway_ip),"Value Missing",input_wld_az1_rack6_vmotion_gateway_ip)</f>
        <v>Value Missing</v>
      </c>
      <c r="Z87" s="4" t="s">
        <v>240</v>
      </c>
      <c r="AA87" s="8" t="str">
        <f>IF(ISBLANK(input_wld_az1_rack7_vmotion_gateway_ip),"Value Missing",input_wld_az1_rack7_vmotion_gateway_ip)</f>
        <v>Value Missing</v>
      </c>
      <c r="AC87" s="4" t="s">
        <v>240</v>
      </c>
      <c r="AD87" s="8" t="str">
        <f>IF(ISBLANK(input_wld_az1_rack8_vmotion_gateway_ip),"Value Missing",input_wld_az1_rack8_vmotion_gateway_ip)</f>
        <v>Value Missing</v>
      </c>
      <c r="AG87" s="9"/>
      <c r="AH87" s="9"/>
      <c r="AI87" s="9"/>
      <c r="AJ87" s="9"/>
    </row>
    <row r="88" spans="2:36" s="2" customFormat="1" ht="20" customHeight="1" x14ac:dyDescent="0.2">
      <c r="B88" s="6"/>
      <c r="E88" s="23" t="str">
        <f>CONCATENATE("Principal Storage Network ",wld_principal_storage_chosen)</f>
        <v>Principal Storage Network vSAN-ESA</v>
      </c>
      <c r="F88" s="8" t="str">
        <f>IF(mgmt_az1_vsan_gateway_cidr="Value Missing","Value Missing",LEFT(mgmt_az1_vsan_gateway_cidr,FIND("/",mgmt_az1_vsan_gateway_cidr)-1))</f>
        <v>Value Missing</v>
      </c>
      <c r="H88" s="23" t="s">
        <v>246</v>
      </c>
      <c r="I88" s="8" t="str" cm="1">
        <f t="array" ref="I88">IF(wld_az1_principal_storage_gateway_cidr="Value Missing","Value Missing",LEFT(wld_az1_principal_storage_gateway_cidr,FIND("/",wld_az1_principal_storage_gateway_cidr)-1))</f>
        <v>Value Missing</v>
      </c>
      <c r="K88" s="23" t="str">
        <f>CONCATENATE("Principal Storage Network ",wld_principal_storage_chosen)</f>
        <v>Principal Storage Network vSAN-ESA</v>
      </c>
      <c r="L88" s="8" t="str">
        <f>IF(ISBLANK(input_wld_az1_rack2_principal_storage_gateway_ip),"Value Missing",input_wld_az1_rack2_principal_storage_gateway_ip)</f>
        <v>Value Missing</v>
      </c>
      <c r="N88" s="23" t="str">
        <f>CONCATENATE("Principal Storage Network ",wld_principal_storage_chosen)</f>
        <v>Principal Storage Network vSAN-ESA</v>
      </c>
      <c r="O88" s="8" t="str">
        <f>IF(ISBLANK(input_wld_az1_rack3_principal_storage_gateway_ip),"Value Missing",input_wld_az1_rack3_principal_storage_gateway_ip)</f>
        <v>Value Missing</v>
      </c>
      <c r="Q88" s="23" t="str">
        <f>CONCATENATE("Principal Storage Network ",wld_principal_storage_chosen)</f>
        <v>Principal Storage Network vSAN-ESA</v>
      </c>
      <c r="R88" s="8" t="str">
        <f>IF(ISBLANK(input_wld_az1_rack4_principal_storage_gateway_ip),"Value Missing",input_wld_az1_rack4_principal_storage_gateway_ip)</f>
        <v>Value Missing</v>
      </c>
      <c r="T88" s="23" t="str">
        <f>CONCATENATE("Principal Storage Network ",wld_principal_storage_chosen)</f>
        <v>Principal Storage Network vSAN-ESA</v>
      </c>
      <c r="U88" s="8" t="str">
        <f>IF(ISBLANK(input_wld_az1_rack5_principal_storage_gateway_ip),"Value Missing",input_wld_az1_rack5_principal_storage_gateway_ip)</f>
        <v>Value Missing</v>
      </c>
      <c r="W88" s="23" t="str">
        <f>CONCATENATE("Principal Storage Network ",wld_principal_storage_chosen)</f>
        <v>Principal Storage Network vSAN-ESA</v>
      </c>
      <c r="X88" s="8" t="str">
        <f>IF(ISBLANK(input_wld_az1_rack6_principal_storage_gateway_ip),"Value Missing",input_wld_az1_rack6_principal_storage_gateway_ip)</f>
        <v>Value Missing</v>
      </c>
      <c r="Z88" s="23" t="str">
        <f>CONCATENATE("Principal Storage Network ",wld_principal_storage_chosen)</f>
        <v>Principal Storage Network vSAN-ESA</v>
      </c>
      <c r="AA88" s="8" t="str">
        <f>IF(ISBLANK(input_wld_az1_rack7_principal_storage_gateway_ip),"Value Missing",input_wld_az1_rack7_principal_storage_gateway_ip)</f>
        <v>Value Missing</v>
      </c>
      <c r="AC88" s="23" t="str">
        <f>CONCATENATE("Principal Storage Network ",wld_principal_storage_chosen)</f>
        <v>Principal Storage Network vSAN-ESA</v>
      </c>
      <c r="AD88" s="8" t="str">
        <f>IF(ISBLANK(input_wld_az1_rack8_principal_storage_gateway_ip),"Value Missing",input_wld_az1_rack8_principal_storage_gateway_ip)</f>
        <v>Value Missing</v>
      </c>
      <c r="AG88" s="9"/>
      <c r="AH88" s="9"/>
      <c r="AI88" s="9"/>
      <c r="AJ88" s="9"/>
    </row>
    <row r="89" spans="2:36" s="2" customFormat="1" ht="20" customHeight="1" x14ac:dyDescent="0.2">
      <c r="E89" s="4" t="s">
        <v>1030</v>
      </c>
      <c r="F89" s="8" t="str">
        <f>IF(mgmt_az1_host_overlay_gateway_cidr="Value Missing","Value Missing",LEFT(mgmt_az1_host_overlay_gateway_cidr,FIND("/",mgmt_az1_host_overlay_gateway_cidr)-1))</f>
        <v>Value Missing</v>
      </c>
      <c r="H89" s="4" t="s">
        <v>1030</v>
      </c>
      <c r="I89" s="8" t="str">
        <f>IF(ISBLANK(input_wld_az1_host_overlay_gateway_ip),"Value Missing",input_wld_az1_host_overlay_gateway_ip)</f>
        <v>Value Missing</v>
      </c>
      <c r="K89" s="4" t="s">
        <v>1030</v>
      </c>
      <c r="L89" s="8" t="str">
        <f>IF(ISBLANK(input_wld_az1_rack2_host_overlay_gateway_ip),"Value Missing",input_wld_az1_rack2_host_overlay_gateway_ip)</f>
        <v>Value Missing</v>
      </c>
      <c r="N89" s="4" t="s">
        <v>1030</v>
      </c>
      <c r="O89" s="8" t="str">
        <f>IF(ISBLANK(input_wld_az1_rack3_host_overlay_gateway_ip),"Value Missing",input_wld_az1_rack3_host_overlay_gateway_ip)</f>
        <v>Value Missing</v>
      </c>
      <c r="Q89" s="4" t="s">
        <v>1030</v>
      </c>
      <c r="R89" s="8" t="str">
        <f>IF(ISBLANK(input_wld_az1_rack4_host_overlay_gateway_ip),"Value Missing",input_wld_az1_rack4_host_overlay_gateway_ip)</f>
        <v>Value Missing</v>
      </c>
      <c r="T89" s="4" t="s">
        <v>1030</v>
      </c>
      <c r="U89" s="8" t="str">
        <f>IF(ISBLANK(input_wld_az1_rack5_host_overlay_gateway_ip),"Value Missing",input_wld_az1_rack5_host_overlay_gateway_ip)</f>
        <v>Value Missing</v>
      </c>
      <c r="W89" s="4" t="s">
        <v>1030</v>
      </c>
      <c r="X89" s="8" t="str">
        <f>IF(ISBLANK(input_wld_az1_rack6_host_overlay_gateway_ip),"Value Missing",input_wld_az1_rack6_host_overlay_gateway_ip)</f>
        <v>Value Missing</v>
      </c>
      <c r="Z89" s="4" t="s">
        <v>1030</v>
      </c>
      <c r="AA89" s="8" t="str">
        <f>IF(ISBLANK(input_wld_az1_rack7_host_overlay_gateway_ip),"Value Missing",input_wld_az1_rack7_host_overlay_gateway_ip)</f>
        <v>Value Missing</v>
      </c>
      <c r="AC89" s="4" t="s">
        <v>1030</v>
      </c>
      <c r="AD89" s="8" t="str">
        <f>IF(ISBLANK(input_wld_az1_rack8_host_overlay_gateway_ip),"Value Missing",input_wld_az1_rack8_host_overlay_gateway_ip)</f>
        <v>Value Missing</v>
      </c>
      <c r="AG89" s="9"/>
      <c r="AH89" s="9"/>
      <c r="AI89" s="9"/>
      <c r="AJ89" s="9"/>
    </row>
    <row r="90" spans="2:36" s="2" customFormat="1" ht="20" customHeight="1" x14ac:dyDescent="0.2">
      <c r="E90" s="4" t="s">
        <v>1032</v>
      </c>
      <c r="F90" s="8" t="str">
        <f>IF(mgmt_az1_secondary_storage_gateway_cidr="Value Missing","Value Missing",LEFT(mgmt_az1_secondary_storage_gateway_cidr,FIND("/",mgmt_az1_secondary_storage_gateway_cidr)-1))</f>
        <v>Value Missing</v>
      </c>
      <c r="H90" s="4" t="s">
        <v>1032</v>
      </c>
      <c r="I90" s="8" t="str">
        <f>IF(wld_az1_secondary_storage_gateway_cidr="Value Missing","Value Missing",LEFT(wld_az1_secondary_storage_gateway_cidr,FIND("/",wld_az1_secondary_storage_gateway_cidr)-1))</f>
        <v>Value Missing</v>
      </c>
      <c r="K90" s="4" t="s">
        <v>1032</v>
      </c>
      <c r="L90" s="8" t="str">
        <f>IF(ISBLANK(input_wld_az1_rack2_secondary_storage_gateway_ip),"Value Missing",input_wld_az1_rack2_secondary_storage_gateway_ip)</f>
        <v>Value Missing</v>
      </c>
      <c r="N90" s="4" t="s">
        <v>1032</v>
      </c>
      <c r="O90" s="8" t="str">
        <f>IF(ISBLANK(input_wld_az1_rack3_secondary_storage_gateway_ip),"Value Missing",input_wld_az1_rack3_secondary_storage_gateway_ip)</f>
        <v>Value Missing</v>
      </c>
      <c r="Q90" s="4" t="s">
        <v>1032</v>
      </c>
      <c r="R90" s="8" t="str">
        <f>IF(ISBLANK(input_wld_az1_rack4_secondary_storage_gateway_ip),"Value Missing",input_wld_az1_rack4_secondary_storage_gateway_ip)</f>
        <v>Value Missing</v>
      </c>
      <c r="T90" s="4" t="s">
        <v>1032</v>
      </c>
      <c r="U90" s="8" t="str">
        <f>IF(ISBLANK(input_wld_az1_rack5_secondary_storage_gateway_ip),"Value Missing",input_wld_az1_rack5_secondary_storage_gateway_ip)</f>
        <v>Value Missing</v>
      </c>
      <c r="W90" s="4" t="s">
        <v>1032</v>
      </c>
      <c r="X90" s="8" t="str">
        <f>IF(ISBLANK(input_wld_az1_rack6_secondary_storage_gateway_ip),"Value Missing",input_wld_az1_rack6_secondary_storage_gateway_ip)</f>
        <v>Value Missing</v>
      </c>
      <c r="Z90" s="4" t="s">
        <v>1032</v>
      </c>
      <c r="AA90" s="8" t="str">
        <f>IF(ISBLANK(input_wld_az1_rack7_secondary_storage_gateway_ip),"Value Missing",input_wld_az1_rack7_secondary_storage_gateway_ip)</f>
        <v>Value Missing</v>
      </c>
      <c r="AC90" s="4" t="s">
        <v>1032</v>
      </c>
      <c r="AD90" s="8" t="str">
        <f>IF(ISBLANK(input_wld_az1_rack8_secondary_storage_gateway_ip),"Value Missing",input_wld_az1_rack8_secondary_storage_gateway_ip)</f>
        <v>Value Missing</v>
      </c>
      <c r="AG90" s="9"/>
      <c r="AH90" s="9"/>
      <c r="AI90" s="9"/>
      <c r="AJ90" s="9"/>
    </row>
    <row r="91" spans="2:36" s="2" customFormat="1" ht="20" customHeight="1" x14ac:dyDescent="0.2">
      <c r="E91" s="4" t="s">
        <v>3125</v>
      </c>
      <c r="F91" s="8" t="str">
        <f>IF(mgmt_az1_vcf_mgmt_gateway_cidr="Value Missing","Value Missing",LEFT(mgmt_az1_vcf_mgmt_gateway_cidr,FIND("/",mgmt_az1_vcf_mgmt_gateway_cidr)-1))</f>
        <v>Value Missing</v>
      </c>
      <c r="H91" s="4" t="s">
        <v>686</v>
      </c>
      <c r="I91" s="8" t="str">
        <f>IF(wld_az1_storage_cluster_gateway_cidr="Value Missing","Value Missing",LEFT(wld_az1_storage_cluster_gateway_cidr,FIND("/",wld_az1_storage_cluster_gateway_cidr)-1))</f>
        <v>Value Missing</v>
      </c>
      <c r="K91" s="4"/>
      <c r="L91" s="8"/>
      <c r="N91" s="4"/>
      <c r="O91" s="8"/>
      <c r="Q91" s="4"/>
      <c r="R91" s="8"/>
      <c r="T91" s="4"/>
      <c r="U91" s="8"/>
      <c r="W91" s="4"/>
      <c r="X91" s="8"/>
      <c r="Z91" s="4"/>
      <c r="AA91" s="8"/>
      <c r="AC91" s="4"/>
      <c r="AD91" s="8"/>
      <c r="AG91" s="9"/>
      <c r="AH91" s="9"/>
      <c r="AI91" s="9"/>
      <c r="AJ91" s="9"/>
    </row>
    <row r="92" spans="2:36" s="2" customFormat="1" ht="20" customHeight="1" x14ac:dyDescent="0.2">
      <c r="E92" s="4" t="s">
        <v>1035</v>
      </c>
      <c r="F92" s="8" t="str">
        <f>IF(ISBLANK(input_mgmt_az1_uplink01_gateway_ip),"Value Missing",input_mgmt_az1_uplink01_gateway_ip)</f>
        <v>Value Missing</v>
      </c>
      <c r="H92" s="4" t="s">
        <v>1035</v>
      </c>
      <c r="I92" s="8" t="str">
        <f>IF(ISBLANK(input_wld_az1_uplink01_gateway_ip),"Value Missing",input_wld_az1_uplink01_gateway_ip)</f>
        <v>Value Missing</v>
      </c>
      <c r="K92" s="4" t="s">
        <v>1035</v>
      </c>
      <c r="L92" s="8" t="str">
        <f>IF(ISBLANK(input_wld_az1_rack2_uplink01_gateway_ip),"Value Missing",input_wld_az1_rack2_uplink01_gateway_ip)</f>
        <v>Value Missing</v>
      </c>
      <c r="N92" s="4" t="s">
        <v>1035</v>
      </c>
      <c r="O92" s="8" t="str">
        <f>IF(ISBLANK(input_wld_az1_rack3_uplink01_gateway_ip),"Value Missing",input_wld_az1_rack3_uplink01_gateway_ip)</f>
        <v>Value Missing</v>
      </c>
      <c r="Q92" s="4" t="s">
        <v>1035</v>
      </c>
      <c r="R92" s="8" t="str">
        <f>IF(ISBLANK(input_wld_az1_rack4_uplink01_gateway_ip),"Value Missing",input_wld_az1_rack4_uplink01_gateway_ip)</f>
        <v>Value Missing</v>
      </c>
      <c r="T92" s="4" t="s">
        <v>1035</v>
      </c>
      <c r="U92" s="8" t="str">
        <f>IF(ISBLANK(input_wld_az1_rack5_uplink01_gateway_ip),"Value Missing",input_wld_az1_rack5_uplink01_gateway_ip)</f>
        <v>Value Missing</v>
      </c>
      <c r="W92" s="4" t="s">
        <v>1035</v>
      </c>
      <c r="X92" s="8" t="str">
        <f>IF(ISBLANK(input_wld_az1_rack6_uplink01_gateway_ip),"Value Missing",input_wld_az1_rack6_uplink01_gateway_ip)</f>
        <v>Value Missing</v>
      </c>
      <c r="Z92" s="4" t="s">
        <v>1035</v>
      </c>
      <c r="AA92" s="8" t="str">
        <f>IF(ISBLANK(input_wld_az1_rack7_uplink01_gateway_ip),"Value Missing",input_wld_az1_rack7_uplink01_gateway_ip)</f>
        <v>Value Missing</v>
      </c>
      <c r="AC92" s="4" t="s">
        <v>1035</v>
      </c>
      <c r="AD92" s="8" t="str">
        <f>IF(ISBLANK(input_wld_az1_rack8_uplink01_gateway_ip),"Value Missing",input_wld_az1_rack8_uplink01_gateway_ip)</f>
        <v>Value Missing</v>
      </c>
      <c r="AG92" s="9"/>
      <c r="AH92" s="9"/>
      <c r="AI92" s="9"/>
      <c r="AJ92" s="9"/>
    </row>
    <row r="93" spans="2:36" s="2" customFormat="1" ht="20" customHeight="1" x14ac:dyDescent="0.2">
      <c r="E93" s="4" t="s">
        <v>1037</v>
      </c>
      <c r="F93" s="8" t="str">
        <f>IF(ISBLANK(input_mgmt_az1_uplink02_gateway_ip),"Value Missing",input_mgmt_az1_uplink02_gateway_ip)</f>
        <v>Value Missing</v>
      </c>
      <c r="G93" s="21"/>
      <c r="H93" s="4" t="s">
        <v>1037</v>
      </c>
      <c r="I93" s="8" t="str">
        <f>IF(ISBLANK(input_wld_az1_uplink02_gateway_ip),"Value Missing",input_wld_az1_uplink02_gateway_ip)</f>
        <v>Value Missing</v>
      </c>
      <c r="J93" s="21"/>
      <c r="K93" s="4" t="s">
        <v>1037</v>
      </c>
      <c r="L93" s="8" t="str">
        <f>IF(ISBLANK(input_wld_az1_rack2_uplink02_gateway_ip),"Value Missing",input_wld_az1_rack2_uplink02_gateway_ip)</f>
        <v>Value Missing</v>
      </c>
      <c r="N93" s="4" t="s">
        <v>1037</v>
      </c>
      <c r="O93" s="8" t="str">
        <f>IF(ISBLANK(input_wld_az1_rack3_uplink02_gateway_ip),"Value Missing",input_wld_az1_rack3_uplink02_gateway_ip)</f>
        <v>Value Missing</v>
      </c>
      <c r="Q93" s="4" t="s">
        <v>1037</v>
      </c>
      <c r="R93" s="8" t="str">
        <f>IF(ISBLANK(input_wld_az1_rack4_uplink02_gateway_ip),"Value Missing",input_wld_az1_rack4_uplink02_gateway_ip)</f>
        <v>Value Missing</v>
      </c>
      <c r="T93" s="4" t="s">
        <v>1037</v>
      </c>
      <c r="U93" s="8" t="str">
        <f>IF(ISBLANK(input_wld_az1_rack5_uplink02_gateway_ip),"Value Missing",input_wld_az1_rack5_uplink02_gateway_ip)</f>
        <v>Value Missing</v>
      </c>
      <c r="W93" s="4" t="s">
        <v>1037</v>
      </c>
      <c r="X93" s="8" t="str">
        <f>IF(ISBLANK(input_wld_az1_rack6_uplink02_gateway_ip),"Value Missing",input_wld_az1_rack6_uplink02_gateway_ip)</f>
        <v>Value Missing</v>
      </c>
      <c r="Z93" s="4" t="s">
        <v>1037</v>
      </c>
      <c r="AA93" s="8" t="str">
        <f>IF(ISBLANK(input_wld_az1_rack7_uplink02_gateway_ip),"Value Missing",input_wld_az1_rack7_uplink02_gateway_ip)</f>
        <v>Value Missing</v>
      </c>
      <c r="AC93" s="4" t="s">
        <v>1037</v>
      </c>
      <c r="AD93" s="8" t="str">
        <f>IF(ISBLANK(input_wld_az1_rack8_uplink02_gateway_ip),"Value Missing",input_wld_az1_rack8_uplink02_gateway_ip)</f>
        <v>Value Missing</v>
      </c>
      <c r="AG93" s="9"/>
      <c r="AH93" s="9"/>
      <c r="AI93" s="9"/>
      <c r="AJ93" s="9"/>
    </row>
    <row r="94" spans="2:36" s="2" customFormat="1" ht="20" customHeight="1" x14ac:dyDescent="0.2">
      <c r="E94" s="4" t="s">
        <v>1039</v>
      </c>
      <c r="F94" s="8" t="str">
        <f>IF(ISBLANK(input_mgmt_az1_edge_overlay_gateway_ip),"Value Missing",input_mgmt_az1_edge_overlay_gateway_ip)</f>
        <v>Value Missing</v>
      </c>
      <c r="H94" s="4" t="s">
        <v>1039</v>
      </c>
      <c r="I94" s="8" t="str">
        <f>IF(ISBLANK(input_wld_az1_edge_overlay_gateway_ip),"Value Missing",input_wld_az1_edge_overlay_gateway_ip)</f>
        <v>Value Missing</v>
      </c>
      <c r="K94" s="4" t="s">
        <v>1039</v>
      </c>
      <c r="L94" s="8" t="str">
        <f>IF(ISBLANK(input_wld_az1_rack2_edge_overlay_gateway_ip),"Value Missing",input_wld_az1_rack2_edge_overlay_gateway_ip)</f>
        <v>Value Missing</v>
      </c>
      <c r="M94" s="21"/>
      <c r="N94" s="4" t="s">
        <v>1039</v>
      </c>
      <c r="O94" s="8" t="str">
        <f>IF(ISBLANK(input_wld_az1_rack3_edge_overlay_gateway_ip),"Value Missing",input_wld_az1_rack3_edge_overlay_gateway_ip)</f>
        <v>Value Missing</v>
      </c>
      <c r="Q94" s="4" t="s">
        <v>1039</v>
      </c>
      <c r="R94" s="8" t="str">
        <f>IF(ISBLANK(input_wld_az1_rack4_edge_overlay_gateway_ip),"Value Missing",input_wld_az1_rack4_edge_overlay_gateway_ip)</f>
        <v>Value Missing</v>
      </c>
      <c r="T94" s="4" t="s">
        <v>1039</v>
      </c>
      <c r="U94" s="8" t="str">
        <f>IF(ISBLANK(input_wld_az1_rack5_edge_overlay_gateway_ip),"Value Missing",input_wld_az1_rack5_edge_overlay_gateway_ip)</f>
        <v>Value Missing</v>
      </c>
      <c r="W94" s="4" t="s">
        <v>1039</v>
      </c>
      <c r="X94" s="8" t="str">
        <f>IF(ISBLANK(input_wld_az1_rack6_edge_overlay_gateway_ip),"Value Missing",input_wld_az1_rack6_edge_overlay_gateway_ip)</f>
        <v>Value Missing</v>
      </c>
      <c r="Z94" s="4" t="s">
        <v>1039</v>
      </c>
      <c r="AA94" s="8" t="str">
        <f>IF(ISBLANK(input_wld_az1_rack7_edge_overlay_gateway_ip),"Value Missing",input_wld_az1_rack7_edge_overlay_gateway_ip)</f>
        <v>Value Missing</v>
      </c>
      <c r="AC94" s="4" t="s">
        <v>1039</v>
      </c>
      <c r="AD94" s="8" t="str">
        <f>IF(ISBLANK(input_wld_az1_rack8_edge_overlay_gateway_ip),"Value Missing",input_wld_az1_rack8_edge_overlay_gateway_ip)</f>
        <v>Value Missing</v>
      </c>
      <c r="AG94" s="9"/>
      <c r="AH94" s="9"/>
      <c r="AI94" s="9"/>
      <c r="AJ94" s="9"/>
    </row>
    <row r="95" spans="2:36" s="2" customFormat="1" ht="20" customHeight="1" x14ac:dyDescent="0.2">
      <c r="E95" s="4" t="s">
        <v>1041</v>
      </c>
      <c r="F95" s="8" t="str">
        <f>IF(ISBLANK(input_mgmt_az1_rtep_overlay_gateway_ip),"Value Missing",input_mgmt_az1_rtep_overlay_gateway_ip)</f>
        <v>Value Missing</v>
      </c>
      <c r="H95" s="4" t="s">
        <v>1041</v>
      </c>
      <c r="I95" s="8" t="str">
        <f>IF(ISBLANK(input_wld_az1_rtep_overlay_gateway_ip),"Value Missing",input_wld_az1_rtep_overlay_gateway_ip)</f>
        <v>Value Missing</v>
      </c>
      <c r="K95" s="4" t="s">
        <v>1041</v>
      </c>
      <c r="L95" s="8"/>
      <c r="N95" s="4" t="s">
        <v>1041</v>
      </c>
      <c r="O95" s="8"/>
      <c r="Q95" s="4" t="s">
        <v>1041</v>
      </c>
      <c r="R95" s="8"/>
      <c r="T95" s="4" t="s">
        <v>1041</v>
      </c>
      <c r="U95" s="8"/>
      <c r="W95" s="4" t="s">
        <v>1041</v>
      </c>
      <c r="X95" s="8"/>
      <c r="Z95" s="4" t="s">
        <v>1041</v>
      </c>
      <c r="AA95" s="8"/>
      <c r="AC95" s="4" t="s">
        <v>1041</v>
      </c>
      <c r="AD95" s="8"/>
      <c r="AG95" s="9"/>
      <c r="AH95" s="9"/>
      <c r="AI95" s="9"/>
      <c r="AJ95" s="9"/>
    </row>
    <row r="96" spans="2:36" s="2" customFormat="1" ht="20" customHeight="1" x14ac:dyDescent="0.2">
      <c r="E96" s="4" t="s">
        <v>1043</v>
      </c>
      <c r="F96" s="8"/>
      <c r="H96" s="4" t="s">
        <v>1043</v>
      </c>
      <c r="I96" s="8" t="str">
        <f>IF(ISBLANK(input_wld_az1_vrms_gateway_ip),"Value Missing",input_wld_az1_vrms_gateway_ip)</f>
        <v>Value Missing</v>
      </c>
      <c r="K96" s="4" t="s">
        <v>1043</v>
      </c>
      <c r="L96" s="8"/>
      <c r="N96" s="4" t="s">
        <v>1043</v>
      </c>
      <c r="O96" s="8"/>
      <c r="Q96" s="4" t="s">
        <v>1043</v>
      </c>
      <c r="R96" s="8"/>
      <c r="T96" s="4" t="s">
        <v>1043</v>
      </c>
      <c r="U96" s="8"/>
      <c r="W96" s="4" t="s">
        <v>1043</v>
      </c>
      <c r="X96" s="8"/>
      <c r="Z96" s="4" t="s">
        <v>1043</v>
      </c>
      <c r="AA96" s="8"/>
      <c r="AC96" s="4" t="s">
        <v>1043</v>
      </c>
      <c r="AD96" s="8"/>
      <c r="AG96" s="9"/>
      <c r="AH96" s="9"/>
      <c r="AI96" s="9"/>
      <c r="AJ96" s="9"/>
    </row>
    <row r="97" spans="2:30" ht="20" customHeight="1" x14ac:dyDescent="0.2">
      <c r="B97" s="2"/>
      <c r="C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2:30" ht="20" customHeight="1" x14ac:dyDescent="0.2">
      <c r="B98" s="2"/>
      <c r="C98" s="2"/>
      <c r="E98" s="12" t="s">
        <v>3093</v>
      </c>
      <c r="F98" s="13"/>
      <c r="G98" s="2"/>
      <c r="H98" s="12" t="s">
        <v>3200</v>
      </c>
      <c r="I98" s="13"/>
      <c r="J98" s="2"/>
      <c r="K98" s="12" t="s">
        <v>3559</v>
      </c>
      <c r="L98" s="13"/>
      <c r="M98" s="2"/>
      <c r="N98" s="12" t="s">
        <v>3569</v>
      </c>
      <c r="O98" s="13"/>
      <c r="P98" s="2"/>
      <c r="Q98" s="12" t="s">
        <v>3568</v>
      </c>
      <c r="R98" s="13"/>
      <c r="S98" s="2"/>
      <c r="T98" s="12" t="s">
        <v>3567</v>
      </c>
      <c r="U98" s="13"/>
      <c r="V98" s="2"/>
      <c r="W98" s="12" t="s">
        <v>3566</v>
      </c>
      <c r="X98" s="13"/>
      <c r="Y98" s="2"/>
      <c r="Z98" s="12" t="s">
        <v>3200</v>
      </c>
      <c r="AA98" s="13"/>
      <c r="AB98" s="2"/>
      <c r="AC98" s="12" t="s">
        <v>3200</v>
      </c>
      <c r="AD98" s="13"/>
    </row>
    <row r="99" spans="2:30" ht="20" customHeight="1" x14ac:dyDescent="0.2">
      <c r="B99" s="2"/>
      <c r="C99" s="2"/>
      <c r="E99" s="17" t="s">
        <v>250</v>
      </c>
      <c r="F99" s="18" t="s">
        <v>1021</v>
      </c>
      <c r="G99" s="2"/>
      <c r="H99" s="17" t="s">
        <v>250</v>
      </c>
      <c r="I99" s="18" t="s">
        <v>1021</v>
      </c>
      <c r="J99" s="2"/>
      <c r="K99" s="17" t="s">
        <v>250</v>
      </c>
      <c r="L99" s="18" t="s">
        <v>1021</v>
      </c>
      <c r="M99" s="2"/>
      <c r="N99" s="17" t="s">
        <v>250</v>
      </c>
      <c r="O99" s="18" t="s">
        <v>1021</v>
      </c>
      <c r="P99" s="2"/>
      <c r="Q99" s="17" t="s">
        <v>250</v>
      </c>
      <c r="R99" s="18" t="s">
        <v>1021</v>
      </c>
      <c r="S99" s="2"/>
      <c r="T99" s="17" t="s">
        <v>250</v>
      </c>
      <c r="U99" s="18" t="s">
        <v>1021</v>
      </c>
      <c r="V99" s="2"/>
      <c r="W99" s="17" t="s">
        <v>250</v>
      </c>
      <c r="X99" s="18" t="s">
        <v>1021</v>
      </c>
      <c r="Y99" s="2"/>
      <c r="Z99" s="17" t="s">
        <v>250</v>
      </c>
      <c r="AA99" s="18" t="s">
        <v>1021</v>
      </c>
      <c r="AB99" s="2"/>
      <c r="AC99" s="17" t="s">
        <v>250</v>
      </c>
      <c r="AD99" s="18" t="s">
        <v>1021</v>
      </c>
    </row>
    <row r="100" spans="2:30" ht="20" customHeight="1" x14ac:dyDescent="0.2">
      <c r="B100" s="2"/>
      <c r="C100" s="2"/>
      <c r="E100" s="4" t="s">
        <v>1024</v>
      </c>
      <c r="F100" s="8" t="str">
        <f>IF(ISBLANK(input_mgmt_az1_mgmt_vm_gateway_cidr),"Value Missing",input_mgmt_az1_mgmt_vm_gateway_cidr)</f>
        <v>Value Missing</v>
      </c>
      <c r="G100" s="2"/>
      <c r="H100" s="4" t="s">
        <v>1024</v>
      </c>
      <c r="I100" s="8" t="str" cm="1">
        <f t="array" ref="I100">IF(ISBLANK(input_wld_az1_mgmt_vm_gateway_cidr),"Value Missing",input_wld_az1_mgmt_vm_gateway_cidr)</f>
        <v>Value Missing</v>
      </c>
      <c r="J100" s="2"/>
      <c r="K100" s="4" t="s">
        <v>1024</v>
      </c>
      <c r="L100" s="2" t="s">
        <v>3558</v>
      </c>
      <c r="M100" s="2"/>
      <c r="N100" s="4" t="s">
        <v>1024</v>
      </c>
      <c r="O100" s="47" t="s">
        <v>3560</v>
      </c>
      <c r="P100" s="2"/>
      <c r="Q100" s="4" t="s">
        <v>1024</v>
      </c>
      <c r="R100" s="47" t="s">
        <v>3561</v>
      </c>
      <c r="S100" s="2"/>
      <c r="T100" s="4" t="s">
        <v>1024</v>
      </c>
      <c r="U100" s="47" t="s">
        <v>3565</v>
      </c>
      <c r="V100" s="2"/>
      <c r="W100" s="4" t="s">
        <v>1024</v>
      </c>
      <c r="X100" s="47" t="s">
        <v>3564</v>
      </c>
      <c r="Y100" s="2"/>
      <c r="Z100" s="4" t="s">
        <v>1024</v>
      </c>
      <c r="AA100" s="47" t="s">
        <v>3563</v>
      </c>
      <c r="AB100" s="2"/>
      <c r="AC100" s="4" t="s">
        <v>1024</v>
      </c>
      <c r="AD100" s="47" t="s">
        <v>3562</v>
      </c>
    </row>
    <row r="101" spans="2:30" ht="20" customHeight="1" x14ac:dyDescent="0.2">
      <c r="B101" s="2"/>
      <c r="C101" s="2"/>
      <c r="E101" s="4" t="s">
        <v>1026</v>
      </c>
      <c r="F101" s="8" t="str">
        <f>IF(ISBLANK(input_mgmt_az1_mgmt_gateway_cidr),"Value Missing",input_mgmt_az1_mgmt_gateway_cidr)</f>
        <v>Value Missing</v>
      </c>
      <c r="G101" s="2"/>
      <c r="H101" s="4" t="s">
        <v>1026</v>
      </c>
      <c r="I101" s="8" t="str">
        <f>IF(ISBLANK(input_wld_az1_mgmt_gateway_cidr),"Value Missing",input_wld_az1_mgmt_gateway_cidr)</f>
        <v>Value Missing</v>
      </c>
      <c r="J101" s="2"/>
      <c r="K101" s="4" t="s">
        <v>1026</v>
      </c>
      <c r="L101" s="8" t="str">
        <f>IF(wld_az1_rack2_mgmt_network="Value missing","Value Missing",CONCATENATE(wld_az1_rack2_mgmt_gateway_ip,"/",VLOOKUP(wld_az1_rack2_mgmt_mask,table_mask_to_cidr,2,FALSE)))</f>
        <v>Value Missing</v>
      </c>
      <c r="M101" s="2"/>
      <c r="N101" s="4" t="s">
        <v>1026</v>
      </c>
      <c r="O101" s="8" t="str">
        <f>IF(wld_az1_rack3_mgmt_network="Value missing","Value Missing",CONCATENATE(wld_az1_rack3_mgmt_gateway_ip,"/",VLOOKUP(wld_az1_rack3_mgmt_mask,table_mask_to_cidr,2,FALSE)))</f>
        <v>Value Missing</v>
      </c>
      <c r="P101" s="2"/>
      <c r="Q101" s="4" t="s">
        <v>1026</v>
      </c>
      <c r="R101" s="8" t="str">
        <f>IF(wld_az1_rack4_mgmt_network="Value missing","Value Missing",CONCATENATE(wld_az1_rack4_mgmt_gateway_ip,"/",VLOOKUP(wld_az1_rack4_mgmt_mask,table_mask_to_cidr,2,FALSE)))</f>
        <v>Value Missing</v>
      </c>
      <c r="S101" s="2"/>
      <c r="T101" s="4" t="s">
        <v>1026</v>
      </c>
      <c r="U101" s="8" t="str">
        <f>IF(wld_az1_rack5_mgmt_network="Value missing","Value Missing",CONCATENATE(wld_az1_rack5_mgmt_gateway_ip,"/",VLOOKUP(wld_az1_rack5_mgmt_mask,table_mask_to_cidr,2,FALSE)))</f>
        <v>Value Missing</v>
      </c>
      <c r="V101" s="2"/>
      <c r="W101" s="4" t="s">
        <v>1026</v>
      </c>
      <c r="X101" s="8" t="str">
        <f>IF(wld_az1_rack6_mgmt_network="Value missing","Value Missing",CONCATENATE(wld_az1_rack6_mgmt_gateway_ip,"/",VLOOKUP(wld_az1_rack6_mgmt_mask,table_mask_to_cidr,2,FALSE)))</f>
        <v>Value Missing</v>
      </c>
      <c r="Y101" s="2"/>
      <c r="Z101" s="4" t="s">
        <v>1026</v>
      </c>
      <c r="AA101" s="8" t="str">
        <f>IF(wld_az1_rack7_mgmt_network="Value missing","Value Missing",CONCATENATE(wld_az1_rack7_mgmt_gateway_ip,"/",VLOOKUP(wld_az1_rack7_mgmt_mask,table_mask_to_cidr,2,FALSE)))</f>
        <v>Value Missing</v>
      </c>
      <c r="AB101" s="2"/>
      <c r="AC101" s="4" t="s">
        <v>1026</v>
      </c>
      <c r="AD101" s="8" t="str">
        <f>IF(wld_az1_rack8_mgmt_network="Value missing","Value Missing",CONCATENATE(wld_az1_rack8_mgmt_gateway_ip,"/",VLOOKUP(wld_az1_rack8_mgmt_mask,table_mask_to_cidr,2,FALSE)))</f>
        <v>Value Missing</v>
      </c>
    </row>
    <row r="102" spans="2:30" ht="20" customHeight="1" x14ac:dyDescent="0.2">
      <c r="B102" s="2"/>
      <c r="C102" s="2"/>
      <c r="E102" s="4" t="s">
        <v>240</v>
      </c>
      <c r="F102" s="8" t="str">
        <f>IF(ISBLANK(input_mgmt_az1_vmotion_gateway_cidr),"Value Missing",input_mgmt_az1_vmotion_gateway_cidr)</f>
        <v>Value Missing</v>
      </c>
      <c r="G102" s="2"/>
      <c r="H102" s="4" t="s">
        <v>240</v>
      </c>
      <c r="I102" s="8" t="str">
        <f>IF(ISBLANK(input_wld_az1_vmotion_gateway_cidr),"Value Missing",input_wld_az1_vmotion_gateway_cidr)</f>
        <v>Value Missing</v>
      </c>
      <c r="J102" s="2"/>
      <c r="K102" s="4" t="s">
        <v>240</v>
      </c>
      <c r="L102" s="8" t="str">
        <f>IF(wld_az1_rack2_vmotion_network="Value missing","Value Missing",CONCATENATE(wld_az1_rack2_vmotion_gateway_ip,"/",VLOOKUP(wld_az1_rack2_vmotion_mask,table_mask_to_cidr,2,FALSE)))</f>
        <v>Value Missing</v>
      </c>
      <c r="M102" s="2"/>
      <c r="N102" s="4" t="s">
        <v>240</v>
      </c>
      <c r="O102" s="8" t="str">
        <f>IF(wld_az1_rack3_vmotion_network="Value missing","Value Missing",CONCATENATE(wld_az1_rack3_vmotion_gateway_ip,"/",VLOOKUP(wld_az1_rack3_vmotion_mask,table_mask_to_cidr,2,FALSE)))</f>
        <v>Value Missing</v>
      </c>
      <c r="P102" s="2"/>
      <c r="Q102" s="4" t="s">
        <v>240</v>
      </c>
      <c r="R102" s="8" t="str">
        <f>IF(wld_az1_rack4_vmotion_network="Value missing","Value Missing",CONCATENATE(wld_az1_rack4_vmotion_gateway_ip,"/",VLOOKUP(wld_az1_rack4_vmotion_mask,table_mask_to_cidr,2,FALSE)))</f>
        <v>Value Missing</v>
      </c>
      <c r="S102" s="2"/>
      <c r="T102" s="4" t="s">
        <v>240</v>
      </c>
      <c r="U102" s="8" t="str">
        <f>IF(wld_az1_rack5_vmotion_network="Value missing","Value Missing",CONCATENATE(wld_az1_rack5_vmotion_gateway_ip,"/",VLOOKUP(wld_az1_rack5_vmotion_mask,table_mask_to_cidr,2,FALSE)))</f>
        <v>Value Missing</v>
      </c>
      <c r="V102" s="2"/>
      <c r="W102" s="4" t="s">
        <v>240</v>
      </c>
      <c r="X102" s="8" t="str">
        <f>IF(wld_az1_rack6_vmotion_network="Value missing","Value Missing",CONCATENATE(wld_az1_rack6_vmotion_gateway_ip,"/",VLOOKUP(wld_az1_rack6_vmotion_mask,table_mask_to_cidr,2,FALSE)))</f>
        <v>Value Missing</v>
      </c>
      <c r="Y102" s="2"/>
      <c r="Z102" s="4" t="s">
        <v>240</v>
      </c>
      <c r="AA102" s="8" t="str">
        <f>IF(wld_az1_rack7_vmotion_network="Value missing","Value Missing",CONCATENATE(wld_az1_rack7_vmotion_gateway_ip,"/",VLOOKUP(wld_az1_rack7_vmotion_mask,table_mask_to_cidr,2,FALSE)))</f>
        <v>Value Missing</v>
      </c>
      <c r="AB102" s="2"/>
      <c r="AC102" s="4" t="s">
        <v>240</v>
      </c>
      <c r="AD102" s="8" t="str">
        <f>IF(wld_az1_rack8_vmotion_network="Value missing","Value Missing",CONCATENATE(wld_az1_rack8_vmotion_gateway_ip,"/",VLOOKUP(wld_az1_rack8_vmotion_mask,table_mask_to_cidr,2,FALSE)))</f>
        <v>Value Missing</v>
      </c>
    </row>
    <row r="103" spans="2:30" ht="20" customHeight="1" x14ac:dyDescent="0.2">
      <c r="B103" s="2"/>
      <c r="C103" s="2"/>
      <c r="E103" s="23" t="str">
        <f>CONCATENATE("Principal Storage Network ",wld_principal_storage_chosen)</f>
        <v>Principal Storage Network vSAN-ESA</v>
      </c>
      <c r="F103" s="8" t="str">
        <f>IF(ISBLANK(input_mgmt_az1_vsan_gateway_cidr),"Value Missing",input_mgmt_az1_vsan_gateway_cidr)</f>
        <v>Value Missing</v>
      </c>
      <c r="G103" s="2"/>
      <c r="H103" s="23" t="s">
        <v>246</v>
      </c>
      <c r="I103" s="8" t="str">
        <f>IF(ISBLANK(input_wld_az1_principal_storage_gateway_cidr),"Value Missing",input_wld_az1_principal_storage_gateway_cidr)</f>
        <v>Value Missing</v>
      </c>
      <c r="J103" s="2"/>
      <c r="K103" s="23" t="s">
        <v>246</v>
      </c>
      <c r="L103" s="8" t="str">
        <f>IF(wld_az1_rack2_principal_storage_network="Value missing","Value Missing",CONCATENATE(wld_az1_rack2_principal_storage_gateway_ip,"/",VLOOKUP(wld_az1_rack2_principal_storage_mask,table_mask_to_cidr,2,FALSE)))</f>
        <v>Value Missing</v>
      </c>
      <c r="M103" s="2"/>
      <c r="N103" s="23" t="s">
        <v>246</v>
      </c>
      <c r="O103" s="8" t="str">
        <f>IF(wld_az1_rack3_principal_storage_network="Value missing","Value Missing",CONCATENATE(wld_az1_rack3_principal_storage_gateway_ip,"/",VLOOKUP(wld_az1_rack3_principal_storage_mask,table_mask_to_cidr,2,FALSE)))</f>
        <v>Value Missing</v>
      </c>
      <c r="P103" s="2"/>
      <c r="Q103" s="23" t="s">
        <v>246</v>
      </c>
      <c r="R103" s="8" t="str">
        <f>IF(wld_az1_rack4_principal_storage_network="Value missing","Value Missing",CONCATENATE(wld_az1_rack4_principal_storage_gateway_ip,"/",VLOOKUP(wld_az1_rack4_principal_storage_mask,table_mask_to_cidr,2,FALSE)))</f>
        <v>Value Missing</v>
      </c>
      <c r="S103" s="2"/>
      <c r="T103" s="23" t="s">
        <v>246</v>
      </c>
      <c r="U103" s="8" t="str">
        <f>IF(wld_az1_rack5_principal_storage_network="Value missing","Value Missing",CONCATENATE(wld_az1_rack5_principal_storage_gateway_ip,"/",VLOOKUP(wld_az1_rack5_principal_storage_mask,table_mask_to_cidr,2,FALSE)))</f>
        <v>Value Missing</v>
      </c>
      <c r="V103" s="2"/>
      <c r="W103" s="23" t="s">
        <v>246</v>
      </c>
      <c r="X103" s="8" t="str">
        <f>IF(wld_az1_rack6_principal_storage_network="Value missing","Value Missing",CONCATENATE(wld_az1_rack6_principal_storage_gateway_ip,"/",VLOOKUP(wld_az1_rack6_principal_storage_mask,table_mask_to_cidr,2,FALSE)))</f>
        <v>Value Missing</v>
      </c>
      <c r="Y103" s="2"/>
      <c r="Z103" s="23" t="s">
        <v>246</v>
      </c>
      <c r="AA103" s="8" t="str">
        <f>IF(wld_az1_rack7_principal_storage_network="Value missing","Value Missing",CONCATENATE(wld_az1_rack7_principal_storage_gateway_ip,"/",VLOOKUP(wld_az1_rack7_principal_storage_mask,table_mask_to_cidr,2,FALSE)))</f>
        <v>Value Missing</v>
      </c>
      <c r="AB103" s="2"/>
      <c r="AC103" s="23" t="s">
        <v>246</v>
      </c>
      <c r="AD103" s="8" t="str">
        <f>IF(wld_az1_rack8_principal_storage_network="Value missing","Value Missing",CONCATENATE(wld_az1_rack8_principal_storage_gateway_ip,"/",VLOOKUP(wld_az1_rack8_principal_storage_mask,table_mask_to_cidr,2,FALSE)))</f>
        <v>Value Missing</v>
      </c>
    </row>
    <row r="104" spans="2:30" ht="20" customHeight="1" x14ac:dyDescent="0.2">
      <c r="B104" s="2"/>
      <c r="C104" s="2"/>
      <c r="E104" s="4" t="s">
        <v>1030</v>
      </c>
      <c r="F104" s="8" t="str">
        <f>IF(ISBLANK(input_mgmt_az1_host_overlay_gateway_cidr),"Value Missing",input_mgmt_az1_host_overlay_gateway_cidr)</f>
        <v>Value Missing</v>
      </c>
      <c r="G104" s="2"/>
      <c r="H104" s="4" t="s">
        <v>1030</v>
      </c>
      <c r="I104" s="8"/>
      <c r="J104" s="2"/>
      <c r="K104" s="4" t="s">
        <v>1030</v>
      </c>
      <c r="L104" s="8" t="str">
        <f>IF(wld_az1_rack2_host_overlay_network="Value missing","Value Missing",CONCATENATE(wld_az1_rack2_host_overlay_gateway_ip,"/",VLOOKUP(wld_az1_rack2_host_overlay_mask,table_mask_to_cidr,2,FALSE)))</f>
        <v>Value Missing</v>
      </c>
      <c r="M104" s="2"/>
      <c r="N104" s="4" t="s">
        <v>1030</v>
      </c>
      <c r="O104" s="8" t="str">
        <f>IF(wld_az1_rack3_host_overlay_network="Value missing","Value Missing",CONCATENATE(wld_az1_rack3_host_overlay_gateway_ip,"/",VLOOKUP(wld_az1_rack3_host_overlay_mask,table_mask_to_cidr,2,FALSE)))</f>
        <v>Value Missing</v>
      </c>
      <c r="P104" s="2"/>
      <c r="Q104" s="4" t="s">
        <v>1030</v>
      </c>
      <c r="R104" s="8" t="str">
        <f>IF(wld_az1_rack4_host_overlay_network="Value missing","Value Missing",CONCATENATE(wld_az1_rack4_host_overlay_gateway_ip,"/",VLOOKUP(wld_az1_rack4_host_overlay_mask,table_mask_to_cidr,2,FALSE)))</f>
        <v>Value Missing</v>
      </c>
      <c r="S104" s="2"/>
      <c r="T104" s="4" t="s">
        <v>1030</v>
      </c>
      <c r="U104" s="8" t="str">
        <f>IF(wld_az1_rack5_host_overlay_network="Value missing","Value Missing",CONCATENATE(wld_az1_rack5_host_overlay_gateway_ip,"/",VLOOKUP(wld_az1_rack5_host_overlay_mask,table_mask_to_cidr,2,FALSE)))</f>
        <v>Value Missing</v>
      </c>
      <c r="V104" s="2"/>
      <c r="W104" s="4" t="s">
        <v>1030</v>
      </c>
      <c r="X104" s="8" t="str">
        <f>IF(wld_az1_rack6_host_overlay_network="Value missing","Value Missing",CONCATENATE(wld_az1_rack6_host_overlay_gateway_ip,"/",VLOOKUP(wld_az1_rack6_host_overlay_mask,table_mask_to_cidr,2,FALSE)))</f>
        <v>Value Missing</v>
      </c>
      <c r="Y104" s="2"/>
      <c r="Z104" s="4" t="s">
        <v>1030</v>
      </c>
      <c r="AA104" s="8" t="str">
        <f>IF(wld_az1_rack7_host_overlay_network="Value missing","Value Missing",CONCATENATE(wld_az1_rack7_host_overlay_gateway_ip,"/",VLOOKUP(wld_az1_rack7_host_overlay_mask,table_mask_to_cidr,2,FALSE)))</f>
        <v>Value Missing</v>
      </c>
      <c r="AB104" s="2"/>
      <c r="AC104" s="4" t="s">
        <v>1030</v>
      </c>
      <c r="AD104" s="8" t="str">
        <f>IF(wld_az1_rack8_host_overlay_network="Value missing","Value Missing",CONCATENATE(wld_az1_rack8_host_overlay_gateway_ip,"/",VLOOKUP(wld_az1_rack8_host_overlay_mask,table_mask_to_cidr,2,FALSE)))</f>
        <v>Value Missing</v>
      </c>
    </row>
    <row r="105" spans="2:30" ht="20" customHeight="1" x14ac:dyDescent="0.2">
      <c r="B105" s="2"/>
      <c r="C105" s="2"/>
      <c r="E105" s="4" t="s">
        <v>1032</v>
      </c>
      <c r="F105" s="8" t="str">
        <f>IF(ISBLANK(input_mgmt_az1_secondary_storage_gateway_cidr),"Value Missing",input_mgmt_az1_secondary_storage_gateway_cidr)</f>
        <v>Value Missing</v>
      </c>
      <c r="G105" s="2"/>
      <c r="H105" s="4" t="s">
        <v>1032</v>
      </c>
      <c r="I105" s="8" t="str">
        <f>IF(ISBLANK(input_wld_az1_secondary_storage_gateway_cidr),"Value Missing",input_wld_az1_secondary_storage_gateway_cidr)</f>
        <v>Value Missing</v>
      </c>
      <c r="J105" s="2"/>
      <c r="K105" s="4" t="s">
        <v>1032</v>
      </c>
      <c r="L105" s="8" t="str">
        <f>IF(wld_az1_rack2_secondary_storage_network="Value missing","Value Missing",CONCATENATE(wld_az1_rack2_secondary_storage_gateway_ip,"/",VLOOKUP(wld_az1_rack2_secondary_storage_mask,table_mask_to_cidr,2,FALSE)))</f>
        <v>Value Missing</v>
      </c>
      <c r="M105" s="2"/>
      <c r="N105" s="4" t="s">
        <v>1032</v>
      </c>
      <c r="O105" s="8" t="str">
        <f>IF(wld_az1_rack3_secondary_storage_network="Value missing","Value Missing",CONCATENATE(wld_az1_rack3_secondary_storage_gateway_ip,"/",VLOOKUP(wld_az1_rack3_secondary_storage_mask,table_mask_to_cidr,2,FALSE)))</f>
        <v>Value Missing</v>
      </c>
      <c r="P105" s="2"/>
      <c r="Q105" s="4" t="s">
        <v>1032</v>
      </c>
      <c r="R105" s="8" t="str">
        <f>IF(wld_az1_rack4_secondary_storage_network="Value missing","Value Missing",CONCATENATE(wld_az1_rack4_secondary_storage_gateway_ip,"/",VLOOKUP(wld_az1_rack4_secondary_storage_mask,table_mask_to_cidr,2,FALSE)))</f>
        <v>Value Missing</v>
      </c>
      <c r="S105" s="2"/>
      <c r="T105" s="4" t="s">
        <v>1032</v>
      </c>
      <c r="U105" s="8" t="str">
        <f>IF(wld_az1_rack5_secondary_storage_network="Value missing","Value Missing",CONCATENATE(wld_az1_rack5_secondary_storage_gateway_ip,"/",VLOOKUP(wld_az1_rack5_secondary_storage_mask,table_mask_to_cidr,2,FALSE)))</f>
        <v>Value Missing</v>
      </c>
      <c r="V105" s="2"/>
      <c r="W105" s="4" t="s">
        <v>1032</v>
      </c>
      <c r="X105" s="8" t="str">
        <f>IF(wld_az1_rack6_secondary_storage_network="Value missing","Value Missing",CONCATENATE(wld_az1_rack6_secondary_storage_gateway_ip,"/",VLOOKUP(wld_az1_rack6_secondary_storage_mask,table_mask_to_cidr,2,FALSE)))</f>
        <v>Value Missing</v>
      </c>
      <c r="Y105" s="2"/>
      <c r="Z105" s="4" t="s">
        <v>1032</v>
      </c>
      <c r="AA105" s="8" t="str">
        <f>IF(wld_az1_rack7_secondary_storage_network="Value missing","Value Missing",CONCATENATE(wld_az1_rack7_secondary_storage_gateway_ip,"/",VLOOKUP(wld_az1_rack7_secondary_storage_mask,table_mask_to_cidr,2,FALSE)))</f>
        <v>Value Missing</v>
      </c>
      <c r="AB105" s="2"/>
      <c r="AC105" s="4" t="s">
        <v>1032</v>
      </c>
      <c r="AD105" s="8" t="str">
        <f>IF(wld_az1_rack8_secondary_storage_network="Value missing","Value Missing",CONCATENATE(wld_az1_rack8_secondary_storage_gateway_ip,"/",VLOOKUP(wld_az1_rack8_secondary_storage_mask,table_mask_to_cidr,2,FALSE)))</f>
        <v>Value Missing</v>
      </c>
    </row>
    <row r="106" spans="2:30" ht="20" customHeight="1" x14ac:dyDescent="0.2">
      <c r="B106" s="2"/>
      <c r="C106" s="2"/>
      <c r="E106" s="4" t="s">
        <v>3125</v>
      </c>
      <c r="F106" s="8" t="str">
        <f>IF(ISBLANK(input_mgmt_az1_vcf_mgmt_gateway_cidr),"Value Missing",input_mgmt_az1_vcf_mgmt_gateway_cidr)</f>
        <v>Value Missing</v>
      </c>
      <c r="G106" s="2"/>
      <c r="H106" s="4" t="s">
        <v>686</v>
      </c>
      <c r="I106" s="8" t="str">
        <f>IF(ISBLANK(input_wld_az1_storage_cluster_gateway_cidr),"Value Missing",input_wld_az1_storage_cluster_gateway_cidr)</f>
        <v>Value Missing</v>
      </c>
      <c r="J106" s="2"/>
      <c r="K106" s="4"/>
      <c r="L106" s="8"/>
      <c r="M106" s="2"/>
      <c r="N106" s="4" t="s">
        <v>686</v>
      </c>
      <c r="O106" s="8"/>
      <c r="P106" s="2"/>
      <c r="Q106" s="4" t="s">
        <v>686</v>
      </c>
      <c r="R106" s="8"/>
      <c r="S106" s="2"/>
      <c r="T106" s="4" t="s">
        <v>686</v>
      </c>
      <c r="U106" s="8"/>
      <c r="V106" s="2"/>
      <c r="W106" s="4" t="s">
        <v>686</v>
      </c>
      <c r="X106" s="8"/>
      <c r="Y106" s="2"/>
      <c r="Z106" s="4" t="s">
        <v>686</v>
      </c>
      <c r="AA106" s="8"/>
      <c r="AB106" s="2"/>
      <c r="AC106" s="4" t="s">
        <v>686</v>
      </c>
      <c r="AD106" s="8"/>
    </row>
    <row r="107" spans="2:30" ht="20" customHeight="1" x14ac:dyDescent="0.2">
      <c r="B107" s="2"/>
      <c r="C107" s="2"/>
      <c r="E107" s="4" t="s">
        <v>1035</v>
      </c>
      <c r="F107" s="8" t="str">
        <f>IF(ISBLANK(input_mgmt_az1_uplink01_gateway_ip),"Value Missing",input_mgmt_az1_uplink01_gateway_ip)</f>
        <v>Value Missing</v>
      </c>
      <c r="G107" s="2"/>
      <c r="H107" s="4" t="s">
        <v>1035</v>
      </c>
      <c r="I107" s="8" t="str">
        <f>IF(ISBLANK(input_mgmt_az1_uplink01_gateway_ip),"Value Missing",input_mgmt_az1_uplink01_gateway_ip)</f>
        <v>Value Missing</v>
      </c>
      <c r="J107" s="2"/>
      <c r="K107" s="4" t="s">
        <v>1035</v>
      </c>
      <c r="L107" s="8" t="str">
        <f>IF(wld_az1_rack2_uplink01_network="Value missing","Value Missing",CONCATENATE(wld_az1_rack2_uplink01_gateway_ip,"/",VLOOKUP(wld_az1_rack2_uplink01_mask,table_mask_to_cidr,2,FALSE)))</f>
        <v>Value Missing</v>
      </c>
      <c r="M107" s="2"/>
      <c r="N107" s="4" t="s">
        <v>1035</v>
      </c>
      <c r="O107" s="8" t="str">
        <f>IF(wld_az1_rack3_uplink01_network="Value missing","Value Missing",CONCATENATE(wld_az1_rack3_uplink01_gateway_ip,"/",VLOOKUP(wld_az1_rack3_uplink01_mask,table_mask_to_cidr,2,FALSE)))</f>
        <v>Value Missing</v>
      </c>
      <c r="P107" s="2"/>
      <c r="Q107" s="4" t="s">
        <v>1035</v>
      </c>
      <c r="R107" s="8" t="str">
        <f>IF(wld_az1_rack4_uplink01_network="Value missing","Value Missing",CONCATENATE(wld_az1_rack4_uplink01_gateway_ip,"/",VLOOKUP(wld_az1_rack4_uplink01_mask,table_mask_to_cidr,2,FALSE)))</f>
        <v>Value Missing</v>
      </c>
      <c r="S107" s="2"/>
      <c r="T107" s="4" t="s">
        <v>1035</v>
      </c>
      <c r="U107" s="8" t="str">
        <f>IF(wld_az1_rack5_uplink01_network="Value missing","Value Missing",CONCATENATE(wld_az1_rack5_uplink01_gateway_ip,"/",VLOOKUP(wld_az1_rack5_uplink01_mask,table_mask_to_cidr,2,FALSE)))</f>
        <v>Value Missing</v>
      </c>
      <c r="V107" s="2"/>
      <c r="W107" s="4" t="s">
        <v>1035</v>
      </c>
      <c r="X107" s="8" t="str">
        <f>IF(wld_az1_rack6_uplink01_network="Value missing","Value Missing",CONCATENATE(wld_az1_rack6_uplink01_gateway_ip,"/",VLOOKUP(wld_az1_rack6_uplink01_mask,table_mask_to_cidr,2,FALSE)))</f>
        <v>Value Missing</v>
      </c>
      <c r="Y107" s="2"/>
      <c r="Z107" s="4" t="s">
        <v>1035</v>
      </c>
      <c r="AA107" s="8" t="str">
        <f>IF(wld_az1_rack7_uplink01_network="Value missing","Value Missing",CONCATENATE(wld_az1_rack7_uplink01_gateway_ip,"/",VLOOKUP(wld_az1_rack7_uplink01_mask,table_mask_to_cidr,2,FALSE)))</f>
        <v>Value Missing</v>
      </c>
      <c r="AB107" s="2"/>
      <c r="AC107" s="4" t="s">
        <v>1035</v>
      </c>
      <c r="AD107" s="8" t="str">
        <f>IF(wld_az1_rack8_uplink01_network="Value missing","Value Missing",CONCATENATE(wld_az1_rack8_uplink01_gateway_ip,"/",VLOOKUP(wld_az1_rack8_uplink01_mask,table_mask_to_cidr,2,FALSE)))</f>
        <v>Value Missing</v>
      </c>
    </row>
    <row r="108" spans="2:30" ht="20" customHeight="1" x14ac:dyDescent="0.2">
      <c r="B108" s="2"/>
      <c r="C108" s="2"/>
      <c r="E108" s="4" t="s">
        <v>1037</v>
      </c>
      <c r="F108" s="8" t="str">
        <f>IF(ISBLANK(input_mgmt_az1_uplink02_gateway_ip),"Value Missing",input_mgmt_az1_uplink02_gateway_ip)</f>
        <v>Value Missing</v>
      </c>
      <c r="G108" s="2"/>
      <c r="H108" s="4" t="s">
        <v>1037</v>
      </c>
      <c r="I108" s="8" t="str">
        <f>IF(ISBLANK(input_mgmt_az1_uplink02_gateway_ip),"Value Missing",input_mgmt_az1_uplink02_gateway_ip)</f>
        <v>Value Missing</v>
      </c>
      <c r="J108" s="2"/>
      <c r="K108" s="4" t="s">
        <v>1037</v>
      </c>
      <c r="L108" s="8" t="str">
        <f>IF(wld_az1_rack2_uplink02_network="Value missing","Value Missing",CONCATENATE(wld_az1_rack2_uplink02_gateway_ip,"/",VLOOKUP(wld_az1_rack2_uplink02_mask,table_mask_to_cidr,2,FALSE)))</f>
        <v>Value Missing</v>
      </c>
      <c r="M108" s="2"/>
      <c r="N108" s="4" t="s">
        <v>1037</v>
      </c>
      <c r="O108" s="8" t="str">
        <f>IF(wld_az1_rack3_uplink02_network="Value missing","Value Missing",CONCATENATE(wld_az1_rack3_uplink02_gateway_ip,"/",VLOOKUP(wld_az1_rack3_uplink02_mask,table_mask_to_cidr,2,FALSE)))</f>
        <v>Value Missing</v>
      </c>
      <c r="P108" s="2"/>
      <c r="Q108" s="4" t="s">
        <v>1037</v>
      </c>
      <c r="R108" s="8" t="str">
        <f>IF(wld_az1_rack4_uplink02_network="Value missing","Value Missing",CONCATENATE(wld_az1_rack4_uplink02_gateway_ip,"/",VLOOKUP(wld_az1_rack4_uplink02_mask,table_mask_to_cidr,2,FALSE)))</f>
        <v>Value Missing</v>
      </c>
      <c r="S108" s="2"/>
      <c r="T108" s="4" t="s">
        <v>1037</v>
      </c>
      <c r="U108" s="8" t="str">
        <f>IF(wld_az1_rack5_uplink02_network="Value missing","Value Missing",CONCATENATE(wld_az1_rack5_uplink02_gateway_ip,"/",VLOOKUP(wld_az1_rack5_uplink02_mask,table_mask_to_cidr,2,FALSE)))</f>
        <v>Value Missing</v>
      </c>
      <c r="V108" s="2"/>
      <c r="W108" s="4" t="s">
        <v>1037</v>
      </c>
      <c r="X108" s="8" t="str">
        <f>IF(wld_az1_rack6_uplink02_network="Value missing","Value Missing",CONCATENATE(wld_az1_rack6_uplink02_gateway_ip,"/",VLOOKUP(wld_az1_rack6_uplink02_mask,table_mask_to_cidr,2,FALSE)))</f>
        <v>Value Missing</v>
      </c>
      <c r="Y108" s="2"/>
      <c r="Z108" s="4" t="s">
        <v>1037</v>
      </c>
      <c r="AA108" s="8" t="str">
        <f>IF(wld_az1_rack7_uplink02_network="Value missing","Value Missing",CONCATENATE(wld_az1_rack7_uplink02_gateway_ip,"/",VLOOKUP(wld_az1_rack7_uplink02_mask,table_mask_to_cidr,2,FALSE)))</f>
        <v>Value Missing</v>
      </c>
      <c r="AB108" s="2"/>
      <c r="AC108" s="4" t="s">
        <v>1037</v>
      </c>
      <c r="AD108" s="8" t="str">
        <f>IF(wld_az1_rack8_uplink02_network="Value missing","Value Missing",CONCATENATE(wld_az1_rack8_uplink02_gateway_ip,"/",VLOOKUP(wld_az1_rack8_uplink02_mask,table_mask_to_cidr,2,FALSE)))</f>
        <v>Value Missing</v>
      </c>
    </row>
    <row r="109" spans="2:30" ht="20" customHeight="1" x14ac:dyDescent="0.2">
      <c r="B109" s="2"/>
      <c r="C109" s="2"/>
      <c r="E109" s="4" t="s">
        <v>1039</v>
      </c>
      <c r="F109" s="8" t="str">
        <f>IF(ISBLANK(input_mgmt_az1_edge_overlay_gateway_ip),"Value Missing",input_mgmt_az1_edge_overlay_gateway_ip)</f>
        <v>Value Missing</v>
      </c>
      <c r="G109" s="2"/>
      <c r="H109" s="4" t="s">
        <v>1039</v>
      </c>
      <c r="I109" s="8" t="str">
        <f>IF(ISBLANK(input_mgmt_az1_edge_overlay_gateway_ip),"Value Missing",input_mgmt_az1_edge_overlay_gateway_ip)</f>
        <v>Value Missing</v>
      </c>
      <c r="J109" s="2"/>
      <c r="K109" s="4" t="s">
        <v>1039</v>
      </c>
      <c r="L109" s="8" t="str">
        <f>IF(wld_az1_rack2_edge_overlay_network="Value missing","Value Missing",CONCATENATE(wld_az1_rack2_edge_overlay_gateway_ip,"/",VLOOKUP(wld_az1_rack2_edge_overlay_mask,table_mask_to_cidr,2,FALSE)))</f>
        <v>Value Missing</v>
      </c>
      <c r="M109" s="2"/>
      <c r="N109" s="4" t="s">
        <v>1039</v>
      </c>
      <c r="O109" s="8" t="str">
        <f>IF(wld_az1_rack3_edge_overlay_network="Value missing","Value Missing",CONCATENATE(wld_az1_rack3_edge_overlay_gateway_ip,"/",VLOOKUP(wld_az1_rack3_edge_overlay_mask,table_mask_to_cidr,2,FALSE)))</f>
        <v>Value Missing</v>
      </c>
      <c r="P109" s="2"/>
      <c r="Q109" s="4" t="s">
        <v>1039</v>
      </c>
      <c r="R109" s="8" t="str">
        <f>IF(wld_az1_rack4_edge_overlay_network="Value missing","Value Missing",CONCATENATE(wld_az1_rack4_edge_overlay_gateway_ip,"/",VLOOKUP(wld_az1_rack4_edge_overlay_mask,table_mask_to_cidr,2,FALSE)))</f>
        <v>Value Missing</v>
      </c>
      <c r="S109" s="2"/>
      <c r="T109" s="4" t="s">
        <v>1039</v>
      </c>
      <c r="U109" s="8" t="str">
        <f>IF(wld_az1_rack5_edge_overlay_network="Value missing","Value Missing",CONCATENATE(wld_az1_rack5_edge_overlay_gateway_ip,"/",VLOOKUP(wld_az1_rack5_edge_overlay_mask,table_mask_to_cidr,2,FALSE)))</f>
        <v>Value Missing</v>
      </c>
      <c r="V109" s="2"/>
      <c r="W109" s="4" t="s">
        <v>1039</v>
      </c>
      <c r="X109" s="8" t="str">
        <f>IF(wld_az1_rack6_edge_overlay_network="Value missing","Value Missing",CONCATENATE(wld_az1_rack6_edge_overlay_gateway_ip,"/",VLOOKUP(wld_az1_rack6_edge_overlay_mask,table_mask_to_cidr,2,FALSE)))</f>
        <v>Value Missing</v>
      </c>
      <c r="Y109" s="2"/>
      <c r="Z109" s="4" t="s">
        <v>1039</v>
      </c>
      <c r="AA109" s="8" t="str">
        <f>IF(wld_az1_rack7_edge_overlay_network="Value missing","Value Missing",CONCATENATE(wld_az1_rack7_edge_overlay_gateway_ip,"/",VLOOKUP(wld_az1_rack7_edge_overlay_mask,table_mask_to_cidr,2,FALSE)))</f>
        <v>Value Missing</v>
      </c>
      <c r="AB109" s="2"/>
      <c r="AC109" s="4" t="s">
        <v>1039</v>
      </c>
      <c r="AD109" s="8" t="str">
        <f>IF(wld_az1_rack8_edge_overlay_network="Value missing","Value Missing",CONCATENATE(wld_az1_rack8_edge_overlay_gateway_ip,"/",VLOOKUP(wld_az1_rack8_edge_overlay_mask,table_mask_to_cidr,2,FALSE)))</f>
        <v>Value Missing</v>
      </c>
    </row>
    <row r="110" spans="2:30" ht="20" customHeight="1" x14ac:dyDescent="0.2">
      <c r="B110" s="2"/>
      <c r="C110" s="2"/>
      <c r="E110" s="4" t="s">
        <v>1041</v>
      </c>
      <c r="F110" s="8" t="str">
        <f>IF(ISBLANK(input_mgmt_az1_rtep_overlay_gateway_ip),"Value Missing",input_mgmt_az1_rtep_overlay_gateway_ip)</f>
        <v>Value Missing</v>
      </c>
      <c r="G110" s="2"/>
      <c r="H110" s="4" t="s">
        <v>1041</v>
      </c>
      <c r="I110" s="8" t="str">
        <f>IF(ISBLANK(input_mgmt_az1_rtep_overlay_gateway_ip),"Value Missing",input_mgmt_az1_rtep_overlay_gateway_ip)</f>
        <v>Value Missing</v>
      </c>
      <c r="J110" s="2"/>
      <c r="K110" s="4"/>
      <c r="L110" s="8"/>
      <c r="M110" s="2"/>
      <c r="N110" s="4" t="s">
        <v>1041</v>
      </c>
      <c r="O110" s="8"/>
      <c r="P110" s="2"/>
      <c r="Q110" s="4" t="s">
        <v>1041</v>
      </c>
      <c r="R110" s="8"/>
      <c r="S110" s="2"/>
      <c r="T110" s="4" t="s">
        <v>1041</v>
      </c>
      <c r="U110" s="8"/>
      <c r="V110" s="2"/>
      <c r="W110" s="4" t="s">
        <v>1041</v>
      </c>
      <c r="X110" s="8"/>
      <c r="Y110" s="2"/>
      <c r="Z110" s="4" t="s">
        <v>1041</v>
      </c>
      <c r="AA110" s="8"/>
      <c r="AB110" s="2"/>
      <c r="AC110" s="4" t="s">
        <v>1041</v>
      </c>
      <c r="AD110" s="8"/>
    </row>
    <row r="111" spans="2:30" ht="20" customHeight="1" x14ac:dyDescent="0.2">
      <c r="B111" s="2"/>
      <c r="C111" s="2"/>
      <c r="E111" s="4" t="s">
        <v>1043</v>
      </c>
      <c r="F111" s="8"/>
      <c r="G111" s="2"/>
      <c r="H111" s="4" t="s">
        <v>1043</v>
      </c>
      <c r="I111" s="8"/>
      <c r="J111" s="2"/>
      <c r="K111" s="4"/>
      <c r="L111" s="8"/>
      <c r="M111" s="2"/>
      <c r="N111" s="4" t="s">
        <v>1043</v>
      </c>
      <c r="O111" s="8"/>
      <c r="P111" s="2"/>
      <c r="Q111" s="4" t="s">
        <v>1043</v>
      </c>
      <c r="R111" s="8"/>
      <c r="S111" s="2"/>
      <c r="T111" s="4" t="s">
        <v>1043</v>
      </c>
      <c r="U111" s="8"/>
      <c r="V111" s="2"/>
      <c r="W111" s="4" t="s">
        <v>1043</v>
      </c>
      <c r="X111" s="8"/>
      <c r="Y111" s="2"/>
      <c r="Z111" s="4" t="s">
        <v>1043</v>
      </c>
      <c r="AA111" s="8"/>
      <c r="AB111" s="2"/>
      <c r="AC111" s="4" t="s">
        <v>1043</v>
      </c>
      <c r="AD111" s="8"/>
    </row>
    <row r="112" spans="2:30" ht="20" customHeight="1" x14ac:dyDescent="0.2">
      <c r="B112" s="2"/>
      <c r="C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2:36" ht="20" customHeight="1" x14ac:dyDescent="0.2">
      <c r="B113" s="2"/>
      <c r="C113" s="2"/>
      <c r="E113" s="14" t="s">
        <v>1115</v>
      </c>
      <c r="F113" s="15"/>
      <c r="G113" s="2"/>
      <c r="H113" s="14" t="s">
        <v>1116</v>
      </c>
      <c r="I113" s="15"/>
      <c r="J113" s="2"/>
      <c r="K113" s="14" t="s">
        <v>1117</v>
      </c>
      <c r="L113" s="15"/>
      <c r="M113" s="2"/>
      <c r="N113" s="14" t="s">
        <v>1118</v>
      </c>
      <c r="O113" s="15"/>
      <c r="P113" s="7"/>
      <c r="Q113" s="14" t="s">
        <v>1119</v>
      </c>
      <c r="R113" s="15"/>
      <c r="S113" s="2"/>
      <c r="T113" s="14" t="s">
        <v>1120</v>
      </c>
      <c r="U113" s="15"/>
      <c r="V113" s="2"/>
      <c r="W113" s="14" t="s">
        <v>1121</v>
      </c>
      <c r="X113" s="15"/>
      <c r="Y113" s="2"/>
      <c r="Z113" s="14" t="s">
        <v>1122</v>
      </c>
      <c r="AA113" s="15"/>
      <c r="AB113" s="2"/>
      <c r="AC113" s="14" t="s">
        <v>1123</v>
      </c>
      <c r="AD113" s="15"/>
    </row>
    <row r="114" spans="2:36" s="2" customFormat="1" ht="20" customHeight="1" x14ac:dyDescent="0.2">
      <c r="E114" s="17" t="s">
        <v>250</v>
      </c>
      <c r="F114" s="20" t="s">
        <v>1021</v>
      </c>
      <c r="H114" s="17" t="s">
        <v>250</v>
      </c>
      <c r="I114" s="20" t="s">
        <v>1021</v>
      </c>
      <c r="K114" s="17" t="s">
        <v>250</v>
      </c>
      <c r="L114" s="20" t="s">
        <v>1021</v>
      </c>
      <c r="N114" s="17" t="s">
        <v>250</v>
      </c>
      <c r="O114" s="20" t="s">
        <v>1021</v>
      </c>
      <c r="P114" s="21"/>
      <c r="Q114" s="17" t="s">
        <v>250</v>
      </c>
      <c r="R114" s="20" t="s">
        <v>1021</v>
      </c>
      <c r="S114" s="21"/>
      <c r="T114" s="17" t="s">
        <v>250</v>
      </c>
      <c r="U114" s="20" t="s">
        <v>1021</v>
      </c>
      <c r="V114" s="21"/>
      <c r="W114" s="17" t="s">
        <v>250</v>
      </c>
      <c r="X114" s="20" t="s">
        <v>1021</v>
      </c>
      <c r="Y114" s="21"/>
      <c r="Z114" s="17" t="s">
        <v>250</v>
      </c>
      <c r="AA114" s="20" t="s">
        <v>1021</v>
      </c>
      <c r="AB114" s="21"/>
      <c r="AC114" s="17" t="s">
        <v>250</v>
      </c>
      <c r="AD114" s="20" t="s">
        <v>1021</v>
      </c>
      <c r="AG114" s="9"/>
      <c r="AH114" s="9"/>
      <c r="AI114" s="9"/>
      <c r="AJ114" s="9"/>
    </row>
    <row r="115" spans="2:36" s="35" customFormat="1" ht="20" customHeight="1" x14ac:dyDescent="0.2">
      <c r="B115" s="2"/>
      <c r="C115" s="2"/>
      <c r="E115" s="4" t="s">
        <v>1006</v>
      </c>
      <c r="F115" s="8" t="str">
        <f>IF(ISBLANK(input_mgmt_en_asn),"Value Missing",input_mgmt_en_asn)</f>
        <v>Value Missing</v>
      </c>
      <c r="G115" s="2"/>
      <c r="H115" s="4" t="s">
        <v>1006</v>
      </c>
      <c r="I115" s="8" t="str">
        <f>IF(ISBLANK(input_wld_en_asn),"Value Missing",input_wld_en_asn)</f>
        <v>Value Missing</v>
      </c>
      <c r="J115" s="2"/>
      <c r="K115" s="4" t="s">
        <v>1006</v>
      </c>
      <c r="L115" s="8" t="str">
        <f>IF(ISBLANK(input_wld_rack2_en_asn),"Value Missing",input_wld_rack2_en_asn)</f>
        <v>Value Missing</v>
      </c>
      <c r="M115" s="2"/>
      <c r="N115" s="4" t="s">
        <v>1006</v>
      </c>
      <c r="O115" s="8" t="str">
        <f>IF(ISBLANK(input_wld_rack3_en_asn),"Value Missing",input_wld_rack3_en_asn)</f>
        <v>Value Missing</v>
      </c>
      <c r="P115" s="2"/>
      <c r="Q115" s="4" t="s">
        <v>1006</v>
      </c>
      <c r="R115" s="8" t="str">
        <f>IF(ISBLANK(input_wld_rack4_en_asn),"Value Missing",input_wld_rack4_en_asn)</f>
        <v>Value Missing</v>
      </c>
      <c r="S115" s="2"/>
      <c r="T115" s="4" t="s">
        <v>1006</v>
      </c>
      <c r="U115" s="8" t="str">
        <f>IF(ISBLANK(input_wld_rack5_en_asn),"Value Missing",input_wld_rack5_en_asn)</f>
        <v>Value Missing</v>
      </c>
      <c r="V115" s="2"/>
      <c r="W115" s="4" t="s">
        <v>1006</v>
      </c>
      <c r="X115" s="8" t="str">
        <f>IF(ISBLANK(input_wld_rack6_en_asn),"Value Missing",input_wld_rack6_en_asn)</f>
        <v>Value Missing</v>
      </c>
      <c r="Y115" s="2"/>
      <c r="Z115" s="4" t="s">
        <v>1006</v>
      </c>
      <c r="AA115" s="8" t="str">
        <f>IF(ISBLANK(input_wld_rack7_en_asn),"Value Missing",input_wld_rack7_en_asn)</f>
        <v>Value Missing</v>
      </c>
      <c r="AB115" s="2"/>
      <c r="AC115" s="4" t="s">
        <v>1006</v>
      </c>
      <c r="AD115" s="8" t="str">
        <f>IF(ISBLANK(input_wld_rack8_en_asn),"Value Missing",input_wld_rack8_en_asn)</f>
        <v>Value Missing</v>
      </c>
      <c r="AG115" s="36"/>
      <c r="AH115" s="36"/>
      <c r="AI115" s="36"/>
      <c r="AJ115" s="36"/>
    </row>
    <row r="116" spans="2:36" s="2" customFormat="1" ht="20" customHeight="1" x14ac:dyDescent="0.2">
      <c r="E116" s="4" t="s">
        <v>163</v>
      </c>
      <c r="F116" s="8" t="str">
        <f>IF(ISBLANK(input_mgmt_az1_tor1_peer_ip),"Value Missing",input_mgmt_az1_tor1_peer_ip)</f>
        <v>Value Missing</v>
      </c>
      <c r="H116" s="4" t="s">
        <v>163</v>
      </c>
      <c r="I116" s="8" t="str">
        <f>IF(ISBLANK(input_wld_az1_tor1_peer_ip),"Value Missing",input_wld_az1_tor1_peer_ip)</f>
        <v>Value Missing</v>
      </c>
      <c r="K116" s="4" t="s">
        <v>163</v>
      </c>
      <c r="L116" s="8" t="str">
        <f>IF(ISBLANK(input_wld_az1_rack2_tor1_peer_ip),"Value Missing",input_wld_az1_rack2_tor1_peer_ip)</f>
        <v>Value Missing</v>
      </c>
      <c r="N116" s="4" t="s">
        <v>163</v>
      </c>
      <c r="O116" s="8" t="str">
        <f>IF(ISBLANK(input_wld_az1_rack3_tor1_peer_ip),"Value Missing",input_wld_az1_rack3_tor1_peer_ip)</f>
        <v>Value Missing</v>
      </c>
      <c r="Q116" s="4" t="s">
        <v>163</v>
      </c>
      <c r="R116" s="8" t="str">
        <f>IF(ISBLANK(input_wld_az1_rack4_tor1_peer_ip),"Value Missing",input_wld_az1_rack4_tor1_peer_ip)</f>
        <v>Value Missing</v>
      </c>
      <c r="T116" s="4" t="s">
        <v>163</v>
      </c>
      <c r="U116" s="8" t="str">
        <f>IF(ISBLANK(input_wld_az1_rack5_tor1_peer_ip),"Value Missing",input_wld_az1_rack5_tor1_peer_ip)</f>
        <v>Value Missing</v>
      </c>
      <c r="W116" s="4" t="s">
        <v>163</v>
      </c>
      <c r="X116" s="8" t="str">
        <f>IF(ISBLANK(input_wld_az1_rack6_tor1_peer_ip),"Value Missing",input_wld_az1_rack6_tor1_peer_ip)</f>
        <v>Value Missing</v>
      </c>
      <c r="Z116" s="4" t="s">
        <v>163</v>
      </c>
      <c r="AA116" s="8" t="str">
        <f>IF(ISBLANK(input_wld_az1_rack7_tor1_peer_ip),"Value Missing",input_wld_az1_rack7_tor1_peer_ip)</f>
        <v>Value Missing</v>
      </c>
      <c r="AC116" s="4" t="s">
        <v>163</v>
      </c>
      <c r="AD116" s="8" t="str">
        <f>IF(ISBLANK(input_wld_az1_rack8_tor1_peer_ip),"Value Missing",input_wld_az1_rack8_tor1_peer_ip)</f>
        <v>Value Missing</v>
      </c>
      <c r="AG116" s="9"/>
      <c r="AH116" s="9"/>
      <c r="AI116" s="9"/>
      <c r="AJ116" s="9"/>
    </row>
    <row r="117" spans="2:36" s="2" customFormat="1" ht="20" customHeight="1" x14ac:dyDescent="0.2">
      <c r="E117" s="4" t="s">
        <v>164</v>
      </c>
      <c r="F117" s="8" t="str">
        <f>IF(ISBLANK(input_mgmt_az1_tor1_peer_asn),"Value Missing",input_mgmt_az1_tor1_peer_asn)</f>
        <v>Value Missing</v>
      </c>
      <c r="H117" s="4" t="s">
        <v>164</v>
      </c>
      <c r="I117" s="8" t="str">
        <f>IF(ISBLANK(input_wld_az1_tor1_peer_asn),"Value Missing",input_wld_az1_tor1_peer_asn)</f>
        <v>Value Missing</v>
      </c>
      <c r="K117" s="4" t="s">
        <v>164</v>
      </c>
      <c r="L117" s="8" t="str">
        <f>IF(ISBLANK(input_wld_az1_rack2_tor1_peer_asn),"Value Missing",input_wld_az1_rack2_tor1_peer_asn)</f>
        <v>Value Missing</v>
      </c>
      <c r="N117" s="4" t="s">
        <v>164</v>
      </c>
      <c r="O117" s="8" t="str">
        <f>IF(ISBLANK(input_wld_az1_rack3_tor1_peer_asn),"Value Missing",input_wld_az1_rack3_tor1_peer_asn)</f>
        <v>Value Missing</v>
      </c>
      <c r="Q117" s="4" t="s">
        <v>164</v>
      </c>
      <c r="R117" s="8" t="str">
        <f>IF(ISBLANK(input_wld_az1_rack4_tor1_peer_asn),"Value Missing",input_wld_az1_rack4_tor1_peer_asn)</f>
        <v>Value Missing</v>
      </c>
      <c r="T117" s="4" t="s">
        <v>164</v>
      </c>
      <c r="U117" s="8" t="str">
        <f>IF(ISBLANK(input_wld_az1_rack5_tor1_peer_asn),"Value Missing",input_wld_az1_rack5_tor1_peer_asn)</f>
        <v>Value Missing</v>
      </c>
      <c r="W117" s="4" t="s">
        <v>164</v>
      </c>
      <c r="X117" s="8" t="str">
        <f>IF(ISBLANK(input_wld_az1_rack6_tor1_peer_asn),"Value Missing",input_wld_az1_rack6_tor1_peer_asn)</f>
        <v>Value Missing</v>
      </c>
      <c r="Z117" s="4" t="s">
        <v>164</v>
      </c>
      <c r="AA117" s="8" t="str">
        <f>IF(ISBLANK(input_wld_az1_rack7_tor1_peer_asn),"Value Missing",input_wld_az1_rack7_tor1_peer_asn)</f>
        <v>Value Missing</v>
      </c>
      <c r="AC117" s="4" t="s">
        <v>164</v>
      </c>
      <c r="AD117" s="8" t="str">
        <f>IF(ISBLANK(input_wld_az1_rack8_tor1_peer_asn),"Value Missing",input_wld_az1_rack8_tor1_peer_asn)</f>
        <v>Value Missing</v>
      </c>
      <c r="AG117" s="9"/>
      <c r="AH117" s="9"/>
      <c r="AI117" s="9"/>
      <c r="AJ117" s="9"/>
    </row>
    <row r="118" spans="2:36" s="2" customFormat="1" ht="20" customHeight="1" x14ac:dyDescent="0.2">
      <c r="E118" s="4" t="s">
        <v>165</v>
      </c>
      <c r="F118" s="8" t="str">
        <f>IF(ISBLANK(input_mgmt_az1_tor1_peer_bgp_password),"Value Missing",input_mgmt_az1_tor1_peer_bgp_password)</f>
        <v>Value Missing</v>
      </c>
      <c r="G118" s="21"/>
      <c r="H118" s="4" t="s">
        <v>165</v>
      </c>
      <c r="I118" s="8" t="str">
        <f>IF(ISBLANK(input_wld_az1_tor1_peer_bgp_password),"Value Missing",input_wld_az1_tor1_peer_bgp_password)</f>
        <v>Value Missing</v>
      </c>
      <c r="J118" s="21"/>
      <c r="K118" s="4" t="s">
        <v>165</v>
      </c>
      <c r="L118" s="8" t="str">
        <f>IF(ISBLANK(input_wld_az1_rack2_tor1_peer_bgp_password),"Value Missing",input_wld_az1_rack2_tor1_peer_bgp_password)</f>
        <v>Value Missing</v>
      </c>
      <c r="N118" s="4" t="s">
        <v>165</v>
      </c>
      <c r="O118" s="8" t="str">
        <f>IF(ISBLANK(input_wld_az1_rack3_tor1_peer_bgp_password),"Value Missing",input_wld_az1_rack3_tor1_peer_bgp_password)</f>
        <v>Value Missing</v>
      </c>
      <c r="Q118" s="4" t="s">
        <v>165</v>
      </c>
      <c r="R118" s="8" t="str">
        <f>IF(ISBLANK(input_wld_az1_rack4_tor1_peer_bgp_password),"Value Missing",input_wld_az1_rack4_tor1_peer_bgp_password)</f>
        <v>Value Missing</v>
      </c>
      <c r="T118" s="4" t="s">
        <v>165</v>
      </c>
      <c r="U118" s="8" t="str">
        <f>IF(ISBLANK(input_wld_az1_rack5_tor1_peer_bgp_password),"Value Missing",input_wld_az1_rack5_tor1_peer_bgp_password)</f>
        <v>Value Missing</v>
      </c>
      <c r="W118" s="4" t="s">
        <v>165</v>
      </c>
      <c r="X118" s="8" t="str">
        <f>IF(ISBLANK(input_wld_az1_rack6_tor1_peer_bgp_password),"Value Missing",input_wld_az1_rack6_tor1_peer_bgp_password)</f>
        <v>Value Missing</v>
      </c>
      <c r="Z118" s="4" t="s">
        <v>165</v>
      </c>
      <c r="AA118" s="8" t="str">
        <f>IF(ISBLANK(input_wld_az1_rack7_tor1_peer_bgp_password),"Value Missing",input_wld_az1_rack7_tor1_peer_bgp_password)</f>
        <v>Value Missing</v>
      </c>
      <c r="AC118" s="4" t="s">
        <v>165</v>
      </c>
      <c r="AD118" s="8" t="str">
        <f>IF(ISBLANK(input_wld_az1_rack8_tor1_peer_bgp_password),"Value Missing",input_wld_az1_rack8_tor1_peer_bgp_password)</f>
        <v>Value Missing</v>
      </c>
      <c r="AG118" s="9"/>
      <c r="AH118" s="9"/>
      <c r="AI118" s="9"/>
      <c r="AJ118" s="9"/>
    </row>
    <row r="119" spans="2:36" s="2" customFormat="1" ht="20" customHeight="1" x14ac:dyDescent="0.2">
      <c r="E119" s="4" t="s">
        <v>166</v>
      </c>
      <c r="F119" s="8" t="str">
        <f>IF(ISBLANK(input_mgmt_az1_tor2_peer_ip),"Value Missing",input_mgmt_az1_tor2_peer_ip)</f>
        <v>Value Missing</v>
      </c>
      <c r="H119" s="4" t="s">
        <v>166</v>
      </c>
      <c r="I119" s="8" t="str">
        <f>IF(ISBLANK(input_wld_az1_tor2_peer_ip),"Value Missing",input_wld_az1_tor2_peer_ip)</f>
        <v>Value Missing</v>
      </c>
      <c r="K119" s="4" t="s">
        <v>166</v>
      </c>
      <c r="L119" s="8" t="str">
        <f>IF(ISBLANK(input_wld_az1_rack2_tor2_peer_ip),"Value Missing",input_wld_az1_rack2_tor2_peer_ip)</f>
        <v>Value Missing</v>
      </c>
      <c r="M119" s="21"/>
      <c r="N119" s="4" t="s">
        <v>166</v>
      </c>
      <c r="O119" s="8" t="str">
        <f>IF(ISBLANK(input_wld_az1_rack3_tor2_peer_ip),"Value Missing",input_wld_az1_rack3_tor2_peer_ip)</f>
        <v>Value Missing</v>
      </c>
      <c r="Q119" s="4" t="s">
        <v>166</v>
      </c>
      <c r="R119" s="8" t="str">
        <f>IF(ISBLANK(input_wld_az1_rack4_tor2_peer_ip),"Value Missing",input_wld_az1_rack4_tor2_peer_ip)</f>
        <v>Value Missing</v>
      </c>
      <c r="T119" s="4" t="s">
        <v>166</v>
      </c>
      <c r="U119" s="8" t="str">
        <f>IF(ISBLANK(input_wld_az1_rack5_tor2_peer_ip),"Value Missing",input_wld_az1_rack5_tor2_peer_ip)</f>
        <v>Value Missing</v>
      </c>
      <c r="W119" s="4" t="s">
        <v>166</v>
      </c>
      <c r="X119" s="8" t="str">
        <f>IF(ISBLANK(input_wld_az1_rack6_tor2_peer_ip),"Value Missing",input_wld_az1_rack6_tor2_peer_ip)</f>
        <v>Value Missing</v>
      </c>
      <c r="Z119" s="4" t="s">
        <v>166</v>
      </c>
      <c r="AA119" s="8" t="str">
        <f>IF(ISBLANK(input_wld_az1_rack7_tor2_peer_ip),"Value Missing",input_wld_az1_rack7_tor2_peer_ip)</f>
        <v>Value Missing</v>
      </c>
      <c r="AC119" s="4" t="s">
        <v>166</v>
      </c>
      <c r="AD119" s="8" t="str">
        <f>IF(ISBLANK(input_wld_az1_rack8_tor2_peer_ip),"Value Missing",input_wld_az1_rack8_tor2_peer_ip)</f>
        <v>Value Missing</v>
      </c>
      <c r="AG119" s="9"/>
      <c r="AH119" s="9"/>
      <c r="AI119" s="9"/>
      <c r="AJ119" s="9"/>
    </row>
    <row r="120" spans="2:36" s="2" customFormat="1" ht="20" customHeight="1" x14ac:dyDescent="0.2">
      <c r="E120" s="4" t="s">
        <v>167</v>
      </c>
      <c r="F120" s="8" t="str">
        <f>IF(ISBLANK(input_mgmt_az1_tor2_peer_asn),"Value Missing",input_mgmt_az1_tor2_peer_asn)</f>
        <v>Value Missing</v>
      </c>
      <c r="H120" s="4" t="s">
        <v>167</v>
      </c>
      <c r="I120" s="8" t="str">
        <f>IF(ISBLANK(input_wld_az1_tor2_peer_asn),"Value Missing",input_wld_az1_tor2_peer_asn)</f>
        <v>Value Missing</v>
      </c>
      <c r="K120" s="4" t="s">
        <v>167</v>
      </c>
      <c r="L120" s="8" t="str">
        <f>IF(ISBLANK(input_wld_az1_rack2_tor2_peer_asn),"Value Missing",input_wld_az1_rack2_tor2_peer_asn)</f>
        <v>Value Missing</v>
      </c>
      <c r="N120" s="4" t="s">
        <v>167</v>
      </c>
      <c r="O120" s="8" t="str">
        <f>IF(ISBLANK(input_wld_az1_rack3_tor2_peer_asn),"Value Missing",input_wld_az1_rack3_tor2_peer_asn)</f>
        <v>Value Missing</v>
      </c>
      <c r="Q120" s="4" t="s">
        <v>167</v>
      </c>
      <c r="R120" s="8" t="str">
        <f>IF(ISBLANK(input_wld_az1_rack4_tor2_peer_asn),"Value Missing",input_wld_az1_rack4_tor2_peer_asn)</f>
        <v>Value Missing</v>
      </c>
      <c r="T120" s="4" t="s">
        <v>167</v>
      </c>
      <c r="U120" s="8" t="str">
        <f>IF(ISBLANK(input_wld_az1_rack5_tor2_peer_asn),"Value Missing",input_wld_az1_rack5_tor2_peer_asn)</f>
        <v>Value Missing</v>
      </c>
      <c r="W120" s="4" t="s">
        <v>167</v>
      </c>
      <c r="X120" s="8" t="str">
        <f>IF(ISBLANK(input_wld_az1_rack6_tor2_peer_asn),"Value Missing",input_wld_az1_rack6_tor2_peer_asn)</f>
        <v>Value Missing</v>
      </c>
      <c r="Z120" s="4" t="s">
        <v>167</v>
      </c>
      <c r="AA120" s="8" t="str">
        <f>IF(ISBLANK(input_wld_az1_rack7_tor2_peer_asn),"Value Missing",input_wld_az1_rack7_tor2_peer_asn)</f>
        <v>Value Missing</v>
      </c>
      <c r="AC120" s="4" t="s">
        <v>167</v>
      </c>
      <c r="AD120" s="8" t="str">
        <f>IF(ISBLANK(input_wld_az1_rack8_tor2_peer_asn),"Value Missing",input_wld_az1_rack8_tor2_peer_asn)</f>
        <v>Value Missing</v>
      </c>
      <c r="AG120" s="9"/>
      <c r="AH120" s="9"/>
      <c r="AI120" s="9"/>
      <c r="AJ120" s="9"/>
    </row>
    <row r="121" spans="2:36" s="7" customFormat="1" ht="20" customHeight="1" x14ac:dyDescent="0.2">
      <c r="B121" s="2"/>
      <c r="C121" s="2"/>
      <c r="E121" s="4" t="s">
        <v>168</v>
      </c>
      <c r="F121" s="8" t="str">
        <f>IF(ISBLANK(input_mgmt_az1_tor2_peer_bgp_password),"Value Missing",input_mgmt_az1_tor2_peer_bgp_password)</f>
        <v>Value Missing</v>
      </c>
      <c r="G121" s="2"/>
      <c r="H121" s="4" t="s">
        <v>168</v>
      </c>
      <c r="I121" s="8" t="str">
        <f>IF(ISBLANK(input_wld_az1_tor2_peer_bgp_password),"Value Missing",input_wld_az1_tor2_peer_bgp_password)</f>
        <v>Value Missing</v>
      </c>
      <c r="J121" s="2"/>
      <c r="K121" s="4" t="s">
        <v>168</v>
      </c>
      <c r="L121" s="8" t="str">
        <f>IF(ISBLANK(input_wld_az1_rack2_tor2_peer_bgp_password),"Value Missing",input_wld_az1_rack2_tor2_peer_bgp_password)</f>
        <v>Value Missing</v>
      </c>
      <c r="M121" s="2"/>
      <c r="N121" s="4" t="s">
        <v>168</v>
      </c>
      <c r="O121" s="8" t="str">
        <f>IF(ISBLANK(input_wld_az1_rack3_tor2_peer_bgp_password),"Value Missing",input_wld_az1_rack3_tor2_peer_bgp_password)</f>
        <v>Value Missing</v>
      </c>
      <c r="P121" s="2"/>
      <c r="Q121" s="4" t="s">
        <v>168</v>
      </c>
      <c r="R121" s="8" t="str">
        <f>IF(ISBLANK(input_wld_az1_rack4_tor2_peer_bgp_password),"Value Missing",input_wld_az1_rack4_tor2_peer_bgp_password)</f>
        <v>Value Missing</v>
      </c>
      <c r="S121" s="2"/>
      <c r="T121" s="4" t="s">
        <v>168</v>
      </c>
      <c r="U121" s="8" t="str">
        <f>IF(ISBLANK(input_wld_az1_rack5_tor2_peer_bgp_password),"Value Missing",input_wld_az1_rack5_tor2_peer_bgp_password)</f>
        <v>Value Missing</v>
      </c>
      <c r="V121" s="2"/>
      <c r="W121" s="4" t="s">
        <v>168</v>
      </c>
      <c r="X121" s="8" t="str">
        <f>IF(ISBLANK(input_wld_az1_rack6_tor2_peer_bgp_password),"Value Missing",input_wld_az1_rack6_tor2_peer_bgp_password)</f>
        <v>Value Missing</v>
      </c>
      <c r="Y121" s="2"/>
      <c r="Z121" s="4" t="s">
        <v>168</v>
      </c>
      <c r="AA121" s="8" t="str">
        <f>IF(ISBLANK(input_wld_az1_rack7_tor2_peer_bgp_password),"Value Missing",input_wld_az1_rack7_tor2_peer_bgp_password)</f>
        <v>Value Missing</v>
      </c>
      <c r="AB121" s="2"/>
      <c r="AC121" s="4" t="s">
        <v>168</v>
      </c>
      <c r="AD121" s="8" t="str">
        <f>IF(ISBLANK(input_wld_az1_rack8_tor2_peer_bgp_password),"Value Missing",input_wld_az1_rack8_tor2_peer_bgp_password)</f>
        <v>Value Missing</v>
      </c>
      <c r="AG121" s="9"/>
      <c r="AH121" s="9"/>
      <c r="AI121" s="25"/>
      <c r="AJ121" s="25"/>
    </row>
    <row r="122" spans="2:36" s="2" customFormat="1" ht="20" customHeight="1" x14ac:dyDescent="0.2">
      <c r="I122" s="3"/>
      <c r="L122" s="3"/>
      <c r="O122" s="3"/>
      <c r="R122" s="3"/>
      <c r="U122" s="3"/>
      <c r="X122" s="3"/>
      <c r="AA122" s="3"/>
      <c r="AD122" s="3"/>
      <c r="AG122" s="9"/>
      <c r="AH122" s="9"/>
    </row>
    <row r="123" spans="2:36" s="2" customFormat="1" ht="20" customHeight="1" x14ac:dyDescent="0.2">
      <c r="E123" s="14" t="s">
        <v>1124</v>
      </c>
      <c r="F123" s="15"/>
      <c r="H123" s="14" t="s">
        <v>1125</v>
      </c>
      <c r="I123" s="15"/>
      <c r="K123" s="14" t="s">
        <v>1126</v>
      </c>
      <c r="L123" s="15"/>
      <c r="N123" s="14" t="s">
        <v>1127</v>
      </c>
      <c r="O123" s="15"/>
      <c r="Q123" s="14" t="s">
        <v>1128</v>
      </c>
      <c r="R123" s="15"/>
      <c r="T123" s="14" t="s">
        <v>1129</v>
      </c>
      <c r="U123" s="15"/>
      <c r="W123" s="14" t="s">
        <v>1130</v>
      </c>
      <c r="X123" s="15"/>
      <c r="Z123" s="14" t="s">
        <v>1131</v>
      </c>
      <c r="AA123" s="15"/>
      <c r="AC123" s="14" t="s">
        <v>1132</v>
      </c>
      <c r="AD123" s="15"/>
      <c r="AG123" s="9"/>
      <c r="AH123" s="9"/>
    </row>
    <row r="124" spans="2:36" s="2" customFormat="1" ht="20" customHeight="1" x14ac:dyDescent="0.2">
      <c r="E124" s="17" t="s">
        <v>250</v>
      </c>
      <c r="F124" s="20" t="s">
        <v>1021</v>
      </c>
      <c r="H124" s="17" t="s">
        <v>250</v>
      </c>
      <c r="I124" s="20" t="s">
        <v>1021</v>
      </c>
      <c r="K124" s="17" t="s">
        <v>250</v>
      </c>
      <c r="L124" s="20" t="s">
        <v>1021</v>
      </c>
      <c r="N124" s="17" t="s">
        <v>250</v>
      </c>
      <c r="O124" s="20" t="s">
        <v>1021</v>
      </c>
      <c r="P124" s="21"/>
      <c r="Q124" s="17" t="s">
        <v>250</v>
      </c>
      <c r="R124" s="20" t="s">
        <v>1021</v>
      </c>
      <c r="S124" s="21"/>
      <c r="T124" s="17" t="s">
        <v>250</v>
      </c>
      <c r="U124" s="20" t="s">
        <v>1021</v>
      </c>
      <c r="V124" s="21"/>
      <c r="W124" s="17" t="s">
        <v>250</v>
      </c>
      <c r="X124" s="20" t="s">
        <v>1021</v>
      </c>
      <c r="Y124" s="21"/>
      <c r="Z124" s="17" t="s">
        <v>250</v>
      </c>
      <c r="AA124" s="20" t="s">
        <v>1021</v>
      </c>
      <c r="AB124" s="21"/>
      <c r="AC124" s="17" t="s">
        <v>250</v>
      </c>
      <c r="AD124" s="20" t="s">
        <v>1021</v>
      </c>
      <c r="AG124" s="9"/>
      <c r="AH124" s="9"/>
    </row>
    <row r="125" spans="2:36" s="2" customFormat="1" ht="20" customHeight="1" x14ac:dyDescent="0.2">
      <c r="E125" s="4" t="s">
        <v>1024</v>
      </c>
      <c r="F125" s="8" t="str">
        <f>IF(ISBLANK(input_mgmt_cl01_az1_mgmt_vm_pg),"Value Missing",input_mgmt_cl01_az1_mgmt_vm_pg)</f>
        <v>Value Missing</v>
      </c>
      <c r="H125" s="4" t="s">
        <v>1024</v>
      </c>
      <c r="I125" s="8" t="str">
        <f>IF(ISBLANK(input_wld_cl01_az1_mgmt_vm_pg),"Value Missing",input_wld_cl01_az1_mgmt_vm_pg)</f>
        <v>Value Missing</v>
      </c>
      <c r="K125" s="4" t="s">
        <v>1024</v>
      </c>
      <c r="L125" s="8" t="str">
        <f>CONCATENATE(input_wld_cl01_az1_mgmt_vm_pg,"_VLAN_",wld_az1_rack2_mgmt_vm_vlan)</f>
        <v>_VLAN_Value Missing</v>
      </c>
      <c r="N125" s="4" t="s">
        <v>1024</v>
      </c>
      <c r="O125" s="8" t="str">
        <f>CONCATENATE(input_wld_cl01_az1_mgmt_vm_pg,"_VLAN_",wld_az1_rack3_mgmt_vm_vlan)</f>
        <v>_VLAN_Value Missing</v>
      </c>
      <c r="Q125" s="4" t="s">
        <v>1024</v>
      </c>
      <c r="R125" s="8" t="str">
        <f>CONCATENATE(input_wld_cl01_az1_mgmt_vm_pg,"_VLAN_",wld_az1_rack4_mgmt_vm_vlan)</f>
        <v>_VLAN_Value Missing</v>
      </c>
      <c r="T125" s="4" t="s">
        <v>1024</v>
      </c>
      <c r="U125" s="8" t="str">
        <f>CONCATENATE(input_wld_cl01_az1_mgmt_vm_pg,"_VLAN_",wld_az1_rack5_mgmt_vm_vlan)</f>
        <v>_VLAN_Value Missing</v>
      </c>
      <c r="W125" s="4" t="s">
        <v>1024</v>
      </c>
      <c r="X125" s="8" t="str">
        <f>CONCATENATE(input_wld_cl01_az1_mgmt_vm_pg,"_VLAN_",wld_az1_rack6_mgmt_vm_vlan)</f>
        <v>_VLAN_Value Missing</v>
      </c>
      <c r="Z125" s="4" t="s">
        <v>1024</v>
      </c>
      <c r="AA125" s="8" t="str">
        <f>CONCATENATE(input_wld_cl01_az1_mgmt_vm_pg,"_VLAN_",wld_az1_rack7_mgmt_vm_vlan)</f>
        <v>_VLAN_Value Missing</v>
      </c>
      <c r="AC125" s="4" t="s">
        <v>1024</v>
      </c>
      <c r="AD125" s="8" t="str">
        <f>CONCATENATE(input_wld_cl01_az1_mgmt_vm_pg,"_VLAN_",wld_az1_rack8_mgmt_vm_vlan)</f>
        <v>_VLAN_Value Missing</v>
      </c>
      <c r="AG125" s="9"/>
      <c r="AH125" s="9"/>
    </row>
    <row r="126" spans="2:36" s="2" customFormat="1" ht="20" customHeight="1" x14ac:dyDescent="0.2">
      <c r="E126" s="4" t="s">
        <v>1026</v>
      </c>
      <c r="F126" s="8" t="str">
        <f>IF(ISBLANK(input_mgmt_cl01_az1_mgmt_pg),"Value Missing",input_mgmt_cl01_az1_mgmt_pg)</f>
        <v>Value Missing</v>
      </c>
      <c r="H126" s="4" t="s">
        <v>1026</v>
      </c>
      <c r="I126" s="8" t="str">
        <f>IF(ISBLANK(input_wld_cl01_az1_mgmt_pg),"Value Missing",input_wld_cl01_az1_mgmt_pg)</f>
        <v>Value Missing</v>
      </c>
      <c r="K126" s="4" t="s">
        <v>1026</v>
      </c>
      <c r="L126" s="26" t="str">
        <f>CONCATENATE(input_wld_cl01_az1_mgmt_pg,"_VLAN_",wld_az1_rack2_mgmt_vlan)</f>
        <v>_VLAN_Value Missing</v>
      </c>
      <c r="N126" s="4" t="s">
        <v>1026</v>
      </c>
      <c r="O126" s="8" t="str">
        <f>CONCATENATE(input_wld_cl01_az1_mgmt_pg,"_VLAN_",wld_az1_rack3_mgmt_vlan)</f>
        <v>_VLAN_Value Missing</v>
      </c>
      <c r="Q126" s="4" t="s">
        <v>1026</v>
      </c>
      <c r="R126" s="8" t="str">
        <f>CONCATENATE(input_wld_cl01_az1_mgmt_pg,"_VLAN_",wld_az1_rack4_mgmt_vlan)</f>
        <v>_VLAN_Value Missing</v>
      </c>
      <c r="T126" s="4" t="s">
        <v>1026</v>
      </c>
      <c r="U126" s="8" t="str">
        <f>CONCATENATE(input_wld_cl01_az1_mgmt_pg,"_VLAN_",wld_az1_rack5_mgmt_vlan)</f>
        <v>_VLAN_Value Missing</v>
      </c>
      <c r="W126" s="4" t="s">
        <v>1026</v>
      </c>
      <c r="X126" s="8" t="str">
        <f>CONCATENATE(input_wld_cl01_az1_mgmt_pg,"_VLAN_",wld_az1_rack6_mgmt_vlan)</f>
        <v>_VLAN_Value Missing</v>
      </c>
      <c r="Z126" s="4" t="s">
        <v>1026</v>
      </c>
      <c r="AA126" s="8" t="str">
        <f>CONCATENATE(input_wld_cl01_az1_mgmt_pg,"_VLAN_",wld_az1_rack7_mgmt_vlan)</f>
        <v>_VLAN_Value Missing</v>
      </c>
      <c r="AC126" s="4" t="s">
        <v>1026</v>
      </c>
      <c r="AD126" s="8" t="str">
        <f>CONCATENATE(input_wld_cl01_az1_mgmt_pg,"_VLAN_",wld_az1_rack8_mgmt_vlan)</f>
        <v>_VLAN_Value Missing</v>
      </c>
      <c r="AG126" s="9"/>
      <c r="AH126" s="9"/>
    </row>
    <row r="127" spans="2:36" s="2" customFormat="1" ht="20" customHeight="1" x14ac:dyDescent="0.2">
      <c r="E127" s="4" t="s">
        <v>240</v>
      </c>
      <c r="F127" s="8" t="str">
        <f>IF(ISBLANK(input_mgmt_cl01_az1_vmotion_pg),"Value Missing",input_mgmt_cl01_az1_vmotion_pg)</f>
        <v>Value Missing</v>
      </c>
      <c r="H127" s="4" t="s">
        <v>240</v>
      </c>
      <c r="I127" s="8" t="str">
        <f>IF(ISBLANK(input_wld_cl01_az1_vmotion_pg),"Value Missing",input_wld_cl01_az1_vmotion_pg)</f>
        <v>Value Missing</v>
      </c>
      <c r="K127" s="4" t="s">
        <v>240</v>
      </c>
      <c r="L127" s="8" t="str">
        <f>CONCATENATE(input_wld_cl01_az1_vmotion_pg,"_VLAN_",wld_az1_rack2_vmotion_vlan)</f>
        <v>_VLAN_Value Missing</v>
      </c>
      <c r="N127" s="4" t="s">
        <v>240</v>
      </c>
      <c r="O127" s="8" t="str">
        <f>CONCATENATE(input_wld_cl01_az1_vmotion_pg,"_VLAN_",wld_az1_rack3_vmotion_vlan)</f>
        <v>_VLAN_Value Missing</v>
      </c>
      <c r="Q127" s="4" t="s">
        <v>240</v>
      </c>
      <c r="R127" s="8" t="str">
        <f>CONCATENATE(input_wld_cl01_az1_vmotion_pg,"_VLAN_",wld_az1_rack4_vmotion_vlan)</f>
        <v>_VLAN_Value Missing</v>
      </c>
      <c r="T127" s="4" t="s">
        <v>240</v>
      </c>
      <c r="U127" s="8" t="str">
        <f>CONCATENATE(input_wld_cl01_az1_vmotion_pg,"_VLAN_",wld_az1_rack5_vmotion_vlan)</f>
        <v>_VLAN_Value Missing</v>
      </c>
      <c r="W127" s="4" t="s">
        <v>240</v>
      </c>
      <c r="X127" s="8" t="str">
        <f>CONCATENATE(input_wld_cl01_az1_vmotion_pg,"_VLAN_",wld_az1_rack6_vmotion_vlan)</f>
        <v>_VLAN_Value Missing</v>
      </c>
      <c r="Z127" s="4" t="s">
        <v>240</v>
      </c>
      <c r="AA127" s="8" t="str">
        <f>CONCATENATE(input_wld_cl01_az1_vmotion_pg,"_VLAN_",wld_az1_rack7_vmotion_vlan)</f>
        <v>_VLAN_Value Missing</v>
      </c>
      <c r="AC127" s="4" t="s">
        <v>240</v>
      </c>
      <c r="AD127" s="8" t="str">
        <f>CONCATENATE(input_wld_cl01_az1_vmotion_pg,"_VLAN_",wld_az1_rack8_vmotion_vlan)</f>
        <v>_VLAN_Value Missing</v>
      </c>
      <c r="AG127" s="9"/>
      <c r="AH127" s="9"/>
    </row>
    <row r="128" spans="2:36" s="2" customFormat="1" ht="20" customHeight="1" x14ac:dyDescent="0.2">
      <c r="E128" s="4" t="s">
        <v>246</v>
      </c>
      <c r="F128" s="8" t="str">
        <f>IF(ISBLANK(input_mgmt_cl01_az1_vsan_pg),"Value Missing",input_mgmt_cl01_az1_vsan_pg)</f>
        <v>Value Missing</v>
      </c>
      <c r="H128" s="4" t="s">
        <v>246</v>
      </c>
      <c r="I128" s="8" t="str">
        <f>IF(ISBLANK(input_wld_cl01_az1_principal_storage_pg),"Value Missing",input_wld_cl01_az1_principal_storage_pg)</f>
        <v>Value Missing</v>
      </c>
      <c r="K128" s="4" t="s">
        <v>246</v>
      </c>
      <c r="L128" s="8" t="str">
        <f>CONCATENATE(input_wld_cl01_az1_principal_storage_pg,"_VLAN_",wld_az1_rack2_principal_storage_vlan)</f>
        <v>_VLAN_Value Missing</v>
      </c>
      <c r="N128" s="4" t="s">
        <v>246</v>
      </c>
      <c r="O128" s="8" t="str">
        <f>CONCATENATE(input_wld_cl01_az1_principal_storage_pg,"_VLAN_",wld_az1_rack3_principal_storage_vlan)</f>
        <v>_VLAN_Value Missing</v>
      </c>
      <c r="Q128" s="4" t="s">
        <v>246</v>
      </c>
      <c r="R128" s="8" t="str">
        <f>CONCATENATE(input_wld_cl01_az1_principal_storage_pg,"_VLAN_",wld_az1_rack4_principal_storage_vlan)</f>
        <v>_VLAN_Value Missing</v>
      </c>
      <c r="T128" s="4" t="s">
        <v>246</v>
      </c>
      <c r="U128" s="8" t="str">
        <f>CONCATENATE(input_wld_cl01_az1_principal_storage_pg,"_VLAN_",wld_az1_rack5_principal_storage_vlan)</f>
        <v>_VLAN_Value Missing</v>
      </c>
      <c r="W128" s="4" t="s">
        <v>246</v>
      </c>
      <c r="X128" s="8" t="str">
        <f>CONCATENATE(input_wld_cl01_az1_principal_storage_pg,"_VLAN_",wld_az1_rack6_principal_storage_vlan)</f>
        <v>_VLAN_Value Missing</v>
      </c>
      <c r="Z128" s="4" t="s">
        <v>246</v>
      </c>
      <c r="AA128" s="8" t="str">
        <f>CONCATENATE(input_wld_cl01_az1_principal_storage_pg,"_VLAN_",wld_az1_rack7_principal_storage_vlan)</f>
        <v>_VLAN_Value Missing</v>
      </c>
      <c r="AC128" s="4" t="s">
        <v>246</v>
      </c>
      <c r="AD128" s="8" t="str">
        <f>CONCATENATE(input_wld_cl01_az1_principal_storage_pg,"_VLAN_",wld_az1_rack8_principal_storage_vlan)</f>
        <v>_VLAN_Value Missing</v>
      </c>
      <c r="AG128" s="9"/>
      <c r="AH128" s="9"/>
    </row>
    <row r="129" spans="2:34" s="2" customFormat="1" ht="20" customHeight="1" x14ac:dyDescent="0.2">
      <c r="E129" s="4" t="s">
        <v>1030</v>
      </c>
      <c r="F129" s="8" t="s">
        <v>578</v>
      </c>
      <c r="H129" s="4" t="s">
        <v>1030</v>
      </c>
      <c r="I129" s="8" t="s">
        <v>578</v>
      </c>
      <c r="K129" s="4" t="s">
        <v>1035</v>
      </c>
      <c r="L129" s="8" t="str">
        <f>CONCATENATE(input_wld_cl01_az1_uplink01_pg,"_VLAN_",wld_az1_rack2_uplink01_vlan)</f>
        <v>_VLAN_Value Missing</v>
      </c>
      <c r="N129" s="4" t="s">
        <v>1035</v>
      </c>
      <c r="O129" s="8" t="str">
        <f>CONCATENATE(input_wld_cl01_az1_uplink01_pg,"_VLAN_",wld_az1_rack3_uplink01_vlan)</f>
        <v>_VLAN_Value Missing</v>
      </c>
      <c r="Q129" s="4" t="s">
        <v>1035</v>
      </c>
      <c r="R129" s="8" t="str">
        <f>CONCATENATE(input_wld_cl01_az1_uplink01_pg,"_VLAN_",wld_az1_rack4_uplink01_vlan)</f>
        <v>_VLAN_Value Missing</v>
      </c>
      <c r="T129" s="4" t="s">
        <v>1035</v>
      </c>
      <c r="U129" s="8" t="str">
        <f>CONCATENATE(input_wld_cl01_az1_uplink01_pg,"_VLAN_",wld_az1_rack5_uplink01_vlan)</f>
        <v>_VLAN_Value Missing</v>
      </c>
      <c r="W129" s="4" t="s">
        <v>1035</v>
      </c>
      <c r="X129" s="8" t="str">
        <f>CONCATENATE(input_wld_cl01_az1_uplink01_pg,"_VLAN_",wld_az1_rack6_uplink01_vlan)</f>
        <v>_VLAN_Value Missing</v>
      </c>
      <c r="Z129" s="4" t="s">
        <v>1035</v>
      </c>
      <c r="AA129" s="8" t="str">
        <f>CONCATENATE(input_wld_cl01_az1_uplink01_pg,"_VLAN_",wld_az1_rack7_uplink01_vlan)</f>
        <v>_VLAN_Value Missing</v>
      </c>
      <c r="AC129" s="4" t="s">
        <v>1035</v>
      </c>
      <c r="AD129" s="8" t="str">
        <f>CONCATENATE(input_wld_cl01_az1_uplink01_pg,"_VLAN_",wld_az1_rack8_uplink01_vlan)</f>
        <v>_VLAN_Value Missing</v>
      </c>
      <c r="AG129" s="9"/>
      <c r="AH129" s="9"/>
    </row>
    <row r="130" spans="2:34" s="2" customFormat="1" ht="20" customHeight="1" x14ac:dyDescent="0.2">
      <c r="E130" s="4" t="s">
        <v>1043</v>
      </c>
      <c r="F130" s="8" t="str">
        <f>mgmt_vrms_pg</f>
        <v>Value Missing</v>
      </c>
      <c r="G130" s="6"/>
      <c r="H130" s="4" t="s">
        <v>1043</v>
      </c>
      <c r="I130" s="8" t="str">
        <f>wld_vrms_pg</f>
        <v>Value Missing</v>
      </c>
      <c r="K130" s="4" t="s">
        <v>1037</v>
      </c>
      <c r="L130" s="8" t="str">
        <f>CONCATENATE(input_wld_cl01_az1_uplink02_pg,"_VLAN_",wld_az1_rack2_uplink02_vlan)</f>
        <v>_VLAN_Value Missing</v>
      </c>
      <c r="N130" s="4" t="s">
        <v>1037</v>
      </c>
      <c r="O130" s="8" t="str">
        <f>CONCATENATE(input_wld_cl01_az1_uplink02_pg,"_VLAN_",wld_az1_rack3_uplink02_vlan)</f>
        <v>_VLAN_Value Missing</v>
      </c>
      <c r="Q130" s="4" t="s">
        <v>1037</v>
      </c>
      <c r="R130" s="8" t="str">
        <f>CONCATENATE(input_wld_cl01_az1_uplink02_pg,"_VLAN_",wld_az1_rack4_uplink02_vlan)</f>
        <v>_VLAN_Value Missing</v>
      </c>
      <c r="T130" s="4" t="s">
        <v>1037</v>
      </c>
      <c r="U130" s="8" t="str">
        <f>CONCATENATE(input_wld_cl01_az1_uplink02_pg,"_VLAN_",wld_az1_rack5_uplink02_vlan)</f>
        <v>_VLAN_Value Missing</v>
      </c>
      <c r="W130" s="4" t="s">
        <v>1037</v>
      </c>
      <c r="X130" s="8" t="str">
        <f>CONCATENATE(input_wld_cl01_az1_uplink02_pg,"_VLAN_",wld_az1_rack6_uplink02_vlan)</f>
        <v>_VLAN_Value Missing</v>
      </c>
      <c r="Z130" s="4" t="s">
        <v>1037</v>
      </c>
      <c r="AA130" s="8" t="str">
        <f>CONCATENATE(input_wld_cl01_az1_uplink02_pg,"_VLAN_",wld_az1_rack7_uplink02_vlan)</f>
        <v>_VLAN_Value Missing</v>
      </c>
      <c r="AC130" s="4" t="s">
        <v>1037</v>
      </c>
      <c r="AD130" s="8" t="str">
        <f>CONCATENATE(input_wld_cl01_az1_uplink02_pg,"_VLAN_",wld_az1_rack8_uplink02_vlan)</f>
        <v>_VLAN_Value Missing</v>
      </c>
      <c r="AG130" s="9"/>
      <c r="AH130" s="9"/>
    </row>
    <row r="131" spans="2:34" s="2" customFormat="1" ht="20" customHeight="1" x14ac:dyDescent="0.2">
      <c r="E131" s="4" t="s">
        <v>1035</v>
      </c>
      <c r="F131" s="8" t="str">
        <f>IF(ISBLANK(input_mgmt_cl01_az1_uplink01_pg),"Value Missing",input_mgmt_cl01_az1_uplink01_pg)</f>
        <v>Value Missing</v>
      </c>
      <c r="H131" s="4" t="s">
        <v>1035</v>
      </c>
      <c r="I131" s="8" t="str">
        <f>IF(ISBLANK(input_wld_cl01_az1_uplink01_pg),"Value Missing",input_wld_cl01_az1_uplink01_pg)</f>
        <v>Value Missing</v>
      </c>
      <c r="K131" s="6"/>
      <c r="L131" s="6"/>
      <c r="N131" s="6"/>
      <c r="O131" s="6"/>
      <c r="Q131" s="6"/>
      <c r="R131" s="6"/>
      <c r="T131" s="6"/>
      <c r="U131" s="6"/>
      <c r="W131" s="6"/>
      <c r="X131" s="6"/>
      <c r="Z131" s="6"/>
      <c r="AA131" s="6"/>
      <c r="AC131" s="6"/>
      <c r="AD131" s="6"/>
      <c r="AG131" s="9"/>
      <c r="AH131" s="9"/>
    </row>
    <row r="132" spans="2:34" s="2" customFormat="1" ht="20" customHeight="1" x14ac:dyDescent="0.2">
      <c r="E132" s="4" t="s">
        <v>1037</v>
      </c>
      <c r="F132" s="8" t="str">
        <f>IF(ISBLANK(input_mgmt_cl01_az1_uplink02_pg),"Value Missing",input_mgmt_cl01_az1_uplink02_pg)</f>
        <v>Value Missing</v>
      </c>
      <c r="H132" s="4" t="s">
        <v>1037</v>
      </c>
      <c r="I132" s="8" t="str">
        <f>IF(ISBLANK(input_wld_cl01_az1_uplink02_pg),"Value Missing",input_wld_cl01_az1_uplink02_pg)</f>
        <v>Value Missing</v>
      </c>
      <c r="K132" s="6"/>
      <c r="L132" s="6"/>
      <c r="N132" s="6"/>
      <c r="O132" s="6"/>
      <c r="Q132" s="6"/>
      <c r="R132" s="6"/>
      <c r="T132" s="6"/>
      <c r="U132" s="6"/>
      <c r="W132" s="6"/>
      <c r="X132" s="6"/>
      <c r="Z132" s="6"/>
      <c r="AA132" s="6"/>
      <c r="AC132" s="6"/>
      <c r="AD132" s="6"/>
      <c r="AG132" s="9"/>
      <c r="AH132" s="9"/>
    </row>
    <row r="133" spans="2:34" s="2" customFormat="1" ht="20" customHeight="1" x14ac:dyDescent="0.2">
      <c r="B133" s="7"/>
      <c r="C133" s="7"/>
      <c r="E133" s="23" t="s">
        <v>1039</v>
      </c>
      <c r="F133" s="8" t="s">
        <v>578</v>
      </c>
      <c r="H133" s="23" t="s">
        <v>1039</v>
      </c>
      <c r="I133" s="8" t="s">
        <v>578</v>
      </c>
      <c r="K133" s="6"/>
      <c r="L133" s="6"/>
      <c r="N133" s="6"/>
      <c r="O133" s="6"/>
      <c r="Q133" s="6"/>
      <c r="R133" s="6"/>
      <c r="T133" s="6"/>
      <c r="U133" s="6"/>
      <c r="W133" s="6"/>
      <c r="X133" s="6"/>
      <c r="Z133" s="6"/>
      <c r="AA133" s="6"/>
      <c r="AC133" s="6"/>
      <c r="AD133" s="6"/>
      <c r="AG133" s="9"/>
      <c r="AH133" s="9"/>
    </row>
    <row r="134" spans="2:34" s="2" customFormat="1" ht="20" customHeight="1" x14ac:dyDescent="0.2">
      <c r="E134" s="4" t="s">
        <v>1041</v>
      </c>
      <c r="F134" s="8" t="s">
        <v>578</v>
      </c>
      <c r="H134" s="4" t="s">
        <v>3670</v>
      </c>
      <c r="I134" s="8" t="s">
        <v>578</v>
      </c>
      <c r="K134" s="6"/>
      <c r="L134" s="6"/>
      <c r="N134" s="6"/>
      <c r="O134" s="6"/>
      <c r="Q134" s="6"/>
      <c r="R134" s="6"/>
      <c r="T134" s="6"/>
      <c r="U134" s="6"/>
      <c r="W134" s="6"/>
      <c r="X134" s="6"/>
      <c r="Z134" s="6"/>
      <c r="AA134" s="6"/>
      <c r="AC134" s="6"/>
      <c r="AD134" s="6"/>
      <c r="AG134" s="9"/>
      <c r="AH134" s="9"/>
    </row>
    <row r="135" spans="2:34" s="2" customFormat="1" ht="20" customHeight="1" x14ac:dyDescent="0.2">
      <c r="E135" s="4" t="s">
        <v>1133</v>
      </c>
      <c r="F135" s="8" t="str">
        <f>IF(ISBLANK(input_mgmt_cl01_az1_nfs_pg),"Value Missing",input_mgmt_cl01_az1_nfs_pg)</f>
        <v>Value Missing</v>
      </c>
      <c r="H135" s="4" t="s">
        <v>1134</v>
      </c>
      <c r="I135" s="8" t="str">
        <f>IF(ISBLANK(input_wld_cl01_az1_vsan_storage_client_pg),"Value Missing",input_wld_cl01_az1_vsan_storage_client_pg)</f>
        <v>Value Missing</v>
      </c>
      <c r="K135" s="6"/>
      <c r="L135" s="6"/>
      <c r="N135" s="6"/>
      <c r="O135" s="6"/>
      <c r="Q135" s="6"/>
      <c r="R135" s="6"/>
      <c r="T135" s="6"/>
      <c r="U135" s="6"/>
      <c r="W135" s="6"/>
      <c r="X135" s="6"/>
      <c r="Z135" s="6"/>
      <c r="AA135" s="6"/>
      <c r="AC135" s="6"/>
      <c r="AD135" s="6"/>
      <c r="AG135" s="9"/>
      <c r="AH135" s="9"/>
    </row>
    <row r="136" spans="2:34" s="2" customFormat="1" ht="20" customHeight="1" x14ac:dyDescent="0.2">
      <c r="E136" s="4" t="s">
        <v>3125</v>
      </c>
      <c r="F136" s="8" t="str">
        <f>IF(ISBLANK(input_mgmt_cl01_az1_vcf_mgmt_pg),"Value Missing",input_mgmt_cl01_az1_vcf_mgmt_pg)</f>
        <v>Value Missing</v>
      </c>
      <c r="H136" s="6"/>
      <c r="K136" s="6"/>
      <c r="L136" s="6"/>
      <c r="N136" s="6"/>
      <c r="O136" s="6"/>
      <c r="Q136" s="6"/>
      <c r="R136" s="6"/>
      <c r="T136" s="6"/>
      <c r="U136" s="6"/>
      <c r="W136" s="6"/>
      <c r="X136" s="6"/>
      <c r="Z136" s="6"/>
      <c r="AA136" s="6"/>
      <c r="AC136" s="6"/>
      <c r="AD136" s="6"/>
      <c r="AG136" s="9"/>
      <c r="AH136" s="9"/>
    </row>
    <row r="137" spans="2:34" s="2" customFormat="1" ht="20" customHeight="1" x14ac:dyDescent="0.2">
      <c r="E137" s="6"/>
      <c r="F137" s="6"/>
      <c r="H137" s="6"/>
      <c r="I137" s="6"/>
      <c r="K137" s="6"/>
      <c r="L137" s="6"/>
      <c r="N137" s="6"/>
      <c r="O137" s="6"/>
      <c r="Q137" s="6"/>
      <c r="R137" s="6"/>
      <c r="T137" s="6"/>
      <c r="U137" s="6"/>
      <c r="W137" s="6"/>
      <c r="X137" s="6"/>
      <c r="Z137" s="6"/>
      <c r="AA137" s="6"/>
      <c r="AC137" s="6"/>
      <c r="AD137" s="6"/>
      <c r="AG137" s="9"/>
      <c r="AH137" s="9"/>
    </row>
    <row r="138" spans="2:34" s="2" customFormat="1" ht="20" customHeight="1" x14ac:dyDescent="0.2">
      <c r="E138" s="14" t="s">
        <v>3261</v>
      </c>
      <c r="F138" s="15"/>
      <c r="H138" s="14" t="s">
        <v>1135</v>
      </c>
      <c r="I138" s="15"/>
      <c r="K138" s="6"/>
      <c r="L138" s="6"/>
      <c r="N138" s="6"/>
      <c r="O138" s="6"/>
      <c r="Q138" s="6"/>
      <c r="R138" s="6"/>
      <c r="T138" s="6"/>
      <c r="U138" s="6"/>
      <c r="W138" s="6"/>
      <c r="X138" s="6"/>
      <c r="Z138" s="6"/>
      <c r="AA138" s="6"/>
      <c r="AC138" s="6"/>
      <c r="AD138" s="6"/>
      <c r="AG138" s="9"/>
      <c r="AH138" s="9"/>
    </row>
    <row r="139" spans="2:34" s="2" customFormat="1" ht="20" customHeight="1" x14ac:dyDescent="0.2">
      <c r="E139" s="17" t="s">
        <v>250</v>
      </c>
      <c r="F139" s="20" t="s">
        <v>1021</v>
      </c>
      <c r="H139" s="17" t="s">
        <v>250</v>
      </c>
      <c r="I139" s="20" t="s">
        <v>1021</v>
      </c>
      <c r="K139" s="6"/>
      <c r="L139" s="6"/>
      <c r="N139" s="6"/>
      <c r="O139" s="6"/>
      <c r="Q139" s="6"/>
      <c r="R139" s="6"/>
      <c r="T139" s="6"/>
      <c r="U139" s="6"/>
      <c r="W139" s="6"/>
      <c r="X139" s="6"/>
      <c r="Z139" s="6"/>
      <c r="AA139" s="6"/>
      <c r="AC139" s="6"/>
      <c r="AD139" s="6"/>
      <c r="AG139" s="9"/>
      <c r="AH139" s="9"/>
    </row>
    <row r="140" spans="2:34" s="2" customFormat="1" ht="20" customHeight="1" x14ac:dyDescent="0.2">
      <c r="E140" s="4" t="s">
        <v>1136</v>
      </c>
      <c r="F140" s="8" t="str">
        <f>IF(ISBLANK(mgmt_cl01_az1_mgmt_vm_uplink1_chosen),"Value Missing",mgmt_cl01_az1_mgmt_vm_uplink1_chosen)</f>
        <v>Active</v>
      </c>
      <c r="H140" s="4" t="s">
        <v>1136</v>
      </c>
      <c r="I140" s="8" t="str">
        <f>IF(ISBLANK(wld_cl01_az1_mgmt_vm_uplink1_chosen),"Value Missing",wld_cl01_az1_mgmt_vm_uplink1_chosen)</f>
        <v>Active</v>
      </c>
      <c r="K140" s="6"/>
      <c r="L140" s="6"/>
      <c r="N140" s="6"/>
      <c r="O140" s="6"/>
      <c r="Q140" s="6"/>
      <c r="R140" s="6"/>
      <c r="T140" s="6"/>
      <c r="U140" s="6"/>
      <c r="W140" s="6"/>
      <c r="X140" s="6"/>
      <c r="Z140" s="6"/>
      <c r="AA140" s="6"/>
      <c r="AC140" s="6"/>
      <c r="AD140" s="6"/>
      <c r="AG140" s="9"/>
      <c r="AH140" s="9"/>
    </row>
    <row r="141" spans="2:34" s="2" customFormat="1" ht="20" customHeight="1" x14ac:dyDescent="0.2">
      <c r="E141" s="4" t="s">
        <v>1137</v>
      </c>
      <c r="F141" s="8" t="str">
        <f>IF(ISBLANK(mgmt_cl01_az1_mgmt_vm_uplink2_chosen),"Value Missing",mgmt_cl01_az1_mgmt_vm_uplink2_chosen)</f>
        <v>Active</v>
      </c>
      <c r="H141" s="4" t="s">
        <v>1137</v>
      </c>
      <c r="I141" s="8" t="str">
        <f>IF(ISBLANK(wld_cl01_az1_mgmt_vm_uplink2_chosen),"Value Missing",wld_cl01_az1_mgmt_vm_uplink2_chosen)</f>
        <v>Active</v>
      </c>
      <c r="K141" s="6"/>
      <c r="L141" s="6"/>
      <c r="N141" s="6"/>
      <c r="O141" s="6"/>
      <c r="Q141" s="6"/>
      <c r="R141" s="6"/>
      <c r="T141" s="6"/>
      <c r="U141" s="6"/>
      <c r="W141" s="6"/>
      <c r="X141" s="6"/>
      <c r="Z141" s="6"/>
      <c r="AA141" s="6"/>
      <c r="AC141" s="6"/>
      <c r="AD141" s="6"/>
      <c r="AG141" s="9"/>
      <c r="AH141" s="9"/>
    </row>
    <row r="142" spans="2:34" s="2" customFormat="1" ht="20" customHeight="1" x14ac:dyDescent="0.2">
      <c r="E142" s="4" t="s">
        <v>1138</v>
      </c>
      <c r="F142" s="8" t="str">
        <f>IF(ISBLANK(mgmt_cl01_az1_mgmt_uplink1_chosen),"Value Missing",mgmt_cl01_az1_mgmt_uplink1_chosen)</f>
        <v>Active</v>
      </c>
      <c r="H142" s="4" t="s">
        <v>1138</v>
      </c>
      <c r="I142" s="8" t="str">
        <f>IF(ISBLANK(wld_cl01_az1_mgmt_uplink1_chosen),"Value Missing",wld_cl01_az1_mgmt_uplink1_chosen)</f>
        <v>Active</v>
      </c>
      <c r="K142" s="6"/>
      <c r="L142" s="6"/>
      <c r="N142" s="6"/>
      <c r="O142" s="6"/>
      <c r="Q142" s="6"/>
      <c r="R142" s="6"/>
      <c r="T142" s="6"/>
      <c r="U142" s="6"/>
      <c r="W142" s="6"/>
      <c r="X142" s="6"/>
      <c r="Z142" s="6"/>
      <c r="AA142" s="6"/>
      <c r="AC142" s="6"/>
      <c r="AD142" s="6"/>
      <c r="AG142" s="9"/>
      <c r="AH142" s="9"/>
    </row>
    <row r="143" spans="2:34" s="2" customFormat="1" ht="20" customHeight="1" x14ac:dyDescent="0.2">
      <c r="E143" s="4" t="s">
        <v>1139</v>
      </c>
      <c r="F143" s="8" t="str">
        <f>IF(ISBLANK(mgmt_cl01_az1_mgmt_uplink2_chosen),"Value Missing",mgmt_cl01_az1_mgmt_uplink2_chosen)</f>
        <v>Active</v>
      </c>
      <c r="H143" s="4" t="s">
        <v>1139</v>
      </c>
      <c r="I143" s="8" t="str">
        <f>IF(ISBLANK(wld_cl01_az1_mgmt_uplink2_chosen),"Value Missing",wld_cl01_az1_mgmt_uplink2_chosen)</f>
        <v>Active</v>
      </c>
      <c r="K143" s="6"/>
      <c r="L143" s="6"/>
      <c r="N143" s="6"/>
      <c r="O143" s="6"/>
      <c r="Q143" s="6"/>
      <c r="R143" s="6"/>
      <c r="T143" s="6"/>
      <c r="U143" s="6"/>
      <c r="W143" s="6"/>
      <c r="X143" s="6"/>
      <c r="Z143" s="6"/>
      <c r="AA143" s="6"/>
      <c r="AC143" s="6"/>
      <c r="AD143" s="6"/>
      <c r="AG143" s="9"/>
      <c r="AH143" s="9"/>
    </row>
    <row r="144" spans="2:34" s="2" customFormat="1" ht="20" customHeight="1" x14ac:dyDescent="0.2">
      <c r="E144" s="4" t="s">
        <v>1140</v>
      </c>
      <c r="F144" s="8" t="str">
        <f>IF(ISBLANK(mgmt_cl01_az1_vmotion_uplink1_chosen),"Value Missing",mgmt_cl01_az1_vmotion_uplink1_chosen)</f>
        <v>Active</v>
      </c>
      <c r="H144" s="4" t="s">
        <v>1140</v>
      </c>
      <c r="I144" s="8" t="str">
        <f>IF(ISBLANK(wld_cl01_az1_vmotion_uplink1_chosen),"Value Missing",wld_cl01_az1_vmotion_uplink1_chosen)</f>
        <v>Active</v>
      </c>
      <c r="K144" s="6"/>
      <c r="L144" s="6"/>
      <c r="N144" s="6"/>
      <c r="O144" s="6"/>
      <c r="Q144" s="6"/>
      <c r="R144" s="6"/>
      <c r="T144" s="6"/>
      <c r="U144" s="6"/>
      <c r="W144" s="6"/>
      <c r="X144" s="6"/>
      <c r="Z144" s="6"/>
      <c r="AA144" s="6"/>
      <c r="AC144" s="6"/>
      <c r="AD144" s="6"/>
      <c r="AG144" s="9"/>
      <c r="AH144" s="9"/>
    </row>
    <row r="145" spans="5:34" s="2" customFormat="1" ht="20" customHeight="1" x14ac:dyDescent="0.2">
      <c r="E145" s="4" t="s">
        <v>1141</v>
      </c>
      <c r="F145" s="8" t="str">
        <f>IF(ISBLANK(mgmt_cl01_az1_vmotion_uplink2_chosen),"Value Missing",mgmt_cl01_az1_vmotion_uplink2_chosen)</f>
        <v>Active</v>
      </c>
      <c r="H145" s="4" t="s">
        <v>1141</v>
      </c>
      <c r="I145" s="8" t="str">
        <f>IF(ISBLANK(wld_cl01_az1_vmotion_uplink2_chosen),"Value Missing",wld_cl01_az1_vmotion_uplink2_chosen)</f>
        <v>Active</v>
      </c>
      <c r="K145" s="6"/>
      <c r="L145" s="6"/>
      <c r="N145" s="6"/>
      <c r="O145" s="6"/>
      <c r="Q145" s="6"/>
      <c r="R145" s="6"/>
      <c r="T145" s="6"/>
      <c r="U145" s="6"/>
      <c r="W145" s="6"/>
      <c r="X145" s="6"/>
      <c r="Z145" s="6"/>
      <c r="AA145" s="6"/>
      <c r="AC145" s="6"/>
      <c r="AD145" s="6"/>
      <c r="AG145" s="9"/>
      <c r="AH145" s="9"/>
    </row>
    <row r="146" spans="5:34" s="2" customFormat="1" ht="20" customHeight="1" x14ac:dyDescent="0.2">
      <c r="E146" s="4" t="s">
        <v>1142</v>
      </c>
      <c r="F146" s="8" t="str">
        <f>IF(ISBLANK(mgmt_cl01_az1_vsan_uplink1_chosen),"Value Missing",mgmt_cl01_az1_vsan_uplink1_chosen)</f>
        <v>Active</v>
      </c>
      <c r="H146" s="4" t="s">
        <v>1142</v>
      </c>
      <c r="I146" s="8" t="str">
        <f>IF(ISBLANK(wld_cl01_az1_vsan_uplink1_chosen),"Value Missing",wld_cl01_az1_vsan_uplink1_chosen)</f>
        <v>Active</v>
      </c>
      <c r="K146" s="6"/>
      <c r="L146" s="6"/>
      <c r="N146" s="6"/>
      <c r="O146" s="6"/>
      <c r="Q146" s="6"/>
      <c r="R146" s="6"/>
      <c r="T146" s="6"/>
      <c r="U146" s="6"/>
      <c r="W146" s="6"/>
      <c r="X146" s="6"/>
      <c r="Z146" s="6"/>
      <c r="AA146" s="6"/>
      <c r="AC146" s="6"/>
      <c r="AD146" s="6"/>
      <c r="AG146" s="9"/>
      <c r="AH146" s="9"/>
    </row>
    <row r="147" spans="5:34" s="2" customFormat="1" ht="20" customHeight="1" x14ac:dyDescent="0.2">
      <c r="E147" s="4" t="s">
        <v>1143</v>
      </c>
      <c r="F147" s="8" t="str">
        <f>IF(ISBLANK(mgmt_cl01_az1_vsan_uplink2_chosen),"Value Missing",mgmt_cl01_az1_vsan_uplink2_chosen)</f>
        <v>Active</v>
      </c>
      <c r="H147" s="4" t="s">
        <v>1143</v>
      </c>
      <c r="I147" s="8" t="str">
        <f>IF(ISBLANK(wld_cl01_az1_vsan_uplink2_chosen),"Value Missing",wld_cl01_az1_vsan_uplink2_chosen)</f>
        <v>Active</v>
      </c>
      <c r="K147" s="6"/>
      <c r="L147" s="6"/>
      <c r="N147" s="6"/>
      <c r="O147" s="6"/>
      <c r="Q147" s="6"/>
      <c r="R147" s="6"/>
      <c r="T147" s="6"/>
      <c r="U147" s="6"/>
      <c r="W147" s="6"/>
      <c r="X147" s="6"/>
      <c r="Z147" s="6"/>
      <c r="AA147" s="6"/>
      <c r="AC147" s="6"/>
      <c r="AD147" s="6"/>
      <c r="AG147" s="9"/>
      <c r="AH147" s="9"/>
    </row>
    <row r="148" spans="5:34" s="2" customFormat="1" ht="20" customHeight="1" x14ac:dyDescent="0.2">
      <c r="E148" s="23" t="s">
        <v>1144</v>
      </c>
      <c r="F148" s="8" t="str">
        <f>IF(ISBLANK(mgmt_cl01_az1_nsx_uplink1_chosen),"Value Missing",mgmt_cl01_az1_nsx_uplink1_chosen)</f>
        <v>Active</v>
      </c>
      <c r="H148" s="23" t="s">
        <v>1144</v>
      </c>
      <c r="I148" s="8" t="str">
        <f>IF(ISBLANK(wld_cl01_az1_nsx_uplink1_chosen),"Value Missing",wld_cl01_az1_nsx_uplink1_chosen)</f>
        <v>Value Missing</v>
      </c>
      <c r="K148" s="6"/>
      <c r="L148" s="6"/>
      <c r="N148" s="6"/>
      <c r="O148" s="6"/>
      <c r="Q148" s="6"/>
      <c r="R148" s="6"/>
      <c r="T148" s="6"/>
      <c r="U148" s="6"/>
      <c r="W148" s="6"/>
      <c r="X148" s="6"/>
      <c r="Z148" s="6"/>
      <c r="AA148" s="6"/>
      <c r="AC148" s="6"/>
      <c r="AD148" s="6"/>
      <c r="AG148" s="9"/>
      <c r="AH148" s="9"/>
    </row>
    <row r="149" spans="5:34" s="2" customFormat="1" ht="20" customHeight="1" x14ac:dyDescent="0.2">
      <c r="E149" s="4" t="s">
        <v>1145</v>
      </c>
      <c r="F149" s="8" t="str">
        <f>IF(ISBLANK(mgmt_cl01_az1_nsx_uplink2_chosen),"Value Missing",mgmt_cl01_az1_nsx_uplink2_chosen)</f>
        <v>Active</v>
      </c>
      <c r="H149" s="4" t="s">
        <v>1145</v>
      </c>
      <c r="I149" s="8" t="str">
        <f>IF(ISBLANK(wld_cl01_az1_nsx_uplink2_chosen),"Value Missing",wld_cl01_az1_nsx_uplink2_chosen)</f>
        <v>Value Missing</v>
      </c>
      <c r="K149" s="6"/>
      <c r="L149" s="6"/>
      <c r="N149" s="6"/>
      <c r="O149" s="6"/>
      <c r="Q149" s="6"/>
      <c r="R149" s="6"/>
      <c r="T149" s="6"/>
      <c r="U149" s="6"/>
      <c r="W149" s="6"/>
      <c r="X149" s="6"/>
      <c r="Z149" s="6"/>
      <c r="AA149" s="6"/>
      <c r="AC149" s="6"/>
      <c r="AD149" s="6"/>
      <c r="AG149" s="9"/>
      <c r="AH149" s="9"/>
    </row>
    <row r="150" spans="5:34" s="2" customFormat="1" ht="20" customHeight="1" x14ac:dyDescent="0.2">
      <c r="E150" s="4" t="s">
        <v>1146</v>
      </c>
      <c r="F150" s="8" t="str">
        <f>IF(ISBLANK(mgmt_cl01_az1_nfs_uplink1_chosen),"Value Missing",mgmt_cl01_az1_nfs_uplink1_chosen)</f>
        <v>Active</v>
      </c>
      <c r="H150" s="4" t="s">
        <v>1147</v>
      </c>
      <c r="I150" s="8" t="str">
        <f>wld_cl01_az1_vsan_storage_client_uplink1_chosen</f>
        <v>Active</v>
      </c>
      <c r="K150" s="6"/>
      <c r="L150" s="6"/>
      <c r="N150" s="6"/>
      <c r="O150" s="6"/>
      <c r="Q150" s="6"/>
      <c r="R150" s="6"/>
      <c r="T150" s="6"/>
      <c r="U150" s="6"/>
      <c r="W150" s="6"/>
      <c r="X150" s="6"/>
      <c r="Z150" s="6"/>
      <c r="AA150" s="6"/>
      <c r="AC150" s="6"/>
      <c r="AD150" s="6"/>
      <c r="AG150" s="9"/>
      <c r="AH150" s="9"/>
    </row>
    <row r="151" spans="5:34" s="2" customFormat="1" ht="20" customHeight="1" x14ac:dyDescent="0.2">
      <c r="E151" s="4" t="s">
        <v>1148</v>
      </c>
      <c r="F151" s="8" t="str">
        <f>IF(ISBLANK(mgmt_cl01_az1_nfs_uplink2_chosen),"Value Missing",mgmt_cl01_az1_nfs_uplink2_chosen)</f>
        <v>Active</v>
      </c>
      <c r="H151" s="4" t="s">
        <v>1147</v>
      </c>
      <c r="I151" s="8" t="str">
        <f>wld_cl01_az1_vsan_storage_client_uplink2_chosen</f>
        <v>Active</v>
      </c>
      <c r="K151" s="6"/>
      <c r="L151" s="6"/>
      <c r="N151" s="6"/>
      <c r="O151" s="6"/>
      <c r="Q151" s="6"/>
      <c r="R151" s="6"/>
      <c r="T151" s="6"/>
      <c r="U151" s="6"/>
      <c r="W151" s="6"/>
      <c r="X151" s="6"/>
      <c r="Z151" s="6"/>
      <c r="AA151" s="6"/>
      <c r="AC151" s="6"/>
      <c r="AD151" s="6"/>
      <c r="AG151" s="9"/>
      <c r="AH151" s="9"/>
    </row>
    <row r="152" spans="5:34" s="2" customFormat="1" ht="20" customHeight="1" x14ac:dyDescent="0.2">
      <c r="E152" s="6"/>
      <c r="F152" s="6"/>
      <c r="H152" s="6"/>
      <c r="I152" s="6"/>
      <c r="K152" s="6"/>
      <c r="L152" s="6"/>
      <c r="N152" s="6"/>
      <c r="O152" s="6"/>
      <c r="Q152" s="6"/>
      <c r="R152" s="6"/>
      <c r="T152" s="6"/>
      <c r="U152" s="6"/>
      <c r="W152" s="6"/>
      <c r="X152" s="6"/>
      <c r="Z152" s="6"/>
      <c r="AA152" s="6"/>
      <c r="AC152" s="6"/>
      <c r="AD152" s="6"/>
      <c r="AG152" s="9"/>
      <c r="AH152" s="9"/>
    </row>
    <row r="153" spans="5:34" s="2" customFormat="1" ht="20" customHeight="1" x14ac:dyDescent="0.2">
      <c r="E153" s="14" t="s">
        <v>1149</v>
      </c>
      <c r="F153" s="15"/>
      <c r="H153" s="14" t="s">
        <v>1150</v>
      </c>
      <c r="I153" s="15"/>
      <c r="K153" s="6"/>
      <c r="L153" s="6"/>
      <c r="N153" s="6"/>
      <c r="O153" s="6"/>
      <c r="Q153" s="6"/>
      <c r="R153" s="6"/>
      <c r="T153" s="6"/>
      <c r="U153" s="6"/>
      <c r="W153" s="6"/>
      <c r="X153" s="6"/>
      <c r="Z153" s="6"/>
      <c r="AA153" s="6"/>
      <c r="AC153" s="6"/>
      <c r="AD153" s="6"/>
      <c r="AG153" s="9"/>
      <c r="AH153" s="9"/>
    </row>
    <row r="154" spans="5:34" s="2" customFormat="1" ht="20" customHeight="1" x14ac:dyDescent="0.2">
      <c r="E154" s="17" t="s">
        <v>250</v>
      </c>
      <c r="F154" s="20" t="s">
        <v>1021</v>
      </c>
      <c r="H154" s="17" t="s">
        <v>250</v>
      </c>
      <c r="I154" s="20" t="s">
        <v>1021</v>
      </c>
      <c r="K154" s="6"/>
      <c r="L154" s="6"/>
      <c r="N154" s="6"/>
      <c r="O154" s="6"/>
      <c r="Q154" s="6"/>
      <c r="R154" s="6"/>
      <c r="T154" s="6"/>
      <c r="U154" s="6"/>
      <c r="W154" s="6"/>
      <c r="X154" s="6"/>
      <c r="Z154" s="6"/>
      <c r="AA154" s="6"/>
      <c r="AC154" s="6"/>
      <c r="AD154" s="6"/>
      <c r="AG154" s="9"/>
      <c r="AH154" s="9"/>
    </row>
    <row r="155" spans="5:34" s="2" customFormat="1" ht="20" customHeight="1" x14ac:dyDescent="0.2">
      <c r="E155" s="4" t="s">
        <v>1151</v>
      </c>
      <c r="F155" s="8" t="str">
        <f>IF(ISBLANK(mgmt_cl01_az1_mgmt_vm_lbt_chosen),"Value Missing",mgmt_cl01_az1_mgmt_vm_lbt_chosen)</f>
        <v>Route Based on Physical NIC Load</v>
      </c>
      <c r="H155" s="4" t="s">
        <v>1151</v>
      </c>
      <c r="I155" s="8" t="str">
        <f>IF(ISBLANK(wld_cl01_az1_mgmt_vm_lbt_chosen),"Value Missing",wld_cl01_az1_mgmt_vm_lbt_chosen)</f>
        <v>Route Based on Physical NIC Load</v>
      </c>
      <c r="K155" s="6"/>
      <c r="N155" s="6"/>
      <c r="O155" s="6"/>
      <c r="Q155" s="6"/>
      <c r="R155" s="6"/>
      <c r="T155" s="6"/>
      <c r="U155" s="6"/>
      <c r="W155" s="6"/>
      <c r="X155" s="6"/>
      <c r="Z155" s="6"/>
      <c r="AA155" s="6"/>
      <c r="AC155" s="6"/>
      <c r="AD155" s="6"/>
      <c r="AG155" s="9"/>
      <c r="AH155" s="9"/>
    </row>
    <row r="156" spans="5:34" s="2" customFormat="1" ht="20" customHeight="1" x14ac:dyDescent="0.2">
      <c r="E156" s="4" t="s">
        <v>1152</v>
      </c>
      <c r="F156" s="8" t="str">
        <f>IF(ISBLANK(mgmt_cl01_az1_mgmt_lbt_chosen),"Value Missing",mgmt_cl01_az1_mgmt_lbt_chosen)</f>
        <v>Route Based on Physical NIC Load</v>
      </c>
      <c r="H156" s="4" t="s">
        <v>1152</v>
      </c>
      <c r="I156" s="8" t="str">
        <f>IF(ISBLANK(wld_cl01_az1_mgmt_lbt_chosen),"Value Missing",wld_cl01_az1_mgmt_lbt_chosen)</f>
        <v>Route Based on Physical NIC Load</v>
      </c>
      <c r="K156" s="6"/>
      <c r="L156" s="6"/>
      <c r="N156" s="6"/>
      <c r="O156" s="6"/>
      <c r="Q156" s="6"/>
      <c r="R156" s="6"/>
      <c r="T156" s="6"/>
      <c r="U156" s="6"/>
      <c r="W156" s="6"/>
      <c r="X156" s="6"/>
      <c r="Z156" s="6"/>
      <c r="AA156" s="6"/>
      <c r="AC156" s="6"/>
      <c r="AD156" s="6"/>
      <c r="AG156" s="9"/>
      <c r="AH156" s="9"/>
    </row>
    <row r="157" spans="5:34" s="2" customFormat="1" ht="20" customHeight="1" x14ac:dyDescent="0.2">
      <c r="E157" s="4" t="s">
        <v>1153</v>
      </c>
      <c r="F157" s="8" t="str">
        <f>IF(ISBLANK(mgmt_cl01_az1_vmotion_lbt_chosen),"Value Missing",mgmt_cl01_az1_vmotion_lbt_chosen)</f>
        <v>Route Based on Physical NIC Load</v>
      </c>
      <c r="H157" s="4" t="s">
        <v>1153</v>
      </c>
      <c r="I157" s="8" t="str">
        <f>IF(ISBLANK(wld_cl01_az1_vmotion_lbt_chosen),"Value Missing",wld_cl01_az1_vmotion_lbt_chosen)</f>
        <v>Route Based on Physical NIC Load</v>
      </c>
      <c r="K157" s="6"/>
      <c r="L157" s="6"/>
      <c r="M157" s="3"/>
      <c r="N157" s="6"/>
      <c r="O157" s="6"/>
      <c r="Q157" s="6"/>
      <c r="R157" s="6"/>
      <c r="T157" s="6"/>
      <c r="U157" s="6"/>
      <c r="W157" s="6"/>
      <c r="X157" s="6"/>
      <c r="Z157" s="6"/>
      <c r="AA157" s="6"/>
      <c r="AC157" s="6"/>
      <c r="AD157" s="6"/>
      <c r="AG157" s="9"/>
      <c r="AH157" s="9"/>
    </row>
    <row r="158" spans="5:34" s="2" customFormat="1" ht="20" customHeight="1" x14ac:dyDescent="0.2">
      <c r="E158" s="4" t="s">
        <v>1154</v>
      </c>
      <c r="F158" s="8" t="str">
        <f>IF(ISBLANK(mgmt_cl01_az1_vsan_lbt_chosen),"Value Missing",mgmt_cl01_az1_vsan_lbt_chosen)</f>
        <v>Route Based on Physical NIC Load</v>
      </c>
      <c r="G158" s="21"/>
      <c r="H158" s="4" t="s">
        <v>1154</v>
      </c>
      <c r="I158" s="8" t="str">
        <f>IF(ISBLANK(wld_cl01_az1_vsan_lbt_chosen),"Value Missing",wld_cl01_az1_vsan_lbt_chosen)</f>
        <v>Route Based on Physical NIC Load</v>
      </c>
      <c r="J158" s="21"/>
      <c r="K158" s="6"/>
      <c r="L158" s="6"/>
      <c r="N158" s="6"/>
      <c r="O158" s="6"/>
      <c r="Q158" s="6"/>
      <c r="R158" s="6"/>
      <c r="T158" s="6"/>
      <c r="U158" s="6"/>
      <c r="W158" s="6"/>
      <c r="X158" s="6"/>
      <c r="Z158" s="6"/>
      <c r="AA158" s="6"/>
      <c r="AC158" s="6"/>
      <c r="AD158" s="6"/>
      <c r="AG158" s="9"/>
      <c r="AH158" s="9"/>
    </row>
    <row r="159" spans="5:34" s="2" customFormat="1" ht="20" customHeight="1" x14ac:dyDescent="0.2">
      <c r="E159" s="4" t="s">
        <v>1155</v>
      </c>
      <c r="F159" s="8" t="str">
        <f>IF(ISBLANK(mgmt_cl01_az1_nsx_lbt_chosen),"Value Missing",mgmt_cl01_az1_nsx_lbt_chosen)</f>
        <v>Route Based on the Source of the Port ID</v>
      </c>
      <c r="H159" s="4" t="s">
        <v>1026</v>
      </c>
      <c r="I159" s="8" t="str">
        <f>IF(ISBLANK(wld_cl01_az1_nsx_lbt_chosen),"Value Missing",wld_cl01_az1_nsx_lbt_chosen)</f>
        <v>Load Balance Source</v>
      </c>
      <c r="K159" s="6"/>
      <c r="L159" s="6"/>
      <c r="M159" s="21"/>
      <c r="N159" s="6"/>
      <c r="O159" s="6"/>
      <c r="Q159" s="6"/>
      <c r="R159" s="6"/>
      <c r="T159" s="6"/>
      <c r="U159" s="6"/>
      <c r="W159" s="6"/>
      <c r="X159" s="6"/>
      <c r="Z159" s="6"/>
      <c r="AA159" s="6"/>
      <c r="AC159" s="6"/>
      <c r="AD159" s="6"/>
      <c r="AG159" s="9"/>
      <c r="AH159" s="9"/>
    </row>
    <row r="160" spans="5:34" s="2" customFormat="1" ht="20" customHeight="1" x14ac:dyDescent="0.2">
      <c r="E160" s="4" t="s">
        <v>1156</v>
      </c>
      <c r="F160" s="8"/>
      <c r="H160" s="4" t="s">
        <v>1156</v>
      </c>
      <c r="I160" s="8" t="str">
        <f>IF(ISBLANK(wld_cl01_az1_vsan_storage_client_lbt_chosen),"Value Missing",wld_cl01_az1_vsan_storage_client_lbt_chosen)</f>
        <v>Route Based on Physical NIC Load</v>
      </c>
      <c r="K160" s="6"/>
      <c r="L160" s="6"/>
      <c r="N160" s="6"/>
      <c r="O160" s="6"/>
      <c r="Q160" s="6"/>
      <c r="R160" s="6"/>
      <c r="T160" s="6"/>
      <c r="U160" s="6"/>
      <c r="W160" s="6"/>
      <c r="X160" s="6"/>
      <c r="Z160" s="6"/>
      <c r="AA160" s="6"/>
      <c r="AC160" s="6"/>
      <c r="AD160" s="6"/>
      <c r="AG160" s="9"/>
      <c r="AH160" s="9"/>
    </row>
    <row r="161" spans="5:35" s="2" customFormat="1" ht="20" customHeight="1" x14ac:dyDescent="0.2">
      <c r="E161" s="4" t="s">
        <v>1157</v>
      </c>
      <c r="F161" s="8" t="str">
        <f>IF(ISBLANK(mgmt_cl01_az1_nfs_lbt_chosen),"Value Missing",mgmt_cl01_az1_nfs_lbt_chosen)</f>
        <v>Route Based on Physical NIC Load</v>
      </c>
      <c r="H161" s="6"/>
      <c r="I161" s="3"/>
      <c r="K161" s="6"/>
      <c r="L161" s="6"/>
      <c r="N161" s="6"/>
      <c r="O161" s="6"/>
      <c r="Q161" s="6"/>
      <c r="R161" s="6"/>
      <c r="T161" s="6"/>
      <c r="U161" s="6"/>
      <c r="W161" s="6"/>
      <c r="X161" s="6"/>
      <c r="Z161" s="6"/>
      <c r="AA161" s="6"/>
      <c r="AC161" s="6"/>
      <c r="AD161" s="6"/>
      <c r="AG161" s="9"/>
      <c r="AH161" s="9"/>
      <c r="AI161" s="9"/>
    </row>
    <row r="162" spans="5:35" s="2" customFormat="1" ht="20" customHeight="1" x14ac:dyDescent="0.2">
      <c r="I162" s="3"/>
      <c r="L162" s="3"/>
      <c r="AG162" s="9"/>
      <c r="AH162" s="9"/>
      <c r="AI162" s="9"/>
    </row>
    <row r="163" spans="5:35" s="2" customFormat="1" ht="20" customHeight="1" x14ac:dyDescent="0.2">
      <c r="E163" s="27" t="s">
        <v>1158</v>
      </c>
      <c r="F163" s="15"/>
      <c r="H163" s="27" t="s">
        <v>1159</v>
      </c>
      <c r="I163" s="15"/>
      <c r="K163" s="27" t="s">
        <v>1160</v>
      </c>
      <c r="L163" s="15"/>
      <c r="N163" s="27" t="s">
        <v>1161</v>
      </c>
      <c r="O163" s="15"/>
      <c r="Q163" s="27" t="s">
        <v>1162</v>
      </c>
      <c r="R163" s="15"/>
      <c r="T163" s="27" t="s">
        <v>1163</v>
      </c>
      <c r="U163" s="15"/>
      <c r="W163" s="27" t="s">
        <v>1164</v>
      </c>
      <c r="X163" s="15"/>
      <c r="Z163" s="27" t="s">
        <v>1165</v>
      </c>
      <c r="AA163" s="15"/>
      <c r="AC163" s="27" t="s">
        <v>1166</v>
      </c>
      <c r="AD163" s="15"/>
      <c r="AG163" s="9"/>
      <c r="AH163" s="9"/>
      <c r="AI163" s="9"/>
    </row>
    <row r="164" spans="5:35" s="2" customFormat="1" ht="20" customHeight="1" x14ac:dyDescent="0.2">
      <c r="E164" s="19" t="s">
        <v>250</v>
      </c>
      <c r="F164" s="20" t="s">
        <v>1021</v>
      </c>
      <c r="H164" s="17" t="s">
        <v>250</v>
      </c>
      <c r="I164" s="20" t="s">
        <v>20</v>
      </c>
      <c r="K164" s="19" t="s">
        <v>250</v>
      </c>
      <c r="L164" s="20" t="s">
        <v>20</v>
      </c>
      <c r="N164" s="19" t="s">
        <v>250</v>
      </c>
      <c r="O164" s="20" t="s">
        <v>20</v>
      </c>
      <c r="P164" s="21"/>
      <c r="Q164" s="19" t="s">
        <v>250</v>
      </c>
      <c r="R164" s="20" t="s">
        <v>20</v>
      </c>
      <c r="S164" s="21"/>
      <c r="T164" s="19" t="s">
        <v>250</v>
      </c>
      <c r="U164" s="20" t="s">
        <v>20</v>
      </c>
      <c r="V164" s="21"/>
      <c r="W164" s="19" t="s">
        <v>250</v>
      </c>
      <c r="X164" s="20" t="s">
        <v>20</v>
      </c>
      <c r="Y164" s="21"/>
      <c r="Z164" s="19" t="s">
        <v>250</v>
      </c>
      <c r="AA164" s="20" t="s">
        <v>20</v>
      </c>
      <c r="AB164" s="21"/>
      <c r="AC164" s="19" t="s">
        <v>250</v>
      </c>
      <c r="AD164" s="20" t="s">
        <v>20</v>
      </c>
      <c r="AG164" s="9"/>
      <c r="AH164" s="9"/>
      <c r="AI164" s="9"/>
    </row>
    <row r="165" spans="5:35" s="2" customFormat="1" ht="20" customHeight="1" x14ac:dyDescent="0.2">
      <c r="E165" s="28" t="s">
        <v>1167</v>
      </c>
      <c r="F165" s="8" t="str">
        <f>IF(ISBLANK(input_mgmt_az1_vmotion_pool_start_ip),"Value Missing",input_mgmt_az1_vmotion_pool_start_ip)</f>
        <v>Value Missing</v>
      </c>
      <c r="H165" s="28" t="s">
        <v>1167</v>
      </c>
      <c r="I165" s="8" t="str">
        <f>IF(ISBLANK(input_wld_az1_vmotion_pool_start_ip),"Value Missing",input_wld_az1_vmotion_pool_start_ip)</f>
        <v>Value Missing</v>
      </c>
      <c r="K165" s="28" t="s">
        <v>1167</v>
      </c>
      <c r="L165" s="8" t="str">
        <f>IF(ISBLANK(input_wld_az1_rack2_vmotion_pool_start_ip),"Value Missing",input_wld_az1_rack2_vmotion_pool_start_ip)</f>
        <v>Value Missing</v>
      </c>
      <c r="N165" s="28" t="s">
        <v>1167</v>
      </c>
      <c r="O165" s="8" t="str">
        <f>IF(ISBLANK(input_wld_az1_rack3_vmotion_pool_start_ip),"Value Missing",input_wld_az1_rack3_vmotion_pool_start_ip)</f>
        <v>Value Missing</v>
      </c>
      <c r="Q165" s="28" t="s">
        <v>1167</v>
      </c>
      <c r="R165" s="8" t="str">
        <f>IF(ISBLANK(input_wld_az1_rack4_vmotion_pool_start_ip),"Value Missing",input_wld_az1_rack4_vmotion_pool_start_ip)</f>
        <v>Value Missing</v>
      </c>
      <c r="T165" s="28" t="s">
        <v>1167</v>
      </c>
      <c r="U165" s="8" t="str">
        <f>IF(ISBLANK(input_wld_az1_rack5_vmotion_pool_start_ip),"Value Missing",input_wld_az1_rack5_vmotion_pool_start_ip)</f>
        <v>Value Missing</v>
      </c>
      <c r="W165" s="28" t="s">
        <v>1167</v>
      </c>
      <c r="X165" s="8" t="str">
        <f>IF(ISBLANK(input_wld_az1_rack6_vmotion_pool_start_ip),"Value Missing",input_wld_az1_rack6_vmotion_pool_start_ip)</f>
        <v>Value Missing</v>
      </c>
      <c r="Z165" s="28" t="s">
        <v>1167</v>
      </c>
      <c r="AA165" s="8" t="str">
        <f>IF(ISBLANK(input_wld_az1_rack7_vmotion_pool_start_ip),"Value Missing",input_wld_az1_rack7_vmotion_pool_start_ip)</f>
        <v>Value Missing</v>
      </c>
      <c r="AC165" s="28" t="s">
        <v>1167</v>
      </c>
      <c r="AD165" s="8" t="str">
        <f>IF(ISBLANK(input_wld_az1_rack8_vmotion_pool_start_ip),"Value Missing",input_wld_az1_rack8_vmotion_pool_start_ip)</f>
        <v>Value Missing</v>
      </c>
      <c r="AG165" s="9"/>
      <c r="AH165" s="9"/>
      <c r="AI165" s="9"/>
    </row>
    <row r="166" spans="5:35" s="2" customFormat="1" ht="20" customHeight="1" x14ac:dyDescent="0.2">
      <c r="E166" s="28" t="s">
        <v>1168</v>
      </c>
      <c r="F166" s="8" t="str">
        <f>IF(ISBLANK(input_mgmt_az1_vmotion_pool_end_ip),"Value Missing",input_mgmt_az1_vmotion_pool_end_ip)</f>
        <v>Value Missing</v>
      </c>
      <c r="H166" s="28" t="s">
        <v>1168</v>
      </c>
      <c r="I166" s="8" t="str">
        <f>IF(ISBLANK(input_wld_az1_vmotion_pool_end_ip),"Value Missing",input_wld_az1_vmotion_pool_end_ip)</f>
        <v>Value Missing</v>
      </c>
      <c r="K166" s="28" t="s">
        <v>1168</v>
      </c>
      <c r="L166" s="8" t="str">
        <f>IF(ISBLANK(input_wld_az1_rack2_vmotion_pool_end_ip),"Value Missing",input_wld_az1_rack2_vmotion_pool_end_ip)</f>
        <v>Value Missing</v>
      </c>
      <c r="N166" s="28" t="s">
        <v>1168</v>
      </c>
      <c r="O166" s="8" t="str">
        <f>IF(ISBLANK(input_wld_az1_rack3_vmotion_pool_end_ip),"Value Missing",input_wld_az1_rack3_vmotion_pool_end_ip)</f>
        <v>Value Missing</v>
      </c>
      <c r="Q166" s="28" t="s">
        <v>1168</v>
      </c>
      <c r="R166" s="8" t="str">
        <f>IF(ISBLANK(input_wld_az1_rack4_vmotion_pool_end_ip),"Value Missing",input_wld_az1_rack4_vmotion_pool_end_ip)</f>
        <v>Value Missing</v>
      </c>
      <c r="T166" s="28" t="s">
        <v>1168</v>
      </c>
      <c r="U166" s="8" t="str">
        <f>IF(ISBLANK(input_wld_az1_rack5_vmotion_pool_end_ip),"Value Missing",input_wld_az1_rack5_vmotion_pool_end_ip)</f>
        <v>Value Missing</v>
      </c>
      <c r="W166" s="28" t="s">
        <v>1168</v>
      </c>
      <c r="X166" s="8" t="str">
        <f>IF(ISBLANK(input_wld_az1_rack6_vmotion_pool_end_ip),"Value Missing",input_wld_az1_rack6_vmotion_pool_end_ip)</f>
        <v>Value Missing</v>
      </c>
      <c r="Z166" s="28" t="s">
        <v>1168</v>
      </c>
      <c r="AA166" s="8" t="str">
        <f>IF(ISBLANK(input_wld_az1_rack7_vmotion_pool_end_ip),"Value Missing",input_wld_az1_rack7_vmotion_pool_end_ip)</f>
        <v>Value Missing</v>
      </c>
      <c r="AC166" s="28" t="s">
        <v>1168</v>
      </c>
      <c r="AD166" s="8" t="str">
        <f>IF(ISBLANK(input_wld_az1_rack8_vmotion_pool_end_ip),"Value Missing",input_wld_az1_rack8_vmotion_pool_end_ip)</f>
        <v>Value Missing</v>
      </c>
      <c r="AG166" s="9"/>
      <c r="AH166" s="9"/>
      <c r="AI166" s="9"/>
    </row>
    <row r="167" spans="5:35" s="2" customFormat="1" ht="20" customHeight="1" x14ac:dyDescent="0.2">
      <c r="E167" s="28" t="s">
        <v>1169</v>
      </c>
      <c r="F167" s="8" t="str">
        <f>IF(ISBLANK(input_mgmt_az1_vsan_pool_start_ip),"Value Missing",input_mgmt_az1_vsan_pool_start_ip)</f>
        <v>Value Missing</v>
      </c>
      <c r="H167" s="28" t="s">
        <v>1169</v>
      </c>
      <c r="I167" s="8" t="str">
        <f>IF(ISBLANK(input_wld_az1_principal_storage_pool_start_ip),"Value Missing",input_wld_az1_principal_storage_pool_start_ip)</f>
        <v>Value Missing</v>
      </c>
      <c r="K167" s="28" t="s">
        <v>1169</v>
      </c>
      <c r="L167" s="8" t="str">
        <f>IF(ISBLANK(input_wld_az1_rack2_principal_storage_pool_start_ip),"Value Missing",input_wld_az1_rack2_principal_storage_pool_start_ip)</f>
        <v>Value Missing</v>
      </c>
      <c r="N167" s="28" t="s">
        <v>1169</v>
      </c>
      <c r="O167" s="8" t="str">
        <f>IF(ISBLANK(input_wld_az1_rack3_principal_storage_pool_start_ip),"Value Missing",input_wld_az1_rack3_principal_storage_pool_start_ip)</f>
        <v>Value Missing</v>
      </c>
      <c r="Q167" s="28" t="s">
        <v>1169</v>
      </c>
      <c r="R167" s="8" t="str">
        <f>IF(ISBLANK(input_wld_az1_rack4_principal_storage_pool_start_ip),"Value Missing",input_wld_az1_rack4_principal_storage_pool_start_ip)</f>
        <v>Value Missing</v>
      </c>
      <c r="T167" s="28" t="s">
        <v>1169</v>
      </c>
      <c r="U167" s="8" t="str">
        <f>IF(ISBLANK(input_wld_az1_rack5_principal_storage_pool_start_ip),"Value Missing",input_wld_az1_rack5_principal_storage_pool_start_ip)</f>
        <v>Value Missing</v>
      </c>
      <c r="W167" s="28" t="s">
        <v>1169</v>
      </c>
      <c r="X167" s="8" t="str">
        <f>IF(ISBLANK(input_wld_az1_rack6_principal_storage_pool_start_ip),"Value Missing",input_wld_az1_rack6_principal_storage_pool_start_ip)</f>
        <v>Value Missing</v>
      </c>
      <c r="Z167" s="28" t="s">
        <v>1169</v>
      </c>
      <c r="AA167" s="8" t="str">
        <f>IF(ISBLANK(input_wld_az1_rack7_principal_storage_pool_start_ip),"Value Missing",input_wld_az1_rack7_principal_storage_pool_start_ip)</f>
        <v>Value Missing</v>
      </c>
      <c r="AC167" s="28" t="s">
        <v>1169</v>
      </c>
      <c r="AD167" s="8" t="str">
        <f>IF(ISBLANK(input_wld_az1_rack8_principal_storage_pool_start_ip),"Value Missing",input_wld_az1_rack8_principal_storage_pool_start_ip)</f>
        <v>Value Missing</v>
      </c>
      <c r="AG167" s="9"/>
      <c r="AH167" s="9"/>
      <c r="AI167" s="9"/>
    </row>
    <row r="168" spans="5:35" s="2" customFormat="1" ht="20" customHeight="1" x14ac:dyDescent="0.2">
      <c r="E168" s="28" t="s">
        <v>1170</v>
      </c>
      <c r="F168" s="8" t="str">
        <f>IF(ISBLANK(input_mgmt_az1_vsan_pool_end_ip),"Value Missing",input_mgmt_az1_vsan_pool_end_ip)</f>
        <v>Value Missing</v>
      </c>
      <c r="H168" s="28" t="s">
        <v>1170</v>
      </c>
      <c r="I168" s="8" t="str">
        <f>IF(ISBLANK(input_wld_az1_principal_storage_pool_end_ip),"Value Missing",input_wld_az1_principal_storage_pool_end_ip)</f>
        <v>Value Missing</v>
      </c>
      <c r="K168" s="28" t="s">
        <v>1170</v>
      </c>
      <c r="L168" s="8" t="str">
        <f>IF(ISBLANK(input_wld_az1_rack2_principal_storage_pool_end_ip),"Value Missing",input_wld_az1_rack2_principal_storage_pool_end_ip)</f>
        <v>Value Missing</v>
      </c>
      <c r="N168" s="28" t="s">
        <v>1170</v>
      </c>
      <c r="O168" s="8" t="str">
        <f>IF(ISBLANK(input_wld_az1_rack3_principal_storage_pool_end_ip),"Value Missing",input_wld_az1_rack3_principal_storage_pool_end_ip)</f>
        <v>Value Missing</v>
      </c>
      <c r="Q168" s="28" t="s">
        <v>1170</v>
      </c>
      <c r="R168" s="8" t="str">
        <f>IF(ISBLANK(input_wld_az1_rack4_principal_storage_pool_end_ip),"Value Missing",input_wld_az1_rack4_principal_storage_pool_end_ip)</f>
        <v>Value Missing</v>
      </c>
      <c r="T168" s="28" t="s">
        <v>1170</v>
      </c>
      <c r="U168" s="8" t="str">
        <f>IF(ISBLANK(input_wld_az1_rack5_principal_storage_pool_end_ip),"Value Missing",input_wld_az1_rack5_principal_storage_pool_end_ip)</f>
        <v>Value Missing</v>
      </c>
      <c r="W168" s="28" t="s">
        <v>1170</v>
      </c>
      <c r="X168" s="8" t="str">
        <f>IF(ISBLANK(input_wld_az1_rack6_principal_storage_pool_end_ip),"Value Missing",input_wld_az1_rack6_principal_storage_pool_end_ip)</f>
        <v>Value Missing</v>
      </c>
      <c r="Z168" s="28" t="s">
        <v>1170</v>
      </c>
      <c r="AA168" s="8" t="str">
        <f>IF(ISBLANK(input_wld_az1_rack7_principal_storage_pool_end_ip),"Value Missing",input_wld_az1_rack7_principal_storage_pool_end_ip)</f>
        <v>Value Missing</v>
      </c>
      <c r="AC168" s="28" t="s">
        <v>1170</v>
      </c>
      <c r="AD168" s="8" t="str">
        <f>IF(ISBLANK(input_wld_az1_rack8_principal_storage_pool_end_ip),"Value Missing",input_wld_az1_rack8_principal_storage_pool_end_ip)</f>
        <v>Value Missing</v>
      </c>
      <c r="AG168" s="9"/>
      <c r="AH168" s="9"/>
      <c r="AI168" s="9"/>
    </row>
    <row r="169" spans="5:35" s="2" customFormat="1" ht="20" customHeight="1" x14ac:dyDescent="0.2">
      <c r="E169" s="28" t="s">
        <v>1171</v>
      </c>
      <c r="F169" s="8" t="str">
        <f>IF(ISBLANK(input_mgmt_az1_host_overlay_pool_start_ip),"Value Missing",input_mgmt_az1_host_overlay_pool_start_ip)</f>
        <v>Value Missing</v>
      </c>
      <c r="H169" s="28" t="s">
        <v>1171</v>
      </c>
      <c r="I169" s="8" t="str">
        <f>IF(ISBLANK(input_wld_az1_host_overlay_pool_start_ip),"Value Missing",input_wld_az1_host_overlay_pool_start_ip)</f>
        <v>Value Missing</v>
      </c>
      <c r="K169" s="28" t="s">
        <v>1171</v>
      </c>
      <c r="L169" s="8" t="str">
        <f>IF(ISBLANK(input_wld_az1_rack2_host_overlay_pool_start_ip),"Value Missing",input_wld_az1_rack2_host_overlay_pool_start_ip)</f>
        <v>Value Missing</v>
      </c>
      <c r="N169" s="28" t="s">
        <v>1171</v>
      </c>
      <c r="O169" s="8" t="str">
        <f>IF(ISBLANK(input_wld_az1_rack3_host_overlay_pool_start_ip),"Value Missing",input_wld_az1_rack3_host_overlay_pool_start_ip)</f>
        <v>Value Missing</v>
      </c>
      <c r="Q169" s="28" t="s">
        <v>1171</v>
      </c>
      <c r="R169" s="8" t="str">
        <f>IF(ISBLANK(input_wld_az1_rack4_host_overlay_pool_start_ip),"Value Missing",input_wld_az1_rack4_host_overlay_pool_start_ip)</f>
        <v>Value Missing</v>
      </c>
      <c r="T169" s="28" t="s">
        <v>1171</v>
      </c>
      <c r="U169" s="8" t="str">
        <f>IF(ISBLANK(input_wld_az1_rack5_host_overlay_pool_start_ip),"Value Missing",input_wld_az1_rack5_host_overlay_pool_start_ip)</f>
        <v>Value Missing</v>
      </c>
      <c r="W169" s="28" t="s">
        <v>1171</v>
      </c>
      <c r="X169" s="8" t="str">
        <f>IF(ISBLANK(input_wld_az1_rack6_host_overlay_pool_start_ip),"Value Missing",input_wld_az1_rack6_host_overlay_pool_start_ip)</f>
        <v>Value Missing</v>
      </c>
      <c r="Z169" s="28" t="s">
        <v>1171</v>
      </c>
      <c r="AA169" s="8" t="str">
        <f>IF(ISBLANK(input_wld_az1_rack7_host_overlay_pool_start_ip),"Value Missing",input_wld_az1_rack7_host_overlay_pool_start_ip)</f>
        <v>Value Missing</v>
      </c>
      <c r="AC169" s="28" t="s">
        <v>1171</v>
      </c>
      <c r="AD169" s="8" t="str">
        <f>IF(ISBLANK(input_wld_az1_rack8_host_overlay_pool_start_ip),"Value Missing",input_wld_az1_rack8_host_overlay_pool_start_ip)</f>
        <v>Value Missing</v>
      </c>
      <c r="AG169" s="9"/>
      <c r="AH169" s="9"/>
      <c r="AI169" s="9"/>
    </row>
    <row r="170" spans="5:35" s="2" customFormat="1" ht="20" customHeight="1" x14ac:dyDescent="0.2">
      <c r="E170" s="28" t="s">
        <v>1172</v>
      </c>
      <c r="F170" s="8" t="str">
        <f>IF(ISBLANK(input_mgmt_az1_host_overlay_pool_end_ip),"Value Missing",input_mgmt_az1_host_overlay_pool_end_ip)</f>
        <v>Value Missing</v>
      </c>
      <c r="H170" s="28" t="s">
        <v>1172</v>
      </c>
      <c r="I170" s="8" t="str">
        <f>IF(ISBLANK(input_wld_az1_host_overlay_pool_end_ip),"Value Missing",input_wld_az1_host_overlay_pool_end_ip)</f>
        <v>Value Missing</v>
      </c>
      <c r="K170" s="28" t="s">
        <v>1172</v>
      </c>
      <c r="L170" s="8" t="str">
        <f>IF(ISBLANK(input_wld_az1_rack2_host_overlay_pool_end_ip),"Value Missing",input_wld_az1_rack2_host_overlay_pool_end_ip)</f>
        <v>Value Missing</v>
      </c>
      <c r="N170" s="28" t="s">
        <v>1172</v>
      </c>
      <c r="O170" s="8" t="str">
        <f>IF(ISBLANK(input_wld_az1_rack3_host_overlay_pool_end_ip),"Value Missing",input_wld_az1_rack3_host_overlay_pool_end_ip)</f>
        <v>Value Missing</v>
      </c>
      <c r="Q170" s="28" t="s">
        <v>1172</v>
      </c>
      <c r="R170" s="8" t="str">
        <f>IF(ISBLANK(input_wld_az1_rack4_host_overlay_pool_end_ip),"Value Missing",input_wld_az1_rack4_host_overlay_pool_end_ip)</f>
        <v>Value Missing</v>
      </c>
      <c r="T170" s="28" t="s">
        <v>1172</v>
      </c>
      <c r="U170" s="8" t="str">
        <f>IF(ISBLANK(input_wld_az1_rack5_host_overlay_pool_end_ip),"Value Missing",input_wld_az1_rack5_host_overlay_pool_end_ip)</f>
        <v>Value Missing</v>
      </c>
      <c r="W170" s="28" t="s">
        <v>1172</v>
      </c>
      <c r="X170" s="8" t="str">
        <f>IF(ISBLANK(input_wld_az1_rack6_host_overlay_pool_end_ip),"Value Missing",input_wld_az1_rack6_host_overlay_pool_end_ip)</f>
        <v>Value Missing</v>
      </c>
      <c r="Z170" s="28" t="s">
        <v>1172</v>
      </c>
      <c r="AA170" s="8" t="str">
        <f>IF(ISBLANK(input_wld_az1_rack7_host_overlay_pool_end_ip),"Value Missing",input_wld_az1_rack7_host_overlay_pool_end_ip)</f>
        <v>Value Missing</v>
      </c>
      <c r="AC170" s="28" t="s">
        <v>1172</v>
      </c>
      <c r="AD170" s="8" t="str">
        <f>IF(ISBLANK(input_wld_az1_rack8_host_overlay_pool_end_ip),"Value Missing",input_wld_az1_rack8_host_overlay_pool_end_ip)</f>
        <v>Value Missing</v>
      </c>
      <c r="AG170" s="9"/>
      <c r="AH170" s="9"/>
      <c r="AI170" s="9"/>
    </row>
    <row r="171" spans="5:35" s="2" customFormat="1" ht="20" customHeight="1" x14ac:dyDescent="0.2">
      <c r="E171" s="5" t="s">
        <v>1173</v>
      </c>
      <c r="F171" s="8" t="str">
        <f>IF(ISBLANK(input_mgmt_az1_secondary_storage_pool_start_ip),"Value Missing",input_mgmt_az1_secondary_storage_pool_start_ip)</f>
        <v>Value Missing</v>
      </c>
      <c r="H171" s="23" t="s">
        <v>1173</v>
      </c>
      <c r="I171" s="8" t="str">
        <f>IF(ISBLANK(input_wld_az1_secondary_storage_pool_start_ip),"Value Missing",input_wld_az1_secondary_storage_pool_start_ip)</f>
        <v>Value Missing</v>
      </c>
      <c r="K171" s="23" t="s">
        <v>1173</v>
      </c>
      <c r="L171" s="8" t="str">
        <f>IF(ISBLANK(input_wld_az1_rack2_secondary_storage_pool_start_ip),"Value Missing",input_wld_az1_rack2_secondary_storage_pool_start_ip)</f>
        <v>Value Missing</v>
      </c>
      <c r="N171" s="23" t="s">
        <v>1173</v>
      </c>
      <c r="O171" s="8" t="str">
        <f>IF(ISBLANK(input_wld_az1_rack3_secondary_storage_pool_start_ip),"Value Missing",input_wld_az1_rack3_secondary_storage_pool_start_ip)</f>
        <v>Value Missing</v>
      </c>
      <c r="Q171" s="23" t="s">
        <v>1173</v>
      </c>
      <c r="R171" s="8" t="str">
        <f>IF(ISBLANK(input_wld_az1_rack4_secondary_storage_pool_start_ip),"Value Missing",input_wld_az1_rack4_secondary_storage_pool_start_ip)</f>
        <v>Value Missing</v>
      </c>
      <c r="T171" s="23" t="s">
        <v>1173</v>
      </c>
      <c r="U171" s="8" t="str">
        <f>IF(ISBLANK(input_wld_az1_rack5_secondary_storage_pool_start_ip),"Value Missing",input_wld_az1_rack5_secondary_storage_pool_start_ip)</f>
        <v>Value Missing</v>
      </c>
      <c r="W171" s="23" t="s">
        <v>1173</v>
      </c>
      <c r="X171" s="8" t="str">
        <f>IF(ISBLANK(input_wld_az1_rack6_secondary_storage_pool_start_ip),"Value Missing",input_wld_az1_rack6_secondary_storage_pool_start_ip)</f>
        <v>Value Missing</v>
      </c>
      <c r="Z171" s="23" t="s">
        <v>1173</v>
      </c>
      <c r="AA171" s="8" t="str">
        <f>IF(ISBLANK(input_wld_az1_rack7_secondary_storage_pool_start_ip),"Value Missing",input_wld_az1_rack7_secondary_storage_pool_start_ip)</f>
        <v>Value Missing</v>
      </c>
      <c r="AC171" s="23" t="s">
        <v>1173</v>
      </c>
      <c r="AD171" s="8" t="str">
        <f>IF(ISBLANK(input_wld_az1_rack8_secondary_storage_pool_start_ip),"Value Missing",input_wld_az1_rack8_secondary_storage_pool_start_ip)</f>
        <v>Value Missing</v>
      </c>
      <c r="AG171" s="9"/>
      <c r="AH171" s="9"/>
      <c r="AI171" s="9"/>
    </row>
    <row r="172" spans="5:35" s="2" customFormat="1" ht="20" customHeight="1" x14ac:dyDescent="0.2">
      <c r="E172" s="29" t="s">
        <v>1174</v>
      </c>
      <c r="F172" s="8" t="str">
        <f>IF(ISBLANK(input_mgmt_az1_secondary_storage_pool_end_ip),"Value Missing",input_mgmt_az1_secondary_storage_pool_end_ip)</f>
        <v>Value Missing</v>
      </c>
      <c r="H172" s="30" t="s">
        <v>1174</v>
      </c>
      <c r="I172" s="8" t="str">
        <f>IF(ISBLANK(input_wld_az1_secondary_storage_pool_end_ip),"Value Missing",input_wld_az1_secondary_storage_pool_end_ip)</f>
        <v>Value Missing</v>
      </c>
      <c r="K172" s="30" t="s">
        <v>1174</v>
      </c>
      <c r="L172" s="8" t="str">
        <f>IF(ISBLANK(input_wld_az1_rack2_secondary_storage_pool_end_ip),"Value Missing",input_wld_az1_rack2_secondary_storage_pool_end_ip)</f>
        <v>Value Missing</v>
      </c>
      <c r="N172" s="30" t="s">
        <v>1174</v>
      </c>
      <c r="O172" s="8" t="str">
        <f>IF(ISBLANK(input_wld_az1_rack3_secondary_storage_pool_end_ip),"Value Missing",input_wld_az1_rack3_secondary_storage_pool_end_ip)</f>
        <v>Value Missing</v>
      </c>
      <c r="Q172" s="30" t="s">
        <v>1174</v>
      </c>
      <c r="R172" s="8" t="str">
        <f>IF(ISBLANK(input_wld_az1_rack4_secondary_storage_pool_end_ip),"Value Missing",input_wld_az1_rack4_secondary_storage_pool_end_ip)</f>
        <v>Value Missing</v>
      </c>
      <c r="T172" s="30" t="s">
        <v>1174</v>
      </c>
      <c r="U172" s="8" t="str">
        <f>IF(ISBLANK(input_wld_az1_rack5_secondary_storage_pool_end_ip),"Value Missing",input_wld_az1_rack5_secondary_storage_pool_end_ip)</f>
        <v>Value Missing</v>
      </c>
      <c r="W172" s="30" t="s">
        <v>1174</v>
      </c>
      <c r="X172" s="8" t="str">
        <f>IF(ISBLANK(input_wld_az1_rack6_secondary_storage_pool_end_ip),"Value Missing",input_wld_az1_rack6_secondary_storage_pool_end_ip)</f>
        <v>Value Missing</v>
      </c>
      <c r="Z172" s="30" t="s">
        <v>1174</v>
      </c>
      <c r="AA172" s="8" t="str">
        <f>IF(ISBLANK(input_wld_az1_rack7_secondary_storage_pool_end_ip),"Value Missing",input_wld_az1_rack7_secondary_storage_pool_end_ip)</f>
        <v>Value Missing</v>
      </c>
      <c r="AC172" s="30" t="s">
        <v>1174</v>
      </c>
      <c r="AD172" s="8" t="str">
        <f>IF(ISBLANK(input_wld_az1_rack8_secondary_storage_pool_end_ip),"Value Missing",input_wld_az1_rack8_secondary_storage_pool_end_ip)</f>
        <v>Value Missing</v>
      </c>
      <c r="AG172" s="9"/>
      <c r="AH172" s="9"/>
      <c r="AI172" s="9"/>
    </row>
    <row r="173" spans="5:35" s="2" customFormat="1" ht="20" customHeight="1" x14ac:dyDescent="0.2">
      <c r="E173" s="29"/>
      <c r="F173" s="8"/>
      <c r="G173" s="33"/>
      <c r="H173" s="37" t="s">
        <v>1175</v>
      </c>
      <c r="I173" s="8" t="str">
        <f>IF(ISBLANK(input_wld_az1_storage_cluster_pool_start_ip),"Value Missing",input_wld_az1_storage_cluster_pool_start_ip)</f>
        <v>Value Missing</v>
      </c>
      <c r="J173" s="33"/>
      <c r="K173" s="30"/>
      <c r="L173" s="8"/>
      <c r="N173" s="30"/>
      <c r="O173" s="8"/>
      <c r="Q173" s="30"/>
      <c r="R173" s="8"/>
      <c r="T173" s="30"/>
      <c r="U173" s="8"/>
      <c r="W173" s="30"/>
      <c r="X173" s="8"/>
      <c r="Z173" s="30"/>
      <c r="AA173" s="8"/>
      <c r="AC173" s="30"/>
      <c r="AD173" s="8"/>
      <c r="AG173" s="9"/>
      <c r="AH173" s="9"/>
      <c r="AI173" s="9"/>
    </row>
    <row r="174" spans="5:35" s="2" customFormat="1" ht="20" customHeight="1" x14ac:dyDescent="0.2">
      <c r="E174" s="29"/>
      <c r="F174" s="8"/>
      <c r="G174" s="9"/>
      <c r="H174" s="268" t="s">
        <v>1176</v>
      </c>
      <c r="I174" s="8" t="str">
        <f>IF(ISBLANK(input_wld_az1_storage_cluster_pool_end_ip),"Value Missing",input_wld_az1_storage_cluster_pool_end_ip)</f>
        <v>Value Missing</v>
      </c>
      <c r="J174" s="9"/>
      <c r="K174" s="30"/>
      <c r="L174" s="8"/>
      <c r="N174" s="30"/>
      <c r="O174" s="8"/>
      <c r="Q174" s="30"/>
      <c r="R174" s="8"/>
      <c r="T174" s="30"/>
      <c r="U174" s="8"/>
      <c r="W174" s="30"/>
      <c r="X174" s="8"/>
      <c r="Z174" s="30"/>
      <c r="AA174" s="8"/>
      <c r="AC174" s="30"/>
      <c r="AD174" s="8"/>
      <c r="AG174" s="9"/>
      <c r="AH174" s="9"/>
      <c r="AI174" s="9"/>
    </row>
    <row r="175" spans="5:35" s="2" customFormat="1" ht="20" customHeight="1" x14ac:dyDescent="0.2">
      <c r="E175" s="28" t="s">
        <v>120</v>
      </c>
      <c r="F175" s="8" t="str">
        <f>IF(ISBLANK(input_mgmt_az1_edge_overlay_pool_start_ip),"Value Missing",input_mgmt_az1_edge_overlay_pool_start_ip)</f>
        <v>Value Missing</v>
      </c>
      <c r="H175" s="28" t="s">
        <v>120</v>
      </c>
      <c r="I175" s="8" t="str">
        <f>IF(ISBLANK(input_wld_az1_edge_overlay_pool_start_ip),"Value Missing",input_wld_az1_edge_overlay_pool_start_ip)</f>
        <v>Value Missing</v>
      </c>
      <c r="K175" s="28" t="s">
        <v>120</v>
      </c>
      <c r="L175" s="8" t="str">
        <f t="array" ref="L175">IF(ISBLANK(input_wld_az1_rack2_edge_overlay_pool_start_ip),"Value Missing",input_wld_az1_rack2_edge_overlay_pool_start_ip)</f>
        <v>Value Missing</v>
      </c>
      <c r="N175" s="28" t="s">
        <v>120</v>
      </c>
      <c r="O175" s="8" t="str">
        <f t="array" ref="O175">IF(ISBLANK(input_wld_az1_rack3_edge_overlay_pool_start_ip),"Value Missing",input_wld_az1_rack3_edge_overlay_pool_start_ip)</f>
        <v>Value Missing</v>
      </c>
      <c r="Q175" s="28" t="s">
        <v>120</v>
      </c>
      <c r="R175" s="8" t="str">
        <f t="array" ref="R175">IF(ISBLANK(input_wld_az1_rack4_edge_overlay_pool_start_ip),"Value Missing",input_wld_az1_rack4_edge_overlay_pool_start_ip)</f>
        <v>Value Missing</v>
      </c>
      <c r="T175" s="28" t="s">
        <v>120</v>
      </c>
      <c r="U175" s="8" t="str">
        <f t="array" ref="U175">IF(ISBLANK(input_wld_az1_rack5_edge_overlay_pool_start_ip),"Value Missing",input_wld_az1_rack5_edge_overlay_pool_start_ip)</f>
        <v>Value Missing</v>
      </c>
      <c r="W175" s="28" t="s">
        <v>120</v>
      </c>
      <c r="X175" s="8" t="str">
        <f t="array" ref="X175">IF(ISBLANK(input_wld_az1_rack6_edge_overlay_pool_start_ip),"Value Missing",input_wld_az1_rack6_edge_overlay_pool_start_ip)</f>
        <v>Value Missing</v>
      </c>
      <c r="Z175" s="28" t="s">
        <v>120</v>
      </c>
      <c r="AA175" s="8" t="str">
        <f t="array" ref="AA175">IF(ISBLANK(input_wld_az1_rack7_edge_overlay_pool_start_ip),"Value Missing",input_wld_az1_rack7_edge_overlay_pool_start_ip)</f>
        <v>Value Missing</v>
      </c>
      <c r="AC175" s="28" t="s">
        <v>120</v>
      </c>
      <c r="AD175" s="8" t="str">
        <f t="array" ref="AD175">IF(ISBLANK(input_wld_az1_rack8_edge_overlay_pool_start_ip),"Value Missing",input_wld_az1_rack8_edge_overlay_pool_start_ip)</f>
        <v>Value Missing</v>
      </c>
      <c r="AG175" s="9"/>
      <c r="AH175" s="9"/>
      <c r="AI175" s="9"/>
    </row>
    <row r="176" spans="5:35" s="2" customFormat="1" ht="20" customHeight="1" x14ac:dyDescent="0.2">
      <c r="E176" s="28" t="s">
        <v>121</v>
      </c>
      <c r="F176" s="8" t="str">
        <f>IF(ISBLANK(input_mgmt_az1_edge_overlay_pool_end_ip),"Value Missing",input_mgmt_az1_edge_overlay_pool_end_ip)</f>
        <v>Value Missing</v>
      </c>
      <c r="G176" s="35"/>
      <c r="H176" s="28" t="s">
        <v>121</v>
      </c>
      <c r="I176" s="8" t="str">
        <f>IF(ISBLANK(input_wld_az1_edge_overlay_pool_end_ip),"Value Missing",input_wld_az1_edge_overlay_pool_end_ip)</f>
        <v>Value Missing</v>
      </c>
      <c r="J176" s="35"/>
      <c r="K176" s="28" t="s">
        <v>121</v>
      </c>
      <c r="L176" s="8" t="str">
        <f t="array" ref="L176">IF(ISBLANK(input_wld_az1_rack2_edge_overlay_pool_end_ip),"Value Missing",input_wld_az1_rack2_edge_overlay_pool_end_ip)</f>
        <v>Value Missing</v>
      </c>
      <c r="M176" s="33"/>
      <c r="N176" s="28" t="s">
        <v>121</v>
      </c>
      <c r="O176" s="8" t="str">
        <f t="array" ref="O176">IF(ISBLANK(input_wld_az1_rack3_edge_overlay_pool_end_ip),"Value Missing",input_wld_az1_rack3_edge_overlay_pool_end_ip)</f>
        <v>Value Missing</v>
      </c>
      <c r="Q176" s="28" t="s">
        <v>121</v>
      </c>
      <c r="R176" s="8" t="str">
        <f t="array" ref="R176">IF(ISBLANK(input_wld_az1_rack4_edge_overlay_pool_end_ip),"Value Missing",input_wld_az1_rack4_edge_overlay_pool_end_ip)</f>
        <v>Value Missing</v>
      </c>
      <c r="T176" s="28" t="s">
        <v>121</v>
      </c>
      <c r="U176" s="8" t="str">
        <f t="array" ref="U176">IF(ISBLANK(input_wld_az1_rack5_edge_overlay_pool_end_ip),"Value Missing",input_wld_az1_rack5_edge_overlay_pool_end_ip)</f>
        <v>Value Missing</v>
      </c>
      <c r="W176" s="28" t="s">
        <v>121</v>
      </c>
      <c r="X176" s="8" t="str">
        <f t="array" ref="X176">IF(ISBLANK(input_wld_az1_rack6_edge_overlay_pool_end_ip),"Value Missing",input_wld_az1_rack6_edge_overlay_pool_end_ip)</f>
        <v>Value Missing</v>
      </c>
      <c r="Z176" s="28" t="s">
        <v>121</v>
      </c>
      <c r="AA176" s="8" t="str">
        <f t="array" ref="AA176">IF(ISBLANK(input_wld_az1_rack7_edge_overlay_pool_end_ip),"Value Missing",input_wld_az1_rack7_edge_overlay_pool_end_ip)</f>
        <v>Value Missing</v>
      </c>
      <c r="AC176" s="28" t="s">
        <v>121</v>
      </c>
      <c r="AD176" s="8" t="str">
        <f t="array" ref="AD176">IF(ISBLANK(input_wld_az1_rack8_edge_overlay_pool_end_ip),"Value Missing",input_wld_az1_rack8_edge_overlay_pool_end_ip)</f>
        <v>Value Missing</v>
      </c>
      <c r="AG176" s="9"/>
      <c r="AH176" s="9"/>
      <c r="AI176" s="9"/>
    </row>
    <row r="177" spans="5:36" s="2" customFormat="1" ht="20" customHeight="1" x14ac:dyDescent="0.2">
      <c r="E177" s="28" t="s">
        <v>1177</v>
      </c>
      <c r="F177" s="8" t="str">
        <f>IF(ISBLANK(input_mgmt_rtep_overlay_pool_start_ip),"Value Missing",input_mgmt_rtep_overlay_pool_start_ip)</f>
        <v>Value Missing</v>
      </c>
      <c r="H177" s="28" t="s">
        <v>1177</v>
      </c>
      <c r="I177" s="8" t="str">
        <f>IF(ISBLANK(input_wld_rtep_overlay_pool_start_ip),"Value Missing",input_wld_rtep_overlay_pool_start_ip)</f>
        <v>Value Missing</v>
      </c>
      <c r="K177" s="28" t="s">
        <v>1177</v>
      </c>
      <c r="L177" s="8"/>
      <c r="M177" s="9"/>
      <c r="N177" s="28" t="s">
        <v>1177</v>
      </c>
      <c r="O177" s="8"/>
      <c r="Q177" s="28" t="s">
        <v>1177</v>
      </c>
      <c r="R177" s="8"/>
      <c r="T177" s="28" t="s">
        <v>1177</v>
      </c>
      <c r="U177" s="8"/>
      <c r="W177" s="28" t="s">
        <v>1177</v>
      </c>
      <c r="X177" s="8"/>
      <c r="Z177" s="28" t="s">
        <v>1177</v>
      </c>
      <c r="AA177" s="8"/>
      <c r="AC177" s="28" t="s">
        <v>1177</v>
      </c>
      <c r="AD177" s="8"/>
      <c r="AG177" s="9"/>
      <c r="AH177" s="9"/>
      <c r="AI177" s="9"/>
      <c r="AJ177" s="9"/>
    </row>
    <row r="178" spans="5:36" s="2" customFormat="1" ht="20" customHeight="1" x14ac:dyDescent="0.2">
      <c r="E178" s="28" t="s">
        <v>1178</v>
      </c>
      <c r="F178" s="8" t="str">
        <f>IF(ISBLANK(input_mgmt_rtep_overlay_pool_end_ip),"Value Missing",input_mgmt_rtep_overlay_pool_end_ip)</f>
        <v>Value Missing</v>
      </c>
      <c r="H178" s="28" t="s">
        <v>1178</v>
      </c>
      <c r="I178" s="8" t="str">
        <f>IF(ISBLANK(input_wld_rtep_overlay_pool_end_ip),"Value Missing",input_wld_rtep_overlay_pool_end_ip)</f>
        <v>Value Missing</v>
      </c>
      <c r="K178" s="28" t="s">
        <v>1178</v>
      </c>
      <c r="L178" s="8"/>
      <c r="N178" s="28" t="s">
        <v>1178</v>
      </c>
      <c r="O178" s="8"/>
      <c r="Q178" s="28" t="s">
        <v>1178</v>
      </c>
      <c r="R178" s="8"/>
      <c r="T178" s="28" t="s">
        <v>1178</v>
      </c>
      <c r="U178" s="8"/>
      <c r="W178" s="28" t="s">
        <v>1178</v>
      </c>
      <c r="X178" s="8"/>
      <c r="Z178" s="28" t="s">
        <v>1178</v>
      </c>
      <c r="AA178" s="8"/>
      <c r="AC178" s="28" t="s">
        <v>1178</v>
      </c>
      <c r="AD178" s="8"/>
      <c r="AG178" s="9"/>
      <c r="AH178" s="9"/>
      <c r="AI178" s="9"/>
      <c r="AJ178" s="9"/>
    </row>
    <row r="179" spans="5:36" s="2" customFormat="1" ht="20" customHeight="1" x14ac:dyDescent="0.2">
      <c r="H179" s="31"/>
      <c r="K179" s="32"/>
      <c r="M179" s="35"/>
      <c r="N179" s="32"/>
      <c r="Q179" s="32"/>
      <c r="T179" s="32"/>
      <c r="W179" s="32"/>
      <c r="Z179" s="32"/>
      <c r="AC179" s="32"/>
      <c r="AG179" s="9"/>
      <c r="AH179" s="9"/>
      <c r="AI179" s="9"/>
      <c r="AJ179" s="9"/>
    </row>
    <row r="180" spans="5:36" s="2" customFormat="1" ht="20" customHeight="1" x14ac:dyDescent="0.2">
      <c r="E180" s="27" t="s">
        <v>1179</v>
      </c>
      <c r="F180" s="15"/>
      <c r="H180" s="27" t="s">
        <v>1180</v>
      </c>
      <c r="I180" s="15"/>
      <c r="K180" s="27" t="s">
        <v>1181</v>
      </c>
      <c r="L180" s="15"/>
      <c r="N180" s="27" t="s">
        <v>1182</v>
      </c>
      <c r="O180" s="15"/>
      <c r="Q180" s="27" t="s">
        <v>1183</v>
      </c>
      <c r="R180" s="15"/>
      <c r="T180" s="27" t="s">
        <v>1184</v>
      </c>
      <c r="U180" s="15"/>
      <c r="W180" s="27" t="s">
        <v>1185</v>
      </c>
      <c r="X180" s="15"/>
      <c r="Z180" s="27" t="s">
        <v>1186</v>
      </c>
      <c r="AA180" s="15"/>
      <c r="AC180" s="27" t="s">
        <v>1187</v>
      </c>
      <c r="AD180" s="15"/>
      <c r="AG180" s="9"/>
      <c r="AH180" s="9"/>
      <c r="AI180" s="9"/>
      <c r="AJ180" s="9"/>
    </row>
    <row r="181" spans="5:36" s="2" customFormat="1" ht="20" customHeight="1" x14ac:dyDescent="0.2">
      <c r="E181" s="17" t="s">
        <v>250</v>
      </c>
      <c r="F181" s="20" t="s">
        <v>1021</v>
      </c>
      <c r="H181" s="17" t="s">
        <v>250</v>
      </c>
      <c r="I181" s="20" t="s">
        <v>20</v>
      </c>
      <c r="K181" s="19" t="s">
        <v>250</v>
      </c>
      <c r="L181" s="20" t="s">
        <v>20</v>
      </c>
      <c r="N181" s="19" t="s">
        <v>250</v>
      </c>
      <c r="O181" s="20" t="s">
        <v>20</v>
      </c>
      <c r="P181" s="33"/>
      <c r="Q181" s="19" t="s">
        <v>250</v>
      </c>
      <c r="R181" s="20" t="s">
        <v>20</v>
      </c>
      <c r="S181" s="33"/>
      <c r="T181" s="19" t="s">
        <v>250</v>
      </c>
      <c r="U181" s="20" t="s">
        <v>20</v>
      </c>
      <c r="V181" s="33"/>
      <c r="W181" s="19" t="s">
        <v>250</v>
      </c>
      <c r="X181" s="20" t="s">
        <v>20</v>
      </c>
      <c r="Y181" s="33"/>
      <c r="Z181" s="19" t="s">
        <v>250</v>
      </c>
      <c r="AA181" s="20" t="s">
        <v>20</v>
      </c>
      <c r="AB181" s="33"/>
      <c r="AC181" s="19" t="s">
        <v>250</v>
      </c>
      <c r="AD181" s="20" t="s">
        <v>20</v>
      </c>
      <c r="AG181" s="9"/>
      <c r="AH181" s="9"/>
      <c r="AI181" s="9"/>
      <c r="AJ181" s="9"/>
    </row>
    <row r="182" spans="5:36" s="2" customFormat="1" ht="20" customHeight="1" x14ac:dyDescent="0.2">
      <c r="E182" s="28" t="s">
        <v>239</v>
      </c>
      <c r="F182" s="8" t="str">
        <f>CONCATENATE(this_instance,"01-m01","-r01-network-pool-01")</f>
        <v>sfo01-m01-r01-network-pool-01</v>
      </c>
      <c r="H182" s="28" t="s">
        <v>1188</v>
      </c>
      <c r="I182" s="8" t="str">
        <f>IF(ISBLANK(input_wld_az1_pool_name),"Value Missing",input_wld_az1_pool_name)</f>
        <v>Value Missing</v>
      </c>
      <c r="K182" s="28" t="s">
        <v>239</v>
      </c>
      <c r="L182" s="8" t="str">
        <f>IF(ISBLANK(input_wld_az1_rack2_pool_name),"Value Missing",input_wld_az1_rack2_pool_name)</f>
        <v>Value Missing</v>
      </c>
      <c r="N182" s="28" t="s">
        <v>1188</v>
      </c>
      <c r="O182" s="8" t="str">
        <f>IF(ISBLANK(input_wld_az1_rack3_pool_name),"Value Missing",input_wld_az1_rack3_pool_name)</f>
        <v>Value Missing</v>
      </c>
      <c r="P182" s="9"/>
      <c r="Q182" s="28" t="s">
        <v>1188</v>
      </c>
      <c r="R182" s="8" t="str">
        <f>IF(ISBLANK(input_wld_az1_rack4_pool_name),"Value Missing",input_wld_az1_rack4_pool_name)</f>
        <v>Value Missing</v>
      </c>
      <c r="S182" s="9"/>
      <c r="T182" s="28" t="s">
        <v>1188</v>
      </c>
      <c r="U182" s="8" t="str">
        <f>IF(ISBLANK(input_wld_az1_rack5_pool_name),"Value Missing",input_wld_az1_rack5_pool_name)</f>
        <v>Value Missing</v>
      </c>
      <c r="V182" s="9"/>
      <c r="W182" s="28" t="s">
        <v>1188</v>
      </c>
      <c r="X182" s="8" t="str">
        <f>IF(ISBLANK(input_wld_az1_rack6_pool_name),"Value Missing",input_wld_az1_rack6_pool_name)</f>
        <v>Value Missing</v>
      </c>
      <c r="Y182" s="9"/>
      <c r="Z182" s="28" t="s">
        <v>1188</v>
      </c>
      <c r="AA182" s="8" t="str">
        <f>IF(ISBLANK(input_wld_az1_rack7_pool_name),"Value Missing",input_wld_az1_rack7_pool_name)</f>
        <v>Value Missing</v>
      </c>
      <c r="AB182" s="9"/>
      <c r="AC182" s="28" t="s">
        <v>1188</v>
      </c>
      <c r="AD182" s="8" t="str">
        <f>IF(ISBLANK(input_wld_az1_rack8_pool_name),"Value Missing",input_wld_az1_rack8_pool_name)</f>
        <v>Value Missing</v>
      </c>
      <c r="AG182" s="9"/>
      <c r="AH182" s="9"/>
      <c r="AI182" s="9"/>
    </row>
    <row r="183" spans="5:36" s="2" customFormat="1" ht="20" customHeight="1" x14ac:dyDescent="0.2">
      <c r="E183" s="28" t="s">
        <v>1189</v>
      </c>
      <c r="F183" s="8" t="str">
        <f>CONCATENATE(this_instance,"01-",sample_mgmt_cl01_cluster,"-r01-network-profile")</f>
        <v>sfo01-sfo-m01-cl01-r01-network-profile</v>
      </c>
      <c r="G183" s="7"/>
      <c r="H183" s="28" t="s">
        <v>1189</v>
      </c>
      <c r="I183" s="8" t="str">
        <f>IF(ISBLANK(input_wld_az1_rack1_host_overlay_network_profile_name),"Value Missing",input_wld_az1_rack1_host_overlay_network_profile_name)</f>
        <v>Value Missing</v>
      </c>
      <c r="J183" s="7"/>
      <c r="K183" s="28" t="s">
        <v>1189</v>
      </c>
      <c r="L183" s="8" t="str">
        <f>IF(ISBLANK(input_wld_az1_rack2_host_overlay_network_profile_name),"Value Missing",input_wld_az1_rack2_host_overlay_network_profile_name)</f>
        <v>Value Missing</v>
      </c>
      <c r="N183" s="28" t="s">
        <v>1189</v>
      </c>
      <c r="O183" s="8" t="str">
        <f>IF(ISBLANK(input_wld_az1_rack3_host_overlay_network_profile_name),"Value Missing",input_wld_az1_rack3_host_overlay_network_profile_name)</f>
        <v>Value Missing</v>
      </c>
      <c r="Q183" s="28" t="s">
        <v>1189</v>
      </c>
      <c r="R183" s="8" t="str">
        <f>IF(ISBLANK(input_wld_az1_rack4_host_overlay_network_profile_name),"Value Missing",input_wld_az1_rack4_host_overlay_network_profile_name)</f>
        <v>Value Missing</v>
      </c>
      <c r="T183" s="28" t="s">
        <v>1189</v>
      </c>
      <c r="U183" s="8" t="str">
        <f>IF(ISBLANK(input_wld_az1_rack5_host_overlay_network_profile_name),"Value Missing",input_wld_az1_rack5_host_overlay_network_profile_name)</f>
        <v>Value Missing</v>
      </c>
      <c r="W183" s="28" t="s">
        <v>1189</v>
      </c>
      <c r="X183" s="8" t="str">
        <f>IF(ISBLANK(input_wld_az1_rack6_host_overlay_network_profile_name),"Value Missing",input_wld_az1_rack6_host_overlay_network_profile_name)</f>
        <v>Value Missing</v>
      </c>
      <c r="Z183" s="28" t="s">
        <v>1189</v>
      </c>
      <c r="AA183" s="8" t="str">
        <f>IF(ISBLANK(input_wld_az1_rack7_host_overlay_network_profile_name),"Value Missing",input_wld_az1_rack7_host_overlay_network_profile_name)</f>
        <v>Value Missing</v>
      </c>
      <c r="AC183" s="28" t="s">
        <v>1189</v>
      </c>
      <c r="AD183" s="8" t="str">
        <f>IF(ISBLANK(input_wld_az1_rack8_host_overlay_network_profile_name),"Value Missing",input_wld_az1_rack8_host_overlay_network_profile_name)</f>
        <v>Value Missing</v>
      </c>
      <c r="AG183" s="9"/>
      <c r="AH183" s="9"/>
      <c r="AI183" s="9"/>
      <c r="AJ183" s="9"/>
    </row>
    <row r="184" spans="5:36" s="2" customFormat="1" ht="20" customHeight="1" x14ac:dyDescent="0.2">
      <c r="E184" s="28" t="s">
        <v>1190</v>
      </c>
      <c r="F184" s="34" t="str">
        <f>IF(ISBLANK(input_mgmt_az1_host_overlay_network_pool_description),"Value Missing",input_mgmt_az1_host_overlay_network_pool_description)</f>
        <v>Value Missing</v>
      </c>
      <c r="H184" s="28" t="s">
        <v>1190</v>
      </c>
      <c r="I184" s="34" t="str">
        <f>IF(ISBLANK(input_wld_az1_host_overlay_network_pool_description),"Value Missing",input_wld_az1_host_overlay_network_pool_description)</f>
        <v>Value Missing</v>
      </c>
      <c r="K184" s="28" t="s">
        <v>1190</v>
      </c>
      <c r="L184" s="34"/>
      <c r="N184" s="28" t="s">
        <v>1190</v>
      </c>
      <c r="O184" s="34"/>
      <c r="P184" s="35"/>
      <c r="Q184" s="28" t="s">
        <v>1190</v>
      </c>
      <c r="R184" s="34"/>
      <c r="S184" s="35"/>
      <c r="T184" s="28" t="s">
        <v>1190</v>
      </c>
      <c r="U184" s="34"/>
      <c r="V184" s="35"/>
      <c r="W184" s="28" t="s">
        <v>1190</v>
      </c>
      <c r="X184" s="34"/>
      <c r="Y184" s="35"/>
      <c r="Z184" s="28" t="s">
        <v>1190</v>
      </c>
      <c r="AA184" s="34"/>
      <c r="AB184" s="35"/>
      <c r="AC184" s="28" t="s">
        <v>1190</v>
      </c>
      <c r="AD184" s="34"/>
      <c r="AG184" s="9"/>
      <c r="AH184" s="9"/>
      <c r="AI184" s="9"/>
      <c r="AJ184" s="9"/>
    </row>
    <row r="185" spans="5:36" s="2" customFormat="1" ht="20" customHeight="1" x14ac:dyDescent="0.2">
      <c r="E185" s="28" t="s">
        <v>1191</v>
      </c>
      <c r="F185" s="8" t="str">
        <f>IF(ISBLANK(input_mgmt_az1_host_overlay_network_pool_name),"Value Missing",input_mgmt_az1_host_overlay_network_pool_name)</f>
        <v>Value Missing</v>
      </c>
      <c r="G185" s="21"/>
      <c r="H185" s="28" t="s">
        <v>1192</v>
      </c>
      <c r="I185" s="8" t="str">
        <f>IF(ISBLANK(input_wld_az1_host_overlay_network_pool_name),"Value Missing",input_wld_az1_host_overlay_network_pool_name)</f>
        <v>Value Missing</v>
      </c>
      <c r="J185" s="21"/>
      <c r="K185" s="28" t="s">
        <v>1191</v>
      </c>
      <c r="L185" s="8" t="str">
        <f>IF(ISBLANK(input_wld_az1_rack2_host_overlay_network_pool_name),"Value Missing",input_wld_az1_rack2_host_overlay_network_pool_name)</f>
        <v>Value Missing</v>
      </c>
      <c r="N185" s="28" t="s">
        <v>1192</v>
      </c>
      <c r="O185" s="8" t="str">
        <f>IF(ISBLANK(input_wld_az1_rack3_host_overlay_network_pool_name),"Value Missing",input_wld_az1_rack3_host_overlay_network_pool_name)</f>
        <v>Value Missing</v>
      </c>
      <c r="Q185" s="28" t="s">
        <v>1192</v>
      </c>
      <c r="R185" s="8" t="str">
        <f>IF(ISBLANK(input_wld_az1_rack4_host_overlay_network_pool_name),"Value Missing",input_wld_az1_rack4_host_overlay_network_pool_name)</f>
        <v>Value Missing</v>
      </c>
      <c r="T185" s="28" t="s">
        <v>1192</v>
      </c>
      <c r="U185" s="8" t="str">
        <f>IF(ISBLANK(input_wld_az1_rack5_host_overlay_network_pool_name),"Value Missing",input_wld_az1_rack5_host_overlay_network_pool_name)</f>
        <v>Value Missing</v>
      </c>
      <c r="W185" s="28" t="s">
        <v>1192</v>
      </c>
      <c r="X185" s="8" t="str">
        <f>IF(ISBLANK(input_wld_az1_rack6_host_overlay_network_pool_name),"Value Missing",input_wld_az1_rack6_host_overlay_network_pool_name)</f>
        <v>Value Missing</v>
      </c>
      <c r="Z185" s="28" t="s">
        <v>1192</v>
      </c>
      <c r="AA185" s="8" t="str">
        <f>IF(ISBLANK(input_wld_az1_rack7_host_overlay_network_pool_name),"Value Missing",input_wld_az1_rack7_host_overlay_network_pool_name)</f>
        <v>Value Missing</v>
      </c>
      <c r="AC185" s="28" t="s">
        <v>1192</v>
      </c>
      <c r="AD185" s="8" t="str">
        <f>IF(ISBLANK(input_wld_az1_rack8_host_overlay_network_pool_name),"Value Missing",input_wld_az1_rack8_host_overlay_network_pool_name)</f>
        <v>Value Missing</v>
      </c>
      <c r="AG185" s="9"/>
      <c r="AH185" s="9"/>
      <c r="AI185" s="9"/>
      <c r="AJ185" s="9"/>
    </row>
    <row r="186" spans="5:36" s="2" customFormat="1" ht="20" customHeight="1" x14ac:dyDescent="0.2">
      <c r="E186" s="4" t="s">
        <v>1193</v>
      </c>
      <c r="F186" s="8"/>
      <c r="G186" s="21"/>
      <c r="H186" s="28" t="s">
        <v>1194</v>
      </c>
      <c r="I186" s="8" t="str">
        <f>IF(ISBLANK(input_wld_host_overlay_transportzone),"Value Missing",input_wld_host_overlay_transportzone)</f>
        <v>Value Missing</v>
      </c>
      <c r="J186" s="21"/>
      <c r="K186" s="28"/>
      <c r="L186" s="8"/>
      <c r="M186" s="7"/>
      <c r="N186" s="28"/>
      <c r="O186" s="8"/>
      <c r="Q186" s="28"/>
      <c r="R186" s="8"/>
      <c r="T186" s="28"/>
      <c r="U186" s="8"/>
      <c r="W186" s="28"/>
      <c r="X186" s="8"/>
      <c r="Z186" s="28"/>
      <c r="AA186" s="8"/>
      <c r="AC186" s="28"/>
      <c r="AD186" s="8"/>
      <c r="AG186" s="9"/>
      <c r="AH186" s="9"/>
      <c r="AI186" s="9"/>
      <c r="AJ186" s="9"/>
    </row>
    <row r="187" spans="5:36" s="2" customFormat="1" ht="20" customHeight="1" x14ac:dyDescent="0.2">
      <c r="E187" s="28" t="s">
        <v>1195</v>
      </c>
      <c r="F187" s="8" t="str">
        <f>CONCATENATE(this_instance,"01-m01","-r01-uplink-profile01")</f>
        <v>sfo01-m01-r01-uplink-profile01</v>
      </c>
      <c r="H187" s="28" t="s">
        <v>1195</v>
      </c>
      <c r="I187" s="8" t="str">
        <f>IF(ISBLANK(input_wld_az1_host_overlay_uplink_profile_name),"Value Missing",input_wld_az1_host_overlay_uplink_profile_name)</f>
        <v>Value Missing</v>
      </c>
      <c r="K187" s="28" t="s">
        <v>1195</v>
      </c>
      <c r="L187" s="8" t="str">
        <f>IF(ISBLANK(input_wld_az1_rack2_host_overlay_uplink_profile_name),"Value Missing",input_wld_az1_rack2_host_overlay_uplink_profile_name)</f>
        <v>Value Missing</v>
      </c>
      <c r="M187" s="3"/>
      <c r="N187" s="28" t="s">
        <v>1195</v>
      </c>
      <c r="O187" s="8" t="str">
        <f>IF(ISBLANK(input_wld_az1_rack3_host_overlay_uplink_profile_name),"Value Missing",input_wld_az1_rack3_host_overlay_uplink_profile_name)</f>
        <v>Value Missing</v>
      </c>
      <c r="Q187" s="28" t="s">
        <v>1195</v>
      </c>
      <c r="R187" s="8" t="str">
        <f>IF(ISBLANK(input_wld_az1_rack4_host_overlay_uplink_profile_name),"Value Missing",input_wld_az1_rack4_host_overlay_uplink_profile_name)</f>
        <v>Value Missing</v>
      </c>
      <c r="T187" s="28" t="s">
        <v>1195</v>
      </c>
      <c r="U187" s="8" t="str">
        <f>IF(ISBLANK(input_wld_az1_rack5_host_overlay_uplink_profile_name),"Value Missing",input_wld_az1_rack5_host_overlay_uplink_profile_name)</f>
        <v>Value Missing</v>
      </c>
      <c r="W187" s="28" t="s">
        <v>1195</v>
      </c>
      <c r="X187" s="8" t="str">
        <f>IF(ISBLANK(input_wld_az1_rack6_host_overlay_uplink_profile_name),"Value Missing",input_wld_az1_rack6_host_overlay_uplink_profile_name)</f>
        <v>Value Missing</v>
      </c>
      <c r="Z187" s="28" t="s">
        <v>1195</v>
      </c>
      <c r="AA187" s="8" t="str">
        <f>IF(ISBLANK(input_wld_az1_rack7_host_overlay_uplink_profile_name),"Value Missing",input_wld_az1_rack7_host_overlay_uplink_profile_name)</f>
        <v>Value Missing</v>
      </c>
      <c r="AC187" s="28" t="s">
        <v>1195</v>
      </c>
      <c r="AD187" s="8" t="str">
        <f>IF(ISBLANK(input_wld_az1_rack8_host_overlay_uplink_profile_name),"Value Missing",input_wld_az1_rack8_host_overlay_uplink_profile_name)</f>
        <v>Value Missing</v>
      </c>
      <c r="AG187" s="9"/>
      <c r="AH187" s="9"/>
      <c r="AI187" s="9"/>
      <c r="AJ187" s="9"/>
    </row>
    <row r="188" spans="5:36" s="2" customFormat="1" ht="20" customHeight="1" x14ac:dyDescent="0.2">
      <c r="E188" s="28" t="s">
        <v>1196</v>
      </c>
      <c r="F188" s="8" t="str">
        <f>IF(ISBLANK(input_mgmt_az1_edge_overlay_network_pool_name),"Value Missing",input_mgmt_az1_edge_overlay_network_pool_name)</f>
        <v>Value Missing</v>
      </c>
      <c r="H188" s="28" t="s">
        <v>1196</v>
      </c>
      <c r="I188" s="8" t="str">
        <f>IF(ISBLANK(input_wld_az1_edge_overlay_network_pool_name),"Value Missing",input_wld_az1_edge_overlay_network_pool_name)</f>
        <v>Value Missing</v>
      </c>
      <c r="K188" s="28" t="s">
        <v>1196</v>
      </c>
      <c r="L188" s="8" t="str">
        <f>IF(ISBLANK(input_wld_az1_rack2_edge_overlay_network_pool_name),"Value Missing",input_wld_az1_rack2_edge_overlay_network_pool_name)</f>
        <v>Value Missing</v>
      </c>
      <c r="M188" s="21"/>
      <c r="N188" s="28" t="s">
        <v>1196</v>
      </c>
      <c r="O188" s="8" t="str">
        <f>IF(ISBLANK(input_wld_az1_rack3_edge_overlay_network_pool_name),"Value Missing",input_wld_az1_rack3_edge_overlay_network_pool_name)</f>
        <v>Value Missing</v>
      </c>
      <c r="Q188" s="28" t="s">
        <v>1196</v>
      </c>
      <c r="R188" s="8" t="str">
        <f>IF(ISBLANK(input_wld_az1_rack4_edge_overlay_network_pool_name),"Value Missing",input_wld_az1_rack4_edge_overlay_network_pool_name)</f>
        <v>Value Missing</v>
      </c>
      <c r="T188" s="28" t="s">
        <v>1196</v>
      </c>
      <c r="U188" s="8" t="str">
        <f>IF(ISBLANK(input_wld_az1_rack5_edge_overlay_network_pool_name),"Value Missing",input_wld_az1_rack5_edge_overlay_network_pool_name)</f>
        <v>Value Missing</v>
      </c>
      <c r="W188" s="28" t="s">
        <v>1196</v>
      </c>
      <c r="X188" s="8" t="str">
        <f>IF(ISBLANK(input_wld_az1_rack6_edge_overlay_network_pool_name),"Value Missing",input_wld_az1_rack6_edge_overlay_network_pool_name)</f>
        <v>Value Missing</v>
      </c>
      <c r="Z188" s="28" t="s">
        <v>1196</v>
      </c>
      <c r="AA188" s="8" t="str">
        <f>IF(ISBLANK(input_wld_az1_rack7_edge_overlay_network_pool_name),"Value Missing",input_wld_az1_rack7_edge_overlay_network_pool_name)</f>
        <v>Value Missing</v>
      </c>
      <c r="AC188" s="37" t="s">
        <v>1196</v>
      </c>
      <c r="AD188" s="8" t="str">
        <f>IF(ISBLANK(input_wld_az1_rack8_edge_overlay_network_pool_name),"Value Missing",input_wld_az1_rack8_edge_overlay_network_pool_name)</f>
        <v>Value Missing</v>
      </c>
      <c r="AG188" s="9"/>
      <c r="AH188" s="9"/>
      <c r="AI188" s="9"/>
      <c r="AJ188" s="9"/>
    </row>
    <row r="189" spans="5:36" s="2" customFormat="1" ht="20" customHeight="1" x14ac:dyDescent="0.2">
      <c r="E189" s="28" t="s">
        <v>1197</v>
      </c>
      <c r="F189" s="8" t="str">
        <f>IF(ISBLANK(input_mgmt_az1_rtep_ip_pool_name),"Value Missing",input_mgmt_az1_rtep_ip_pool_name)</f>
        <v>Value Missing</v>
      </c>
      <c r="H189" s="28" t="s">
        <v>1197</v>
      </c>
      <c r="I189" s="8" t="str">
        <f>IF(ISBLANK(input_wld_az1_rtep_ip_pool_name),"Value Missing",input_wld_az1_rtep_ip_pool_name)</f>
        <v>Value Missing</v>
      </c>
      <c r="K189" s="28" t="s">
        <v>1197</v>
      </c>
      <c r="L189" s="8" t="str">
        <f>IF(ISBLANK(input_wld_az1_rack2_rtep_ip_pool_name),"Value Missing",input_wld_az1_rack2_rtep_ip_pool_name)</f>
        <v>Value Missing</v>
      </c>
      <c r="M189" s="21"/>
      <c r="N189" s="28" t="s">
        <v>1197</v>
      </c>
      <c r="O189" s="8" t="str">
        <f>IF(ISBLANK(input_wld_az1_rack3_rtep_ip_pool_name),"Value Missing",input_wld_az1_rack3_rtep_ip_pool_name)</f>
        <v>Value Missing</v>
      </c>
      <c r="Q189" s="28" t="s">
        <v>1197</v>
      </c>
      <c r="R189" s="8" t="str">
        <f>IF(ISBLANK(input_wld_az1_rack4_rtep_ip_pool_name),"Value Missing",input_wld_az1_rack4_rtep_ip_pool_name)</f>
        <v>Value Missing</v>
      </c>
      <c r="T189" s="28" t="s">
        <v>1197</v>
      </c>
      <c r="U189" s="8" t="str">
        <f>IF(ISBLANK(input_wld_az1_rack5_rtep_ip_pool_name),"Value Missing",input_wld_az1_rack5_rtep_ip_pool_name)</f>
        <v>Value Missing</v>
      </c>
      <c r="W189" s="28" t="s">
        <v>1197</v>
      </c>
      <c r="X189" s="8" t="str">
        <f>IF(ISBLANK(input_wld_az1_rack6_rtep_ip_pool_name),"Value Missing",input_wld_az1_rack6_rtep_ip_pool_name)</f>
        <v>Value Missing</v>
      </c>
      <c r="Z189" s="28" t="s">
        <v>1197</v>
      </c>
      <c r="AA189" s="8" t="str">
        <f>IF(ISBLANK(input_wld_az1_rack7_rtep_ip_pool_name),"Value Missing",input_wld_az1_rack7_rtep_ip_pool_name)</f>
        <v>Value Missing</v>
      </c>
      <c r="AC189" s="28" t="s">
        <v>1197</v>
      </c>
      <c r="AD189" s="8" t="str">
        <f>IF(ISBLANK(input_wld_az1_rack8_rtep_ip_pool_name),"Value Missing",input_wld_az1_rack8_rtep_ip_pool_name)</f>
        <v>Value Missing</v>
      </c>
      <c r="AG189" s="9"/>
      <c r="AH189" s="9"/>
      <c r="AI189" s="9"/>
      <c r="AJ189" s="9"/>
    </row>
    <row r="190" spans="5:36" s="2" customFormat="1" ht="20" customHeight="1" x14ac:dyDescent="0.2">
      <c r="E190" s="28" t="s">
        <v>1198</v>
      </c>
      <c r="F190" s="8"/>
      <c r="H190" s="28" t="s">
        <v>1198</v>
      </c>
      <c r="I190" s="8"/>
      <c r="K190" s="28" t="s">
        <v>1198</v>
      </c>
      <c r="L190" s="8" t="str">
        <f>IF(ISBLANK(input_wld_az1_rack2_vsan_fault_domain),"Value Missing",input_wld_az1_rack2_vsan_fault_domain)</f>
        <v>Value Missing</v>
      </c>
      <c r="N190" s="28" t="s">
        <v>1198</v>
      </c>
      <c r="O190" s="8" t="str">
        <f>IF(ISBLANK(input_wld_az1_rack3_vsan_fault_domain),"Value Missing",input_wld_az1_rack3_vsan_fault_domain)</f>
        <v>Value Missing</v>
      </c>
      <c r="Q190" s="28" t="s">
        <v>1198</v>
      </c>
      <c r="R190" s="8" t="str">
        <f>IF(ISBLANK(input_wld_az1_rack4_vsan_fault_domain),"Value Missing",input_wld_az1_rack4_vsan_fault_domain)</f>
        <v>Value Missing</v>
      </c>
      <c r="T190" s="28" t="s">
        <v>1198</v>
      </c>
      <c r="U190" s="8" t="str">
        <f>IF(ISBLANK(input_wld_az1_rack5_vsan_fault_domain),"Value Missing",input_wld_az1_rack5_vsan_fault_domain)</f>
        <v>Value Missing</v>
      </c>
      <c r="W190" s="28" t="s">
        <v>1198</v>
      </c>
      <c r="X190" s="8" t="str">
        <f>IF(ISBLANK(input_wld_az1_rack6_vsan_fault_domain),"Value Missing",input_wld_az1_rack6_vsan_fault_domain)</f>
        <v>Value Missing</v>
      </c>
      <c r="Z190" s="28" t="s">
        <v>1198</v>
      </c>
      <c r="AA190" s="8" t="str">
        <f>IF(ISBLANK(input_wld_az1_rack7_vsan_fault_domain),"Value Missing",input_wld_az1_rack7_vsan_fault_domain)</f>
        <v>Value Missing</v>
      </c>
      <c r="AC190" s="28" t="s">
        <v>1198</v>
      </c>
      <c r="AD190" s="8" t="str">
        <f>IF(ISBLANK(input_wld_az1_rack8_vsan_fault_domain),"Value Missing",input_wld_az1_rack8_vsan_fault_domain)</f>
        <v>Value Missing</v>
      </c>
      <c r="AG190" s="9"/>
      <c r="AH190" s="9"/>
      <c r="AI190" s="9"/>
      <c r="AJ190" s="9"/>
    </row>
    <row r="191" spans="5:36" s="2" customFormat="1" ht="20" customHeight="1" x14ac:dyDescent="0.2">
      <c r="E191" s="7"/>
      <c r="F191" s="7"/>
      <c r="H191" s="38"/>
      <c r="I191" s="38"/>
      <c r="K191" s="38"/>
      <c r="L191" s="25"/>
      <c r="N191" s="38"/>
      <c r="O191" s="25"/>
      <c r="P191" s="7"/>
      <c r="Q191" s="38"/>
      <c r="R191" s="25"/>
      <c r="S191" s="7"/>
      <c r="T191" s="38"/>
      <c r="U191" s="25"/>
      <c r="V191" s="7"/>
      <c r="W191" s="38"/>
      <c r="X191" s="25"/>
      <c r="Y191" s="7"/>
      <c r="Z191" s="38"/>
      <c r="AA191" s="25"/>
      <c r="AB191" s="7"/>
      <c r="AC191" s="38"/>
      <c r="AD191" s="25"/>
      <c r="AG191" s="9"/>
      <c r="AH191" s="9"/>
      <c r="AI191" s="9"/>
      <c r="AJ191" s="9"/>
    </row>
    <row r="192" spans="5:36" s="2" customFormat="1" ht="20" customHeight="1" x14ac:dyDescent="0.2">
      <c r="E192" s="618" t="s">
        <v>1199</v>
      </c>
      <c r="F192" s="619"/>
      <c r="H192" s="618" t="s">
        <v>1200</v>
      </c>
      <c r="I192" s="619"/>
      <c r="K192" s="618" t="s">
        <v>1201</v>
      </c>
      <c r="L192" s="619"/>
      <c r="N192" s="618" t="s">
        <v>1202</v>
      </c>
      <c r="O192" s="619"/>
      <c r="Q192" s="618" t="s">
        <v>1203</v>
      </c>
      <c r="R192" s="619"/>
      <c r="T192" s="618" t="s">
        <v>1203</v>
      </c>
      <c r="U192" s="619"/>
      <c r="W192" s="618" t="s">
        <v>1203</v>
      </c>
      <c r="X192" s="619"/>
      <c r="Z192" s="618" t="s">
        <v>1203</v>
      </c>
      <c r="AA192" s="619"/>
      <c r="AC192" s="618" t="s">
        <v>1203</v>
      </c>
      <c r="AD192" s="619"/>
      <c r="AG192" s="9"/>
      <c r="AH192" s="9"/>
      <c r="AI192" s="9"/>
      <c r="AJ192" s="9"/>
    </row>
    <row r="193" spans="2:37" s="2" customFormat="1" ht="20" customHeight="1" x14ac:dyDescent="0.2">
      <c r="E193" s="17" t="s">
        <v>250</v>
      </c>
      <c r="F193" s="20" t="s">
        <v>1021</v>
      </c>
      <c r="H193" s="17" t="s">
        <v>250</v>
      </c>
      <c r="I193" s="20" t="s">
        <v>20</v>
      </c>
      <c r="K193" s="19" t="s">
        <v>250</v>
      </c>
      <c r="L193" s="20" t="s">
        <v>20</v>
      </c>
      <c r="N193" s="19" t="s">
        <v>250</v>
      </c>
      <c r="O193" s="20" t="s">
        <v>20</v>
      </c>
      <c r="P193" s="21"/>
      <c r="Q193" s="19" t="s">
        <v>250</v>
      </c>
      <c r="R193" s="20" t="s">
        <v>20</v>
      </c>
      <c r="S193" s="21"/>
      <c r="T193" s="19" t="s">
        <v>250</v>
      </c>
      <c r="U193" s="20" t="s">
        <v>20</v>
      </c>
      <c r="V193" s="21"/>
      <c r="W193" s="19" t="s">
        <v>250</v>
      </c>
      <c r="X193" s="20" t="s">
        <v>20</v>
      </c>
      <c r="Y193" s="21"/>
      <c r="Z193" s="19" t="s">
        <v>250</v>
      </c>
      <c r="AA193" s="20" t="s">
        <v>20</v>
      </c>
      <c r="AB193" s="21"/>
      <c r="AC193" s="19" t="s">
        <v>250</v>
      </c>
      <c r="AD193" s="20" t="s">
        <v>20</v>
      </c>
      <c r="AG193" s="9"/>
      <c r="AH193" s="9"/>
      <c r="AI193" s="9"/>
      <c r="AJ193" s="9"/>
    </row>
    <row r="194" spans="2:37" s="2" customFormat="1" ht="20" customHeight="1" x14ac:dyDescent="0.2">
      <c r="E194" s="4" t="s">
        <v>1204</v>
      </c>
      <c r="F194" s="39"/>
      <c r="H194" s="4" t="s">
        <v>1205</v>
      </c>
      <c r="I194" s="8"/>
      <c r="K194" s="4" t="s">
        <v>1206</v>
      </c>
      <c r="L194" s="39" t="str">
        <f>IF(ISBLANK(input_wld_az1_rack2_mgmt_vm_cidr),"Value Missing",VLOOKUP(INT(RIGHT(input_wld_az1_rack2_mgmt_vm_cidr,LEN(input_wld_az1_rack2_mgmt_vm_cidr)-FIND("/",input_wld_az1_rack2_mgmt_vm_cidr))),table_cidr_to_mask,2,FALSE))</f>
        <v>Value Missing</v>
      </c>
      <c r="N194" s="4" t="s">
        <v>1207</v>
      </c>
      <c r="O194" s="39" t="str">
        <f>IF(ISBLANK(input_wld_az1_rack3_mgmt_vm_cidr),"Value Missing",VLOOKUP(INT(RIGHT(input_wld_az1_rack3_mgmt_vm_cidr,LEN(input_wld_az1_rack3_mgmt_vm_cidr)-FIND("/",input_wld_az1_rack3_mgmt_vm_cidr))),table_cidr_to_mask,2,FALSE))</f>
        <v>Value Missing</v>
      </c>
      <c r="P194" s="21"/>
      <c r="Q194" s="4" t="s">
        <v>1208</v>
      </c>
      <c r="R194" s="39" t="str">
        <f>IF(ISBLANK(input_wld_az1_rack4_mgmt_vm_cidr),"Value Missing",VLOOKUP(INT(RIGHT(input_wld_az1_rack4_mgmt_vm_cidr,LEN(input_wld_az1_rack4_mgmt_vm_cidr)-FIND("/",input_wld_az1_rack4_mgmt_vm_cidr))),table_cidr_to_mask,2,FALSE))</f>
        <v>Value Missing</v>
      </c>
      <c r="S194" s="21"/>
      <c r="T194" s="4" t="s">
        <v>1209</v>
      </c>
      <c r="U194" s="39" t="str">
        <f>IF(ISBLANK(input_wld_az1_rack5_mgmt_vm_cidr),"Value Missing",VLOOKUP(INT(RIGHT(input_wld_az1_rack5_mgmt_vm_cidr,LEN(input_wld_az1_rack5_mgmt_vm_cidr)-FIND("/",input_wld_az1_rack5_mgmt_vm_cidr))),table_cidr_to_mask,2,FALSE))</f>
        <v>Value Missing</v>
      </c>
      <c r="V194" s="21"/>
      <c r="W194" s="4" t="s">
        <v>1210</v>
      </c>
      <c r="X194" s="39" t="str">
        <f>IF(ISBLANK(input_wld_az1_rack6_mgmt_vm_cidr),"Value Missing",VLOOKUP(INT(RIGHT(input_wld_az1_rack6_mgmt_vm_cidr,LEN(input_wld_az1_rack6_mgmt_vm_cidr)-FIND("/",input_wld_az1_rack6_mgmt_vm_cidr))),table_cidr_to_mask,2,FALSE))</f>
        <v>Value Missing</v>
      </c>
      <c r="Y194" s="21"/>
      <c r="Z194" s="4" t="s">
        <v>1211</v>
      </c>
      <c r="AA194" s="39" t="str">
        <f>IF(ISBLANK(input_wld_az1_rack7_mgmt_vm_cidr),"Value Missing",VLOOKUP(INT(RIGHT(input_wld_az1_rack7_mgmt_vm_cidr,LEN(input_wld_az1_rack7_mgmt_vm_cidr)-FIND("/",input_wld_az1_rack7_mgmt_vm_cidr))),table_cidr_to_mask,2,FALSE))</f>
        <v>Value Missing</v>
      </c>
      <c r="AB194" s="21"/>
      <c r="AC194" s="4" t="s">
        <v>1212</v>
      </c>
      <c r="AD194" s="39" t="str">
        <f>IF(ISBLANK(input_wld_az1_rack8_mgmt_vm_cidr),"Value Missing",VLOOKUP(INT(RIGHT(input_wld_az1_rack8_mgmt_vm_cidr,LEN(input_wld_az1_rack8_mgmt_vm_cidr)-FIND("/",input_wld_az1_rack8_mgmt_vm_cidr))),table_cidr_to_mask,2,FALSE))</f>
        <v>Value Missing</v>
      </c>
      <c r="AG194" s="9"/>
      <c r="AH194" s="9"/>
      <c r="AI194" s="9"/>
      <c r="AJ194" s="9"/>
    </row>
    <row r="195" spans="2:37" s="2" customFormat="1" ht="20" customHeight="1" x14ac:dyDescent="0.2">
      <c r="B195" s="9"/>
      <c r="C195" s="9"/>
      <c r="E195" s="4" t="s">
        <v>1213</v>
      </c>
      <c r="F195" s="8"/>
      <c r="G195" s="21"/>
      <c r="H195" s="4" t="s">
        <v>1214</v>
      </c>
      <c r="I195" s="8"/>
      <c r="J195" s="21"/>
      <c r="K195" s="4" t="s">
        <v>1215</v>
      </c>
      <c r="L195" s="8" t="str">
        <f>IF(ISBLANK(input_wld_az1_rack2_mgmt_cidr),"Value Missing",VLOOKUP(INT(RIGHT(input_wld_az1_rack2_mgmt_cidr,LEN(input_wld_az1_rack2_mgmt_cidr)-FIND("/",input_wld_az1_rack2_mgmt_cidr))),table_cidr_to_mask,2,FALSE))</f>
        <v>Value Missing</v>
      </c>
      <c r="N195" s="4" t="s">
        <v>1216</v>
      </c>
      <c r="O195" s="8" t="str">
        <f>IF(ISBLANK(input_wld_az1_rack3_mgmt_cidr),"Value Missing",VLOOKUP(INT(RIGHT(input_wld_az1_rack3_mgmt_cidr,LEN(input_wld_az1_rack3_mgmt_cidr)-FIND("/",input_wld_az1_rack3_mgmt_cidr))),table_cidr_to_mask,2,FALSE))</f>
        <v>Value Missing</v>
      </c>
      <c r="Q195" s="4" t="s">
        <v>1217</v>
      </c>
      <c r="R195" s="8" t="str">
        <f>IF(ISBLANK(input_wld_az1_rack4_mgmt_cidr),"Value Missing",VLOOKUP(INT(RIGHT(input_wld_az1_rack4_mgmt_cidr,LEN(input_wld_az1_rack4_mgmt_cidr)-FIND("/",input_wld_az1_rack4_mgmt_cidr))),table_cidr_to_mask,2,FALSE))</f>
        <v>Value Missing</v>
      </c>
      <c r="T195" s="4" t="s">
        <v>1218</v>
      </c>
      <c r="U195" s="8" t="str">
        <f>IF(ISBLANK(input_wld_az1_rack5_mgmt_cidr),"Value Missing",VLOOKUP(INT(RIGHT(input_wld_az1_rack5_mgmt_cidr,LEN(input_wld_az1_rack5_mgmt_cidr)-FIND("/",input_wld_az1_rack5_mgmt_cidr))),table_cidr_to_mask,2,FALSE))</f>
        <v>Value Missing</v>
      </c>
      <c r="W195" s="4" t="s">
        <v>1219</v>
      </c>
      <c r="X195" s="8" t="str">
        <f>IF(ISBLANK(input_wld_az1_rack6_mgmt_cidr),"Value Missing",VLOOKUP(INT(RIGHT(input_wld_az1_rack6_mgmt_cidr,LEN(input_wld_az1_rack6_mgmt_cidr)-FIND("/",input_wld_az1_rack6_mgmt_cidr))),table_cidr_to_mask,2,FALSE))</f>
        <v>Value Missing</v>
      </c>
      <c r="Z195" s="4" t="s">
        <v>1220</v>
      </c>
      <c r="AA195" s="8" t="str">
        <f>IF(ISBLANK(input_wld_az1_rack7_mgmt_cidr),"Value Missing",VLOOKUP(INT(RIGHT(input_wld_az1_rack7_mgmt_cidr,LEN(input_wld_az1_rack7_mgmt_cidr)-FIND("/",input_wld_az1_rack7_mgmt_cidr))),table_cidr_to_mask,2,FALSE))</f>
        <v>Value Missing</v>
      </c>
      <c r="AC195" s="4" t="s">
        <v>1221</v>
      </c>
      <c r="AD195" s="8" t="str">
        <f>IF(ISBLANK(input_wld_az1_rack8_mgmt_cidr),"Value Missing",VLOOKUP(INT(RIGHT(input_wld_az1_rack8_mgmt_cidr,LEN(input_wld_az1_rack8_mgmt_cidr)-FIND("/",input_wld_az1_rack8_mgmt_cidr))),table_cidr_to_mask,2,FALSE))</f>
        <v>Value Missing</v>
      </c>
      <c r="AG195" s="9"/>
      <c r="AH195" s="9"/>
      <c r="AI195" s="9"/>
      <c r="AJ195" s="9"/>
    </row>
    <row r="196" spans="2:37" s="2" customFormat="1" ht="20" customHeight="1" x14ac:dyDescent="0.2">
      <c r="B196" s="9"/>
      <c r="C196" s="9"/>
      <c r="AE196" s="9"/>
      <c r="AF196" s="9"/>
      <c r="AG196" s="9"/>
      <c r="AH196" s="9"/>
      <c r="AI196" s="9"/>
      <c r="AJ196" s="9"/>
      <c r="AK196" s="9"/>
    </row>
    <row r="197" spans="2:37" s="2" customFormat="1" ht="20" customHeight="1" x14ac:dyDescent="0.2">
      <c r="B197" s="9"/>
      <c r="C197" s="9"/>
      <c r="E197" s="27" t="s">
        <v>1222</v>
      </c>
      <c r="F197" s="27"/>
      <c r="H197" s="27" t="s">
        <v>1223</v>
      </c>
      <c r="I197" s="27"/>
      <c r="K197" s="27" t="s">
        <v>1224</v>
      </c>
      <c r="L197" s="27"/>
      <c r="N197" s="27" t="s">
        <v>1225</v>
      </c>
      <c r="O197" s="27"/>
      <c r="P197" s="21"/>
      <c r="Q197" s="27" t="s">
        <v>1226</v>
      </c>
      <c r="R197" s="27"/>
      <c r="S197" s="21"/>
      <c r="T197" s="27" t="s">
        <v>1227</v>
      </c>
      <c r="U197" s="27"/>
      <c r="V197" s="21"/>
      <c r="W197" s="27" t="s">
        <v>1228</v>
      </c>
      <c r="X197" s="27"/>
      <c r="Y197" s="21"/>
      <c r="Z197" s="27" t="s">
        <v>1229</v>
      </c>
      <c r="AA197" s="27"/>
      <c r="AB197" s="21"/>
      <c r="AC197" s="27" t="s">
        <v>1230</v>
      </c>
      <c r="AD197" s="27"/>
      <c r="AE197" s="9"/>
      <c r="AF197" s="9"/>
      <c r="AG197" s="9"/>
      <c r="AH197" s="9"/>
      <c r="AI197" s="9"/>
      <c r="AJ197" s="9"/>
      <c r="AK197" s="9"/>
    </row>
    <row r="198" spans="2:37" s="2" customFormat="1" ht="20" customHeight="1" x14ac:dyDescent="0.2">
      <c r="B198" s="9"/>
      <c r="C198" s="9"/>
      <c r="E198" s="17" t="s">
        <v>250</v>
      </c>
      <c r="F198" s="20" t="s">
        <v>1021</v>
      </c>
      <c r="H198" s="17" t="s">
        <v>250</v>
      </c>
      <c r="I198" s="20" t="s">
        <v>20</v>
      </c>
      <c r="K198" s="19" t="s">
        <v>250</v>
      </c>
      <c r="L198" s="20" t="s">
        <v>20</v>
      </c>
      <c r="N198" s="19" t="s">
        <v>250</v>
      </c>
      <c r="O198" s="20" t="s">
        <v>20</v>
      </c>
      <c r="P198" s="21"/>
      <c r="Q198" s="19" t="s">
        <v>250</v>
      </c>
      <c r="R198" s="20" t="s">
        <v>20</v>
      </c>
      <c r="S198" s="21"/>
      <c r="T198" s="19" t="s">
        <v>250</v>
      </c>
      <c r="U198" s="20" t="s">
        <v>20</v>
      </c>
      <c r="V198" s="21"/>
      <c r="W198" s="19" t="s">
        <v>250</v>
      </c>
      <c r="X198" s="20" t="s">
        <v>20</v>
      </c>
      <c r="Y198" s="21"/>
      <c r="Z198" s="19" t="s">
        <v>250</v>
      </c>
      <c r="AA198" s="20" t="s">
        <v>20</v>
      </c>
      <c r="AB198" s="21"/>
      <c r="AC198" s="19" t="s">
        <v>250</v>
      </c>
      <c r="AD198" s="20" t="s">
        <v>20</v>
      </c>
      <c r="AE198" s="9"/>
      <c r="AF198" s="9"/>
      <c r="AG198" s="9"/>
      <c r="AH198" s="9"/>
      <c r="AI198" s="9"/>
      <c r="AJ198" s="9"/>
      <c r="AK198" s="9"/>
    </row>
    <row r="199" spans="2:37" s="2" customFormat="1" ht="20" customHeight="1" x14ac:dyDescent="0.2">
      <c r="B199" s="9"/>
      <c r="C199" s="9"/>
      <c r="E199" s="4" t="s">
        <v>1231</v>
      </c>
      <c r="F199" s="8" t="str">
        <f>IF(ISBLANK(input_mgmt_az1_host1_mgmt_ip),"Value Missing",input_mgmt_az1_host1_mgmt_ip)</f>
        <v>Value Missing</v>
      </c>
      <c r="H199" s="4" t="s">
        <v>1231</v>
      </c>
      <c r="I199" s="8" t="str">
        <f>IF(ISBLANK(input_wld_az1_host1_mgmt_ip),"Value Missing",input_wld_az1_host1_mgmt_ip)</f>
        <v>Value Missing</v>
      </c>
      <c r="K199" s="4" t="s">
        <v>1231</v>
      </c>
      <c r="L199" s="8" t="str">
        <f>IF(ISBLANK(input_wld_az1_rack2_host1_mgmt_ip),"Value Missing",input_wld_az1_rack2_host1_mgmt_ip)</f>
        <v>Value Missing</v>
      </c>
      <c r="N199" s="4" t="s">
        <v>1231</v>
      </c>
      <c r="O199" s="8" t="str">
        <f>IF(ISBLANK(input_wld_az1_rack3_host1_mgmt_ip),"Value Missing",input_wld_az1_rack3_host1_mgmt_ip)</f>
        <v>Value Missing</v>
      </c>
      <c r="Q199" s="4" t="s">
        <v>1231</v>
      </c>
      <c r="R199" s="8" t="str">
        <f>IF(ISBLANK(input_wld_az1_rack4_host1_mgmt_ip),"Value Missing",input_wld_az1_rack4_host1_mgmt_ip)</f>
        <v>Value Missing</v>
      </c>
      <c r="T199" s="4" t="s">
        <v>1231</v>
      </c>
      <c r="U199" s="8" t="str">
        <f>IF(ISBLANK(input_wld_az1_rack5_host1_mgmt_ip),"Value Missing",input_wld_az1_rack5_host1_mgmt_ip)</f>
        <v>Value Missing</v>
      </c>
      <c r="W199" s="4" t="s">
        <v>1231</v>
      </c>
      <c r="X199" s="8" t="str">
        <f>IF(ISBLANK(input_wld_az1_rack6_host1_mgmt_ip),"Value Missing",input_wld_az1_rack6_host1_mgmt_ip)</f>
        <v>Value Missing</v>
      </c>
      <c r="Z199" s="4" t="s">
        <v>1231</v>
      </c>
      <c r="AA199" s="8" t="str">
        <f>IF(ISBLANK(input_wld_az1_rack7_host1_mgmt_ip),"Value Missing",input_wld_az1_rack7_host1_mgmt_ip)</f>
        <v>Value Missing</v>
      </c>
      <c r="AC199" s="4" t="s">
        <v>1231</v>
      </c>
      <c r="AD199" s="8" t="str">
        <f>IF(ISBLANK(input_wld_az1_rack8_host1_mgmt_ip),"Value Missing",input_wld_az1_rack8_host1_mgmt_ip)</f>
        <v>Value Missing</v>
      </c>
      <c r="AE199" s="9"/>
      <c r="AF199" s="9"/>
      <c r="AG199" s="9"/>
      <c r="AH199" s="9"/>
      <c r="AI199" s="9"/>
      <c r="AJ199" s="9"/>
      <c r="AK199" s="9"/>
    </row>
    <row r="200" spans="2:37" s="2" customFormat="1" ht="20" customHeight="1" x14ac:dyDescent="0.2">
      <c r="B200" s="9"/>
      <c r="C200" s="9"/>
      <c r="E200" s="4" t="s">
        <v>1232</v>
      </c>
      <c r="F200" s="8" t="str">
        <f>IF(ISBLANK(input_mgmt_az1_host2_mgmt_ip),"Value Missing",input_mgmt_az1_host2_mgmt_ip)</f>
        <v>Value Missing</v>
      </c>
      <c r="H200" s="4" t="s">
        <v>1232</v>
      </c>
      <c r="I200" s="8" t="str">
        <f>IF(ISBLANK(input_wld_az1_host2_mgmt_ip),"Value Missing",input_wld_az1_host2_mgmt_ip)</f>
        <v>Value Missing</v>
      </c>
      <c r="K200" s="4" t="s">
        <v>1232</v>
      </c>
      <c r="L200" s="8" t="str">
        <f>IF(ISBLANK(input_wld_az1_rack2_host2_mgmt_ip),"Value Missing",input_wld_az1_rack2_host2_mgmt_ip)</f>
        <v>Value Missing</v>
      </c>
      <c r="N200" s="4" t="s">
        <v>1232</v>
      </c>
      <c r="O200" s="8" t="str">
        <f>IF(ISBLANK(input_wld_az1_rack3_host2_mgmt_ip),"Value Missing",input_wld_az1_rack3_host2_mgmt_ip)</f>
        <v>Value Missing</v>
      </c>
      <c r="Q200" s="4" t="s">
        <v>1232</v>
      </c>
      <c r="R200" s="8" t="str">
        <f>IF(ISBLANK(input_wld_az1_rack4_host2_mgmt_ip),"Value Missing",input_wld_az1_rack4_host2_mgmt_ip)</f>
        <v>Value Missing</v>
      </c>
      <c r="T200" s="4" t="s">
        <v>1232</v>
      </c>
      <c r="U200" s="8" t="str">
        <f>IF(ISBLANK(input_wld_az1_rack5_host2_mgmt_ip),"Value Missing",input_wld_az1_rack5_host2_mgmt_ip)</f>
        <v>Value Missing</v>
      </c>
      <c r="W200" s="4" t="s">
        <v>1232</v>
      </c>
      <c r="X200" s="8" t="str">
        <f>IF(ISBLANK(input_wld_az1_rack6_host2_mgmt_ip),"Value Missing",input_wld_az1_rack6_host2_mgmt_ip)</f>
        <v>Value Missing</v>
      </c>
      <c r="Z200" s="4" t="s">
        <v>1232</v>
      </c>
      <c r="AA200" s="8" t="str">
        <f>IF(ISBLANK(input_wld_az1_rack7_host2_mgmt_ip),"Value Missing",input_wld_az1_rack7_host2_mgmt_ip)</f>
        <v>Value Missing</v>
      </c>
      <c r="AC200" s="4" t="s">
        <v>1232</v>
      </c>
      <c r="AD200" s="8" t="str">
        <f>IF(ISBLANK(input_wld_az1_rack8_host2_mgmt_ip),"Value Missing",input_wld_az1_rack8_host2_mgmt_ip)</f>
        <v>Value Missing</v>
      </c>
      <c r="AE200" s="9"/>
      <c r="AF200" s="9"/>
      <c r="AG200" s="9"/>
      <c r="AH200" s="9"/>
      <c r="AI200" s="9"/>
      <c r="AJ200" s="9"/>
      <c r="AK200" s="9"/>
    </row>
    <row r="201" spans="2:37" s="2" customFormat="1" ht="20" customHeight="1" x14ac:dyDescent="0.2">
      <c r="B201" s="9"/>
      <c r="C201" s="9"/>
      <c r="E201" s="4" t="s">
        <v>1233</v>
      </c>
      <c r="F201" s="8" t="str">
        <f>IF(ISBLANK(input_mgmt_az1_host3_mgmt_ip),"Value Missing",input_mgmt_az1_host3_mgmt_ip)</f>
        <v>Value Missing</v>
      </c>
      <c r="H201" s="4" t="s">
        <v>1233</v>
      </c>
      <c r="I201" s="8" t="str">
        <f>IF(ISBLANK(input_wld_az1_host3_mgmt_ip),"Value Missing",input_wld_az1_host3_mgmt_ip)</f>
        <v>Value Missing</v>
      </c>
      <c r="K201" s="4" t="s">
        <v>1233</v>
      </c>
      <c r="L201" s="8" t="str">
        <f>IF(ISBLANK(input_wld_az1_rack2_host3_mgmt_ip),"Value Missing",input_wld_az1_rack2_host3_mgmt_ip)</f>
        <v>Value Missing</v>
      </c>
      <c r="N201" s="4" t="s">
        <v>1233</v>
      </c>
      <c r="O201" s="8" t="str">
        <f>IF(ISBLANK(input_wld_az1_rack3_host3_mgmt_ip),"Value Missing",input_wld_az1_rack3_host3_mgmt_ip)</f>
        <v>Value Missing</v>
      </c>
      <c r="Q201" s="4" t="s">
        <v>1233</v>
      </c>
      <c r="R201" s="8" t="str">
        <f>IF(ISBLANK(input_wld_az1_rack4_host3_mgmt_ip),"Value Missing",input_wld_az1_rack4_host3_mgmt_ip)</f>
        <v>Value Missing</v>
      </c>
      <c r="T201" s="4" t="s">
        <v>1233</v>
      </c>
      <c r="U201" s="8" t="str">
        <f>IF(ISBLANK(input_wld_az1_rack5_host3_mgmt_ip),"Value Missing",input_wld_az1_rack5_host3_mgmt_ip)</f>
        <v>Value Missing</v>
      </c>
      <c r="W201" s="4" t="s">
        <v>1233</v>
      </c>
      <c r="X201" s="8" t="str">
        <f>IF(ISBLANK(input_wld_az1_rack6_host3_mgmt_ip),"Value Missing",input_wld_az1_rack6_host3_mgmt_ip)</f>
        <v>Value Missing</v>
      </c>
      <c r="Z201" s="4" t="s">
        <v>1233</v>
      </c>
      <c r="AA201" s="8" t="str">
        <f>IF(ISBLANK(input_wld_az1_rack7_host3_mgmt_ip),"Value Missing",input_wld_az1_rack7_host3_mgmt_ip)</f>
        <v>Value Missing</v>
      </c>
      <c r="AC201" s="4" t="s">
        <v>1233</v>
      </c>
      <c r="AD201" s="8" t="str">
        <f>IF(ISBLANK(input_wld_az1_rack8_host3_mgmt_ip),"Value Missing",input_wld_az1_rack8_host3_mgmt_ip)</f>
        <v>Value Missing</v>
      </c>
      <c r="AE201" s="9"/>
      <c r="AF201" s="9"/>
      <c r="AG201" s="9"/>
      <c r="AH201" s="9"/>
      <c r="AI201" s="9"/>
      <c r="AJ201" s="9"/>
      <c r="AK201" s="9"/>
    </row>
    <row r="202" spans="2:37" s="2" customFormat="1" ht="20" customHeight="1" x14ac:dyDescent="0.2">
      <c r="B202" s="9"/>
      <c r="C202" s="9"/>
      <c r="E202" s="4" t="s">
        <v>1234</v>
      </c>
      <c r="F202" s="8" t="str">
        <f>IF(ISBLANK(input_mgmt_az1_host4_mgmt_ip),"Value Missing",input_mgmt_az1_host4_mgmt_ip)</f>
        <v>Value Missing</v>
      </c>
      <c r="H202" s="4" t="s">
        <v>1234</v>
      </c>
      <c r="I202" s="8" t="str">
        <f>IF(ISBLANK(input_wld_az1_host4_mgmt_ip),"Value Missing",input_wld_az1_host4_mgmt_ip)</f>
        <v>Value Missing</v>
      </c>
      <c r="K202" s="4" t="s">
        <v>1234</v>
      </c>
      <c r="L202" s="8" t="str">
        <f>IF(ISBLANK(input_wld_az1_rack2_host4_mgmt_ip),"Value Missing",input_wld_az1_rack2_host4_mgmt_ip)</f>
        <v>Value Missing</v>
      </c>
      <c r="N202" s="4" t="s">
        <v>1234</v>
      </c>
      <c r="O202" s="8" t="str">
        <f>IF(ISBLANK(input_wld_az1_rack3_host4_mgmt_ip),"Value Missing",input_wld_az1_rack3_host4_mgmt_ip)</f>
        <v>Value Missing</v>
      </c>
      <c r="Q202" s="4" t="s">
        <v>1234</v>
      </c>
      <c r="R202" s="8" t="str">
        <f>IF(ISBLANK(input_wld_az1_rack4_host4_mgmt_ip),"Value Missing",input_wld_az1_rack4_host4_mgmt_ip)</f>
        <v>Value Missing</v>
      </c>
      <c r="T202" s="4" t="s">
        <v>1234</v>
      </c>
      <c r="U202" s="8" t="str">
        <f>IF(ISBLANK(input_wld_az1_rack5_host4_mgmt_ip),"Value Missing",input_wld_az1_rack5_host4_mgmt_ip)</f>
        <v>Value Missing</v>
      </c>
      <c r="W202" s="4" t="s">
        <v>1234</v>
      </c>
      <c r="X202" s="8" t="str">
        <f>IF(ISBLANK(input_wld_az1_rack6_host4_mgmt_ip),"Value Missing",input_wld_az1_rack6_host4_mgmt_ip)</f>
        <v>Value Missing</v>
      </c>
      <c r="Z202" s="4" t="s">
        <v>1234</v>
      </c>
      <c r="AA202" s="8" t="str">
        <f>IF(ISBLANK(input_wld_az1_rack7_host4_mgmt_ip),"Value Missing",input_wld_az1_rack7_host4_mgmt_ip)</f>
        <v>Value Missing</v>
      </c>
      <c r="AC202" s="4" t="s">
        <v>1234</v>
      </c>
      <c r="AD202" s="8" t="str">
        <f>IF(ISBLANK(input_wld_az1_rack8_host4_mgmt_ip),"Value Missing",input_wld_az1_rack8_host4_mgmt_ip)</f>
        <v>Value Missing</v>
      </c>
      <c r="AE202" s="9"/>
      <c r="AF202" s="9"/>
      <c r="AG202" s="9"/>
      <c r="AH202" s="9"/>
      <c r="AI202" s="9"/>
      <c r="AJ202" s="9"/>
      <c r="AK202" s="9"/>
    </row>
    <row r="203" spans="2:37" s="2" customFormat="1" ht="20" customHeight="1" x14ac:dyDescent="0.2">
      <c r="B203" s="9"/>
      <c r="C203" s="9"/>
      <c r="E203" s="4" t="s">
        <v>1235</v>
      </c>
      <c r="F203" s="8" t="str">
        <f>IF(ISBLANK(input_mgmt_az1_host5_mgmt_ip),"Value Missing",input_mgmt_az1_host5_mgmt_ip)</f>
        <v>Value Missing</v>
      </c>
      <c r="H203" s="4" t="s">
        <v>1235</v>
      </c>
      <c r="I203" s="8" t="str">
        <f>IF(ISBLANK(input_wld_az1_host5_mgmt_ip),"Value Missing",input_wld_az1_host5_mgmt_ip)</f>
        <v>Value Missing</v>
      </c>
      <c r="K203" s="4" t="s">
        <v>1235</v>
      </c>
      <c r="L203" s="8" t="str">
        <f>IF(ISBLANK(input_wld_az1_rack2_host5_mgmt_ip),"Value Missing",input_wld_az1_rack2_host5_mgmt_ip)</f>
        <v>Value Missing</v>
      </c>
      <c r="N203" s="4" t="s">
        <v>1235</v>
      </c>
      <c r="O203" s="8" t="str">
        <f>IF(ISBLANK(input_wld_az1_rack3_host5_mgmt_ip),"Value Missing",input_wld_az1_rack3_host5_mgmt_ip)</f>
        <v>Value Missing</v>
      </c>
      <c r="Q203" s="4" t="s">
        <v>1235</v>
      </c>
      <c r="R203" s="8" t="str">
        <f>IF(ISBLANK(input_wld_az1_rack4_host5_mgmt_ip),"Value Missing",input_wld_az1_rack4_host5_mgmt_ip)</f>
        <v>Value Missing</v>
      </c>
      <c r="T203" s="4" t="s">
        <v>1235</v>
      </c>
      <c r="U203" s="8" t="str">
        <f>IF(ISBLANK(input_wld_az1_rack5_host5_mgmt_ip),"Value Missing",input_wld_az1_rack5_host5_mgmt_ip)</f>
        <v>Value Missing</v>
      </c>
      <c r="W203" s="4" t="s">
        <v>1235</v>
      </c>
      <c r="X203" s="8" t="str">
        <f>IF(ISBLANK(input_wld_az1_rack6_host5_mgmt_ip),"Value Missing",input_wld_az1_rack6_host5_mgmt_ip)</f>
        <v>Value Missing</v>
      </c>
      <c r="Z203" s="4" t="s">
        <v>1235</v>
      </c>
      <c r="AA203" s="8" t="str">
        <f>IF(ISBLANK(input_wld_az1_rack7_host5_mgmt_ip),"Value Missing",input_wld_az1_rack7_host5_mgmt_ip)</f>
        <v>Value Missing</v>
      </c>
      <c r="AC203" s="4" t="s">
        <v>1235</v>
      </c>
      <c r="AD203" s="8" t="str">
        <f>IF(ISBLANK(input_wld_az1_rack8_host5_mgmt_ip),"Value Missing",input_wld_az1_rack8_host5_mgmt_ip)</f>
        <v>Value Missing</v>
      </c>
      <c r="AE203" s="9"/>
      <c r="AF203" s="9"/>
      <c r="AG203" s="9"/>
      <c r="AH203" s="9"/>
      <c r="AI203" s="9"/>
      <c r="AJ203" s="9"/>
      <c r="AK203" s="9"/>
    </row>
    <row r="204" spans="2:37" s="2" customFormat="1" ht="20" customHeight="1" x14ac:dyDescent="0.2">
      <c r="B204" s="9"/>
      <c r="C204" s="9"/>
      <c r="E204" s="4" t="s">
        <v>1236</v>
      </c>
      <c r="F204" s="8" t="str">
        <f>IF(ISBLANK(input_mgmt_az1_host6_mgmt_ip),"Value Missing",input_mgmt_az1_host6_mgmt_ip)</f>
        <v>Value Missing</v>
      </c>
      <c r="H204" s="4" t="s">
        <v>1236</v>
      </c>
      <c r="I204" s="8" t="str">
        <f>IF(ISBLANK(input_wld_az1_host6_mgmt_ip),"Value Missing",input_wld_az1_host6_mgmt_ip)</f>
        <v>Value Missing</v>
      </c>
      <c r="K204" s="4" t="s">
        <v>1236</v>
      </c>
      <c r="L204" s="8" t="str">
        <f>IF(ISBLANK(input_wld_az1_rack2_host6_mgmt_ip),"Value Missing",input_wld_az1_rack2_host6_mgmt_ip)</f>
        <v>Value Missing</v>
      </c>
      <c r="N204" s="4" t="s">
        <v>1236</v>
      </c>
      <c r="O204" s="8" t="str">
        <f>IF(ISBLANK(input_wld_az1_rack3_host6_mgmt_ip),"Value Missing",input_wld_az1_rack3_host6_mgmt_ip)</f>
        <v>Value Missing</v>
      </c>
      <c r="Q204" s="4" t="s">
        <v>1236</v>
      </c>
      <c r="R204" s="8" t="str">
        <f>IF(ISBLANK(input_wld_az1_rack4_host6_mgmt_ip),"Value Missing",input_wld_az1_rack4_host6_mgmt_ip)</f>
        <v>Value Missing</v>
      </c>
      <c r="T204" s="4" t="s">
        <v>1236</v>
      </c>
      <c r="U204" s="8" t="str">
        <f>IF(ISBLANK(input_wld_az1_rack5_host6_mgmt_ip),"Value Missing",input_wld_az1_rack5_host6_mgmt_ip)</f>
        <v>Value Missing</v>
      </c>
      <c r="W204" s="4" t="s">
        <v>1236</v>
      </c>
      <c r="X204" s="8" t="str">
        <f>IF(ISBLANK(input_wld_az1_rack6_host6_mgmt_ip),"Value Missing",input_wld_az1_rack6_host6_mgmt_ip)</f>
        <v>Value Missing</v>
      </c>
      <c r="Z204" s="4" t="s">
        <v>1236</v>
      </c>
      <c r="AA204" s="8" t="str">
        <f>IF(ISBLANK(input_wld_az1_rack7_host6_mgmt_ip),"Value Missing",input_wld_az1_rack7_host6_mgmt_ip)</f>
        <v>Value Missing</v>
      </c>
      <c r="AC204" s="4" t="s">
        <v>1236</v>
      </c>
      <c r="AD204" s="8" t="str">
        <f>IF(ISBLANK(input_wld_az1_rack8_host6_mgmt_ip),"Value Missing",input_wld_az1_rack8_host6_mgmt_ip)</f>
        <v>Value Missing</v>
      </c>
      <c r="AE204" s="9"/>
      <c r="AF204" s="9"/>
      <c r="AG204" s="9"/>
      <c r="AH204" s="9"/>
      <c r="AI204" s="9"/>
      <c r="AJ204" s="9"/>
      <c r="AK204" s="9"/>
    </row>
    <row r="205" spans="2:37" s="2" customFormat="1" ht="20" customHeight="1" x14ac:dyDescent="0.2">
      <c r="B205" s="9"/>
      <c r="C205" s="9"/>
      <c r="E205" s="4" t="s">
        <v>1237</v>
      </c>
      <c r="F205" s="8" t="str">
        <f>IF(ISBLANK(input_mgmt_az1_host7_mgmt_ip),"Value Missing",input_mgmt_az1_host7_mgmt_ip)</f>
        <v>Value Missing</v>
      </c>
      <c r="H205" s="4" t="s">
        <v>1237</v>
      </c>
      <c r="I205" s="8" t="str">
        <f>IF(ISBLANK(input_wld_az1_host7_mgmt_ip),"Value Missing",input_wld_az1_host7_mgmt_ip)</f>
        <v>Value Missing</v>
      </c>
      <c r="K205" s="4" t="s">
        <v>1237</v>
      </c>
      <c r="L205" s="8" t="str">
        <f>IF(ISBLANK(input_wld_az1_rack2_host7_mgmt_ip),"Value Missing",input_wld_az1_rack2_host7_mgmt_ip)</f>
        <v>Value Missing</v>
      </c>
      <c r="N205" s="4" t="s">
        <v>1237</v>
      </c>
      <c r="O205" s="8" t="str">
        <f>IF(ISBLANK(input_wld_az1_rack3_host7_mgmt_ip),"Value Missing",input_wld_az1_rack3_host7_mgmt_ip)</f>
        <v>Value Missing</v>
      </c>
      <c r="Q205" s="4" t="s">
        <v>1237</v>
      </c>
      <c r="R205" s="8" t="str">
        <f>IF(ISBLANK(input_wld_az1_rack4_host7_mgmt_ip),"Value Missing",input_wld_az1_rack4_host7_mgmt_ip)</f>
        <v>Value Missing</v>
      </c>
      <c r="T205" s="4" t="s">
        <v>1237</v>
      </c>
      <c r="U205" s="8" t="str">
        <f>IF(ISBLANK(input_wld_az1_rack5_host7_mgmt_ip),"Value Missing",input_wld_az1_rack5_host7_mgmt_ip)</f>
        <v>Value Missing</v>
      </c>
      <c r="W205" s="4" t="s">
        <v>1237</v>
      </c>
      <c r="X205" s="8" t="str">
        <f>IF(ISBLANK(input_wld_az1_rack6_host7_mgmt_ip),"Value Missing",input_wld_az1_rack6_host7_mgmt_ip)</f>
        <v>Value Missing</v>
      </c>
      <c r="Z205" s="4" t="s">
        <v>1237</v>
      </c>
      <c r="AA205" s="8" t="str">
        <f>IF(ISBLANK(input_wld_az1_rack7_host7_mgmt_ip),"Value Missing",input_wld_az1_rack7_host7_mgmt_ip)</f>
        <v>Value Missing</v>
      </c>
      <c r="AC205" s="4" t="s">
        <v>1237</v>
      </c>
      <c r="AD205" s="8" t="str">
        <f>IF(ISBLANK(input_wld_az1_rack8_host7_mgmt_ip),"Value Missing",input_wld_az1_rack8_host7_mgmt_ip)</f>
        <v>Value Missing</v>
      </c>
      <c r="AE205" s="9"/>
      <c r="AF205" s="9"/>
      <c r="AG205" s="9"/>
      <c r="AH205" s="9"/>
      <c r="AI205" s="9"/>
      <c r="AJ205" s="9"/>
      <c r="AK205" s="9"/>
    </row>
    <row r="206" spans="2:37" s="2" customFormat="1" ht="20" customHeight="1" x14ac:dyDescent="0.2">
      <c r="B206" s="9"/>
      <c r="C206" s="9"/>
      <c r="E206" s="4" t="s">
        <v>1238</v>
      </c>
      <c r="F206" s="8" t="str">
        <f>IF(ISBLANK(input_mgmt_az1_host8_mgmt_ip),"Value Missing",input_mgmt_az1_host8_mgmt_ip)</f>
        <v>Value Missing</v>
      </c>
      <c r="H206" s="4" t="s">
        <v>1238</v>
      </c>
      <c r="I206" s="8" t="str">
        <f>IF(ISBLANK(input_wld_az1_host8_mgmt_ip),"Value Missing",input_wld_az1_host8_mgmt_ip)</f>
        <v>Value Missing</v>
      </c>
      <c r="K206" s="4" t="s">
        <v>1238</v>
      </c>
      <c r="L206" s="8" t="str">
        <f>IF(ISBLANK(input_wld_az1_rack2_host8_mgmt_ip),"Value Missing",input_wld_az1_rack2_host8_mgmt_ip)</f>
        <v>Value Missing</v>
      </c>
      <c r="N206" s="4" t="s">
        <v>1238</v>
      </c>
      <c r="O206" s="8" t="str">
        <f>IF(ISBLANK(input_wld_az1_rack3_host8_mgmt_ip),"Value Missing",input_wld_az1_rack3_host8_mgmt_ip)</f>
        <v>Value Missing</v>
      </c>
      <c r="Q206" s="4" t="s">
        <v>1238</v>
      </c>
      <c r="R206" s="8" t="str">
        <f>IF(ISBLANK(input_wld_az1_rack4_host8_mgmt_ip),"Value Missing",input_wld_az1_rack4_host8_mgmt_ip)</f>
        <v>Value Missing</v>
      </c>
      <c r="T206" s="4" t="s">
        <v>1238</v>
      </c>
      <c r="U206" s="8" t="str">
        <f>IF(ISBLANK(input_wld_az1_rack5_host8_mgmt_ip),"Value Missing",input_wld_az1_rack5_host8_mgmt_ip)</f>
        <v>Value Missing</v>
      </c>
      <c r="W206" s="4" t="s">
        <v>1238</v>
      </c>
      <c r="X206" s="8" t="str">
        <f>IF(ISBLANK(input_wld_az1_rack6_host8_mgmt_ip),"Value Missing",input_wld_az1_rack6_host8_mgmt_ip)</f>
        <v>Value Missing</v>
      </c>
      <c r="Z206" s="4" t="s">
        <v>1238</v>
      </c>
      <c r="AA206" s="8" t="str">
        <f>IF(ISBLANK(input_wld_az1_rack7_host8_mgmt_ip),"Value Missing",input_wld_az1_rack7_host8_mgmt_ip)</f>
        <v>Value Missing</v>
      </c>
      <c r="AC206" s="4" t="s">
        <v>1238</v>
      </c>
      <c r="AD206" s="8" t="str">
        <f>IF(ISBLANK(input_wld_az1_rack8_host8_mgmt_ip),"Value Missing",input_wld_az1_rack8_host8_mgmt_ip)</f>
        <v>Value Missing</v>
      </c>
      <c r="AE206" s="9"/>
      <c r="AF206" s="9"/>
      <c r="AG206" s="9"/>
      <c r="AH206" s="9"/>
      <c r="AI206" s="9"/>
      <c r="AJ206" s="9"/>
      <c r="AK206" s="9"/>
    </row>
    <row r="207" spans="2:37" ht="20" customHeight="1" x14ac:dyDescent="0.2">
      <c r="E207" s="4" t="s">
        <v>1239</v>
      </c>
      <c r="F207" s="8" t="str">
        <f>IF(ISBLANK(input_mgmt_az1_host9_mgmt_ip),"Value Missing",input_mgmt_az1_host9_mgmt_ip)</f>
        <v>Value Missing</v>
      </c>
      <c r="G207" s="2"/>
      <c r="H207" s="4" t="s">
        <v>1239</v>
      </c>
      <c r="I207" s="8" t="str">
        <f>IF(ISBLANK(input_wld_az1_host9_mgmt_ip),"Value Missing",input_wld_az1_host9_mgmt_ip)</f>
        <v>Value Missing</v>
      </c>
      <c r="J207" s="2"/>
      <c r="K207" s="4" t="s">
        <v>1239</v>
      </c>
      <c r="L207" s="8" t="str">
        <f>IF(ISBLANK(input_wld_az1_rack2_host9_mgmt_ip),"Value Missing",input_wld_az1_rack2_host9_mgmt_ip)</f>
        <v>Value Missing</v>
      </c>
      <c r="M207" s="2"/>
      <c r="N207" s="4" t="s">
        <v>1239</v>
      </c>
      <c r="O207" s="8" t="str">
        <f>IF(ISBLANK(input_wld_az1_rack3_host9_mgmt_ip),"Value Missing",input_wld_az1_rack3_host9_mgmt_ip)</f>
        <v>Value Missing</v>
      </c>
      <c r="P207" s="2"/>
      <c r="Q207" s="4" t="s">
        <v>1239</v>
      </c>
      <c r="R207" s="8" t="str">
        <f>IF(ISBLANK(input_wld_az1_rack4_host9_mgmt_ip),"Value Missing",input_wld_az1_rack4_host9_mgmt_ip)</f>
        <v>Value Missing</v>
      </c>
      <c r="S207" s="2"/>
      <c r="T207" s="4" t="s">
        <v>1239</v>
      </c>
      <c r="U207" s="8" t="str">
        <f>IF(ISBLANK(input_wld_az1_rack5_host9_mgmt_ip),"Value Missing",input_wld_az1_rack5_host9_mgmt_ip)</f>
        <v>Value Missing</v>
      </c>
      <c r="V207" s="2"/>
      <c r="W207" s="4" t="s">
        <v>1239</v>
      </c>
      <c r="X207" s="8" t="str">
        <f>IF(ISBLANK(input_wld_az1_rack6_host9_mgmt_ip),"Value Missing",input_wld_az1_rack6_host9_mgmt_ip)</f>
        <v>Value Missing</v>
      </c>
      <c r="Y207" s="2"/>
      <c r="Z207" s="4" t="s">
        <v>1239</v>
      </c>
      <c r="AA207" s="8" t="str">
        <f>IF(ISBLANK(input_wld_az1_rack7_host9_mgmt_ip),"Value Missing",input_wld_az1_rack7_host9_mgmt_ip)</f>
        <v>Value Missing</v>
      </c>
      <c r="AB207" s="2"/>
      <c r="AC207" s="4" t="s">
        <v>1239</v>
      </c>
      <c r="AD207" s="8" t="str">
        <f>IF(ISBLANK(input_wld_az1_rack8_host9_mgmt_ip),"Value Missing",input_wld_az1_rack8_host9_mgmt_ip)</f>
        <v>Value Missing</v>
      </c>
    </row>
    <row r="208" spans="2:37" ht="20" customHeight="1" x14ac:dyDescent="0.2">
      <c r="E208" s="4" t="s">
        <v>1240</v>
      </c>
      <c r="F208" s="8" t="str">
        <f>IF(ISBLANK(input_mgmt_az1_host10_mgmt_ip),"Value Missing",input_mgmt_az1_host10_mgmt_ip)</f>
        <v>Value Missing</v>
      </c>
      <c r="G208" s="2"/>
      <c r="H208" s="4" t="s">
        <v>1240</v>
      </c>
      <c r="I208" s="8" t="str">
        <f>IF(ISBLANK(input_wld_az1_host10_mgmt_ip),"Value Missing",input_wld_az1_host10_mgmt_ip)</f>
        <v>Value Missing</v>
      </c>
      <c r="J208" s="2"/>
      <c r="K208" s="4" t="s">
        <v>1240</v>
      </c>
      <c r="L208" s="8" t="str">
        <f>IF(ISBLANK(input_wld_az1_rack2_host10_mgmt_ip),"Value Missing",input_wld_az1_rack2_host10_mgmt_ip)</f>
        <v>Value Missing</v>
      </c>
      <c r="M208" s="2"/>
      <c r="N208" s="4" t="s">
        <v>1240</v>
      </c>
      <c r="O208" s="8" t="str">
        <f>IF(ISBLANK(input_wld_az1_rack3_host10_mgmt_ip),"Value Missing",input_wld_az1_rack3_host10_mgmt_ip)</f>
        <v>Value Missing</v>
      </c>
      <c r="P208" s="2"/>
      <c r="Q208" s="4" t="s">
        <v>1240</v>
      </c>
      <c r="R208" s="8" t="str">
        <f>IF(ISBLANK(input_wld_az1_rack4_host10_mgmt_ip),"Value Missing",input_wld_az1_rack4_host10_mgmt_ip)</f>
        <v>Value Missing</v>
      </c>
      <c r="S208" s="2"/>
      <c r="T208" s="4" t="s">
        <v>1240</v>
      </c>
      <c r="U208" s="8" t="str">
        <f>IF(ISBLANK(input_wld_az1_rack5_host10_mgmt_ip),"Value Missing",input_wld_az1_rack5_host10_mgmt_ip)</f>
        <v>Value Missing</v>
      </c>
      <c r="V208" s="2"/>
      <c r="W208" s="4" t="s">
        <v>1240</v>
      </c>
      <c r="X208" s="8" t="str">
        <f>IF(ISBLANK(input_wld_az1_rack6_host10_mgmt_ip),"Value Missing",input_wld_az1_rack6_host10_mgmt_ip)</f>
        <v>Value Missing</v>
      </c>
      <c r="Y208" s="2"/>
      <c r="Z208" s="4" t="s">
        <v>1240</v>
      </c>
      <c r="AA208" s="8" t="str">
        <f>IF(ISBLANK(input_wld_az1_rack7_host10_mgmt_ip),"Value Missing",input_wld_az1_rack7_host10_mgmt_ip)</f>
        <v>Value Missing</v>
      </c>
      <c r="AB208" s="2"/>
      <c r="AC208" s="4" t="s">
        <v>1240</v>
      </c>
      <c r="AD208" s="8" t="str">
        <f>IF(ISBLANK(input_wld_az1_rack8_host10_mgmt_ip),"Value Missing",input_wld_az1_rack8_host10_mgmt_ip)</f>
        <v>Value Missing</v>
      </c>
    </row>
    <row r="209" spans="5:30" ht="20" customHeight="1" x14ac:dyDescent="0.2">
      <c r="E209" s="4" t="s">
        <v>1241</v>
      </c>
      <c r="F209" s="8" t="str">
        <f>IF(ISBLANK(input_mgmt_az1_host11_mgmt_ip),"Value Missing",input_mgmt_az1_host11_mgmt_ip)</f>
        <v>Value Missing</v>
      </c>
      <c r="G209" s="21"/>
      <c r="H209" s="4" t="s">
        <v>1241</v>
      </c>
      <c r="I209" s="8" t="str">
        <f>IF(ISBLANK(input_wld_az1_host11_mgmt_ip),"Value Missing",input_wld_az1_host11_mgmt_ip)</f>
        <v>Value Missing</v>
      </c>
      <c r="J209" s="21"/>
      <c r="K209" s="4" t="s">
        <v>1241</v>
      </c>
      <c r="L209" s="8" t="str">
        <f>IF(ISBLANK(input_wld_az1_rack2_host11_mgmt_ip),"Value Missing",input_wld_az1_rack2_host11_mgmt_ip)</f>
        <v>Value Missing</v>
      </c>
      <c r="M209" s="2"/>
      <c r="N209" s="4" t="s">
        <v>1241</v>
      </c>
      <c r="O209" s="8" t="str">
        <f>IF(ISBLANK(input_wld_az1_rack3_host11_mgmt_ip),"Value Missing",input_wld_az1_rack3_host11_mgmt_ip)</f>
        <v>Value Missing</v>
      </c>
      <c r="P209" s="2"/>
      <c r="Q209" s="4" t="s">
        <v>1241</v>
      </c>
      <c r="R209" s="8" t="str">
        <f>IF(ISBLANK(input_wld_az1_rack4_host11_mgmt_ip),"Value Missing",input_wld_az1_rack4_host11_mgmt_ip)</f>
        <v>Value Missing</v>
      </c>
      <c r="S209" s="2"/>
      <c r="T209" s="4" t="s">
        <v>1241</v>
      </c>
      <c r="U209" s="8" t="str">
        <f>IF(ISBLANK(input_wld_az1_rack5_host11_mgmt_ip),"Value Missing",input_wld_az1_rack5_host11_mgmt_ip)</f>
        <v>Value Missing</v>
      </c>
      <c r="V209" s="2"/>
      <c r="W209" s="4" t="s">
        <v>1241</v>
      </c>
      <c r="X209" s="8" t="str">
        <f>IF(ISBLANK(input_wld_az1_rack6_host11_mgmt_ip),"Value Missing",input_wld_az1_rack6_host11_mgmt_ip)</f>
        <v>Value Missing</v>
      </c>
      <c r="Y209" s="2"/>
      <c r="Z209" s="4" t="s">
        <v>1241</v>
      </c>
      <c r="AA209" s="8" t="str">
        <f>IF(ISBLANK(input_wld_az1_rack7_host11_mgmt_ip),"Value Missing",input_wld_az1_rack7_host11_mgmt_ip)</f>
        <v>Value Missing</v>
      </c>
      <c r="AB209" s="2"/>
      <c r="AC209" s="4" t="s">
        <v>1241</v>
      </c>
      <c r="AD209" s="8" t="str">
        <f>IF(ISBLANK(input_wld_az1_rack8_host11_mgmt_ip),"Value Missing",input_wld_az1_rack8_host11_mgmt_ip)</f>
        <v>Value Missing</v>
      </c>
    </row>
    <row r="210" spans="5:30" ht="20" customHeight="1" x14ac:dyDescent="0.2">
      <c r="E210" s="4" t="s">
        <v>1242</v>
      </c>
      <c r="F210" s="8" t="str">
        <f>IF(ISBLANK(input_mgmt_az1_host12_mgmt_ip),"Value Missing",input_mgmt_az1_host12_mgmt_ip)</f>
        <v>Value Missing</v>
      </c>
      <c r="G210" s="2"/>
      <c r="H210" s="4" t="s">
        <v>1242</v>
      </c>
      <c r="I210" s="8" t="str">
        <f>IF(ISBLANK(input_wld_az1_host12_mgmt_ip),"Value Missing",input_wld_az1_host12_mgmt_ip)</f>
        <v>Value Missing</v>
      </c>
      <c r="J210" s="2"/>
      <c r="K210" s="4" t="s">
        <v>1242</v>
      </c>
      <c r="L210" s="8" t="str">
        <f>IF(ISBLANK(input_wld_az1_rack2_host12_mgmt_ip),"Value Missing",input_wld_az1_rack2_host12_mgmt_ip)</f>
        <v>Value Missing</v>
      </c>
      <c r="M210" s="2"/>
      <c r="N210" s="4" t="s">
        <v>1242</v>
      </c>
      <c r="O210" s="8" t="str">
        <f>IF(ISBLANK(input_wld_az1_rack3_host12_mgmt_ip),"Value Missing",input_wld_az1_rack3_host12_mgmt_ip)</f>
        <v>Value Missing</v>
      </c>
      <c r="P210" s="2"/>
      <c r="Q210" s="4" t="s">
        <v>1242</v>
      </c>
      <c r="R210" s="8" t="str">
        <f>IF(ISBLANK(input_wld_az1_rack4_host12_mgmt_ip),"Value Missing",input_wld_az1_rack4_host12_mgmt_ip)</f>
        <v>Value Missing</v>
      </c>
      <c r="S210" s="2"/>
      <c r="T210" s="4" t="s">
        <v>1242</v>
      </c>
      <c r="U210" s="8" t="str">
        <f>IF(ISBLANK(input_wld_az1_rack5_host12_mgmt_ip),"Value Missing",input_wld_az1_rack5_host12_mgmt_ip)</f>
        <v>Value Missing</v>
      </c>
      <c r="V210" s="2"/>
      <c r="W210" s="4" t="s">
        <v>1242</v>
      </c>
      <c r="X210" s="8" t="str">
        <f>IF(ISBLANK(input_wld_az1_rack6_host12_mgmt_ip),"Value Missing",input_wld_az1_rack6_host12_mgmt_ip)</f>
        <v>Value Missing</v>
      </c>
      <c r="Y210" s="2"/>
      <c r="Z210" s="4" t="s">
        <v>1242</v>
      </c>
      <c r="AA210" s="8" t="str">
        <f>IF(ISBLANK(input_wld_az1_rack7_host12_mgmt_ip),"Value Missing",input_wld_az1_rack7_host12_mgmt_ip)</f>
        <v>Value Missing</v>
      </c>
      <c r="AB210" s="2"/>
      <c r="AC210" s="4" t="s">
        <v>1242</v>
      </c>
      <c r="AD210" s="8" t="str">
        <f>IF(ISBLANK(input_wld_az1_rack8_host12_mgmt_ip),"Value Missing",input_wld_az1_rack8_host12_mgmt_ip)</f>
        <v>Value Missing</v>
      </c>
    </row>
    <row r="211" spans="5:30" ht="20" customHeight="1" x14ac:dyDescent="0.2">
      <c r="E211" s="4" t="s">
        <v>1243</v>
      </c>
      <c r="F211" s="8" t="str">
        <f>IF(ISBLANK(input_mgmt_az1_host13_mgmt_ip),"Value Missing",input_mgmt_az1_host13_mgmt_ip)</f>
        <v>Value Missing</v>
      </c>
      <c r="G211" s="2"/>
      <c r="H211" s="4" t="s">
        <v>1243</v>
      </c>
      <c r="I211" s="8" t="str">
        <f>IF(ISBLANK(input_wld_az1_host13_mgmt_ip),"Value Missing",input_wld_az1_host13_mgmt_ip)</f>
        <v>Value Missing</v>
      </c>
      <c r="J211" s="2"/>
      <c r="K211" s="4" t="s">
        <v>1243</v>
      </c>
      <c r="L211" s="8" t="str">
        <f>IF(ISBLANK(input_wld_az1_rack2_host13_mgmt_ip),"Value Missing",input_wld_az1_rack2_host13_mgmt_ip)</f>
        <v>Value Missing</v>
      </c>
      <c r="M211" s="2"/>
      <c r="N211" s="4" t="s">
        <v>1243</v>
      </c>
      <c r="O211" s="8" t="str">
        <f>IF(ISBLANK(input_wld_az1_rack3_host13_mgmt_ip),"Value Missing",input_wld_az1_rack3_host13_mgmt_ip)</f>
        <v>Value Missing</v>
      </c>
      <c r="P211" s="2"/>
      <c r="Q211" s="4" t="s">
        <v>1243</v>
      </c>
      <c r="R211" s="8" t="str">
        <f>IF(ISBLANK(input_wld_az1_rack4_host13_mgmt_ip),"Value Missing",input_wld_az1_rack4_host13_mgmt_ip)</f>
        <v>Value Missing</v>
      </c>
      <c r="S211" s="2"/>
      <c r="T211" s="4" t="s">
        <v>1243</v>
      </c>
      <c r="U211" s="8" t="str">
        <f>IF(ISBLANK(input_wld_az1_rack5_host13_mgmt_ip),"Value Missing",input_wld_az1_rack5_host13_mgmt_ip)</f>
        <v>Value Missing</v>
      </c>
      <c r="V211" s="2"/>
      <c r="W211" s="4" t="s">
        <v>1243</v>
      </c>
      <c r="X211" s="8" t="str">
        <f>IF(ISBLANK(input_wld_az1_rack6_host13_mgmt_ip),"Value Missing",input_wld_az1_rack6_host13_mgmt_ip)</f>
        <v>Value Missing</v>
      </c>
      <c r="Y211" s="2"/>
      <c r="Z211" s="4" t="s">
        <v>1243</v>
      </c>
      <c r="AA211" s="8" t="str">
        <f>IF(ISBLANK(input_wld_az1_rack7_host13_mgmt_ip),"Value Missing",input_wld_az1_rack7_host13_mgmt_ip)</f>
        <v>Value Missing</v>
      </c>
      <c r="AB211" s="2"/>
      <c r="AC211" s="4" t="s">
        <v>1243</v>
      </c>
      <c r="AD211" s="8" t="str">
        <f>IF(ISBLANK(input_wld_az1_rack8_host13_mgmt_ip),"Value Missing",input_wld_az1_rack8_host13_mgmt_ip)</f>
        <v>Value Missing</v>
      </c>
    </row>
    <row r="212" spans="5:30" ht="20" customHeight="1" x14ac:dyDescent="0.2">
      <c r="E212" s="4" t="s">
        <v>1244</v>
      </c>
      <c r="F212" s="8" t="str">
        <f>IF(ISBLANK(input_mgmt_az1_host14_mgmt_ip),"Value Missing",input_mgmt_az1_host14_mgmt_ip)</f>
        <v>Value Missing</v>
      </c>
      <c r="G212" s="2"/>
      <c r="H212" s="4" t="s">
        <v>1244</v>
      </c>
      <c r="I212" s="8" t="str">
        <f>IF(ISBLANK(input_wld_az1_host14_mgmt_ip),"Value Missing",input_wld_az1_host14_mgmt_ip)</f>
        <v>Value Missing</v>
      </c>
      <c r="J212" s="2"/>
      <c r="K212" s="4" t="s">
        <v>1244</v>
      </c>
      <c r="L212" s="8" t="str">
        <f>IF(ISBLANK(input_wld_az1_rack2_host14_mgmt_ip),"Value Missing",input_wld_az1_rack2_host14_mgmt_ip)</f>
        <v>Value Missing</v>
      </c>
      <c r="M212" s="21"/>
      <c r="N212" s="4" t="s">
        <v>1244</v>
      </c>
      <c r="O212" s="8" t="str">
        <f>IF(ISBLANK(input_wld_az1_rack3_host14_mgmt_ip),"Value Missing",input_wld_az1_rack3_host14_mgmt_ip)</f>
        <v>Value Missing</v>
      </c>
      <c r="P212" s="2"/>
      <c r="Q212" s="4" t="s">
        <v>1244</v>
      </c>
      <c r="R212" s="8" t="str">
        <f>IF(ISBLANK(input_wld_az1_rack4_host14_mgmt_ip),"Value Missing",input_wld_az1_rack4_host14_mgmt_ip)</f>
        <v>Value Missing</v>
      </c>
      <c r="S212" s="2"/>
      <c r="T212" s="4" t="s">
        <v>1244</v>
      </c>
      <c r="U212" s="8" t="str">
        <f>IF(ISBLANK(input_wld_az1_rack5_host14_mgmt_ip),"Value Missing",input_wld_az1_rack5_host14_mgmt_ip)</f>
        <v>Value Missing</v>
      </c>
      <c r="V212" s="2"/>
      <c r="W212" s="4" t="s">
        <v>1244</v>
      </c>
      <c r="X212" s="8" t="str">
        <f>IF(ISBLANK(input_wld_az1_rack6_host14_mgmt_ip),"Value Missing",input_wld_az1_rack6_host14_mgmt_ip)</f>
        <v>Value Missing</v>
      </c>
      <c r="Y212" s="2"/>
      <c r="Z212" s="4" t="s">
        <v>1244</v>
      </c>
      <c r="AA212" s="8" t="str">
        <f>IF(ISBLANK(input_wld_az1_rack7_host14_mgmt_ip),"Value Missing",input_wld_az1_rack7_host14_mgmt_ip)</f>
        <v>Value Missing</v>
      </c>
      <c r="AB212" s="2"/>
      <c r="AC212" s="4" t="s">
        <v>1244</v>
      </c>
      <c r="AD212" s="8" t="str">
        <f>IF(ISBLANK(input_wld_az1_rack8_host14_mgmt_ip),"Value Missing",input_wld_az1_rack8_host14_mgmt_ip)</f>
        <v>Value Missing</v>
      </c>
    </row>
    <row r="213" spans="5:30" ht="20" customHeight="1" x14ac:dyDescent="0.2">
      <c r="E213" s="4" t="s">
        <v>1245</v>
      </c>
      <c r="F213" s="8" t="str">
        <f>IF(ISBLANK(input_mgmt_az1_host15_mgmt_ip),"Value Missing",input_mgmt_az1_host15_mgmt_ip)</f>
        <v>Value Missing</v>
      </c>
      <c r="G213" s="2"/>
      <c r="H213" s="4" t="s">
        <v>1245</v>
      </c>
      <c r="I213" s="8" t="str">
        <f>IF(ISBLANK(input_wld_az1_host15_mgmt_ip),"Value Missing",input_wld_az1_host15_mgmt_ip)</f>
        <v>Value Missing</v>
      </c>
      <c r="J213" s="2"/>
      <c r="K213" s="4" t="s">
        <v>1245</v>
      </c>
      <c r="L213" s="8" t="str">
        <f>IF(ISBLANK(input_wld_az1_rack2_host15_mgmt_ip),"Value Missing",input_wld_az1_rack2_host15_mgmt_ip)</f>
        <v>Value Missing</v>
      </c>
      <c r="M213" s="2"/>
      <c r="N213" s="4" t="s">
        <v>1245</v>
      </c>
      <c r="O213" s="8" t="str">
        <f>IF(ISBLANK(input_wld_az1_rack3_host15_mgmt_ip),"Value Missing",input_wld_az1_rack3_host15_mgmt_ip)</f>
        <v>Value Missing</v>
      </c>
      <c r="P213" s="2"/>
      <c r="Q213" s="4" t="s">
        <v>1245</v>
      </c>
      <c r="R213" s="8" t="str">
        <f>IF(ISBLANK(input_wld_az1_rack4_host15_mgmt_ip),"Value Missing",input_wld_az1_rack4_host15_mgmt_ip)</f>
        <v>Value Missing</v>
      </c>
      <c r="S213" s="2"/>
      <c r="T213" s="4" t="s">
        <v>1245</v>
      </c>
      <c r="U213" s="8" t="str">
        <f>IF(ISBLANK(input_wld_az1_rack5_host15_mgmt_ip),"Value Missing",input_wld_az1_rack5_host15_mgmt_ip)</f>
        <v>Value Missing</v>
      </c>
      <c r="V213" s="2"/>
      <c r="W213" s="4" t="s">
        <v>1245</v>
      </c>
      <c r="X213" s="8" t="str">
        <f>IF(ISBLANK(input_wld_az1_rack6_host15_mgmt_ip),"Value Missing",input_wld_az1_rack6_host15_mgmt_ip)</f>
        <v>Value Missing</v>
      </c>
      <c r="Y213" s="2"/>
      <c r="Z213" s="4" t="s">
        <v>1245</v>
      </c>
      <c r="AA213" s="8" t="str">
        <f>IF(ISBLANK(input_wld_az1_rack7_host15_mgmt_ip),"Value Missing",input_wld_az1_rack7_host15_mgmt_ip)</f>
        <v>Value Missing</v>
      </c>
      <c r="AB213" s="2"/>
      <c r="AC213" s="4" t="s">
        <v>1245</v>
      </c>
      <c r="AD213" s="8" t="str">
        <f>IF(ISBLANK(input_wld_az1_rack8_host15_mgmt_ip),"Value Missing",input_wld_az1_rack8_host15_mgmt_ip)</f>
        <v>Value Missing</v>
      </c>
    </row>
    <row r="214" spans="5:30" ht="20" customHeight="1" x14ac:dyDescent="0.2">
      <c r="E214" s="4" t="s">
        <v>1246</v>
      </c>
      <c r="F214" s="8" t="str">
        <f>IF(ISBLANK(input_mgmt_az1_host16_mgmt_ip),"Value Missing",input_mgmt_az1_host16_mgmt_ip)</f>
        <v>Value Missing</v>
      </c>
      <c r="G214" s="2"/>
      <c r="H214" s="4" t="s">
        <v>1246</v>
      </c>
      <c r="I214" s="8" t="str">
        <f>IF(ISBLANK(input_wld_az1_host16_mgmt_ip),"Value Missing",input_wld_az1_host16_mgmt_ip)</f>
        <v>Value Missing</v>
      </c>
      <c r="J214" s="2"/>
      <c r="K214" s="4" t="s">
        <v>1246</v>
      </c>
      <c r="L214" s="8" t="str">
        <f>IF(ISBLANK(input_wld_az1_rack2_host16_mgmt_ip),"Value Missing",input_wld_az1_rack2_host16_mgmt_ip)</f>
        <v>Value Missing</v>
      </c>
      <c r="M214" s="2"/>
      <c r="N214" s="4" t="s">
        <v>1246</v>
      </c>
      <c r="O214" s="8" t="str">
        <f>IF(ISBLANK(input_wld_az1_rack3_host16_mgmt_ip),"Value Missing",input_wld_az1_rack3_host16_mgmt_ip)</f>
        <v>Value Missing</v>
      </c>
      <c r="P214" s="2"/>
      <c r="Q214" s="4" t="s">
        <v>1246</v>
      </c>
      <c r="R214" s="8" t="str">
        <f>IF(ISBLANK(input_wld_az1_rack4_host16_mgmt_ip),"Value Missing",input_wld_az1_rack4_host16_mgmt_ip)</f>
        <v>Value Missing</v>
      </c>
      <c r="S214" s="2"/>
      <c r="T214" s="4" t="s">
        <v>1246</v>
      </c>
      <c r="U214" s="8" t="str">
        <f>IF(ISBLANK(input_wld_az1_rack5_host16_mgmt_ip),"Value Missing",input_wld_az1_rack5_host16_mgmt_ip)</f>
        <v>Value Missing</v>
      </c>
      <c r="V214" s="2"/>
      <c r="W214" s="4" t="s">
        <v>1246</v>
      </c>
      <c r="X214" s="8" t="str">
        <f>IF(ISBLANK(input_wld_az1_rack6_host16_mgmt_ip),"Value Missing",input_wld_az1_rack6_host16_mgmt_ip)</f>
        <v>Value Missing</v>
      </c>
      <c r="Y214" s="2"/>
      <c r="Z214" s="4" t="s">
        <v>1246</v>
      </c>
      <c r="AA214" s="8" t="str">
        <f>IF(ISBLANK(input_wld_az1_rack7_host16_mgmt_ip),"Value Missing",input_wld_az1_rack7_host16_mgmt_ip)</f>
        <v>Value Missing</v>
      </c>
      <c r="AB214" s="2"/>
      <c r="AC214" s="4" t="s">
        <v>1246</v>
      </c>
      <c r="AD214" s="8" t="str">
        <f>IF(ISBLANK(input_wld_az1_rack8_host16_mgmt_ip),"Value Missing",input_wld_az1_rack8_host16_mgmt_ip)</f>
        <v>Value Missing</v>
      </c>
    </row>
    <row r="215" spans="5:30" ht="20" customHeight="1" x14ac:dyDescent="0.2">
      <c r="E215" s="4" t="s">
        <v>1247</v>
      </c>
      <c r="F215" s="8" t="str">
        <f>IF(ISBLANK(input_mgmt_az1_host1_vrms_ip),"Value Missing",input_mgmt_az1_host1_vrms_ip)</f>
        <v>Value Missing</v>
      </c>
      <c r="G215" s="2"/>
      <c r="H215" s="4" t="s">
        <v>1247</v>
      </c>
      <c r="I215" s="8" t="str">
        <f>IF(ISBLANK(input_wld_az1_host1_vrms_ip),"Value Missing",input_wld_az1_host1_vrms_ip)</f>
        <v>Value Missing</v>
      </c>
      <c r="J215" s="2"/>
      <c r="K215" s="2"/>
      <c r="L215" s="2"/>
      <c r="M215" s="2"/>
      <c r="N215" s="2"/>
      <c r="O215" s="2"/>
      <c r="P215" s="2"/>
      <c r="Q215" s="2"/>
      <c r="R215" s="2"/>
      <c r="S215" s="2"/>
      <c r="T215" s="2"/>
      <c r="U215" s="2"/>
      <c r="V215" s="2"/>
      <c r="W215" s="2"/>
      <c r="X215" s="2"/>
      <c r="Y215" s="2"/>
      <c r="Z215" s="2"/>
      <c r="AA215" s="2"/>
      <c r="AB215" s="2"/>
      <c r="AC215" s="2"/>
      <c r="AD215" s="2"/>
    </row>
    <row r="216" spans="5:30" ht="20" customHeight="1" x14ac:dyDescent="0.2">
      <c r="E216" s="4" t="s">
        <v>1248</v>
      </c>
      <c r="F216" s="8" t="str">
        <f>IF(ISBLANK(input_mgmt_az1_host2_vrms_ip),"Value Missing",input_mgmt_az1_host2_vrms_ip)</f>
        <v>Value Missing</v>
      </c>
      <c r="G216" s="2"/>
      <c r="H216" s="4" t="s">
        <v>1248</v>
      </c>
      <c r="I216" s="8" t="str">
        <f>IF(ISBLANK(input_wld_az1_host2_vrms_ip),"Value Missing",input_wld_az1_host2_vrms_ip)</f>
        <v>Value Missing</v>
      </c>
      <c r="J216" s="2"/>
      <c r="K216" s="618" t="s">
        <v>1249</v>
      </c>
      <c r="L216" s="619"/>
      <c r="M216" s="2"/>
      <c r="N216" s="618" t="s">
        <v>1250</v>
      </c>
      <c r="O216" s="619"/>
      <c r="P216" s="2"/>
      <c r="Q216" s="618" t="s">
        <v>1251</v>
      </c>
      <c r="R216" s="619"/>
      <c r="S216" s="2"/>
      <c r="T216" s="618" t="s">
        <v>1252</v>
      </c>
      <c r="U216" s="619"/>
      <c r="V216" s="2"/>
      <c r="W216" s="618" t="s">
        <v>1253</v>
      </c>
      <c r="X216" s="619"/>
      <c r="Y216" s="2"/>
      <c r="Z216" s="618" t="s">
        <v>1254</v>
      </c>
      <c r="AA216" s="619"/>
      <c r="AB216" s="2"/>
      <c r="AC216" s="618" t="s">
        <v>1255</v>
      </c>
      <c r="AD216" s="619"/>
    </row>
    <row r="217" spans="5:30" ht="20" customHeight="1" x14ac:dyDescent="0.2">
      <c r="E217" s="4" t="s">
        <v>1256</v>
      </c>
      <c r="F217" s="8" t="str">
        <f>IF(ISBLANK(input_mgmt_az1_host3_vrms_ip),"Value Missing",input_mgmt_az1_host3_vrms_ip)</f>
        <v>Value Missing</v>
      </c>
      <c r="G217" s="2"/>
      <c r="H217" s="4" t="s">
        <v>1256</v>
      </c>
      <c r="I217" s="8" t="str">
        <f>IF(ISBLANK(input_wld_az1_host3_vrms_ip),"Value Missing",input_wld_az1_host3_vrms_ip)</f>
        <v>Value Missing</v>
      </c>
      <c r="J217" s="2"/>
      <c r="K217" s="19" t="s">
        <v>250</v>
      </c>
      <c r="L217" s="20" t="s">
        <v>20</v>
      </c>
      <c r="M217" s="2"/>
      <c r="N217" s="19" t="s">
        <v>250</v>
      </c>
      <c r="O217" s="20" t="s">
        <v>20</v>
      </c>
      <c r="P217" s="21"/>
      <c r="Q217" s="19" t="s">
        <v>250</v>
      </c>
      <c r="R217" s="20" t="s">
        <v>20</v>
      </c>
      <c r="S217" s="21"/>
      <c r="T217" s="19" t="s">
        <v>250</v>
      </c>
      <c r="U217" s="20" t="s">
        <v>20</v>
      </c>
      <c r="V217" s="21"/>
      <c r="W217" s="17" t="s">
        <v>250</v>
      </c>
      <c r="X217" s="20" t="s">
        <v>20</v>
      </c>
      <c r="Y217" s="21"/>
      <c r="Z217" s="19" t="s">
        <v>250</v>
      </c>
      <c r="AA217" s="20" t="s">
        <v>20</v>
      </c>
      <c r="AB217" s="21"/>
      <c r="AC217" s="19" t="s">
        <v>250</v>
      </c>
      <c r="AD217" s="20" t="s">
        <v>20</v>
      </c>
    </row>
    <row r="218" spans="5:30" ht="20" customHeight="1" x14ac:dyDescent="0.2">
      <c r="E218" s="4" t="s">
        <v>1257</v>
      </c>
      <c r="F218" s="8" t="str">
        <f>IF(ISBLANK(input_mgmt_az1_host4_vrms_ip),"Value Missing",input_mgmt_az1_host4_vrms_ip)</f>
        <v>Value Missing</v>
      </c>
      <c r="G218" s="2"/>
      <c r="H218" s="4" t="s">
        <v>1257</v>
      </c>
      <c r="I218" s="8" t="str">
        <f>IF(ISBLANK(input_wld_az1_host4_vrms_ip),"Value Missing",input_wld_az1_host4_vrms_ip)</f>
        <v>Value Missing</v>
      </c>
      <c r="J218" s="2"/>
      <c r="K218" s="4" t="s">
        <v>1258</v>
      </c>
      <c r="L218" s="8" t="str">
        <f>IF(wld_az1_rack2_host1_fqdn="Value Missing",wld_az1_rack2_host1_fqdn,LEFT(wld_az1_rack2_host1_fqdn,FIND(".",wld_az1_rack2_host1_fqdn)-1))</f>
        <v>Value Missing</v>
      </c>
      <c r="M218" s="2"/>
      <c r="N218" s="4" t="s">
        <v>1258</v>
      </c>
      <c r="O218" s="8" t="str">
        <f>IF(wld_az1_rack3_host1_fqdn="Value Missing",wld_az1_rack3_host1_fqdn,LEFT(wld_az1_rack3_host1_fqdn,FIND(".",wld_az1_rack3_host1_fqdn)-1))</f>
        <v>Value Missing</v>
      </c>
      <c r="P218" s="2"/>
      <c r="Q218" s="4" t="s">
        <v>1258</v>
      </c>
      <c r="R218" s="8" t="str">
        <f>IF(wld_az1_rack4_host1_fqdn="Value Missing",wld_az1_rack4_host1_fqdn,LEFT(wld_az1_rack4_host1_fqdn,FIND(".",wld_az1_rack4_host1_fqdn)-1))</f>
        <v>Value Missing</v>
      </c>
      <c r="S218" s="2"/>
      <c r="T218" s="4" t="s">
        <v>1258</v>
      </c>
      <c r="U218" s="8" t="str">
        <f>IF(wld_az1_rack5_host1_fqdn="Value Missing",wld_az1_rack5_host1_fqdn,LEFT(wld_az1_rack5_host1_fqdn,FIND(".",wld_az1_rack5_host1_fqdn)-1))</f>
        <v>Value Missing</v>
      </c>
      <c r="V218" s="2"/>
      <c r="W218" s="4" t="s">
        <v>1258</v>
      </c>
      <c r="X218" s="8" t="str">
        <f>IF(wld_az1_rack6_host1_fqdn="Value Missing",wld_az1_rack6_host1_fqdn,LEFT(wld_az1_rack6_host1_fqdn,FIND(".",wld_az1_rack6_host1_fqdn)-1))</f>
        <v>Value Missing</v>
      </c>
      <c r="Y218" s="2"/>
      <c r="Z218" s="4" t="s">
        <v>1258</v>
      </c>
      <c r="AA218" s="8" t="str">
        <f>IF(wld_az1_rack7_host1_fqdn="Value Missing",wld_az1_rack7_host1_fqdn,LEFT(wld_az1_rack7_host1_fqdn,FIND(".",wld_az1_rack7_host1_fqdn)-1))</f>
        <v>Value Missing</v>
      </c>
      <c r="AB218" s="2"/>
      <c r="AC218" s="4" t="s">
        <v>1258</v>
      </c>
      <c r="AD218" s="8" t="str">
        <f>IF(wld_az1_rack8_host1_fqdn="Value Missing",wld_az1_rack8_host1_fqdn,LEFT(wld_az1_rack8_host1_fqdn,FIND(".",wld_az1_rack8_host1_fqdn)-1))</f>
        <v>Value Missing</v>
      </c>
    </row>
    <row r="219" spans="5:30" ht="20" customHeight="1" x14ac:dyDescent="0.2">
      <c r="E219" s="4" t="s">
        <v>1259</v>
      </c>
      <c r="F219" s="8" t="str">
        <f>IF(ISBLANK(input_mgmt_az1_host5_vrms_ip),"Value Missing",input_mgmt_az1_host5_vrms_ip)</f>
        <v>Value Missing</v>
      </c>
      <c r="G219" s="2"/>
      <c r="H219" s="4" t="s">
        <v>1259</v>
      </c>
      <c r="I219" s="8" t="str">
        <f>IF(ISBLANK(input_wld_az1_host5_vrms_ip),"Value Missing",input_wld_az1_host5_vrms_ip)</f>
        <v>Value Missing</v>
      </c>
      <c r="J219" s="2"/>
      <c r="K219" s="4" t="s">
        <v>1260</v>
      </c>
      <c r="L219" s="8" t="str">
        <f>IF(wld_az1_rack2_host2_fqdn="Value Missing",wld_az1_rack2_host2_fqdn,LEFT(wld_az1_rack2_host2_fqdn,FIND(".",wld_az1_rack2_host2_fqdn)-1))</f>
        <v>Value Missing</v>
      </c>
      <c r="M219" s="2"/>
      <c r="N219" s="4" t="s">
        <v>1260</v>
      </c>
      <c r="O219" s="8" t="str">
        <f>IF(wld_az1_rack3_host2_fqdn="Value Missing",wld_az1_rack3_host2_fqdn,LEFT(wld_az1_rack3_host2_fqdn,FIND(".",wld_az1_rack3_host2_fqdn)-1))</f>
        <v>Value Missing</v>
      </c>
      <c r="P219" s="2"/>
      <c r="Q219" s="4" t="s">
        <v>1260</v>
      </c>
      <c r="R219" s="8" t="str">
        <f>IF(wld_az1_rack4_host2_fqdn="Value Missing",wld_az1_rack4_host2_fqdn,LEFT(wld_az1_rack4_host2_fqdn,FIND(".",wld_az1_rack4_host2_fqdn)-1))</f>
        <v>Value Missing</v>
      </c>
      <c r="S219" s="2"/>
      <c r="T219" s="4" t="s">
        <v>1260</v>
      </c>
      <c r="U219" s="8" t="str">
        <f>IF(wld_az1_rack5_host2_fqdn="Value Missing",wld_az1_rack5_host2_fqdn,LEFT(wld_az1_rack5_host2_fqdn,FIND(".",wld_az1_rack5_host2_fqdn)-1))</f>
        <v>Value Missing</v>
      </c>
      <c r="V219" s="2"/>
      <c r="W219" s="4" t="s">
        <v>1260</v>
      </c>
      <c r="X219" s="8" t="str">
        <f>IF(wld_az1_rack6_host2_fqdn="Value Missing",wld_az1_rack6_host2_fqdn,LEFT(wld_az1_rack6_host2_fqdn,FIND(".",wld_az1_rack6_host2_fqdn)-1))</f>
        <v>Value Missing</v>
      </c>
      <c r="Y219" s="2"/>
      <c r="Z219" s="4" t="s">
        <v>1260</v>
      </c>
      <c r="AA219" s="8" t="str">
        <f>IF(wld_az1_rack7_host2_fqdn="Value Missing",wld_az1_rack7_host2_fqdn,LEFT(wld_az1_rack7_host2_fqdn,FIND(".",wld_az1_rack7_host2_fqdn)-1))</f>
        <v>Value Missing</v>
      </c>
      <c r="AB219" s="2"/>
      <c r="AC219" s="4" t="s">
        <v>1260</v>
      </c>
      <c r="AD219" s="8" t="str">
        <f>IF(wld_az1_rack8_host2_fqdn="Value Missing",wld_az1_rack8_host2_fqdn,LEFT(wld_az1_rack8_host2_fqdn,FIND(".",wld_az1_rack8_host2_fqdn)-1))</f>
        <v>Value Missing</v>
      </c>
    </row>
    <row r="220" spans="5:30" ht="20" customHeight="1" x14ac:dyDescent="0.2">
      <c r="E220" s="4" t="s">
        <v>1261</v>
      </c>
      <c r="F220" s="8" t="str">
        <f>IF(ISBLANK(input_mgmt_az1_host6_vrms_ip),"Value Missing",input_mgmt_az1_host6_vrms_ip)</f>
        <v>Value Missing</v>
      </c>
      <c r="G220" s="2"/>
      <c r="H220" s="4" t="s">
        <v>1261</v>
      </c>
      <c r="I220" s="8" t="str">
        <f>IF(ISBLANK(input_wld_az1_host6_vrms_ip),"Value Missing",input_wld_az1_host6_vrms_ip)</f>
        <v>Value Missing</v>
      </c>
      <c r="J220" s="2"/>
      <c r="K220" s="4" t="s">
        <v>1262</v>
      </c>
      <c r="L220" s="8" t="str">
        <f>IF(wld_az1_rack2_host3_fqdn="Value Missing",wld_az1_rack2_host3_fqdn,LEFT(wld_az1_rack2_host3_fqdn,FIND(".",wld_az1_rack2_host3_fqdn)-1))</f>
        <v>Value Missing</v>
      </c>
      <c r="M220" s="2"/>
      <c r="N220" s="4" t="s">
        <v>1262</v>
      </c>
      <c r="O220" s="8" t="str">
        <f>IF(wld_az1_rack3_host3_fqdn="Value Missing",wld_az1_rack3_host3_fqdn,LEFT(wld_az1_rack3_host3_fqdn,FIND(".",wld_az1_rack3_host3_fqdn)-1))</f>
        <v>Value Missing</v>
      </c>
      <c r="P220" s="2"/>
      <c r="Q220" s="4" t="s">
        <v>1262</v>
      </c>
      <c r="R220" s="8" t="str">
        <f>IF(wld_az1_rack4_host3_fqdn="Value Missing",wld_az1_rack4_host3_fqdn,LEFT(wld_az1_rack4_host3_fqdn,FIND(".",wld_az1_rack4_host3_fqdn)-1))</f>
        <v>Value Missing</v>
      </c>
      <c r="S220" s="2"/>
      <c r="T220" s="4" t="s">
        <v>1262</v>
      </c>
      <c r="U220" s="8" t="str">
        <f>IF(wld_az1_rack5_host3_fqdn="Value Missing",wld_az1_rack5_host3_fqdn,LEFT(wld_az1_rack5_host3_fqdn,FIND(".",wld_az1_rack5_host3_fqdn)-1))</f>
        <v>Value Missing</v>
      </c>
      <c r="V220" s="2"/>
      <c r="W220" s="4" t="s">
        <v>1262</v>
      </c>
      <c r="X220" s="8" t="str">
        <f>IF(wld_az1_rack6_host3_fqdn="Value Missing",wld_az1_rack6_host3_fqdn,LEFT(wld_az1_rack6_host3_fqdn,FIND(".",wld_az1_rack6_host3_fqdn)-1))</f>
        <v>Value Missing</v>
      </c>
      <c r="Y220" s="2"/>
      <c r="Z220" s="4" t="s">
        <v>1262</v>
      </c>
      <c r="AA220" s="8" t="str">
        <f>IF(wld_az1_rack7_host3_fqdn="Value Missing",wld_az1_rack7_host3_fqdn,LEFT(wld_az1_rack7_host3_fqdn,FIND(".",wld_az1_rack7_host3_fqdn)-1))</f>
        <v>Value Missing</v>
      </c>
      <c r="AB220" s="2"/>
      <c r="AC220" s="4" t="s">
        <v>1262</v>
      </c>
      <c r="AD220" s="8" t="str">
        <f>IF(wld_az1_rack8_host3_fqdn="Value Missing",wld_az1_rack8_host3_fqdn,LEFT(wld_az1_rack8_host3_fqdn,FIND(".",wld_az1_rack8_host3_fqdn)-1))</f>
        <v>Value Missing</v>
      </c>
    </row>
    <row r="221" spans="5:30" ht="20" customHeight="1" x14ac:dyDescent="0.2">
      <c r="E221" s="4" t="s">
        <v>1263</v>
      </c>
      <c r="F221" s="8" t="str">
        <f>IF(ISBLANK(input_mgmt_az1_host7_vrms_ip),"Value Missing",input_mgmt_az1_host7_vrms_ip)</f>
        <v>Value Missing</v>
      </c>
      <c r="G221" s="2"/>
      <c r="H221" s="4" t="s">
        <v>1263</v>
      </c>
      <c r="I221" s="8" t="str">
        <f>IF(ISBLANK(input_wld_az1_host7_vrms_ip),"Value Missing",input_wld_az1_host7_vrms_ip)</f>
        <v>Value Missing</v>
      </c>
      <c r="J221" s="2"/>
      <c r="K221" s="4" t="s">
        <v>1264</v>
      </c>
      <c r="L221" s="8" t="str">
        <f>IF(wld_az1_rack2_host4_fqdn="Value Missing",wld_az1_rack2_host4_fqdn,LEFT(wld_az1_rack2_host4_fqdn,FIND(".",wld_az1_rack2_host4_fqdn)-1))</f>
        <v>Value Missing</v>
      </c>
      <c r="M221" s="2"/>
      <c r="N221" s="4" t="s">
        <v>1264</v>
      </c>
      <c r="O221" s="8" t="str">
        <f>IF(wld_az1_rack3_host4_fqdn="Value Missing",wld_az1_rack3_host4_fqdn,LEFT(wld_az1_rack3_host4_fqdn,FIND(".",wld_az1_rack3_host4_fqdn)-1))</f>
        <v>Value Missing</v>
      </c>
      <c r="P221" s="2"/>
      <c r="Q221" s="4" t="s">
        <v>1264</v>
      </c>
      <c r="R221" s="8" t="str">
        <f>IF(wld_az1_rack4_host4_fqdn="Value Missing",wld_az1_rack4_host4_fqdn,LEFT(wld_az1_rack4_host4_fqdn,FIND(".",wld_az1_rack4_host4_fqdn)-1))</f>
        <v>Value Missing</v>
      </c>
      <c r="S221" s="2"/>
      <c r="T221" s="4" t="s">
        <v>1264</v>
      </c>
      <c r="U221" s="8" t="str">
        <f>IF(wld_az1_rack5_host4_fqdn="Value Missing",wld_az1_rack5_host4_fqdn,LEFT(wld_az1_rack5_host4_fqdn,FIND(".",wld_az1_rack5_host4_fqdn)-1))</f>
        <v>Value Missing</v>
      </c>
      <c r="V221" s="2"/>
      <c r="W221" s="4" t="s">
        <v>1264</v>
      </c>
      <c r="X221" s="8" t="str">
        <f>IF(wld_az1_rack6_host4_fqdn="Value Missing",wld_az1_rack6_host4_fqdn,LEFT(wld_az1_rack6_host4_fqdn,FIND(".",wld_az1_rack6_host4_fqdn)-1))</f>
        <v>Value Missing</v>
      </c>
      <c r="Y221" s="2"/>
      <c r="Z221" s="4" t="s">
        <v>1264</v>
      </c>
      <c r="AA221" s="8" t="str">
        <f>IF(wld_az1_rack7_host4_fqdn="Value Missing",wld_az1_rack7_host4_fqdn,LEFT(wld_az1_rack7_host4_fqdn,FIND(".",wld_az1_rack7_host4_fqdn)-1))</f>
        <v>Value Missing</v>
      </c>
      <c r="AB221" s="2"/>
      <c r="AC221" s="4" t="s">
        <v>1264</v>
      </c>
      <c r="AD221" s="8" t="str">
        <f>IF(wld_az1_rack8_host4_fqdn="Value Missing",wld_az1_rack8_host4_fqdn,LEFT(wld_az1_rack8_host4_fqdn,FIND(".",wld_az1_rack8_host4_fqdn)-1))</f>
        <v>Value Missing</v>
      </c>
    </row>
    <row r="222" spans="5:30" ht="20" customHeight="1" x14ac:dyDescent="0.2">
      <c r="E222" s="4" t="s">
        <v>1265</v>
      </c>
      <c r="F222" s="8" t="str">
        <f>IF(ISBLANK(input_mgmt_az1_host8_vrms_ip),"Value Missing",input_mgmt_az1_host8_vrms_ip)</f>
        <v>Value Missing</v>
      </c>
      <c r="G222" s="2"/>
      <c r="H222" s="4" t="s">
        <v>1265</v>
      </c>
      <c r="I222" s="8" t="str">
        <f>IF(ISBLANK(input_wld_az1_host8_vrms_ip),"Value Missing",input_wld_az1_host8_vrms_ip)</f>
        <v>Value Missing</v>
      </c>
      <c r="J222" s="2"/>
      <c r="K222" s="4" t="s">
        <v>1266</v>
      </c>
      <c r="L222" s="8" t="str">
        <f>IF(wld_az1_rack2_host5_fqdn="Value Missing",wld_az1_rack2_host5_fqdn,LEFT(wld_az1_rack2_host5_fqdn,FIND(".",wld_az1_rack2_host5_fqdn)-1))</f>
        <v>Value Missing</v>
      </c>
      <c r="M222" s="2"/>
      <c r="N222" s="4" t="s">
        <v>1266</v>
      </c>
      <c r="O222" s="8" t="str">
        <f>IF(wld_az1_rack3_host5_fqdn="Value Missing",wld_az1_rack3_host5_fqdn,LEFT(wld_az1_rack3_host5_fqdn,FIND(".",wld_az1_rack3_host5_fqdn)-1))</f>
        <v>Value Missing</v>
      </c>
      <c r="P222" s="2"/>
      <c r="Q222" s="4" t="s">
        <v>1266</v>
      </c>
      <c r="R222" s="8" t="str">
        <f>IF(wld_az1_rack4_host5_fqdn="Value Missing",wld_az1_rack4_host5_fqdn,LEFT(wld_az1_rack4_host5_fqdn,FIND(".",wld_az1_rack4_host5_fqdn)-1))</f>
        <v>Value Missing</v>
      </c>
      <c r="S222" s="2"/>
      <c r="T222" s="4" t="s">
        <v>1266</v>
      </c>
      <c r="U222" s="8" t="str">
        <f>IF(wld_az1_rack5_host5_fqdn="Value Missing",wld_az1_rack5_host5_fqdn,LEFT(wld_az1_rack5_host5_fqdn,FIND(".",wld_az1_rack5_host5_fqdn)-1))</f>
        <v>Value Missing</v>
      </c>
      <c r="V222" s="2"/>
      <c r="W222" s="4" t="s">
        <v>1266</v>
      </c>
      <c r="X222" s="8" t="str">
        <f>IF(wld_az1_rack6_host5_fqdn="Value Missing",wld_az1_rack6_host5_fqdn,LEFT(wld_az1_rack6_host5_fqdn,FIND(".",wld_az1_rack6_host5_fqdn)-1))</f>
        <v>Value Missing</v>
      </c>
      <c r="Y222" s="2"/>
      <c r="Z222" s="4" t="s">
        <v>1266</v>
      </c>
      <c r="AA222" s="8" t="str">
        <f>IF(wld_az1_rack7_host5_fqdn="Value Missing",wld_az1_rack7_host5_fqdn,LEFT(wld_az1_rack7_host5_fqdn,FIND(".",wld_az1_rack7_host5_fqdn)-1))</f>
        <v>Value Missing</v>
      </c>
      <c r="AB222" s="2"/>
      <c r="AC222" s="4" t="s">
        <v>1266</v>
      </c>
      <c r="AD222" s="8" t="str">
        <f>IF(wld_az1_rack8_host5_fqdn="Value Missing",wld_az1_rack8_host5_fqdn,LEFT(wld_az1_rack8_host5_fqdn,FIND(".",wld_az1_rack8_host5_fqdn)-1))</f>
        <v>Value Missing</v>
      </c>
    </row>
    <row r="223" spans="5:30" ht="20" customHeight="1" x14ac:dyDescent="0.2">
      <c r="E223" s="4" t="s">
        <v>1267</v>
      </c>
      <c r="F223" s="8" t="str">
        <f>IF(ISBLANK(input_mgmt_az1_host9_vrms_ip),"Value Missing",input_mgmt_az1_host9_vrms_ip)</f>
        <v>Value Missing</v>
      </c>
      <c r="G223" s="2"/>
      <c r="H223" s="4" t="s">
        <v>1267</v>
      </c>
      <c r="I223" s="8" t="str">
        <f>IF(ISBLANK(input_wld_az1_host9_vrms_ip),"Value Missing",input_wld_az1_host9_vrms_ip)</f>
        <v>Value Missing</v>
      </c>
      <c r="J223" s="2"/>
      <c r="K223" s="4" t="s">
        <v>1268</v>
      </c>
      <c r="L223" s="8" t="str">
        <f>IF(wld_az1_rack2_host6_fqdn="Value Missing",wld_az1_rack2_host6_fqdn,LEFT(wld_az1_rack2_host6_fqdn,FIND(".",wld_az1_rack2_host6_fqdn)-1))</f>
        <v>Value Missing</v>
      </c>
      <c r="M223" s="2"/>
      <c r="N223" s="4" t="s">
        <v>1268</v>
      </c>
      <c r="O223" s="8" t="str">
        <f>IF(wld_az1_rack3_host6_fqdn="Value Missing",wld_az1_rack3_host6_fqdn,LEFT(wld_az1_rack3_host6_fqdn,FIND(".",wld_az1_rack3_host6_fqdn)-1))</f>
        <v>Value Missing</v>
      </c>
      <c r="P223" s="2"/>
      <c r="Q223" s="4" t="s">
        <v>1268</v>
      </c>
      <c r="R223" s="8" t="str">
        <f>IF(wld_az1_rack4_host6_fqdn="Value Missing",wld_az1_rack4_host6_fqdn,LEFT(wld_az1_rack4_host6_fqdn,FIND(".",wld_az1_rack4_host6_fqdn)-1))</f>
        <v>Value Missing</v>
      </c>
      <c r="S223" s="2"/>
      <c r="T223" s="4" t="s">
        <v>1268</v>
      </c>
      <c r="U223" s="8" t="str">
        <f>IF(wld_az1_rack5_host6_fqdn="Value Missing",wld_az1_rack5_host6_fqdn,LEFT(wld_az1_rack5_host6_fqdn,FIND(".",wld_az1_rack5_host6_fqdn)-1))</f>
        <v>Value Missing</v>
      </c>
      <c r="V223" s="2"/>
      <c r="W223" s="4" t="s">
        <v>1268</v>
      </c>
      <c r="X223" s="8" t="str">
        <f>IF(wld_az1_rack6_host6_fqdn="Value Missing",wld_az1_rack6_host6_fqdn,LEFT(wld_az1_rack6_host6_fqdn,FIND(".",wld_az1_rack6_host6_fqdn)-1))</f>
        <v>Value Missing</v>
      </c>
      <c r="Y223" s="2"/>
      <c r="Z223" s="4" t="s">
        <v>1268</v>
      </c>
      <c r="AA223" s="8" t="str">
        <f>IF(wld_az1_rack7_host6_fqdn="Value Missing",wld_az1_rack7_host6_fqdn,LEFT(wld_az1_rack7_host6_fqdn,FIND(".",wld_az1_rack7_host6_fqdn)-1))</f>
        <v>Value Missing</v>
      </c>
      <c r="AB223" s="2"/>
      <c r="AC223" s="4" t="s">
        <v>1268</v>
      </c>
      <c r="AD223" s="8" t="str">
        <f>IF(wld_az1_rack8_host6_fqdn="Value Missing",wld_az1_rack8_host6_fqdn,LEFT(wld_az1_rack8_host6_fqdn,FIND(".",wld_az1_rack8_host6_fqdn)-1))</f>
        <v>Value Missing</v>
      </c>
    </row>
    <row r="224" spans="5:30" ht="20" customHeight="1" x14ac:dyDescent="0.2">
      <c r="E224" s="4" t="s">
        <v>1269</v>
      </c>
      <c r="F224" s="8" t="str">
        <f>IF(ISBLANK(input_mgmt_az1_host10_vrms_ip),"Value Missing",input_mgmt_az1_host10_vrms_ip)</f>
        <v>Value Missing</v>
      </c>
      <c r="G224" s="2"/>
      <c r="H224" s="4" t="s">
        <v>1269</v>
      </c>
      <c r="I224" s="8" t="str">
        <f>IF(ISBLANK(input_wld_az1_host10_vrms_ip),"Value Missing",input_wld_az1_host10_vrms_ip)</f>
        <v>Value Missing</v>
      </c>
      <c r="J224" s="2"/>
      <c r="K224" s="4" t="s">
        <v>1270</v>
      </c>
      <c r="L224" s="8" t="str">
        <f>IF(wld_az1_rack2_host7_fqdn="Value Missing",wld_az1_rack2_host7_fqdn,LEFT(wld_az1_rack2_host7_fqdn,FIND(".",wld_az1_rack2_host7_fqdn)-1))</f>
        <v>Value Missing</v>
      </c>
      <c r="M224" s="2"/>
      <c r="N224" s="4" t="s">
        <v>1270</v>
      </c>
      <c r="O224" s="8" t="str">
        <f>IF(wld_az1_rack3_host7_fqdn="Value Missing",wld_az1_rack3_host7_fqdn,LEFT(wld_az1_rack3_host7_fqdn,FIND(".",wld_az1_rack3_host7_fqdn)-1))</f>
        <v>Value Missing</v>
      </c>
      <c r="P224" s="2"/>
      <c r="Q224" s="4" t="s">
        <v>1270</v>
      </c>
      <c r="R224" s="8" t="str">
        <f>IF(wld_az1_rack4_host7_fqdn="Value Missing",wld_az1_rack4_host7_fqdn,LEFT(wld_az1_rack4_host7_fqdn,FIND(".",wld_az1_rack4_host7_fqdn)-1))</f>
        <v>Value Missing</v>
      </c>
      <c r="S224" s="2"/>
      <c r="T224" s="4" t="s">
        <v>1270</v>
      </c>
      <c r="U224" s="8" t="str">
        <f>IF(wld_az1_rack5_host7_fqdn="Value Missing",wld_az1_rack5_host7_fqdn,LEFT(wld_az1_rack5_host7_fqdn,FIND(".",wld_az1_rack5_host7_fqdn)-1))</f>
        <v>Value Missing</v>
      </c>
      <c r="V224" s="2"/>
      <c r="W224" s="4" t="s">
        <v>1270</v>
      </c>
      <c r="X224" s="8" t="str">
        <f>IF(wld_az1_rack6_host7_fqdn="Value Missing",wld_az1_rack6_host7_fqdn,LEFT(wld_az1_rack6_host7_fqdn,FIND(".",wld_az1_rack6_host7_fqdn)-1))</f>
        <v>Value Missing</v>
      </c>
      <c r="Y224" s="2"/>
      <c r="Z224" s="4" t="s">
        <v>1270</v>
      </c>
      <c r="AA224" s="8" t="str">
        <f>IF(wld_az1_rack7_host7_fqdn="Value Missing",wld_az1_rack7_host7_fqdn,LEFT(wld_az1_rack7_host7_fqdn,FIND(".",wld_az1_rack7_host7_fqdn)-1))</f>
        <v>Value Missing</v>
      </c>
      <c r="AB224" s="2"/>
      <c r="AC224" s="4" t="s">
        <v>1270</v>
      </c>
      <c r="AD224" s="8" t="str">
        <f>IF(wld_az1_rack8_host7_fqdn="Value Missing",wld_az1_rack8_host7_fqdn,LEFT(wld_az1_rack8_host7_fqdn,FIND(".",wld_az1_rack8_host7_fqdn)-1))</f>
        <v>Value Missing</v>
      </c>
    </row>
    <row r="225" spans="5:30" ht="20" customHeight="1" x14ac:dyDescent="0.2">
      <c r="E225" s="4" t="s">
        <v>1271</v>
      </c>
      <c r="F225" s="8" t="str">
        <f>IF(ISBLANK(input_mgmt_az1_host11_vrms_ip),"Value Missing",input_mgmt_az1_host11_vrms_ip)</f>
        <v>Value Missing</v>
      </c>
      <c r="G225" s="2"/>
      <c r="H225" s="4" t="s">
        <v>1271</v>
      </c>
      <c r="I225" s="8" t="str">
        <f>IF(ISBLANK(input_wld_az1_host11_vrms_ip),"Value Missing",input_wld_az1_host11_vrms_ip)</f>
        <v>Value Missing</v>
      </c>
      <c r="J225" s="2"/>
      <c r="K225" s="4" t="s">
        <v>1272</v>
      </c>
      <c r="L225" s="8" t="str">
        <f>IF(wld_az1_rack2_host8_fqdn="Value Missing",wld_az1_rack2_host8_fqdn,LEFT(wld_az1_rack2_host8_fqdn,FIND(".",wld_az1_rack2_host8_fqdn)-1))</f>
        <v>Value Missing</v>
      </c>
      <c r="M225" s="2"/>
      <c r="N225" s="4" t="s">
        <v>1272</v>
      </c>
      <c r="O225" s="8" t="str">
        <f>IF(wld_az1_rack3_host8_fqdn="Value Missing",wld_az1_rack3_host8_fqdn,LEFT(wld_az1_rack3_host8_fqdn,FIND(".",wld_az1_rack3_host8_fqdn)-1))</f>
        <v>Value Missing</v>
      </c>
      <c r="P225" s="2"/>
      <c r="Q225" s="4" t="s">
        <v>1272</v>
      </c>
      <c r="R225" s="8" t="str">
        <f>IF(wld_az1_rack4_host8_fqdn="Value Missing",wld_az1_rack4_host8_fqdn,LEFT(wld_az1_rack4_host8_fqdn,FIND(".",wld_az1_rack4_host8_fqdn)-1))</f>
        <v>Value Missing</v>
      </c>
      <c r="S225" s="2"/>
      <c r="T225" s="4" t="s">
        <v>1272</v>
      </c>
      <c r="U225" s="8" t="str">
        <f>IF(wld_az1_rack5_host8_fqdn="Value Missing",wld_az1_rack5_host8_fqdn,LEFT(wld_az1_rack5_host8_fqdn,FIND(".",wld_az1_rack5_host8_fqdn)-1))</f>
        <v>Value Missing</v>
      </c>
      <c r="V225" s="2"/>
      <c r="W225" s="4" t="s">
        <v>1272</v>
      </c>
      <c r="X225" s="8" t="str">
        <f>IF(wld_az1_rack6_host8_fqdn="Value Missing",wld_az1_rack6_host8_fqdn,LEFT(wld_az1_rack6_host8_fqdn,FIND(".",wld_az1_rack6_host8_fqdn)-1))</f>
        <v>Value Missing</v>
      </c>
      <c r="Y225" s="2"/>
      <c r="Z225" s="4" t="s">
        <v>1272</v>
      </c>
      <c r="AA225" s="8" t="str">
        <f>IF(wld_az1_rack7_host8_fqdn="Value Missing",wld_az1_rack7_host8_fqdn,LEFT(wld_az1_rack7_host8_fqdn,FIND(".",wld_az1_rack7_host8_fqdn)-1))</f>
        <v>Value Missing</v>
      </c>
      <c r="AB225" s="2"/>
      <c r="AC225" s="4" t="s">
        <v>1272</v>
      </c>
      <c r="AD225" s="8" t="str">
        <f>IF(wld_az1_rack8_host8_fqdn="Value Missing",wld_az1_rack8_host8_fqdn,LEFT(wld_az1_rack8_host8_fqdn,FIND(".",wld_az1_rack8_host8_fqdn)-1))</f>
        <v>Value Missing</v>
      </c>
    </row>
    <row r="226" spans="5:30" ht="20" customHeight="1" x14ac:dyDescent="0.2">
      <c r="E226" s="4" t="s">
        <v>1273</v>
      </c>
      <c r="F226" s="8" t="str">
        <f>IF(ISBLANK(input_mgmt_az1_host12_vrms_ip),"Value Missing",input_mgmt_az1_host12_vrms_ip)</f>
        <v>Value Missing</v>
      </c>
      <c r="G226" s="2"/>
      <c r="H226" s="4" t="s">
        <v>1273</v>
      </c>
      <c r="I226" s="8" t="str">
        <f>IF(ISBLANK(input_wld_az1_host12_vrms_ip),"Value Missing",input_wld_az1_host12_vrms_ip)</f>
        <v>Value Missing</v>
      </c>
      <c r="J226" s="2"/>
      <c r="K226" s="4" t="s">
        <v>1274</v>
      </c>
      <c r="L226" s="8" t="str">
        <f>IF(wld_az1_rack2_host9_fqdn="Value Missing",wld_az1_rack2_host9_fqdn,LEFT(wld_az1_rack2_host9_fqdn,FIND(".",wld_az1_rack2_host9_fqdn)-1))</f>
        <v>Value Missing</v>
      </c>
      <c r="M226" s="2"/>
      <c r="N226" s="4" t="s">
        <v>1274</v>
      </c>
      <c r="O226" s="8" t="str">
        <f>IF(wld_az1_rack3_host9_fqdn="Value Missing",wld_az1_rack3_host9_fqdn,LEFT(wld_az1_rack3_host9_fqdn,FIND(".",wld_az1_rack3_host9_fqdn)-1))</f>
        <v>Value Missing</v>
      </c>
      <c r="P226" s="2"/>
      <c r="Q226" s="4" t="s">
        <v>1274</v>
      </c>
      <c r="R226" s="8" t="str">
        <f>IF(wld_az1_rack4_host9_fqdn="Value Missing",wld_az1_rack4_host9_fqdn,LEFT(wld_az1_rack4_host9_fqdn,FIND(".",wld_az1_rack4_host9_fqdn)-1))</f>
        <v>Value Missing</v>
      </c>
      <c r="S226" s="2"/>
      <c r="T226" s="4" t="s">
        <v>1274</v>
      </c>
      <c r="U226" s="8" t="str">
        <f>IF(wld_az1_rack5_host9_fqdn="Value Missing",wld_az1_rack5_host9_fqdn,LEFT(wld_az1_rack5_host9_fqdn,FIND(".",wld_az1_rack5_host9_fqdn)-1))</f>
        <v>Value Missing</v>
      </c>
      <c r="V226" s="2"/>
      <c r="W226" s="4" t="s">
        <v>1274</v>
      </c>
      <c r="X226" s="8" t="str">
        <f>IF(wld_az1_rack6_host9_fqdn="Value Missing",wld_az1_rack6_host9_fqdn,LEFT(wld_az1_rack6_host9_fqdn,FIND(".",wld_az1_rack6_host9_fqdn)-1))</f>
        <v>Value Missing</v>
      </c>
      <c r="Y226" s="2"/>
      <c r="Z226" s="4" t="s">
        <v>1274</v>
      </c>
      <c r="AA226" s="8" t="str">
        <f>IF(wld_az1_rack7_host9_fqdn="Value Missing",wld_az1_rack7_host9_fqdn,LEFT(wld_az1_rack7_host9_fqdn,FIND(".",wld_az1_rack7_host9_fqdn)-1))</f>
        <v>Value Missing</v>
      </c>
      <c r="AB226" s="2"/>
      <c r="AC226" s="4" t="s">
        <v>1274</v>
      </c>
      <c r="AD226" s="8" t="str">
        <f>IF(wld_az1_rack8_host9_fqdn="Value Missing",wld_az1_rack8_host9_fqdn,LEFT(wld_az1_rack8_host9_fqdn,FIND(".",wld_az1_rack8_host9_fqdn)-1))</f>
        <v>Value Missing</v>
      </c>
    </row>
    <row r="227" spans="5:30" ht="20" customHeight="1" x14ac:dyDescent="0.2">
      <c r="E227" s="4" t="s">
        <v>1275</v>
      </c>
      <c r="F227" s="8" t="str">
        <f>IF(ISBLANK(input_mgmt_az1_host13_vrms_ip),"Value Missing",input_mgmt_az1_host13_vrms_ip)</f>
        <v>Value Missing</v>
      </c>
      <c r="G227" s="2"/>
      <c r="H227" s="4" t="s">
        <v>1275</v>
      </c>
      <c r="I227" s="8" t="str">
        <f>IF(ISBLANK(input_wld_az1_host13_vrms_ip),"Value Missing",input_wld_az1_host13_vrms_ip)</f>
        <v>Value Missing</v>
      </c>
      <c r="J227" s="2"/>
      <c r="K227" s="4" t="s">
        <v>1276</v>
      </c>
      <c r="L227" s="8" t="str">
        <f>IF(wld_az1_rack2_host10_fqdn="Value Missing",wld_az1_rack2_host10_fqdn,LEFT(wld_az1_rack2_host10_fqdn,FIND(".",wld_az1_rack2_host10_fqdn)-1))</f>
        <v>Value Missing</v>
      </c>
      <c r="M227" s="2"/>
      <c r="N227" s="4" t="s">
        <v>1276</v>
      </c>
      <c r="O227" s="8" t="str">
        <f>IF(wld_az1_rack3_host10_fqdn="Value Missing",wld_az1_rack3_host10_fqdn,LEFT(wld_az1_rack3_host10_fqdn,FIND(".",wld_az1_rack3_host10_fqdn)-1))</f>
        <v>Value Missing</v>
      </c>
      <c r="P227" s="2"/>
      <c r="Q227" s="4" t="s">
        <v>1276</v>
      </c>
      <c r="R227" s="8" t="str">
        <f>IF(wld_az1_rack4_host10_fqdn="Value Missing",wld_az1_rack4_host10_fqdn,LEFT(wld_az1_rack4_host10_fqdn,FIND(".",wld_az1_rack4_host10_fqdn)-1))</f>
        <v>Value Missing</v>
      </c>
      <c r="S227" s="2"/>
      <c r="T227" s="4" t="s">
        <v>1276</v>
      </c>
      <c r="U227" s="8" t="str">
        <f>IF(wld_az1_rack5_host10_fqdn="Value Missing",wld_az1_rack5_host10_fqdn,LEFT(wld_az1_rack5_host10_fqdn,FIND(".",wld_az1_rack5_host10_fqdn)-1))</f>
        <v>Value Missing</v>
      </c>
      <c r="V227" s="2"/>
      <c r="W227" s="4" t="s">
        <v>1276</v>
      </c>
      <c r="X227" s="8" t="str">
        <f>IF(wld_az1_rack6_host10_fqdn="Value Missing",wld_az1_rack6_host10_fqdn,LEFT(wld_az1_rack6_host10_fqdn,FIND(".",wld_az1_rack6_host10_fqdn)-1))</f>
        <v>Value Missing</v>
      </c>
      <c r="Y227" s="2"/>
      <c r="Z227" s="4" t="s">
        <v>1276</v>
      </c>
      <c r="AA227" s="8" t="str">
        <f>IF(wld_az1_rack7_host10_fqdn="Value Missing",wld_az1_rack7_host10_fqdn,LEFT(wld_az1_rack7_host10_fqdn,FIND(".",wld_az1_rack7_host10_fqdn)-1))</f>
        <v>Value Missing</v>
      </c>
      <c r="AB227" s="2"/>
      <c r="AC227" s="4" t="s">
        <v>1276</v>
      </c>
      <c r="AD227" s="8" t="str">
        <f>IF(wld_az1_rack8_host10_fqdn="Value Missing",wld_az1_rack8_host10_fqdn,LEFT(wld_az1_rack8_host10_fqdn,FIND(".",wld_az1_rack8_host10_fqdn)-1))</f>
        <v>Value Missing</v>
      </c>
    </row>
    <row r="228" spans="5:30" ht="20" customHeight="1" x14ac:dyDescent="0.2">
      <c r="E228" s="4" t="s">
        <v>1277</v>
      </c>
      <c r="F228" s="8" t="str">
        <f>IF(ISBLANK(input_mgmt_az1_host14_vrms_ip),"Value Missing",input_mgmt_az1_host14_vrms_ip)</f>
        <v>Value Missing</v>
      </c>
      <c r="G228" s="21"/>
      <c r="H228" s="4" t="s">
        <v>1277</v>
      </c>
      <c r="I228" s="8" t="str">
        <f>IF(ISBLANK(input_wld_az1_host14_vrms_ip),"Value Missing",input_wld_az1_host14_vrms_ip)</f>
        <v>Value Missing</v>
      </c>
      <c r="J228" s="21"/>
      <c r="K228" s="4" t="s">
        <v>1278</v>
      </c>
      <c r="L228" s="8" t="str">
        <f>IF(wld_az1_rack2_host11_fqdn="Value Missing",wld_az1_rack2_host11_fqdn,LEFT(wld_az1_rack2_host11_fqdn,FIND(".",wld_az1_rack2_host11_fqdn)-1))</f>
        <v>Value Missing</v>
      </c>
      <c r="M228" s="2"/>
      <c r="N228" s="4" t="s">
        <v>1278</v>
      </c>
      <c r="O228" s="8" t="str">
        <f>IF(wld_az1_rack3_host11_fqdn="Value Missing",wld_az1_rack3_host11_fqdn,LEFT(wld_az1_rack3_host11_fqdn,FIND(".",wld_az1_rack3_host11_fqdn)-1))</f>
        <v>Value Missing</v>
      </c>
      <c r="P228" s="2"/>
      <c r="Q228" s="4" t="s">
        <v>1278</v>
      </c>
      <c r="R228" s="8" t="str">
        <f>IF(wld_az1_rack4_host11_fqdn="Value Missing",wld_az1_rack4_host11_fqdn,LEFT(wld_az1_rack4_host11_fqdn,FIND(".",wld_az1_rack4_host11_fqdn)-1))</f>
        <v>Value Missing</v>
      </c>
      <c r="S228" s="2"/>
      <c r="T228" s="4" t="s">
        <v>1278</v>
      </c>
      <c r="U228" s="8" t="str">
        <f>IF(wld_az1_rack5_host11_fqdn="Value Missing",wld_az1_rack5_host11_fqdn,LEFT(wld_az1_rack5_host11_fqdn,FIND(".",wld_az1_rack5_host11_fqdn)-1))</f>
        <v>Value Missing</v>
      </c>
      <c r="V228" s="2"/>
      <c r="W228" s="4" t="s">
        <v>1278</v>
      </c>
      <c r="X228" s="8" t="str">
        <f>IF(wld_az1_rack6_host11_fqdn="Value Missing",wld_az1_rack6_host11_fqdn,LEFT(wld_az1_rack6_host11_fqdn,FIND(".",wld_az1_rack6_host11_fqdn)-1))</f>
        <v>Value Missing</v>
      </c>
      <c r="Y228" s="2"/>
      <c r="Z228" s="4" t="s">
        <v>1278</v>
      </c>
      <c r="AA228" s="8" t="str">
        <f>IF(wld_az1_rack7_host11_fqdn="Value Missing",wld_az1_rack7_host11_fqdn,LEFT(wld_az1_rack7_host11_fqdn,FIND(".",wld_az1_rack7_host11_fqdn)-1))</f>
        <v>Value Missing</v>
      </c>
      <c r="AB228" s="2"/>
      <c r="AC228" s="4" t="s">
        <v>1278</v>
      </c>
      <c r="AD228" s="8" t="str">
        <f>IF(wld_az1_rack8_host11_fqdn="Value Missing",wld_az1_rack8_host11_fqdn,LEFT(wld_az1_rack8_host11_fqdn,FIND(".",wld_az1_rack8_host11_fqdn)-1))</f>
        <v>Value Missing</v>
      </c>
    </row>
    <row r="229" spans="5:30" ht="20" customHeight="1" x14ac:dyDescent="0.2">
      <c r="E229" s="4" t="s">
        <v>1279</v>
      </c>
      <c r="F229" s="8" t="str">
        <f>IF(ISBLANK(input_mgmt_az1_host15_vrms_ip),"Value Missing",input_mgmt_az1_host15_vrms_ip)</f>
        <v>Value Missing</v>
      </c>
      <c r="G229" s="2"/>
      <c r="H229" s="4" t="s">
        <v>1279</v>
      </c>
      <c r="I229" s="8" t="str">
        <f>IF(ISBLANK(input_wld_az1_host15_vrms_ip),"Value Missing",input_wld_az1_host15_vrms_ip)</f>
        <v>Value Missing</v>
      </c>
      <c r="J229" s="2"/>
      <c r="K229" s="4" t="s">
        <v>1280</v>
      </c>
      <c r="L229" s="8" t="str">
        <f>IF(wld_az1_rack2_host12_fqdn="Value Missing",wld_az1_rack2_host12_fqdn,LEFT(wld_az1_rack2_host12_fqdn,FIND(".",wld_az1_rack2_host12_fqdn)-1))</f>
        <v>Value Missing</v>
      </c>
      <c r="M229" s="2"/>
      <c r="N229" s="4" t="s">
        <v>1280</v>
      </c>
      <c r="O229" s="8" t="str">
        <f>IF(wld_az1_rack3_host12_fqdn="Value Missing",wld_az1_rack3_host12_fqdn,LEFT(wld_az1_rack3_host12_fqdn,FIND(".",wld_az1_rack3_host12_fqdn)-1))</f>
        <v>Value Missing</v>
      </c>
      <c r="P229" s="2"/>
      <c r="Q229" s="4" t="s">
        <v>1280</v>
      </c>
      <c r="R229" s="8" t="str">
        <f>IF(wld_az1_rack4_host12_fqdn="Value Missing",wld_az1_rack4_host12_fqdn,LEFT(wld_az1_rack4_host12_fqdn,FIND(".",wld_az1_rack4_host12_fqdn)-1))</f>
        <v>Value Missing</v>
      </c>
      <c r="S229" s="2"/>
      <c r="T229" s="4" t="s">
        <v>1280</v>
      </c>
      <c r="U229" s="8" t="str">
        <f>IF(wld_az1_rack5_host12_fqdn="Value Missing",wld_az1_rack5_host12_fqdn,LEFT(wld_az1_rack5_host12_fqdn,FIND(".",wld_az1_rack5_host12_fqdn)-1))</f>
        <v>Value Missing</v>
      </c>
      <c r="V229" s="2"/>
      <c r="W229" s="4" t="s">
        <v>1280</v>
      </c>
      <c r="X229" s="8" t="str">
        <f>IF(wld_az1_rack6_host12_fqdn="Value Missing",wld_az1_rack6_host12_fqdn,LEFT(wld_az1_rack6_host12_fqdn,FIND(".",wld_az1_rack6_host12_fqdn)-1))</f>
        <v>Value Missing</v>
      </c>
      <c r="Y229" s="2"/>
      <c r="Z229" s="4" t="s">
        <v>1280</v>
      </c>
      <c r="AA229" s="8" t="str">
        <f>IF(wld_az1_rack7_host12_fqdn="Value Missing",wld_az1_rack7_host12_fqdn,LEFT(wld_az1_rack7_host12_fqdn,FIND(".",wld_az1_rack7_host12_fqdn)-1))</f>
        <v>Value Missing</v>
      </c>
      <c r="AB229" s="2"/>
      <c r="AC229" s="4" t="s">
        <v>1280</v>
      </c>
      <c r="AD229" s="8" t="str">
        <f>IF(wld_az1_rack8_host12_fqdn="Value Missing",wld_az1_rack8_host12_fqdn,LEFT(wld_az1_rack8_host12_fqdn,FIND(".",wld_az1_rack8_host12_fqdn)-1))</f>
        <v>Value Missing</v>
      </c>
    </row>
    <row r="230" spans="5:30" ht="20" customHeight="1" x14ac:dyDescent="0.2">
      <c r="E230" s="4" t="s">
        <v>1281</v>
      </c>
      <c r="F230" s="8" t="str">
        <f>IF(ISBLANK(input_mgmt_az1_host16_vrms_ip),"Value Missing",input_mgmt_az1_host16_vrms_ip)</f>
        <v>Value Missing</v>
      </c>
      <c r="G230" s="2"/>
      <c r="H230" s="4" t="s">
        <v>1281</v>
      </c>
      <c r="I230" s="8" t="str">
        <f>IF(ISBLANK(input_wld_az1_host16_vrms_ip),"Value Missing",input_wld_az1_host16_vrms_ip)</f>
        <v>Value Missing</v>
      </c>
      <c r="J230" s="2"/>
      <c r="K230" s="4" t="s">
        <v>1282</v>
      </c>
      <c r="L230" s="8" t="str">
        <f>IF(wld_az1_rack2_host13_fqdn="Value Missing",wld_az1_rack2_host13_fqdn,LEFT(wld_az1_rack2_host13_fqdn,FIND(".",wld_az1_rack2_host13_fqdn)-1))</f>
        <v>Value Missing</v>
      </c>
      <c r="M230" s="2"/>
      <c r="N230" s="4" t="s">
        <v>1282</v>
      </c>
      <c r="O230" s="8" t="str">
        <f>IF(wld_az1_rack3_host13_fqdn="Value Missing",wld_az1_rack3_host13_fqdn,LEFT(wld_az1_rack3_host13_fqdn,FIND(".",wld_az1_rack3_host13_fqdn)-1))</f>
        <v>Value Missing</v>
      </c>
      <c r="P230" s="2"/>
      <c r="Q230" s="4" t="s">
        <v>1282</v>
      </c>
      <c r="R230" s="8" t="str">
        <f>IF(wld_az1_rack4_host13_fqdn="Value Missing",wld_az1_rack4_host13_fqdn,LEFT(wld_az1_rack4_host13_fqdn,FIND(".",wld_az1_rack4_host13_fqdn)-1))</f>
        <v>Value Missing</v>
      </c>
      <c r="S230" s="2"/>
      <c r="T230" s="4" t="s">
        <v>1282</v>
      </c>
      <c r="U230" s="8" t="str">
        <f>IF(wld_az1_rack5_host13_fqdn="Value Missing",wld_az1_rack5_host13_fqdn,LEFT(wld_az1_rack5_host13_fqdn,FIND(".",wld_az1_rack5_host13_fqdn)-1))</f>
        <v>Value Missing</v>
      </c>
      <c r="V230" s="2"/>
      <c r="W230" s="4" t="s">
        <v>1282</v>
      </c>
      <c r="X230" s="8" t="str">
        <f>IF(wld_az1_rack6_host13_fqdn="Value Missing",wld_az1_rack6_host13_fqdn,LEFT(wld_az1_rack6_host13_fqdn,FIND(".",wld_az1_rack6_host13_fqdn)-1))</f>
        <v>Value Missing</v>
      </c>
      <c r="Y230" s="2"/>
      <c r="Z230" s="4" t="s">
        <v>1282</v>
      </c>
      <c r="AA230" s="8" t="str">
        <f>IF(wld_az1_rack7_host13_fqdn="Value Missing",wld_az1_rack7_host13_fqdn,LEFT(wld_az1_rack7_host13_fqdn,FIND(".",wld_az1_rack7_host13_fqdn)-1))</f>
        <v>Value Missing</v>
      </c>
      <c r="AB230" s="2"/>
      <c r="AC230" s="4" t="s">
        <v>1282</v>
      </c>
      <c r="AD230" s="8" t="str">
        <f>IF(wld_az1_rack8_host13_fqdn="Value Missing",wld_az1_rack8_host13_fqdn,LEFT(wld_az1_rack8_host13_fqdn,FIND(".",wld_az1_rack8_host13_fqdn)-1))</f>
        <v>Value Missing</v>
      </c>
    </row>
    <row r="231" spans="5:30" ht="20" customHeight="1" x14ac:dyDescent="0.2">
      <c r="E231" s="2"/>
      <c r="F231" s="2"/>
      <c r="G231" s="2"/>
      <c r="H231" s="2"/>
      <c r="I231" s="2"/>
      <c r="J231" s="2"/>
      <c r="K231" s="4" t="s">
        <v>1283</v>
      </c>
      <c r="L231" s="8" t="str">
        <f>IF(wld_az1_rack2_host14_fqdn="Value Missing",wld_az1_rack2_host14_fqdn,LEFT(wld_az1_rack2_host14_fqdn,FIND(".",wld_az1_rack2_host14_fqdn)-1))</f>
        <v>Value Missing</v>
      </c>
      <c r="M231" s="21"/>
      <c r="N231" s="4" t="s">
        <v>1283</v>
      </c>
      <c r="O231" s="8" t="str">
        <f>IF(wld_az1_rack3_host14_fqdn="Value Missing",wld_az1_rack3_host14_fqdn,LEFT(wld_az1_rack3_host14_fqdn,FIND(".",wld_az1_rack3_host14_fqdn)-1))</f>
        <v>Value Missing</v>
      </c>
      <c r="P231" s="2"/>
      <c r="Q231" s="4" t="s">
        <v>1283</v>
      </c>
      <c r="R231" s="8" t="str">
        <f>IF(wld_az1_rack4_host14_fqdn="Value Missing",wld_az1_rack4_host14_fqdn,LEFT(wld_az1_rack4_host14_fqdn,FIND(".",wld_az1_rack4_host14_fqdn)-1))</f>
        <v>Value Missing</v>
      </c>
      <c r="S231" s="2"/>
      <c r="T231" s="4" t="s">
        <v>1283</v>
      </c>
      <c r="U231" s="8" t="str">
        <f>IF(wld_az1_rack5_host14_fqdn="Value Missing",wld_az1_rack5_host14_fqdn,LEFT(wld_az1_rack5_host14_fqdn,FIND(".",wld_az1_rack5_host14_fqdn)-1))</f>
        <v>Value Missing</v>
      </c>
      <c r="V231" s="2"/>
      <c r="W231" s="4" t="s">
        <v>1283</v>
      </c>
      <c r="X231" s="8" t="str">
        <f>IF(wld_az1_rack6_host14_fqdn="Value Missing",wld_az1_rack6_host14_fqdn,LEFT(wld_az1_rack6_host14_fqdn,FIND(".",wld_az1_rack6_host14_fqdn)-1))</f>
        <v>Value Missing</v>
      </c>
      <c r="Y231" s="2"/>
      <c r="Z231" s="4" t="s">
        <v>1283</v>
      </c>
      <c r="AA231" s="8" t="str">
        <f>IF(wld_az1_rack7_host14_fqdn="Value Missing",wld_az1_rack7_host14_fqdn,LEFT(wld_az1_rack7_host14_fqdn,FIND(".",wld_az1_rack7_host14_fqdn)-1))</f>
        <v>Value Missing</v>
      </c>
      <c r="AB231" s="2"/>
      <c r="AC231" s="4" t="s">
        <v>1283</v>
      </c>
      <c r="AD231" s="8" t="str">
        <f>IF(wld_az1_rack8_host14_fqdn="Value Missing",wld_az1_rack8_host14_fqdn,LEFT(wld_az1_rack8_host14_fqdn,FIND(".",wld_az1_rack8_host14_fqdn)-1))</f>
        <v>Value Missing</v>
      </c>
    </row>
    <row r="232" spans="5:30" ht="20" customHeight="1" x14ac:dyDescent="0.2">
      <c r="E232" s="618" t="s">
        <v>1284</v>
      </c>
      <c r="F232" s="619"/>
      <c r="G232" s="2"/>
      <c r="H232" s="618" t="s">
        <v>1285</v>
      </c>
      <c r="I232" s="619"/>
      <c r="J232" s="2"/>
      <c r="K232" s="4" t="s">
        <v>1286</v>
      </c>
      <c r="L232" s="8" t="str">
        <f>IF(wld_az1_rack2_host15_fqdn="Value Missing",wld_az1_rack2_host15_fqdn,LEFT(wld_az1_rack2_host15_fqdn,FIND(".",wld_az1_rack2_host15_fqdn)-1))</f>
        <v>Value Missing</v>
      </c>
      <c r="M232" s="2"/>
      <c r="N232" s="4" t="s">
        <v>1286</v>
      </c>
      <c r="O232" s="8" t="str">
        <f>IF(wld_az1_rack3_host15_fqdn="Value Missing",wld_az1_rack3_host15_fqdn,LEFT(wld_az1_rack3_host15_fqdn,FIND(".",wld_az1_rack3_host15_fqdn)-1))</f>
        <v>Value Missing</v>
      </c>
      <c r="P232" s="2"/>
      <c r="Q232" s="4" t="s">
        <v>1286</v>
      </c>
      <c r="R232" s="8" t="str">
        <f>IF(wld_az1_rack4_host15_fqdn="Value Missing",wld_az1_rack4_host15_fqdn,LEFT(wld_az1_rack4_host15_fqdn,FIND(".",wld_az1_rack4_host15_fqdn)-1))</f>
        <v>Value Missing</v>
      </c>
      <c r="S232" s="2"/>
      <c r="T232" s="4" t="s">
        <v>1286</v>
      </c>
      <c r="U232" s="8" t="str">
        <f>IF(wld_az1_rack5_host15_fqdn="Value Missing",wld_az1_rack5_host15_fqdn,LEFT(wld_az1_rack5_host15_fqdn,FIND(".",wld_az1_rack5_host15_fqdn)-1))</f>
        <v>Value Missing</v>
      </c>
      <c r="V232" s="2"/>
      <c r="W232" s="4" t="s">
        <v>1286</v>
      </c>
      <c r="X232" s="8" t="str">
        <f>IF(wld_az1_rack6_host15_fqdn="Value Missing",wld_az1_rack6_host15_fqdn,LEFT(wld_az1_rack6_host15_fqdn,FIND(".",wld_az1_rack6_host15_fqdn)-1))</f>
        <v>Value Missing</v>
      </c>
      <c r="Y232" s="2"/>
      <c r="Z232" s="4" t="s">
        <v>1286</v>
      </c>
      <c r="AA232" s="8" t="str">
        <f>IF(wld_az1_rack7_host15_fqdn="Value Missing",wld_az1_rack7_host15_fqdn,LEFT(wld_az1_rack7_host15_fqdn,FIND(".",wld_az1_rack7_host15_fqdn)-1))</f>
        <v>Value Missing</v>
      </c>
      <c r="AB232" s="2"/>
      <c r="AC232" s="4" t="s">
        <v>1286</v>
      </c>
      <c r="AD232" s="8" t="str">
        <f>IF(wld_az1_rack8_host15_fqdn="Value Missing",wld_az1_rack8_host15_fqdn,LEFT(wld_az1_rack8_host15_fqdn,FIND(".",wld_az1_rack8_host15_fqdn)-1))</f>
        <v>Value Missing</v>
      </c>
    </row>
    <row r="233" spans="5:30" ht="20" customHeight="1" x14ac:dyDescent="0.2">
      <c r="E233" s="17" t="s">
        <v>250</v>
      </c>
      <c r="F233" s="20" t="s">
        <v>1021</v>
      </c>
      <c r="G233" s="2"/>
      <c r="H233" s="17" t="s">
        <v>250</v>
      </c>
      <c r="I233" s="20" t="s">
        <v>20</v>
      </c>
      <c r="J233" s="2"/>
      <c r="K233" s="4" t="s">
        <v>1287</v>
      </c>
      <c r="L233" s="8" t="str">
        <f>IF(wld_az1_rack2_host16_fqdn="Value Missing",wld_az1_rack2_host16_fqdn,LEFT(wld_az1_rack2_host16_fqdn,FIND(".",wld_az1_rack2_host16_fqdn)-1))</f>
        <v>Value Missing</v>
      </c>
      <c r="M233" s="2"/>
      <c r="N233" s="4" t="s">
        <v>1287</v>
      </c>
      <c r="O233" s="8" t="str">
        <f>IF(wld_az1_rack3_host16_fqdn="Value Missing",wld_az1_rack3_host16_fqdn,LEFT(wld_az1_rack3_host16_fqdn,FIND(".",wld_az1_rack3_host16_fqdn)-1))</f>
        <v>Value Missing</v>
      </c>
      <c r="P233" s="2"/>
      <c r="Q233" s="4" t="s">
        <v>1287</v>
      </c>
      <c r="R233" s="8" t="str">
        <f>IF(wld_az1_rack4_host16_fqdn="Value Missing",wld_az1_rack4_host16_fqdn,LEFT(wld_az1_rack4_host16_fqdn,FIND(".",wld_az1_rack4_host16_fqdn)-1))</f>
        <v>Value Missing</v>
      </c>
      <c r="S233" s="2"/>
      <c r="T233" s="4" t="s">
        <v>1287</v>
      </c>
      <c r="U233" s="8" t="str">
        <f>IF(wld_az1_rack5_host16_fqdn="Value Missing",wld_az1_rack5_host16_fqdn,LEFT(wld_az1_rack5_host16_fqdn,FIND(".",wld_az1_rack5_host16_fqdn)-1))</f>
        <v>Value Missing</v>
      </c>
      <c r="V233" s="2"/>
      <c r="W233" s="4" t="s">
        <v>1287</v>
      </c>
      <c r="X233" s="8" t="str">
        <f>IF(wld_az1_rack6_host16_fqdn="Value Missing",wld_az1_rack6_host16_fqdn,LEFT(wld_az1_rack6_host16_fqdn,FIND(".",wld_az1_rack6_host16_fqdn)-1))</f>
        <v>Value Missing</v>
      </c>
      <c r="Y233" s="2"/>
      <c r="Z233" s="4" t="s">
        <v>1287</v>
      </c>
      <c r="AA233" s="8" t="str">
        <f>IF(wld_az1_rack7_host16_fqdn="Value Missing",wld_az1_rack7_host16_fqdn,LEFT(wld_az1_rack7_host16_fqdn,FIND(".",wld_az1_rack7_host16_fqdn)-1))</f>
        <v>Value Missing</v>
      </c>
      <c r="AB233" s="2"/>
      <c r="AC233" s="4" t="s">
        <v>1287</v>
      </c>
      <c r="AD233" s="8" t="str">
        <f>IF(wld_az1_rack8_host16_fqdn="Value Missing",wld_az1_rack8_host16_fqdn,LEFT(wld_az1_rack8_host16_fqdn,FIND(".",wld_az1_rack8_host16_fqdn)-1))</f>
        <v>Value Missing</v>
      </c>
    </row>
    <row r="234" spans="5:30" ht="20" customHeight="1" x14ac:dyDescent="0.2">
      <c r="E234" s="4" t="s">
        <v>1258</v>
      </c>
      <c r="F234" s="8" t="str">
        <f>IF(mgmt_az1_host1_fqdn="Value Missing",mgmt_az1_host1_fqdn,LEFT(mgmt_az1_host1_fqdn,FIND(".",mgmt_az1_host1_fqdn)-1))</f>
        <v>Value Missing</v>
      </c>
      <c r="G234" s="2"/>
      <c r="H234" s="4" t="s">
        <v>1258</v>
      </c>
      <c r="I234" s="8" t="str">
        <f>IF(wld_az1_host1_fqdn="Value Missing",wld_az1_host1_fqdn,LEFT(wld_az1_host1_fqdn,FIND(".",wld_az1_host1_fqdn)-1))</f>
        <v>Value Missing</v>
      </c>
      <c r="J234" s="2"/>
      <c r="K234" s="2"/>
      <c r="L234" s="2"/>
      <c r="M234" s="2"/>
      <c r="N234" s="7"/>
      <c r="O234" s="7"/>
      <c r="P234" s="2"/>
      <c r="Q234" s="2"/>
      <c r="R234" s="2"/>
      <c r="S234" s="2"/>
      <c r="T234" s="2"/>
      <c r="U234" s="2"/>
      <c r="V234" s="2"/>
      <c r="W234" s="2"/>
      <c r="X234" s="2"/>
      <c r="Y234" s="2"/>
      <c r="Z234" s="2"/>
      <c r="AA234" s="2"/>
      <c r="AB234" s="2"/>
      <c r="AC234" s="2"/>
      <c r="AD234" s="2"/>
    </row>
    <row r="235" spans="5:30" ht="20" customHeight="1" x14ac:dyDescent="0.2">
      <c r="E235" s="4" t="s">
        <v>1260</v>
      </c>
      <c r="F235" s="8" t="str">
        <f>IF(mgmt_az1_host2_fqdn="Value Missing",mgmt_az1_host2_fqdn,LEFT(mgmt_az1_host2_fqdn,FIND(".",mgmt_az1_host2_fqdn)-1))</f>
        <v>Value Missing</v>
      </c>
      <c r="G235" s="2"/>
      <c r="H235" s="4" t="s">
        <v>1260</v>
      </c>
      <c r="I235" s="8" t="str">
        <f>IF(wld_az1_host2_fqdn="Value Missing",wld_az1_host2_fqdn,LEFT(wld_az1_host2_fqdn,FIND(".",wld_az1_host2_fqdn)-1))</f>
        <v>Value Missing</v>
      </c>
      <c r="J235" s="2"/>
      <c r="K235" s="14" t="s">
        <v>1288</v>
      </c>
      <c r="L235" s="16"/>
      <c r="M235" s="2"/>
      <c r="N235" s="14" t="s">
        <v>1289</v>
      </c>
      <c r="O235" s="16"/>
      <c r="P235" s="2"/>
      <c r="Q235" s="14" t="s">
        <v>1290</v>
      </c>
      <c r="R235" s="16"/>
      <c r="S235" s="2"/>
      <c r="T235" s="14" t="s">
        <v>1291</v>
      </c>
      <c r="U235" s="16"/>
      <c r="V235" s="2"/>
      <c r="W235" s="14" t="s">
        <v>1292</v>
      </c>
      <c r="X235" s="16"/>
      <c r="Y235" s="2"/>
      <c r="Z235" s="14" t="s">
        <v>1293</v>
      </c>
      <c r="AA235" s="16"/>
      <c r="AB235" s="2"/>
      <c r="AC235" s="14" t="s">
        <v>1294</v>
      </c>
      <c r="AD235" s="16"/>
    </row>
    <row r="236" spans="5:30" ht="20" customHeight="1" x14ac:dyDescent="0.2">
      <c r="E236" s="4" t="s">
        <v>1262</v>
      </c>
      <c r="F236" s="8" t="str">
        <f>IF(mgmt_az1_host3_fqdn="Value Missing",mgmt_az1_host3_fqdn,LEFT(mgmt_az1_host3_fqdn,FIND(".",mgmt_az1_host3_fqdn)-1))</f>
        <v>Value Missing</v>
      </c>
      <c r="G236" s="2"/>
      <c r="H236" s="4" t="s">
        <v>1262</v>
      </c>
      <c r="I236" s="8" t="str">
        <f>IF(wld_az1_host3_fqdn="Value Missing",wld_az1_host3_fqdn,LEFT(wld_az1_host3_fqdn,FIND(".",wld_az1_host3_fqdn)-1))</f>
        <v>Value Missing</v>
      </c>
      <c r="J236" s="2"/>
      <c r="K236" s="19" t="s">
        <v>250</v>
      </c>
      <c r="L236" s="20" t="s">
        <v>20</v>
      </c>
      <c r="M236" s="2"/>
      <c r="N236" s="19" t="s">
        <v>250</v>
      </c>
      <c r="O236" s="20" t="s">
        <v>20</v>
      </c>
      <c r="P236" s="21"/>
      <c r="Q236" s="19" t="s">
        <v>250</v>
      </c>
      <c r="R236" s="20" t="s">
        <v>20</v>
      </c>
      <c r="S236" s="21"/>
      <c r="T236" s="19" t="s">
        <v>250</v>
      </c>
      <c r="U236" s="20" t="s">
        <v>20</v>
      </c>
      <c r="V236" s="21"/>
      <c r="W236" s="19" t="s">
        <v>250</v>
      </c>
      <c r="X236" s="20" t="s">
        <v>20</v>
      </c>
      <c r="Y236" s="21"/>
      <c r="Z236" s="19" t="s">
        <v>250</v>
      </c>
      <c r="AA236" s="20" t="s">
        <v>20</v>
      </c>
      <c r="AB236" s="21"/>
      <c r="AC236" s="19" t="s">
        <v>250</v>
      </c>
      <c r="AD236" s="20" t="s">
        <v>20</v>
      </c>
    </row>
    <row r="237" spans="5:30" ht="20" customHeight="1" x14ac:dyDescent="0.2">
      <c r="E237" s="4" t="s">
        <v>1264</v>
      </c>
      <c r="F237" s="8" t="str">
        <f>IF(mgmt_az1_host4_fqdn="Value Missing",mgmt_az1_host4_fqdn,LEFT(mgmt_az1_host4_fqdn,FIND(".",mgmt_az1_host4_fqdn)-1))</f>
        <v>Value Missing</v>
      </c>
      <c r="H237" s="4" t="s">
        <v>1264</v>
      </c>
      <c r="I237" s="8" t="str">
        <f>IF(wld_az1_host4_fqdn="Value Missing",wld_az1_host4_fqdn,LEFT(wld_az1_host4_fqdn,FIND(".",wld_az1_host4_fqdn)-1))</f>
        <v>Value Missing</v>
      </c>
      <c r="K237" s="4" t="s">
        <v>1258</v>
      </c>
      <c r="L237" s="8" t="str">
        <f>IF(ISBLANK(input_wld_az1_rack2_host1_fqdn),"Value Missing",input_wld_az1_rack2_host1_fqdn)</f>
        <v>Value Missing</v>
      </c>
      <c r="M237" s="2"/>
      <c r="N237" s="4" t="s">
        <v>1258</v>
      </c>
      <c r="O237" s="8" t="str">
        <f>IF(ISBLANK(input_wld_az1_rack3_host1_fqdn),"Value Missing",input_wld_az1_rack3_host1_fqdn)</f>
        <v>Value Missing</v>
      </c>
      <c r="P237" s="2"/>
      <c r="Q237" s="4" t="s">
        <v>1258</v>
      </c>
      <c r="R237" s="8" t="str">
        <f>IF(ISBLANK(input_wld_az1_rack4_host1_fqdn),"Value Missing",input_wld_az1_rack4_host1_fqdn)</f>
        <v>Value Missing</v>
      </c>
      <c r="S237" s="2"/>
      <c r="T237" s="4" t="s">
        <v>1258</v>
      </c>
      <c r="U237" s="8" t="str">
        <f>IF(ISBLANK(input_wld_az1_rack5_host1_fqdn),"Value Missing",input_wld_az1_rack5_host1_fqdn)</f>
        <v>Value Missing</v>
      </c>
      <c r="V237" s="2"/>
      <c r="W237" s="4" t="s">
        <v>1258</v>
      </c>
      <c r="X237" s="8" t="str">
        <f>IF(ISBLANK(input_wld_az1_rack6_host1_fqdn),"Value Missing",input_wld_az1_rack6_host1_fqdn)</f>
        <v>Value Missing</v>
      </c>
      <c r="Y237" s="2"/>
      <c r="Z237" s="4" t="s">
        <v>1258</v>
      </c>
      <c r="AA237" s="8" t="str">
        <f>IF(ISBLANK(input_wld_az1_rack7_host1_fqdn),"Value Missing",input_wld_az1_rack7_host1_fqdn)</f>
        <v>Value Missing</v>
      </c>
      <c r="AB237" s="2"/>
      <c r="AC237" s="4" t="s">
        <v>1258</v>
      </c>
      <c r="AD237" s="8" t="str">
        <f>IF(ISBLANK(input_wld_az1_rack8_host1_fqdn),"Value Missing",input_wld_az1_rack8_host1_fqdn)</f>
        <v>Value Missing</v>
      </c>
    </row>
    <row r="238" spans="5:30" ht="20" customHeight="1" x14ac:dyDescent="0.2">
      <c r="E238" s="4" t="s">
        <v>1266</v>
      </c>
      <c r="F238" s="8" t="str">
        <f>IF(mgmt_az1_host5_fqdn="Value Missing",mgmt_az1_host5_fqdn,LEFT(mgmt_az1_host5_fqdn,FIND(".",mgmt_az1_host5_fqdn)-1))</f>
        <v>Value Missing</v>
      </c>
      <c r="H238" s="4" t="s">
        <v>1266</v>
      </c>
      <c r="I238" s="8" t="str">
        <f>IF(wld_az1_host5_fqdn="Value Missing",wld_az1_host5_fqdn,LEFT(wld_az1_host5_fqdn,FIND(".",wld_az1_host5_fqdn)-1))</f>
        <v>Value Missing</v>
      </c>
      <c r="K238" s="4" t="s">
        <v>1260</v>
      </c>
      <c r="L238" s="8" t="str">
        <f>IF(ISBLANK(input_wld_az1_rack2_host2_fqdn),"Value Missing",input_wld_az1_rack2_host2_fqdn)</f>
        <v>Value Missing</v>
      </c>
      <c r="M238" s="2"/>
      <c r="N238" s="4" t="s">
        <v>1260</v>
      </c>
      <c r="O238" s="8" t="str">
        <f>IF(ISBLANK(input_wld_az1_rack3_host2_fqdn),"Value Missing",input_wld_az1_rack3_host2_fqdn)</f>
        <v>Value Missing</v>
      </c>
      <c r="P238" s="2"/>
      <c r="Q238" s="4" t="s">
        <v>1260</v>
      </c>
      <c r="R238" s="8" t="str">
        <f>IF(ISBLANK(input_wld_az1_rack4_host2_fqdn),"Value Missing",input_wld_az1_rack4_host2_fqdn)</f>
        <v>Value Missing</v>
      </c>
      <c r="S238" s="2"/>
      <c r="T238" s="4" t="s">
        <v>1260</v>
      </c>
      <c r="U238" s="8" t="str">
        <f>IF(ISBLANK(input_wld_az1_rack5_host2_fqdn),"Value Missing",input_wld_az1_rack5_host2_fqdn)</f>
        <v>Value Missing</v>
      </c>
      <c r="V238" s="2"/>
      <c r="W238" s="4" t="s">
        <v>1260</v>
      </c>
      <c r="X238" s="8" t="str">
        <f>IF(ISBLANK(input_wld_az1_rack6_host2_fqdn),"Value Missing",input_wld_az1_rack6_host2_fqdn)</f>
        <v>Value Missing</v>
      </c>
      <c r="Y238" s="2"/>
      <c r="Z238" s="4" t="s">
        <v>1260</v>
      </c>
      <c r="AA238" s="8" t="str">
        <f>IF(ISBLANK(input_wld_az1_rack7_host2_fqdn),"Value Missing",input_wld_az1_rack7_host2_fqdn)</f>
        <v>Value Missing</v>
      </c>
      <c r="AB238" s="2"/>
      <c r="AC238" s="4" t="s">
        <v>1260</v>
      </c>
      <c r="AD238" s="8" t="str">
        <f>IF(ISBLANK(input_wld_az1_rack8_host2_fqdn),"Value Missing",input_wld_az1_rack8_host2_fqdn)</f>
        <v>Value Missing</v>
      </c>
    </row>
    <row r="239" spans="5:30" ht="20" customHeight="1" x14ac:dyDescent="0.2">
      <c r="E239" s="4" t="s">
        <v>1268</v>
      </c>
      <c r="F239" s="8" t="str">
        <f>IF(mgmt_az1_host6_fqdn="Value Missing",mgmt_az1_host6_fqdn,LEFT(mgmt_az1_host6_fqdn,FIND(".",mgmt_az1_host6_fqdn)-1))</f>
        <v>Value Missing</v>
      </c>
      <c r="H239" s="4" t="s">
        <v>1268</v>
      </c>
      <c r="I239" s="8" t="str">
        <f>IF(wld_az1_host6_fqdn="Value Missing",wld_az1_host6_fqdn,LEFT(wld_az1_host6_fqdn,FIND(".",wld_az1_host6_fqdn)-1))</f>
        <v>Value Missing</v>
      </c>
      <c r="K239" s="4" t="s">
        <v>1262</v>
      </c>
      <c r="L239" s="8" t="str">
        <f>IF(ISBLANK(input_wld_az1_rack2_host3_fqdn),"Value Missing",input_wld_az1_rack2_host3_fqdn)</f>
        <v>Value Missing</v>
      </c>
      <c r="M239" s="2"/>
      <c r="N239" s="4" t="s">
        <v>1262</v>
      </c>
      <c r="O239" s="8" t="str">
        <f>IF(ISBLANK(input_wld_az1_rack3_host3_fqdn),"Value Missing",input_wld_az1_rack3_host3_fqdn)</f>
        <v>Value Missing</v>
      </c>
      <c r="P239" s="2"/>
      <c r="Q239" s="4" t="s">
        <v>1262</v>
      </c>
      <c r="R239" s="8" t="str">
        <f>IF(ISBLANK(input_wld_az1_rack4_host3_fqdn),"Value Missing",input_wld_az1_rack4_host3_fqdn)</f>
        <v>Value Missing</v>
      </c>
      <c r="S239" s="2"/>
      <c r="T239" s="4" t="s">
        <v>1262</v>
      </c>
      <c r="U239" s="8" t="str">
        <f>IF(ISBLANK(input_wld_az1_rack5_host3_fqdn),"Value Missing",input_wld_az1_rack5_host3_fqdn)</f>
        <v>Value Missing</v>
      </c>
      <c r="V239" s="2"/>
      <c r="W239" s="4" t="s">
        <v>1262</v>
      </c>
      <c r="X239" s="8" t="str">
        <f>IF(ISBLANK(input_wld_az1_rack6_host3_fqdn),"Value Missing",input_wld_az1_rack6_host3_fqdn)</f>
        <v>Value Missing</v>
      </c>
      <c r="Y239" s="2"/>
      <c r="Z239" s="4" t="s">
        <v>1262</v>
      </c>
      <c r="AA239" s="8" t="str">
        <f>IF(ISBLANK(input_wld_az1_rack7_host3_fqdn),"Value Missing",input_wld_az1_rack7_host3_fqdn)</f>
        <v>Value Missing</v>
      </c>
      <c r="AB239" s="2"/>
      <c r="AC239" s="4" t="s">
        <v>1262</v>
      </c>
      <c r="AD239" s="8" t="str">
        <f>IF(ISBLANK(input_wld_az1_rack8_host3_fqdn),"Value Missing",input_wld_az1_rack8_host3_fqdn)</f>
        <v>Value Missing</v>
      </c>
    </row>
    <row r="240" spans="5:30" ht="20" customHeight="1" x14ac:dyDescent="0.2">
      <c r="E240" s="4" t="s">
        <v>1270</v>
      </c>
      <c r="F240" s="8" t="str">
        <f>IF(mgmt_az1_host7_fqdn="Value Missing",mgmt_az1_host7_fqdn,LEFT(mgmt_az1_host7_fqdn,FIND(".",mgmt_az1_host7_fqdn)-1))</f>
        <v>Value Missing</v>
      </c>
      <c r="H240" s="4" t="s">
        <v>1270</v>
      </c>
      <c r="I240" s="8" t="str">
        <f>IF(wld_az1_host7_fqdn="Value Missing",wld_az1_host7_fqdn,LEFT(wld_az1_host7_fqdn,FIND(".",wld_az1_host7_fqdn)-1))</f>
        <v>Value Missing</v>
      </c>
      <c r="K240" s="4" t="s">
        <v>1264</v>
      </c>
      <c r="L240" s="8" t="str">
        <f>IF(ISBLANK(input_wld_az1_rack2_host4_fqdn),"Value Missing",input_wld_az1_rack2_host4_fqdn)</f>
        <v>Value Missing</v>
      </c>
      <c r="N240" s="4" t="s">
        <v>1264</v>
      </c>
      <c r="O240" s="8" t="str">
        <f>IF(ISBLANK(input_wld_az1_rack3_host4_fqdn),"Value Missing",input_wld_az1_rack3_host4_fqdn)</f>
        <v>Value Missing</v>
      </c>
      <c r="P240" s="2"/>
      <c r="Q240" s="4" t="s">
        <v>1264</v>
      </c>
      <c r="R240" s="8" t="str">
        <f>IF(ISBLANK(input_wld_az1_rack4_host4_fqdn),"Value Missing",input_wld_az1_rack4_host4_fqdn)</f>
        <v>Value Missing</v>
      </c>
      <c r="S240" s="2"/>
      <c r="T240" s="4" t="s">
        <v>1264</v>
      </c>
      <c r="U240" s="8" t="str">
        <f>IF(ISBLANK(input_wld_az1_rack5_host4_fqdn),"Value Missing",input_wld_az1_rack5_host4_fqdn)</f>
        <v>Value Missing</v>
      </c>
      <c r="V240" s="2"/>
      <c r="W240" s="4" t="s">
        <v>1264</v>
      </c>
      <c r="X240" s="8" t="str">
        <f>IF(ISBLANK(input_wld_az1_rack6_host4_fqdn),"Value Missing",input_wld_az1_rack6_host4_fqdn)</f>
        <v>Value Missing</v>
      </c>
      <c r="Y240" s="2"/>
      <c r="Z240" s="4" t="s">
        <v>1264</v>
      </c>
      <c r="AA240" s="8" t="str">
        <f>IF(ISBLANK(input_wld_az1_rack7_host4_fqdn),"Value Missing",input_wld_az1_rack7_host4_fqdn)</f>
        <v>Value Missing</v>
      </c>
      <c r="AB240" s="2"/>
      <c r="AC240" s="4" t="s">
        <v>1264</v>
      </c>
      <c r="AD240" s="8" t="str">
        <f>IF(ISBLANK(input_wld_az1_rack8_host4_fqdn),"Value Missing",input_wld_az1_rack8_host4_fqdn)</f>
        <v>Value Missing</v>
      </c>
    </row>
    <row r="241" spans="5:30" ht="20" customHeight="1" x14ac:dyDescent="0.2">
      <c r="E241" s="4" t="s">
        <v>1272</v>
      </c>
      <c r="F241" s="8" t="str">
        <f>IF(mgmt_az1_host8_fqdn="Value Missing",mgmt_az1_host8_fqdn,LEFT(mgmt_az1_host8_fqdn,FIND(".",mgmt_az1_host8_fqdn)-1))</f>
        <v>Value Missing</v>
      </c>
      <c r="H241" s="4" t="s">
        <v>1272</v>
      </c>
      <c r="I241" s="8" t="str">
        <f>IF(wld_az1_host8_fqdn="Value Missing",wld_az1_host8_fqdn,LEFT(wld_az1_host8_fqdn,FIND(".",wld_az1_host8_fqdn)-1))</f>
        <v>Value Missing</v>
      </c>
      <c r="K241" s="4" t="s">
        <v>1266</v>
      </c>
      <c r="L241" s="8" t="str">
        <f>IF(ISBLANK(input_wld_az1_rack2_host5_fqdn),"Value Missing",input_wld_az1_rack2_host5_fqdn)</f>
        <v>Value Missing</v>
      </c>
      <c r="N241" s="4" t="s">
        <v>1266</v>
      </c>
      <c r="O241" s="8" t="str">
        <f>IF(ISBLANK(input_wld_az1_rack3_host5_fqdn),"Value Missing",input_wld_az1_rack3_host5_fqdn)</f>
        <v>Value Missing</v>
      </c>
      <c r="P241" s="2"/>
      <c r="Q241" s="4" t="s">
        <v>1266</v>
      </c>
      <c r="R241" s="8" t="str">
        <f>IF(ISBLANK(input_wld_az1_rack4_host5_fqdn),"Value Missing",input_wld_az1_rack4_host5_fqdn)</f>
        <v>Value Missing</v>
      </c>
      <c r="S241" s="2"/>
      <c r="T241" s="4" t="s">
        <v>1266</v>
      </c>
      <c r="U241" s="8" t="str">
        <f>IF(ISBLANK(input_wld_az1_rack5_host5_fqdn),"Value Missing",input_wld_az1_rack5_host5_fqdn)</f>
        <v>Value Missing</v>
      </c>
      <c r="V241" s="2"/>
      <c r="W241" s="4" t="s">
        <v>1266</v>
      </c>
      <c r="X241" s="8" t="str">
        <f>IF(ISBLANK(input_wld_az1_rack6_host5_fqdn),"Value Missing",input_wld_az1_rack6_host5_fqdn)</f>
        <v>Value Missing</v>
      </c>
      <c r="Y241" s="2"/>
      <c r="Z241" s="4" t="s">
        <v>1266</v>
      </c>
      <c r="AA241" s="8" t="str">
        <f>IF(ISBLANK(input_wld_az1_rack7_host5_fqdn),"Value Missing",input_wld_az1_rack7_host5_fqdn)</f>
        <v>Value Missing</v>
      </c>
      <c r="AB241" s="2"/>
      <c r="AC241" s="4" t="s">
        <v>1266</v>
      </c>
      <c r="AD241" s="8" t="str">
        <f>IF(ISBLANK(input_wld_az1_rack8_host5_fqdn),"Value Missing",input_wld_az1_rack8_host5_fqdn)</f>
        <v>Value Missing</v>
      </c>
    </row>
    <row r="242" spans="5:30" ht="20" customHeight="1" x14ac:dyDescent="0.2">
      <c r="E242" s="4" t="s">
        <v>1274</v>
      </c>
      <c r="F242" s="8" t="str">
        <f>IF(mgmt_az1_host9_fqdn="Value Missing",mgmt_az1_host9_fqdn,LEFT(mgmt_az1_host9_fqdn,FIND(".",mgmt_az1_host9_fqdn)-1))</f>
        <v>Value Missing</v>
      </c>
      <c r="H242" s="4" t="s">
        <v>1274</v>
      </c>
      <c r="I242" s="8" t="str">
        <f>IF(wld_az1_host9_fqdn="Value Missing",wld_az1_host9_fqdn,LEFT(wld_az1_host9_fqdn,FIND(".",wld_az1_host9_fqdn)-1))</f>
        <v>Value Missing</v>
      </c>
      <c r="K242" s="4" t="s">
        <v>1268</v>
      </c>
      <c r="L242" s="8" t="str">
        <f>IF(ISBLANK(input_wld_az1_rack2_host6_fqdn),"Value Missing",input_wld_az1_rack2_host6_fqdn)</f>
        <v>Value Missing</v>
      </c>
      <c r="N242" s="4" t="s">
        <v>1268</v>
      </c>
      <c r="O242" s="8" t="str">
        <f>IF(ISBLANK(input_wld_az1_rack3_host6_fqdn),"Value Missing",input_wld_az1_rack3_host6_fqdn)</f>
        <v>Value Missing</v>
      </c>
      <c r="P242" s="2"/>
      <c r="Q242" s="4" t="s">
        <v>1268</v>
      </c>
      <c r="R242" s="8" t="str">
        <f>IF(ISBLANK(input_wld_az1_rack4_host6_fqdn),"Value Missing",input_wld_az1_rack4_host6_fqdn)</f>
        <v>Value Missing</v>
      </c>
      <c r="S242" s="2"/>
      <c r="T242" s="4" t="s">
        <v>1268</v>
      </c>
      <c r="U242" s="8" t="str">
        <f>IF(ISBLANK(input_wld_az1_rack5_host6_fqdn),"Value Missing",input_wld_az1_rack5_host6_fqdn)</f>
        <v>Value Missing</v>
      </c>
      <c r="V242" s="2"/>
      <c r="W242" s="4" t="s">
        <v>1268</v>
      </c>
      <c r="X242" s="8" t="str">
        <f>IF(ISBLANK(input_wld_az1_rack6_host6_fqdn),"Value Missing",input_wld_az1_rack6_host6_fqdn)</f>
        <v>Value Missing</v>
      </c>
      <c r="Y242" s="2"/>
      <c r="Z242" s="4" t="s">
        <v>1268</v>
      </c>
      <c r="AA242" s="8" t="str">
        <f>IF(ISBLANK(input_wld_az1_rack7_host6_fqdn),"Value Missing",input_wld_az1_rack7_host6_fqdn)</f>
        <v>Value Missing</v>
      </c>
      <c r="AB242" s="2"/>
      <c r="AC242" s="4" t="s">
        <v>1268</v>
      </c>
      <c r="AD242" s="8" t="str">
        <f>IF(ISBLANK(input_wld_az1_rack8_host6_fqdn),"Value Missing",input_wld_az1_rack8_host6_fqdn)</f>
        <v>Value Missing</v>
      </c>
    </row>
    <row r="243" spans="5:30" ht="20" customHeight="1" x14ac:dyDescent="0.2">
      <c r="E243" s="4" t="s">
        <v>1276</v>
      </c>
      <c r="F243" s="8" t="str">
        <f>IF(mgmt_az1_host10_fqdn="Value Missing",mgmt_az1_host10_fqdn,LEFT(mgmt_az1_host10_fqdn,FIND(".",mgmt_az1_host10_fqdn)-1))</f>
        <v>Value Missing</v>
      </c>
      <c r="H243" s="4" t="s">
        <v>1276</v>
      </c>
      <c r="I243" s="8" t="str">
        <f>IF(wld_az1_host10_fqdn="Value Missing",wld_az1_host10_fqdn,LEFT(wld_az1_host10_fqdn,FIND(".",wld_az1_host10_fqdn)-1))</f>
        <v>Value Missing</v>
      </c>
      <c r="K243" s="4" t="s">
        <v>1270</v>
      </c>
      <c r="L243" s="8" t="str">
        <f>IF(ISBLANK(input_wld_az1_rack2_host7_fqdn),"Value Missing",input_wld_az1_rack2_host7_fqdn)</f>
        <v>Value Missing</v>
      </c>
      <c r="N243" s="4" t="s">
        <v>1270</v>
      </c>
      <c r="O243" s="8" t="str">
        <f>IF(ISBLANK(input_wld_az1_rack3_host7_fqdn),"Value Missing",input_wld_az1_rack3_host7_fqdn)</f>
        <v>Value Missing</v>
      </c>
      <c r="P243" s="2"/>
      <c r="Q243" s="4" t="s">
        <v>1270</v>
      </c>
      <c r="R243" s="8" t="str">
        <f>IF(ISBLANK(input_wld_az1_rack4_host7_fqdn),"Value Missing",input_wld_az1_rack4_host7_fqdn)</f>
        <v>Value Missing</v>
      </c>
      <c r="S243" s="2"/>
      <c r="T243" s="4" t="s">
        <v>1270</v>
      </c>
      <c r="U243" s="8" t="str">
        <f>IF(ISBLANK(input_wld_az1_rack5_host7_fqdn),"Value Missing",input_wld_az1_rack5_host7_fqdn)</f>
        <v>Value Missing</v>
      </c>
      <c r="V243" s="2"/>
      <c r="W243" s="4" t="s">
        <v>1270</v>
      </c>
      <c r="X243" s="8" t="str">
        <f>IF(ISBLANK(input_wld_az1_rack6_host7_fqdn),"Value Missing",input_wld_az1_rack6_host7_fqdn)</f>
        <v>Value Missing</v>
      </c>
      <c r="Y243" s="2"/>
      <c r="Z243" s="4" t="s">
        <v>1270</v>
      </c>
      <c r="AA243" s="8" t="str">
        <f>IF(ISBLANK(input_wld_az1_rack7_host7_fqdn),"Value Missing",input_wld_az1_rack7_host7_fqdn)</f>
        <v>Value Missing</v>
      </c>
      <c r="AB243" s="2"/>
      <c r="AC243" s="4" t="s">
        <v>1270</v>
      </c>
      <c r="AD243" s="8" t="str">
        <f>IF(ISBLANK(input_wld_az1_rack8_host7_fqdn),"Value Missing",input_wld_az1_rack8_host7_fqdn)</f>
        <v>Value Missing</v>
      </c>
    </row>
    <row r="244" spans="5:30" ht="20" customHeight="1" x14ac:dyDescent="0.2">
      <c r="E244" s="4" t="s">
        <v>1278</v>
      </c>
      <c r="F244" s="8" t="str">
        <f>IF(mgmt_az1_host11_fqdn="Value Missing",mgmt_az1_host11_fqdn,LEFT(mgmt_az1_host11_fqdn,FIND(".",mgmt_az1_host11_fqdn)-1))</f>
        <v>Value Missing</v>
      </c>
      <c r="H244" s="4" t="s">
        <v>1278</v>
      </c>
      <c r="I244" s="8" t="str">
        <f>IF(wld_az1_host11_fqdn="Value Missing",wld_az1_host11_fqdn,LEFT(wld_az1_host11_fqdn,FIND(".",wld_az1_host11_fqdn)-1))</f>
        <v>Value Missing</v>
      </c>
      <c r="K244" s="4" t="s">
        <v>1272</v>
      </c>
      <c r="L244" s="8" t="str">
        <f>IF(ISBLANK(input_wld_az1_rack2_host8_fqdn),"Value Missing",input_wld_az1_rack2_host8_fqdn)</f>
        <v>Value Missing</v>
      </c>
      <c r="N244" s="4" t="s">
        <v>1272</v>
      </c>
      <c r="O244" s="8" t="str">
        <f>IF(ISBLANK(input_wld_az1_rack3_host8_fqdn),"Value Missing",input_wld_az1_rack3_host8_fqdn)</f>
        <v>Value Missing</v>
      </c>
      <c r="P244" s="2"/>
      <c r="Q244" s="4" t="s">
        <v>1272</v>
      </c>
      <c r="R244" s="8" t="str">
        <f>IF(ISBLANK(input_wld_az1_rack4_host8_fqdn),"Value Missing",input_wld_az1_rack4_host8_fqdn)</f>
        <v>Value Missing</v>
      </c>
      <c r="S244" s="2"/>
      <c r="T244" s="4" t="s">
        <v>1272</v>
      </c>
      <c r="U244" s="8" t="str">
        <f>IF(ISBLANK(input_wld_az1_rack5_host8_fqdn),"Value Missing",input_wld_az1_rack5_host8_fqdn)</f>
        <v>Value Missing</v>
      </c>
      <c r="V244" s="2"/>
      <c r="W244" s="4" t="s">
        <v>1272</v>
      </c>
      <c r="X244" s="8" t="str">
        <f>IF(ISBLANK(input_wld_az1_rack6_host8_fqdn),"Value Missing",input_wld_az1_rack6_host8_fqdn)</f>
        <v>Value Missing</v>
      </c>
      <c r="Y244" s="2"/>
      <c r="Z244" s="4" t="s">
        <v>1272</v>
      </c>
      <c r="AA244" s="8" t="str">
        <f>IF(ISBLANK(input_wld_az1_rack7_host8_fqdn),"Value Missing",input_wld_az1_rack7_host8_fqdn)</f>
        <v>Value Missing</v>
      </c>
      <c r="AB244" s="2"/>
      <c r="AC244" s="4" t="s">
        <v>1272</v>
      </c>
      <c r="AD244" s="8" t="str">
        <f>IF(ISBLANK(input_wld_az1_rack8_host8_fqdn),"Value Missing",input_wld_az1_rack8_host8_fqdn)</f>
        <v>Value Missing</v>
      </c>
    </row>
    <row r="245" spans="5:30" ht="20" customHeight="1" x14ac:dyDescent="0.2">
      <c r="E245" s="4" t="s">
        <v>1280</v>
      </c>
      <c r="F245" s="8" t="str">
        <f>IF(mgmt_az1_host12_fqdn="Value Missing",mgmt_az1_host12_fqdn,LEFT(mgmt_az1_host12_fqdn,FIND(".",mgmt_az1_host12_fqdn)-1))</f>
        <v>Value Missing</v>
      </c>
      <c r="H245" s="4" t="s">
        <v>1280</v>
      </c>
      <c r="I245" s="8" t="str">
        <f>IF(wld_az1_host12_fqdn="Value Missing",wld_az1_host12_fqdn,LEFT(wld_az1_host12_fqdn,FIND(".",wld_az1_host12_fqdn)-1))</f>
        <v>Value Missing</v>
      </c>
      <c r="K245" s="4" t="s">
        <v>1274</v>
      </c>
      <c r="L245" s="8" t="str">
        <f>IF(ISBLANK(input_wld_az1_rack2_host9_fqdn),"Value Missing",input_wld_az1_rack2_host9_fqdn)</f>
        <v>Value Missing</v>
      </c>
      <c r="N245" s="4" t="s">
        <v>1274</v>
      </c>
      <c r="O245" s="8" t="str">
        <f>IF(ISBLANK(input_wld_az1_rack3_host9_fqdn),"Value Missing",input_wld_az1_rack3_host9_fqdn)</f>
        <v>Value Missing</v>
      </c>
      <c r="Q245" s="4" t="s">
        <v>1274</v>
      </c>
      <c r="R245" s="8" t="str">
        <f>IF(ISBLANK(input_wld_az1_rack4_host9_fqdn),"Value Missing",input_wld_az1_rack4_host9_fqdn)</f>
        <v>Value Missing</v>
      </c>
      <c r="T245" s="4" t="s">
        <v>1274</v>
      </c>
      <c r="U245" s="8" t="str">
        <f>IF(ISBLANK(input_wld_az1_rack5_host9_fqdn),"Value Missing",input_wld_az1_rack5_host9_fqdn)</f>
        <v>Value Missing</v>
      </c>
      <c r="W245" s="4" t="s">
        <v>1274</v>
      </c>
      <c r="X245" s="8" t="str">
        <f>IF(ISBLANK(input_wld_az1_rack6_host9_fqdn),"Value Missing",input_wld_az1_rack6_host9_fqdn)</f>
        <v>Value Missing</v>
      </c>
      <c r="Z245" s="4" t="s">
        <v>1274</v>
      </c>
      <c r="AA245" s="8" t="str">
        <f>IF(ISBLANK(input_wld_az1_rack7_host9_fqdn),"Value Missing",input_wld_az1_rack7_host9_fqdn)</f>
        <v>Value Missing</v>
      </c>
      <c r="AC245" s="4" t="s">
        <v>1274</v>
      </c>
      <c r="AD245" s="8" t="str">
        <f>IF(ISBLANK(input_wld_az1_rack8_host9_fqdn),"Value Missing",input_wld_az1_rack8_host9_fqdn)</f>
        <v>Value Missing</v>
      </c>
    </row>
    <row r="246" spans="5:30" ht="20" customHeight="1" x14ac:dyDescent="0.2">
      <c r="E246" s="4" t="s">
        <v>1282</v>
      </c>
      <c r="F246" s="8" t="str">
        <f>IF(mgmt_az1_host13_fqdn="Value Missing",mgmt_az1_host13_fqdn,LEFT(mgmt_az1_host13_fqdn,FIND(".",mgmt_az1_host13_fqdn)-1))</f>
        <v>Value Missing</v>
      </c>
      <c r="H246" s="4" t="s">
        <v>1282</v>
      </c>
      <c r="I246" s="8" t="str">
        <f>IF(wld_az1_host13_fqdn="Value Missing",wld_az1_host13_fqdn,LEFT(wld_az1_host13_fqdn,FIND(".",wld_az1_host13_fqdn)-1))</f>
        <v>Value Missing</v>
      </c>
      <c r="K246" s="4" t="s">
        <v>1276</v>
      </c>
      <c r="L246" s="8" t="str">
        <f>IF(ISBLANK(input_wld_az1_rack2_host10_fqdn),"Value Missing",input_wld_az1_rack2_host10_fqdn)</f>
        <v>Value Missing</v>
      </c>
      <c r="N246" s="4" t="s">
        <v>1276</v>
      </c>
      <c r="O246" s="8" t="str">
        <f>IF(ISBLANK(input_wld_az1_rack3_host10_fqdn),"Value Missing",input_wld_az1_rack3_host10_fqdn)</f>
        <v>Value Missing</v>
      </c>
      <c r="Q246" s="4" t="s">
        <v>1276</v>
      </c>
      <c r="R246" s="8" t="str">
        <f>IF(ISBLANK(input_wld_az1_rack4_host10_fqdn),"Value Missing",input_wld_az1_rack4_host10_fqdn)</f>
        <v>Value Missing</v>
      </c>
      <c r="T246" s="4" t="s">
        <v>1276</v>
      </c>
      <c r="U246" s="8" t="str">
        <f>IF(ISBLANK(input_wld_az1_rack5_host10_fqdn),"Value Missing",input_wld_az1_rack5_host10_fqdn)</f>
        <v>Value Missing</v>
      </c>
      <c r="W246" s="4" t="s">
        <v>1276</v>
      </c>
      <c r="X246" s="8" t="str">
        <f>IF(ISBLANK(input_wld_az1_rack6_host10_fqdn),"Value Missing",input_wld_az1_rack6_host10_fqdn)</f>
        <v>Value Missing</v>
      </c>
      <c r="Z246" s="4" t="s">
        <v>1276</v>
      </c>
      <c r="AA246" s="8" t="str">
        <f>IF(ISBLANK(input_wld_az1_rack7_host10_fqdn),"Value Missing",input_wld_az1_rack7_host10_fqdn)</f>
        <v>Value Missing</v>
      </c>
      <c r="AC246" s="4" t="s">
        <v>1276</v>
      </c>
      <c r="AD246" s="8" t="str">
        <f>IF(ISBLANK(input_wld_az1_rack8_host10_fqdn),"Value Missing",input_wld_az1_rack8_host10_fqdn)</f>
        <v>Value Missing</v>
      </c>
    </row>
    <row r="247" spans="5:30" ht="20" customHeight="1" x14ac:dyDescent="0.2">
      <c r="E247" s="4" t="s">
        <v>1283</v>
      </c>
      <c r="F247" s="8" t="str">
        <f>IF(mgmt_az1_host14_fqdn="Value Missing",mgmt_az1_host14_fqdn,LEFT(mgmt_az1_host14_fqdn,FIND(".",mgmt_az1_host14_fqdn)-1))</f>
        <v>Value Missing</v>
      </c>
      <c r="H247" s="4" t="s">
        <v>1283</v>
      </c>
      <c r="I247" s="8" t="str">
        <f>IF(wld_az1_host14_fqdn="Value Missing",wld_az1_host14_fqdn,LEFT(wld_az1_host14_fqdn,FIND(".",wld_az1_host14_fqdn)-1))</f>
        <v>Value Missing</v>
      </c>
      <c r="K247" s="4" t="s">
        <v>1278</v>
      </c>
      <c r="L247" s="8" t="str">
        <f>IF(ISBLANK(input_wld_az1_rack2_host11_fqdn),"Value Missing",input_wld_az1_rack2_host11_fqdn)</f>
        <v>Value Missing</v>
      </c>
      <c r="N247" s="4" t="s">
        <v>1278</v>
      </c>
      <c r="O247" s="8" t="str">
        <f>IF(ISBLANK(input_wld_az1_rack3_host11_fqdn),"Value Missing",input_wld_az1_rack3_host11_fqdn)</f>
        <v>Value Missing</v>
      </c>
      <c r="Q247" s="4" t="s">
        <v>1278</v>
      </c>
      <c r="R247" s="8" t="str">
        <f>IF(ISBLANK(input_wld_az1_rack4_host11_fqdn),"Value Missing",input_wld_az1_rack4_host11_fqdn)</f>
        <v>Value Missing</v>
      </c>
      <c r="T247" s="4" t="s">
        <v>1278</v>
      </c>
      <c r="U247" s="8" t="str">
        <f>IF(ISBLANK(input_wld_az1_rack5_host11_fqdn),"Value Missing",input_wld_az1_rack5_host11_fqdn)</f>
        <v>Value Missing</v>
      </c>
      <c r="W247" s="4" t="s">
        <v>1278</v>
      </c>
      <c r="X247" s="8" t="str">
        <f>IF(ISBLANK(input_wld_az1_rack6_host11_fqdn),"Value Missing",input_wld_az1_rack6_host11_fqdn)</f>
        <v>Value Missing</v>
      </c>
      <c r="Z247" s="4" t="s">
        <v>1278</v>
      </c>
      <c r="AA247" s="8" t="str">
        <f>IF(ISBLANK(input_wld_az1_rack7_host11_fqdn),"Value Missing",input_wld_az1_rack7_host11_fqdn)</f>
        <v>Value Missing</v>
      </c>
      <c r="AC247" s="4" t="s">
        <v>1278</v>
      </c>
      <c r="AD247" s="8" t="str">
        <f>IF(ISBLANK(input_wld_az1_rack8_host11_fqdn),"Value Missing",input_wld_az1_rack8_host11_fqdn)</f>
        <v>Value Missing</v>
      </c>
    </row>
    <row r="248" spans="5:30" ht="20" customHeight="1" x14ac:dyDescent="0.2">
      <c r="E248" s="4" t="s">
        <v>1286</v>
      </c>
      <c r="F248" s="8" t="str">
        <f>IF(mgmt_az1_host15_fqdn="Value Missing",mgmt_az1_host15_fqdn,LEFT(mgmt_az1_host15_fqdn,FIND(".",mgmt_az1_host15_fqdn)-1))</f>
        <v>Value Missing</v>
      </c>
      <c r="H248" s="4" t="s">
        <v>1286</v>
      </c>
      <c r="I248" s="8" t="str">
        <f>IF(wld_az1_host15_fqdn="Value Missing",wld_az1_host15_fqdn,LEFT(wld_az1_host15_fqdn,FIND(".",wld_az1_host15_fqdn)-1))</f>
        <v>Value Missing</v>
      </c>
      <c r="K248" s="4" t="s">
        <v>1280</v>
      </c>
      <c r="L248" s="8" t="str">
        <f>IF(ISBLANK(input_wld_az1_rack2_host12_fqdn),"Value Missing",input_wld_az1_rack2_host12_fqdn)</f>
        <v>Value Missing</v>
      </c>
      <c r="N248" s="4" t="s">
        <v>1280</v>
      </c>
      <c r="O248" s="8" t="str">
        <f>IF(ISBLANK(input_wld_az1_rack3_host12_fqdn),"Value Missing",input_wld_az1_rack3_host12_fqdn)</f>
        <v>Value Missing</v>
      </c>
      <c r="Q248" s="4" t="s">
        <v>1280</v>
      </c>
      <c r="R248" s="8" t="str">
        <f>IF(ISBLANK(input_wld_az1_rack4_host12_fqdn),"Value Missing",input_wld_az1_rack4_host12_fqdn)</f>
        <v>Value Missing</v>
      </c>
      <c r="T248" s="4" t="s">
        <v>1280</v>
      </c>
      <c r="U248" s="8" t="str">
        <f>IF(ISBLANK(input_wld_az1_rack5_host12_fqdn),"Value Missing",input_wld_az1_rack5_host12_fqdn)</f>
        <v>Value Missing</v>
      </c>
      <c r="W248" s="4" t="s">
        <v>1280</v>
      </c>
      <c r="X248" s="8" t="str">
        <f>IF(ISBLANK(input_wld_az1_rack6_host12_fqdn),"Value Missing",input_wld_az1_rack6_host12_fqdn)</f>
        <v>Value Missing</v>
      </c>
      <c r="Z248" s="4" t="s">
        <v>1280</v>
      </c>
      <c r="AA248" s="8" t="str">
        <f>IF(ISBLANK(input_wld_az1_rack7_host12_fqdn),"Value Missing",input_wld_az1_rack7_host12_fqdn)</f>
        <v>Value Missing</v>
      </c>
      <c r="AC248" s="4" t="s">
        <v>1280</v>
      </c>
      <c r="AD248" s="8" t="str">
        <f>IF(ISBLANK(input_wld_az1_rack8_host12_fqdn),"Value Missing",input_wld_az1_rack8_host12_fqdn)</f>
        <v>Value Missing</v>
      </c>
    </row>
    <row r="249" spans="5:30" ht="20" customHeight="1" x14ac:dyDescent="0.2">
      <c r="E249" s="4" t="s">
        <v>1287</v>
      </c>
      <c r="F249" s="8" t="str">
        <f>IF(mgmt_az1_host16_fqdn="Value Missing",mgmt_az1_host16_fqdn,LEFT(mgmt_az1_host16_fqdn,FIND(".",mgmt_az1_host16_fqdn)-1))</f>
        <v>Value Missing</v>
      </c>
      <c r="H249" s="4" t="s">
        <v>1287</v>
      </c>
      <c r="I249" s="8" t="str">
        <f>IF(wld_az1_host16_fqdn="Value Missing",wld_az1_host16_fqdn,LEFT(wld_az1_host16_fqdn,FIND(".",wld_az1_host16_fqdn)-1))</f>
        <v>Value Missing</v>
      </c>
      <c r="K249" s="4" t="s">
        <v>1282</v>
      </c>
      <c r="L249" s="8" t="str">
        <f>IF(ISBLANK(input_wld_az1_rack2_host13_fqdn),"Value Missing",input_wld_az1_rack2_host13_fqdn)</f>
        <v>Value Missing</v>
      </c>
      <c r="N249" s="4" t="s">
        <v>1282</v>
      </c>
      <c r="O249" s="8" t="str">
        <f>IF(ISBLANK(input_wld_az1_rack3_host13_fqdn),"Value Missing",input_wld_az1_rack3_host13_fqdn)</f>
        <v>Value Missing</v>
      </c>
      <c r="Q249" s="4" t="s">
        <v>1282</v>
      </c>
      <c r="R249" s="8" t="str">
        <f>IF(ISBLANK(input_wld_az1_rack4_host13_fqdn),"Value Missing",input_wld_az1_rack4_host13_fqdn)</f>
        <v>Value Missing</v>
      </c>
      <c r="T249" s="4" t="s">
        <v>1282</v>
      </c>
      <c r="U249" s="8" t="str">
        <f>IF(ISBLANK(input_wld_az1_rack5_host13_fqdn),"Value Missing",input_wld_az1_rack5_host13_fqdn)</f>
        <v>Value Missing</v>
      </c>
      <c r="W249" s="4" t="s">
        <v>1282</v>
      </c>
      <c r="X249" s="8" t="str">
        <f>IF(ISBLANK(input_wld_az1_rack6_host13_fqdn),"Value Missing",input_wld_az1_rack6_host13_fqdn)</f>
        <v>Value Missing</v>
      </c>
      <c r="Z249" s="4" t="s">
        <v>1282</v>
      </c>
      <c r="AA249" s="8" t="str">
        <f>IF(ISBLANK(input_wld_az1_rack7_host13_fqdn),"Value Missing",input_wld_az1_rack7_host13_fqdn)</f>
        <v>Value Missing</v>
      </c>
      <c r="AC249" s="4" t="s">
        <v>1282</v>
      </c>
      <c r="AD249" s="8" t="str">
        <f>IF(ISBLANK(input_wld_az1_rack8_host13_fqdn),"Value Missing",input_wld_az1_rack8_host13_fqdn)</f>
        <v>Value Missing</v>
      </c>
    </row>
    <row r="250" spans="5:30" ht="20" customHeight="1" x14ac:dyDescent="0.2">
      <c r="E250" s="2"/>
      <c r="F250" s="2"/>
      <c r="H250" s="2"/>
      <c r="I250" s="2"/>
      <c r="K250" s="4" t="s">
        <v>1283</v>
      </c>
      <c r="L250" s="8" t="str">
        <f>IF(ISBLANK(input_wld_az1_rack2_host14_fqdn),"Value Missing",input_wld_az1_rack2_host14_fqdn)</f>
        <v>Value Missing</v>
      </c>
      <c r="N250" s="4" t="s">
        <v>1283</v>
      </c>
      <c r="O250" s="8" t="str">
        <f>IF(ISBLANK(input_wld_az1_rack3_host14_fqdn),"Value Missing",input_wld_az1_rack3_host14_fqdn)</f>
        <v>Value Missing</v>
      </c>
      <c r="Q250" s="4" t="s">
        <v>1283</v>
      </c>
      <c r="R250" s="8" t="str">
        <f>IF(ISBLANK(input_wld_az1_rack4_host14_fqdn),"Value Missing",input_wld_az1_rack4_host14_fqdn)</f>
        <v>Value Missing</v>
      </c>
      <c r="T250" s="4" t="s">
        <v>1283</v>
      </c>
      <c r="U250" s="8" t="str">
        <f>IF(ISBLANK(input_wld_az1_rack5_host14_fqdn),"Value Missing",input_wld_az1_rack5_host14_fqdn)</f>
        <v>Value Missing</v>
      </c>
      <c r="W250" s="4" t="s">
        <v>1283</v>
      </c>
      <c r="X250" s="8" t="str">
        <f>IF(ISBLANK(input_wld_az1_rack6_host14_fqdn),"Value Missing",input_wld_az1_rack6_host14_fqdn)</f>
        <v>Value Missing</v>
      </c>
      <c r="Z250" s="4" t="s">
        <v>1283</v>
      </c>
      <c r="AA250" s="8" t="str">
        <f>IF(ISBLANK(input_wld_az1_rack7_host14_fqdn),"Value Missing",input_wld_az1_rack7_host14_fqdn)</f>
        <v>Value Missing</v>
      </c>
      <c r="AC250" s="4" t="s">
        <v>1283</v>
      </c>
      <c r="AD250" s="8" t="str">
        <f>IF(ISBLANK(input_wld_az1_rack8_host14_fqdn),"Value Missing",input_wld_az1_rack8_host14_fqdn)</f>
        <v>Value Missing</v>
      </c>
    </row>
    <row r="251" spans="5:30" ht="20" customHeight="1" x14ac:dyDescent="0.2">
      <c r="E251" s="14" t="s">
        <v>1295</v>
      </c>
      <c r="F251" s="16"/>
      <c r="H251" s="14" t="s">
        <v>1296</v>
      </c>
      <c r="I251" s="16"/>
      <c r="K251" s="4" t="s">
        <v>1286</v>
      </c>
      <c r="L251" s="8" t="str">
        <f>IF(ISBLANK(input_wld_az1_rack2_host15_fqdn),"Value Missing",input_wld_az1_rack2_host15_fqdn)</f>
        <v>Value Missing</v>
      </c>
      <c r="N251" s="4" t="s">
        <v>1286</v>
      </c>
      <c r="O251" s="8" t="str">
        <f>IF(ISBLANK(input_wld_az1_rack3_host15_fqdn),"Value Missing",input_wld_az1_rack3_host15_fqdn)</f>
        <v>Value Missing</v>
      </c>
      <c r="Q251" s="4" t="s">
        <v>1286</v>
      </c>
      <c r="R251" s="8" t="str">
        <f>IF(ISBLANK(input_wld_az1_rack4_host15_fqdn),"Value Missing",input_wld_az1_rack4_host15_fqdn)</f>
        <v>Value Missing</v>
      </c>
      <c r="T251" s="4" t="s">
        <v>1286</v>
      </c>
      <c r="U251" s="8" t="str">
        <f>IF(ISBLANK(input_wld_az1_rack5_host15_fqdn),"Value Missing",input_wld_az1_rack5_host15_fqdn)</f>
        <v>Value Missing</v>
      </c>
      <c r="W251" s="4" t="s">
        <v>1286</v>
      </c>
      <c r="X251" s="8" t="str">
        <f>IF(ISBLANK(input_wld_az1_rack6_host15_fqdn),"Value Missing",input_wld_az1_rack6_host15_fqdn)</f>
        <v>Value Missing</v>
      </c>
      <c r="Z251" s="4" t="s">
        <v>1286</v>
      </c>
      <c r="AA251" s="8" t="str">
        <f>IF(ISBLANK(input_wld_az1_rack7_host15_fqdn),"Value Missing",input_wld_az1_rack7_host15_fqdn)</f>
        <v>Value Missing</v>
      </c>
      <c r="AC251" s="4" t="s">
        <v>1286</v>
      </c>
      <c r="AD251" s="8" t="str">
        <f>IF(ISBLANK(input_wld_az1_rack8_host15_fqdn),"Value Missing",input_wld_az1_rack8_host15_fqdn)</f>
        <v>Value Missing</v>
      </c>
    </row>
    <row r="252" spans="5:30" ht="20" customHeight="1" x14ac:dyDescent="0.2">
      <c r="E252" s="17" t="s">
        <v>250</v>
      </c>
      <c r="F252" s="20" t="s">
        <v>1021</v>
      </c>
      <c r="H252" s="17" t="s">
        <v>250</v>
      </c>
      <c r="I252" s="20" t="s">
        <v>20</v>
      </c>
      <c r="K252" s="4" t="s">
        <v>1287</v>
      </c>
      <c r="L252" s="8" t="str">
        <f>IF(ISBLANK(input_wld_az1_rack2_host16_fqdn),"Value Missing",input_wld_az1_rack2_host16_fqdn)</f>
        <v>Value Missing</v>
      </c>
      <c r="N252" s="4" t="s">
        <v>1287</v>
      </c>
      <c r="O252" s="8" t="str">
        <f>IF(ISBLANK(input_wld_az1_rack3_host16_fqdn),"Value Missing",input_wld_az1_rack3_host16_fqdn)</f>
        <v>Value Missing</v>
      </c>
      <c r="Q252" s="4" t="s">
        <v>1287</v>
      </c>
      <c r="R252" s="8" t="str">
        <f>IF(ISBLANK(input_wld_az1_rack4_host16_fqdn),"Value Missing",input_wld_az1_rack4_host16_fqdn)</f>
        <v>Value Missing</v>
      </c>
      <c r="T252" s="4" t="s">
        <v>1287</v>
      </c>
      <c r="U252" s="8" t="str">
        <f>IF(ISBLANK(input_wld_az1_rack5_host16_fqdn),"Value Missing",input_wld_az1_rack5_host16_fqdn)</f>
        <v>Value Missing</v>
      </c>
      <c r="W252" s="4" t="s">
        <v>1287</v>
      </c>
      <c r="X252" s="8" t="str">
        <f>IF(ISBLANK(input_wld_az1_rack6_host16_fqdn),"Value Missing",input_wld_az1_rack6_host16_fqdn)</f>
        <v>Value Missing</v>
      </c>
      <c r="Z252" s="4" t="s">
        <v>1287</v>
      </c>
      <c r="AA252" s="8" t="str">
        <f>IF(ISBLANK(input_wld_az1_rack7_host16_fqdn),"Value Missing",input_wld_az1_rack7_host16_fqdn)</f>
        <v>Value Missing</v>
      </c>
      <c r="AC252" s="4" t="s">
        <v>1287</v>
      </c>
      <c r="AD252" s="8" t="str">
        <f>IF(ISBLANK(input_wld_az1_rack8_host16_fqdn),"Value Missing",input_wld_az1_rack8_host16_fqdn)</f>
        <v>Value Missing</v>
      </c>
    </row>
    <row r="253" spans="5:30" ht="20" customHeight="1" x14ac:dyDescent="0.2">
      <c r="E253" s="4" t="s">
        <v>1258</v>
      </c>
      <c r="F253" s="8" t="str">
        <f>IF(ISBLANK(input_mgmt_az1_host1_fqdn),"Value Missing",input_mgmt_az1_host1_fqdn)</f>
        <v>Value Missing</v>
      </c>
      <c r="H253" s="4" t="s">
        <v>1258</v>
      </c>
      <c r="I253" s="8" t="str">
        <f>IF(ISBLANK(input_wld_az1_host1_fqdn),"Value Missing",input_wld_az1_host1_fqdn)</f>
        <v>Value Missing</v>
      </c>
      <c r="K253" s="2"/>
      <c r="L253" s="2"/>
      <c r="N253" s="2"/>
      <c r="O253" s="2"/>
      <c r="Q253" s="2"/>
      <c r="R253" s="2"/>
      <c r="T253" s="2"/>
      <c r="U253" s="2"/>
      <c r="W253" s="2"/>
      <c r="X253" s="2"/>
      <c r="Z253" s="2"/>
      <c r="AA253" s="2"/>
      <c r="AC253" s="2"/>
      <c r="AD253" s="2"/>
    </row>
    <row r="254" spans="5:30" ht="20" customHeight="1" x14ac:dyDescent="0.2">
      <c r="E254" s="4" t="s">
        <v>1260</v>
      </c>
      <c r="F254" s="8" t="str">
        <f>IF(ISBLANK(input_mgmt_az1_host2_fqdn),"Value Missing",input_mgmt_az1_host2_fqdn)</f>
        <v>Value Missing</v>
      </c>
      <c r="H254" s="4" t="s">
        <v>1260</v>
      </c>
      <c r="I254" s="8" t="str">
        <f>IF(ISBLANK(input_wld_az1_host2_fqdn),"Value Missing",input_wld_az1_host2_fqdn)</f>
        <v>Value Missing</v>
      </c>
      <c r="K254" s="14" t="s">
        <v>1297</v>
      </c>
      <c r="L254" s="16"/>
      <c r="N254" s="14" t="s">
        <v>1298</v>
      </c>
      <c r="O254" s="16"/>
      <c r="Q254" s="14" t="s">
        <v>1299</v>
      </c>
      <c r="R254" s="16"/>
      <c r="T254" s="14" t="s">
        <v>1300</v>
      </c>
      <c r="U254" s="16"/>
      <c r="W254" s="14" t="s">
        <v>1301</v>
      </c>
      <c r="X254" s="16"/>
      <c r="Z254" s="14" t="s">
        <v>1302</v>
      </c>
      <c r="AA254" s="16"/>
      <c r="AC254" s="14" t="s">
        <v>1303</v>
      </c>
      <c r="AD254" s="16"/>
    </row>
    <row r="255" spans="5:30" ht="20" customHeight="1" x14ac:dyDescent="0.2">
      <c r="E255" s="4" t="s">
        <v>1262</v>
      </c>
      <c r="F255" s="8" t="str">
        <f>IF(ISBLANK(input_mgmt_az1_host3_fqdn),"Value Missing",input_mgmt_az1_host3_fqdn)</f>
        <v>Value Missing</v>
      </c>
      <c r="H255" s="4" t="s">
        <v>1262</v>
      </c>
      <c r="I255" s="8" t="str">
        <f>IF(ISBLANK(input_wld_az1_host3_fqdn),"Value Missing",input_wld_az1_host3_fqdn)</f>
        <v>Value Missing</v>
      </c>
      <c r="K255" s="4" t="s">
        <v>1304</v>
      </c>
      <c r="L255" s="8"/>
      <c r="N255" s="4" t="s">
        <v>1304</v>
      </c>
      <c r="O255" s="8"/>
      <c r="Q255" s="4" t="s">
        <v>1304</v>
      </c>
      <c r="R255" s="8"/>
      <c r="T255" s="4" t="s">
        <v>1304</v>
      </c>
      <c r="U255" s="8"/>
      <c r="W255" s="4" t="s">
        <v>1304</v>
      </c>
      <c r="X255" s="8"/>
      <c r="Z255" s="4" t="s">
        <v>1304</v>
      </c>
      <c r="AA255" s="8"/>
      <c r="AC255" s="4" t="s">
        <v>1304</v>
      </c>
      <c r="AD255" s="8"/>
    </row>
    <row r="256" spans="5:30" ht="20" customHeight="1" x14ac:dyDescent="0.2">
      <c r="E256" s="4" t="s">
        <v>1264</v>
      </c>
      <c r="F256" s="8" t="str">
        <f>IF(ISBLANK(input_mgmt_az1_host4_fqdn),"Value Missing",input_mgmt_az1_host4_fqdn)</f>
        <v>Value Missing</v>
      </c>
      <c r="G256" s="33"/>
      <c r="H256" s="4" t="s">
        <v>1264</v>
      </c>
      <c r="I256" s="8" t="str">
        <f>IF(ISBLANK(input_wld_az1_host4_fqdn),"Value Missing",input_wld_az1_host4_fqdn)</f>
        <v>Value Missing</v>
      </c>
      <c r="J256" s="33"/>
      <c r="K256" s="4" t="s">
        <v>1305</v>
      </c>
      <c r="L256" s="8"/>
      <c r="N256" s="4" t="s">
        <v>1305</v>
      </c>
      <c r="O256" s="8"/>
      <c r="Q256" s="4" t="s">
        <v>1305</v>
      </c>
      <c r="R256" s="8"/>
      <c r="T256" s="4" t="s">
        <v>1305</v>
      </c>
      <c r="U256" s="8"/>
      <c r="W256" s="4" t="s">
        <v>1305</v>
      </c>
      <c r="X256" s="8"/>
      <c r="Z256" s="4" t="s">
        <v>1305</v>
      </c>
      <c r="AA256" s="8"/>
      <c r="AC256" s="4" t="s">
        <v>1305</v>
      </c>
      <c r="AD256" s="8"/>
    </row>
    <row r="257" spans="5:30" ht="20" customHeight="1" x14ac:dyDescent="0.2">
      <c r="E257" s="4" t="s">
        <v>1266</v>
      </c>
      <c r="F257" s="8" t="str">
        <f>IF(ISBLANK(input_mgmt_az1_host5_fqdn),"Value Missing",input_mgmt_az1_host5_fqdn)</f>
        <v>Value Missing</v>
      </c>
      <c r="H257" s="4" t="s">
        <v>1266</v>
      </c>
      <c r="I257" s="8" t="str">
        <f>IF(ISBLANK(input_wld_az1_host5_fqdn),"Value Missing",input_wld_az1_host5_fqdn)</f>
        <v>Value Missing</v>
      </c>
      <c r="K257" s="4" t="s">
        <v>1306</v>
      </c>
      <c r="L257" s="8"/>
      <c r="N257" s="4" t="s">
        <v>1306</v>
      </c>
      <c r="O257" s="8"/>
      <c r="Q257" s="4" t="s">
        <v>1306</v>
      </c>
      <c r="R257" s="8"/>
      <c r="T257" s="4" t="s">
        <v>1306</v>
      </c>
      <c r="U257" s="8"/>
      <c r="W257" s="4" t="s">
        <v>1306</v>
      </c>
      <c r="X257" s="8"/>
      <c r="Z257" s="4" t="s">
        <v>1306</v>
      </c>
      <c r="AA257" s="8"/>
      <c r="AC257" s="4" t="s">
        <v>1306</v>
      </c>
      <c r="AD257" s="8"/>
    </row>
    <row r="258" spans="5:30" ht="20" customHeight="1" x14ac:dyDescent="0.2">
      <c r="E258" s="4" t="s">
        <v>1268</v>
      </c>
      <c r="F258" s="8" t="str">
        <f>IF(ISBLANK(input_mgmt_az1_host6_fqdn),"Value Missing",input_mgmt_az1_host6_fqdn)</f>
        <v>Value Missing</v>
      </c>
      <c r="H258" s="4" t="s">
        <v>1268</v>
      </c>
      <c r="I258" s="8" t="str">
        <f>IF(ISBLANK(input_wld_az1_host6_fqdn),"Value Missing",input_wld_az1_host6_fqdn)</f>
        <v>Value Missing</v>
      </c>
      <c r="K258" s="4" t="s">
        <v>1307</v>
      </c>
      <c r="L258" s="8"/>
      <c r="N258" s="4" t="s">
        <v>1307</v>
      </c>
      <c r="O258" s="8"/>
      <c r="Q258" s="4" t="s">
        <v>1307</v>
      </c>
      <c r="R258" s="8"/>
      <c r="T258" s="4" t="s">
        <v>1307</v>
      </c>
      <c r="U258" s="8"/>
      <c r="W258" s="4" t="s">
        <v>1307</v>
      </c>
      <c r="X258" s="8"/>
      <c r="Z258" s="4" t="s">
        <v>1307</v>
      </c>
      <c r="AA258" s="8"/>
      <c r="AC258" s="4" t="s">
        <v>1307</v>
      </c>
      <c r="AD258" s="8"/>
    </row>
    <row r="259" spans="5:30" ht="20" customHeight="1" x14ac:dyDescent="0.2">
      <c r="E259" s="4" t="s">
        <v>1270</v>
      </c>
      <c r="F259" s="8" t="str">
        <f>IF(ISBLANK(input_mgmt_az1_host7_fqdn),"Value Missing",input_mgmt_az1_host7_fqdn)</f>
        <v>Value Missing</v>
      </c>
      <c r="H259" s="4" t="s">
        <v>1270</v>
      </c>
      <c r="I259" s="8" t="str">
        <f>IF(ISBLANK(input_wld_az1_host7_fqdn),"Value Missing",input_wld_az1_host7_fqdn)</f>
        <v>Value Missing</v>
      </c>
      <c r="K259" s="4" t="s">
        <v>1308</v>
      </c>
      <c r="L259" s="8"/>
      <c r="M259" s="33"/>
      <c r="N259" s="4" t="s">
        <v>1308</v>
      </c>
      <c r="O259" s="8"/>
      <c r="Q259" s="4" t="s">
        <v>1308</v>
      </c>
      <c r="R259" s="8"/>
      <c r="T259" s="4" t="s">
        <v>1308</v>
      </c>
      <c r="U259" s="8"/>
      <c r="W259" s="4" t="s">
        <v>1308</v>
      </c>
      <c r="X259" s="8"/>
      <c r="Z259" s="4" t="s">
        <v>1308</v>
      </c>
      <c r="AA259" s="8"/>
      <c r="AC259" s="4" t="s">
        <v>1308</v>
      </c>
      <c r="AD259" s="8"/>
    </row>
    <row r="260" spans="5:30" ht="20" customHeight="1" x14ac:dyDescent="0.2">
      <c r="E260" s="4" t="s">
        <v>1272</v>
      </c>
      <c r="F260" s="8" t="str">
        <f>IF(ISBLANK(input_mgmt_az1_host8_fqdn),"Value Missing",input_mgmt_az1_host8_fqdn)</f>
        <v>Value Missing</v>
      </c>
      <c r="H260" s="4" t="s">
        <v>1272</v>
      </c>
      <c r="I260" s="8" t="str">
        <f>IF(ISBLANK(input_wld_az1_host8_fqdn),"Value Missing",input_wld_az1_host8_fqdn)</f>
        <v>Value Missing</v>
      </c>
      <c r="K260" s="4" t="s">
        <v>1309</v>
      </c>
      <c r="L260" s="8"/>
      <c r="N260" s="4" t="s">
        <v>1309</v>
      </c>
      <c r="O260" s="8"/>
      <c r="Q260" s="4" t="s">
        <v>1309</v>
      </c>
      <c r="R260" s="8"/>
      <c r="T260" s="4" t="s">
        <v>1309</v>
      </c>
      <c r="U260" s="8"/>
      <c r="W260" s="4" t="s">
        <v>1309</v>
      </c>
      <c r="X260" s="8"/>
      <c r="Z260" s="4" t="s">
        <v>1309</v>
      </c>
      <c r="AA260" s="8"/>
      <c r="AC260" s="4" t="s">
        <v>1309</v>
      </c>
      <c r="AD260" s="8"/>
    </row>
    <row r="261" spans="5:30" ht="20" customHeight="1" x14ac:dyDescent="0.2">
      <c r="E261" s="4" t="s">
        <v>1274</v>
      </c>
      <c r="F261" s="8" t="str">
        <f>IF(ISBLANK(input_mgmt_az1_host9_fqdn),"Value Missing",input_mgmt_az1_host9_fqdn)</f>
        <v>Value Missing</v>
      </c>
      <c r="H261" s="4" t="s">
        <v>1274</v>
      </c>
      <c r="I261" s="8" t="str">
        <f>IF(ISBLANK(input_wld_az1_host9_fqdn),"Value Missing",input_wld_az1_host9_fqdn)</f>
        <v>Value Missing</v>
      </c>
      <c r="K261" s="4" t="s">
        <v>1310</v>
      </c>
      <c r="L261" s="8"/>
      <c r="N261" s="4" t="s">
        <v>1310</v>
      </c>
      <c r="O261" s="8"/>
      <c r="Q261" s="4" t="s">
        <v>1310</v>
      </c>
      <c r="R261" s="8"/>
      <c r="T261" s="4" t="s">
        <v>1310</v>
      </c>
      <c r="U261" s="8"/>
      <c r="W261" s="4" t="s">
        <v>1310</v>
      </c>
      <c r="X261" s="8"/>
      <c r="Z261" s="4" t="s">
        <v>1310</v>
      </c>
      <c r="AA261" s="8"/>
      <c r="AC261" s="4" t="s">
        <v>1310</v>
      </c>
      <c r="AD261" s="8"/>
    </row>
    <row r="262" spans="5:30" ht="20" customHeight="1" x14ac:dyDescent="0.2">
      <c r="E262" s="4" t="s">
        <v>1276</v>
      </c>
      <c r="F262" s="8" t="str">
        <f>IF(ISBLANK(input_mgmt_az1_host10_fqdn),"Value Missing",input_mgmt_az1_host10_fqdn)</f>
        <v>Value Missing</v>
      </c>
      <c r="H262" s="4" t="s">
        <v>1276</v>
      </c>
      <c r="I262" s="8" t="str">
        <f>IF(ISBLANK(input_wld_az1_host10_fqdn),"Value Missing",input_wld_az1_host10_fqdn)</f>
        <v>Value Missing</v>
      </c>
      <c r="K262" s="6"/>
      <c r="L262" s="6"/>
      <c r="N262" s="6"/>
      <c r="O262" s="6"/>
      <c r="Q262" s="6"/>
      <c r="R262" s="6"/>
      <c r="T262" s="6"/>
      <c r="U262" s="6"/>
      <c r="W262" s="6"/>
      <c r="X262" s="6"/>
      <c r="Z262" s="6"/>
      <c r="AA262" s="6"/>
      <c r="AC262" s="6"/>
      <c r="AD262" s="6"/>
    </row>
    <row r="263" spans="5:30" ht="20" customHeight="1" x14ac:dyDescent="0.2">
      <c r="E263" s="4" t="s">
        <v>1278</v>
      </c>
      <c r="F263" s="8" t="str">
        <f>IF(ISBLANK(input_mgmt_az1_host11_fqdn),"Value Missing",input_mgmt_az1_host11_fqdn)</f>
        <v>Value Missing</v>
      </c>
      <c r="H263" s="4" t="s">
        <v>1278</v>
      </c>
      <c r="I263" s="8" t="str">
        <f>IF(ISBLANK(input_wld_az1_host11_fqdn),"Value Missing",input_wld_az1_host11_fqdn)</f>
        <v>Value Missing</v>
      </c>
      <c r="K263" s="6"/>
      <c r="L263" s="6"/>
      <c r="N263" s="6"/>
      <c r="O263" s="6"/>
      <c r="Q263" s="6"/>
      <c r="R263" s="6"/>
      <c r="T263" s="6"/>
      <c r="U263" s="6"/>
      <c r="W263" s="6"/>
      <c r="X263" s="6"/>
      <c r="Z263" s="6"/>
      <c r="AA263" s="6"/>
      <c r="AC263" s="44"/>
      <c r="AD263" s="44"/>
    </row>
    <row r="264" spans="5:30" ht="20" customHeight="1" x14ac:dyDescent="0.2">
      <c r="E264" s="4" t="s">
        <v>1280</v>
      </c>
      <c r="F264" s="8" t="str">
        <f>IF(ISBLANK(input_mgmt_az1_host12_fqdn),"Value Missing",input_mgmt_az1_host12_fqdn)</f>
        <v>Value Missing</v>
      </c>
      <c r="H264" s="4" t="s">
        <v>1280</v>
      </c>
      <c r="I264" s="8" t="str">
        <f>IF(ISBLANK(input_wld_az1_host12_fqdn),"Value Missing",input_wld_az1_host12_fqdn)</f>
        <v>Value Missing</v>
      </c>
      <c r="K264" s="14" t="s">
        <v>1297</v>
      </c>
      <c r="L264" s="16"/>
      <c r="N264" s="14" t="s">
        <v>1298</v>
      </c>
      <c r="O264" s="16"/>
      <c r="P264" s="33"/>
      <c r="Q264" s="14" t="s">
        <v>1299</v>
      </c>
      <c r="R264" s="16"/>
      <c r="S264" s="33"/>
      <c r="T264" s="14" t="s">
        <v>1300</v>
      </c>
      <c r="U264" s="16"/>
      <c r="V264" s="33"/>
      <c r="W264" s="14" t="s">
        <v>1301</v>
      </c>
      <c r="X264" s="16"/>
      <c r="Y264" s="33"/>
      <c r="Z264" s="14" t="s">
        <v>1302</v>
      </c>
      <c r="AA264" s="16"/>
      <c r="AB264" s="33"/>
      <c r="AC264" s="14" t="s">
        <v>1303</v>
      </c>
      <c r="AD264" s="16"/>
    </row>
    <row r="265" spans="5:30" ht="20" customHeight="1" x14ac:dyDescent="0.2">
      <c r="E265" s="4" t="s">
        <v>1282</v>
      </c>
      <c r="F265" s="8" t="str">
        <f>IF(ISBLANK(input_mgmt_az1_host13_fqdn),"Value Missing",input_mgmt_az1_host13_fqdn)</f>
        <v>Value Missing</v>
      </c>
      <c r="H265" s="4" t="s">
        <v>1282</v>
      </c>
      <c r="I265" s="8" t="str">
        <f>IF(ISBLANK(input_wld_az1_host13_fqdn),"Value Missing",input_wld_az1_host13_fqdn)</f>
        <v>Value Missing</v>
      </c>
      <c r="J265" s="6"/>
      <c r="K265" s="4" t="s">
        <v>1304</v>
      </c>
      <c r="L265" s="8"/>
      <c r="N265" s="4" t="s">
        <v>1304</v>
      </c>
      <c r="O265" s="8"/>
      <c r="Q265" s="4" t="s">
        <v>1304</v>
      </c>
      <c r="R265" s="8"/>
      <c r="T265" s="4" t="s">
        <v>1304</v>
      </c>
      <c r="U265" s="8"/>
      <c r="W265" s="4" t="s">
        <v>1304</v>
      </c>
      <c r="X265" s="8"/>
      <c r="Z265" s="4" t="s">
        <v>1304</v>
      </c>
      <c r="AA265" s="8"/>
      <c r="AC265" s="4" t="s">
        <v>1304</v>
      </c>
      <c r="AD265" s="8"/>
    </row>
    <row r="266" spans="5:30" ht="20" customHeight="1" x14ac:dyDescent="0.2">
      <c r="E266" s="4" t="s">
        <v>1283</v>
      </c>
      <c r="F266" s="8" t="str">
        <f>IF(ISBLANK(input_mgmt_az1_host14_fqdn),"Value Missing",input_mgmt_az1_host14_fqdn)</f>
        <v>Value Missing</v>
      </c>
      <c r="H266" s="4" t="s">
        <v>1283</v>
      </c>
      <c r="I266" s="8" t="str">
        <f>IF(ISBLANK(input_wld_az1_host14_fqdn),"Value Missing",input_wld_az1_host14_fqdn)</f>
        <v>Value Missing</v>
      </c>
      <c r="J266" s="6"/>
      <c r="K266" s="4" t="s">
        <v>1305</v>
      </c>
      <c r="L266" s="8"/>
      <c r="N266" s="4" t="s">
        <v>1305</v>
      </c>
      <c r="O266" s="8"/>
      <c r="Q266" s="4" t="s">
        <v>1305</v>
      </c>
      <c r="R266" s="8"/>
      <c r="T266" s="4" t="s">
        <v>1305</v>
      </c>
      <c r="U266" s="8"/>
      <c r="W266" s="4" t="s">
        <v>1305</v>
      </c>
      <c r="X266" s="8"/>
      <c r="Z266" s="4" t="s">
        <v>1305</v>
      </c>
      <c r="AA266" s="8"/>
      <c r="AC266" s="4" t="s">
        <v>1305</v>
      </c>
      <c r="AD266" s="8"/>
    </row>
    <row r="267" spans="5:30" ht="20" customHeight="1" x14ac:dyDescent="0.2">
      <c r="E267" s="4" t="s">
        <v>1286</v>
      </c>
      <c r="F267" s="8" t="str">
        <f>IF(ISBLANK(input_mgmt_az1_host15_fqdn),"Value Missing",input_mgmt_az1_host15_fqdn)</f>
        <v>Value Missing</v>
      </c>
      <c r="H267" s="4" t="s">
        <v>1286</v>
      </c>
      <c r="I267" s="8" t="str">
        <f>IF(ISBLANK(input_wld_az1_host15_fqdn),"Value Missing",input_wld_az1_host15_fqdn)</f>
        <v>Value Missing</v>
      </c>
      <c r="K267" s="4" t="s">
        <v>1306</v>
      </c>
      <c r="L267" s="8"/>
      <c r="N267" s="4" t="s">
        <v>1306</v>
      </c>
      <c r="O267" s="8"/>
      <c r="Q267" s="4" t="s">
        <v>1306</v>
      </c>
      <c r="R267" s="8"/>
      <c r="T267" s="4" t="s">
        <v>1306</v>
      </c>
      <c r="U267" s="8"/>
      <c r="W267" s="4" t="s">
        <v>1306</v>
      </c>
      <c r="X267" s="8"/>
      <c r="Z267" s="4" t="s">
        <v>1306</v>
      </c>
      <c r="AA267" s="8"/>
      <c r="AC267" s="4" t="s">
        <v>1306</v>
      </c>
      <c r="AD267" s="8"/>
    </row>
    <row r="268" spans="5:30" ht="20" customHeight="1" x14ac:dyDescent="0.2">
      <c r="E268" s="4" t="s">
        <v>1287</v>
      </c>
      <c r="F268" s="8" t="str">
        <f>IF(ISBLANK(input_mgmt_az1_host16_fqdn),"Value Missing",input_mgmt_az1_host16_fqdn)</f>
        <v>Value Missing</v>
      </c>
      <c r="H268" s="4" t="s">
        <v>1287</v>
      </c>
      <c r="I268" s="8" t="str">
        <f>IF(ISBLANK(input_wld_az1_host16_fqdn),"Value Missing",input_wld_az1_host16_fqdn)</f>
        <v>Value Missing</v>
      </c>
      <c r="K268" s="4" t="s">
        <v>1307</v>
      </c>
      <c r="L268" s="8"/>
      <c r="M268" s="2"/>
      <c r="N268" s="4" t="s">
        <v>1307</v>
      </c>
      <c r="O268" s="8"/>
      <c r="Q268" s="4" t="s">
        <v>1307</v>
      </c>
      <c r="R268" s="8"/>
      <c r="T268" s="4" t="s">
        <v>1307</v>
      </c>
      <c r="U268" s="8"/>
      <c r="W268" s="4" t="s">
        <v>1307</v>
      </c>
      <c r="X268" s="8"/>
      <c r="Z268" s="4" t="s">
        <v>1307</v>
      </c>
      <c r="AA268" s="8"/>
      <c r="AC268" s="4" t="s">
        <v>1307</v>
      </c>
      <c r="AD268" s="8"/>
    </row>
    <row r="269" spans="5:30" ht="20" customHeight="1" x14ac:dyDescent="0.2">
      <c r="H269" s="2"/>
      <c r="I269" s="2"/>
      <c r="K269" s="4" t="s">
        <v>1308</v>
      </c>
      <c r="L269" s="8"/>
      <c r="M269" s="2"/>
      <c r="N269" s="4" t="s">
        <v>1308</v>
      </c>
      <c r="O269" s="8"/>
      <c r="Q269" s="4" t="s">
        <v>1308</v>
      </c>
      <c r="R269" s="8"/>
      <c r="T269" s="4" t="s">
        <v>1308</v>
      </c>
      <c r="U269" s="8"/>
      <c r="W269" s="4" t="s">
        <v>1308</v>
      </c>
      <c r="X269" s="8"/>
      <c r="Z269" s="4" t="s">
        <v>1308</v>
      </c>
      <c r="AA269" s="8"/>
      <c r="AC269" s="4" t="s">
        <v>1308</v>
      </c>
      <c r="AD269" s="8"/>
    </row>
    <row r="270" spans="5:30" ht="20" customHeight="1" x14ac:dyDescent="0.2">
      <c r="E270" s="14" t="s">
        <v>1311</v>
      </c>
      <c r="F270" s="16"/>
      <c r="H270" s="14" t="s">
        <v>1312</v>
      </c>
      <c r="I270" s="16"/>
      <c r="K270" s="4" t="s">
        <v>1309</v>
      </c>
      <c r="L270" s="8"/>
      <c r="M270" s="10" t="str">
        <f>IF(wld_dpg_separation_result="Included",(CONCATENATE(prefix_wld_az1_rack_cidr,".21.0/24")),(CONCATENATE(prefix_wld_az1_rack_cidr,".22.0/24")))</f>
        <v>10.13..22.0/24</v>
      </c>
      <c r="N270" s="4" t="s">
        <v>1309</v>
      </c>
      <c r="O270" s="8"/>
      <c r="Q270" s="4" t="s">
        <v>1309</v>
      </c>
      <c r="R270" s="8"/>
      <c r="T270" s="4" t="s">
        <v>1309</v>
      </c>
      <c r="U270" s="8"/>
      <c r="W270" s="4" t="s">
        <v>1309</v>
      </c>
      <c r="X270" s="8"/>
      <c r="Z270" s="4" t="s">
        <v>1309</v>
      </c>
      <c r="AA270" s="8"/>
      <c r="AC270" s="4" t="s">
        <v>1309</v>
      </c>
      <c r="AD270" s="8"/>
    </row>
    <row r="271" spans="5:30" ht="20" customHeight="1" x14ac:dyDescent="0.2">
      <c r="E271" s="4" t="s">
        <v>1304</v>
      </c>
      <c r="F271" s="8" t="str">
        <f>IF(mgmt_az1_en1_fqdn="Value Missing",mgmt_az1_en1_fqdn,LEFT(mgmt_az1_en1_fqdn,FIND(".",mgmt_az1_en1_fqdn)-1))</f>
        <v>Value Missing</v>
      </c>
      <c r="H271" s="4" t="s">
        <v>1304</v>
      </c>
      <c r="I271" s="8" t="str">
        <f>IF(wld_az1_en1_fqdn="Value Missing",wld_az1_en1_fqdn,LEFT(wld_az1_en1_fqdn,FIND(".",wld_az1_en1_fqdn)-1))</f>
        <v>Value Missing</v>
      </c>
      <c r="K271" s="4" t="s">
        <v>1310</v>
      </c>
      <c r="L271" s="8"/>
      <c r="M271" s="10" t="str">
        <f>IF(wld_dpg_separation_result="Included",(CONCATENATE(prefix_wld_az1_rack_cidr,".32.0/24")),(CONCATENATE(prefix_wld_az1_rack_cidr,".33.0/24")))</f>
        <v>10.13..33.0/24</v>
      </c>
      <c r="N271" s="4" t="s">
        <v>1310</v>
      </c>
      <c r="O271" s="8"/>
      <c r="Q271" s="4" t="s">
        <v>1310</v>
      </c>
      <c r="R271" s="8"/>
      <c r="T271" s="4" t="s">
        <v>1310</v>
      </c>
      <c r="U271" s="8"/>
      <c r="W271" s="4" t="s">
        <v>1310</v>
      </c>
      <c r="X271" s="8"/>
      <c r="Z271" s="4" t="s">
        <v>1310</v>
      </c>
      <c r="AA271" s="8"/>
      <c r="AC271" s="4" t="s">
        <v>1310</v>
      </c>
      <c r="AD271" s="8"/>
    </row>
    <row r="272" spans="5:30" ht="20" customHeight="1" x14ac:dyDescent="0.2">
      <c r="E272" s="4" t="s">
        <v>1305</v>
      </c>
      <c r="F272" s="8" t="str">
        <f>mgmt_az1_en1_fqdn</f>
        <v>Value Missing</v>
      </c>
      <c r="H272" s="4" t="s">
        <v>1305</v>
      </c>
      <c r="I272" s="8" t="str">
        <f>wld_az1_en1_fqdn</f>
        <v>Value Missing</v>
      </c>
      <c r="K272" s="6"/>
      <c r="L272" s="2"/>
      <c r="M272" s="10" t="str">
        <f>IF(wld_dpg_separation_result="Included",(CONCATENATE(prefix_wld_az1_rack_cidr,".43.0/24")),(CONCATENATE(prefix_wld_az1_rack_cidr,".44.0/24")))</f>
        <v>10.13..44.0/24</v>
      </c>
      <c r="N272" s="6"/>
      <c r="O272" s="2"/>
      <c r="Q272" s="6"/>
      <c r="R272" s="2"/>
      <c r="T272" s="6"/>
      <c r="U272" s="2"/>
      <c r="W272" s="6"/>
      <c r="X272" s="2"/>
      <c r="Z272" s="6"/>
      <c r="AA272" s="2"/>
      <c r="AC272" s="6"/>
      <c r="AD272" s="2"/>
    </row>
    <row r="273" spans="5:31" ht="20" customHeight="1" x14ac:dyDescent="0.2">
      <c r="E273" s="4" t="s">
        <v>1306</v>
      </c>
      <c r="F273" s="8" t="str">
        <f>IF(mgmt_az1_en1_mgmt_cidr="Value Missing","Value Missing",(_xlfn.TEXTBEFORE(mgmt_az1_en1_mgmt_cidr,"/",1)))</f>
        <v>Value Missing</v>
      </c>
      <c r="H273" s="4"/>
      <c r="I273" s="8" t="str">
        <f>IF(wld_az1_en1_mgmt_cidr="Value Missing","Value Missing",(_xlfn.TEXTBEFORE(wld_az1_en1_mgmt_cidr,"/",1)))</f>
        <v>Value Missing</v>
      </c>
      <c r="L273" s="25"/>
      <c r="M273" s="10" t="str">
        <f>IF(wld_dpg_separation_result="Included",(CONCATENATE(prefix_wld_az1_rack_cidr,".54.0/24")),(CONCATENATE(prefix_wld_az1_rack_cidr,".55.0/24")))</f>
        <v>10.13..55.0/24</v>
      </c>
      <c r="P273" s="2"/>
      <c r="S273" s="2"/>
      <c r="V273" s="2"/>
      <c r="W273" s="2"/>
      <c r="Y273" s="2"/>
      <c r="AB273" s="2"/>
    </row>
    <row r="274" spans="5:31" ht="20" customHeight="1" x14ac:dyDescent="0.2">
      <c r="E274" s="4" t="s">
        <v>3144</v>
      </c>
      <c r="F274" s="8" t="str">
        <f>IF(ISBLANK(input_mgmt_az1_en1_mgmt_cidr),"Value Missing",input_mgmt_az1_en1_mgmt_cidr)</f>
        <v>Value Missing</v>
      </c>
      <c r="H274" s="4" t="s">
        <v>1306</v>
      </c>
      <c r="I274" s="8" t="str">
        <f>IF(ISBLANK(input_wld_az1_en1_mgmt_cidr),"Value Missing",input_wld_az1_en1_mgmt_cidr)</f>
        <v>Value Missing</v>
      </c>
      <c r="L274" s="25"/>
      <c r="M274" s="10" t="str">
        <f>IF(wld_dpg_separation_result="Included",(CONCATENATE(prefix_wld_az1_rack_cidr,".65.0/24")),(CONCATENATE(prefix_wld_az1_rack_cidr,".66.0/24")))</f>
        <v>10.13..66.0/24</v>
      </c>
      <c r="P274" s="2"/>
      <c r="S274" s="2"/>
      <c r="V274" s="2"/>
      <c r="W274" s="2"/>
      <c r="Y274" s="2"/>
      <c r="AB274" s="2"/>
    </row>
    <row r="275" spans="5:31" ht="20" customHeight="1" x14ac:dyDescent="0.2">
      <c r="E275" s="4" t="s">
        <v>1307</v>
      </c>
      <c r="F275" s="8" t="str">
        <f>IF(ISBLANK(input_mgmt_az1_en1_uplink01_interface_cidr),"Value Missing",input_mgmt_az1_en1_uplink01_interface_cidr)</f>
        <v>Value Missing</v>
      </c>
      <c r="H275" s="4" t="s">
        <v>1307</v>
      </c>
      <c r="I275" s="8" t="str">
        <f>IF(ISBLANK(input_wld_az1_en1_uplink01_interface_cidr),"Value Missing",input_wld_az1_en1_uplink01_interface_cidr)</f>
        <v>Value Missing</v>
      </c>
      <c r="K275" s="238" t="str">
        <f t="array" ref="K275">IF(wld_dpg_separation_result="Included",CONCATENATE(prefix_wld_az1_rack_vlan,"21"),CONCATENATE(prefix_wld_az1_rack_vlan,"22"))</f>
        <v>1322</v>
      </c>
      <c r="L275" s="66"/>
      <c r="M275" s="10" t="str">
        <f>IF(wld_dpg_separation_result="Included",(CONCATENATE(prefix_wld_az1_rack_cidr,".76.0/24")),(CONCATENATE(prefix_wld_az1_rack_cidr,".77.0/24")))</f>
        <v>10.13..77.0/24</v>
      </c>
      <c r="N275" s="66"/>
      <c r="O275" s="10" t="str">
        <f>IF(wld_dpg_separation_result="Included",CONCATENATE(prefix_wld_az1_rack_cidr,".21.1"),CONCATENATE(prefix_wld_az1_rack_cidr,".22.1"))</f>
        <v>10.13..22.1</v>
      </c>
      <c r="P275" s="66"/>
      <c r="Q275" s="10">
        <v>1500</v>
      </c>
      <c r="R275" s="66"/>
      <c r="S275" s="2"/>
      <c r="V275" s="2"/>
      <c r="W275" s="2"/>
      <c r="Y275" s="2"/>
      <c r="AB275" s="2"/>
    </row>
    <row r="276" spans="5:31" ht="20" customHeight="1" x14ac:dyDescent="0.2">
      <c r="E276" s="4" t="s">
        <v>1308</v>
      </c>
      <c r="F276" s="8" t="str">
        <f>IF(ISBLANK(input_mgmt_az1_en1_uplink02_interface_cidr),"Value Missing",input_mgmt_az1_en1_uplink02_interface_cidr)</f>
        <v>Value Missing</v>
      </c>
      <c r="H276" s="4" t="s">
        <v>1308</v>
      </c>
      <c r="I276" s="8" t="str">
        <f>IF(ISBLANK(input_wld_az1_en1_uplink02_interface_cidr),"Value Missing",input_wld_az1_en1_uplink02_interface_cidr)</f>
        <v>Value Missing</v>
      </c>
      <c r="K276" s="238" t="str">
        <f>IF(wld_dpg_separation_result="Included",CONCATENATE(prefix_wld_az1_rack_vlan,"32"),CONCATENATE(prefix_wld_az1_rack_vlan,"33"))</f>
        <v>1333</v>
      </c>
      <c r="L276" s="66"/>
      <c r="M276" s="10" t="str">
        <f>IF(wld_dpg_separation_result="Included",(CONCATENATE(prefix_wld_az1_rack_cidr,".87.0/24")),(CONCATENATE(prefix_wld_az1_rack_cidr,".88.0/24")))</f>
        <v>10.13..88.0/24</v>
      </c>
      <c r="N276" s="66"/>
      <c r="O276" s="10" t="str">
        <f>IF(wld_dpg_separation_result="Included",CONCATENATE(prefix_wld_az1_rack_cidr,".32.1"),CONCATENATE(prefix_wld_az1_rack_cidr,".33.1"))</f>
        <v>10.13..33.1</v>
      </c>
      <c r="P276" s="66"/>
      <c r="Q276" s="10">
        <v>1500</v>
      </c>
      <c r="R276" s="66"/>
      <c r="S276" s="2"/>
      <c r="V276" s="2"/>
      <c r="W276" s="2"/>
      <c r="Y276" s="2"/>
      <c r="AB276" s="2"/>
    </row>
    <row r="277" spans="5:31" ht="20" customHeight="1" x14ac:dyDescent="0.2">
      <c r="E277" s="4" t="s">
        <v>1309</v>
      </c>
      <c r="F277" s="8" t="str">
        <f>IF(ISBLANK(input_mgmt_az1_en1_edge_overlay_interface_ip_1_ip),"Value Missing",input_mgmt_az1_en1_edge_overlay_interface_ip_1_ip)</f>
        <v>Value Missing</v>
      </c>
      <c r="H277" s="4" t="s">
        <v>1309</v>
      </c>
      <c r="I277" s="8" t="str">
        <f>IF(ISBLANK(input_wld_az1_en1_edge_overlay_interface_ip_1_ip),"Value Missing",input_wld_az1_en1_edge_overlay_interface_ip_1_ip)</f>
        <v>Value Missing</v>
      </c>
      <c r="K277" s="238" t="str">
        <f>IF(wld_dpg_separation_result="Included",CONCATENATE(prefix_wld_az1_rack_vlan,"43"),CONCATENATE(prefix_wld_az1_rack_vlan,"44"))</f>
        <v>1344</v>
      </c>
      <c r="L277" s="66"/>
      <c r="M277" s="2"/>
      <c r="N277" s="66"/>
      <c r="O277" s="10" t="str">
        <f>IF(wld_dpg_separation_result="Included",CONCATENATE(prefix_wld_az1_rack_cidr,".43.1"),CONCATENATE(prefix_wld_az1_rack_cidr,".44.1"))</f>
        <v>10.13..44.1</v>
      </c>
      <c r="P277" s="66"/>
      <c r="Q277" s="10">
        <v>1500</v>
      </c>
      <c r="R277" s="66"/>
      <c r="S277" s="2"/>
      <c r="V277" s="2"/>
      <c r="W277" s="2"/>
      <c r="Y277" s="2"/>
      <c r="AB277" s="2"/>
    </row>
    <row r="278" spans="5:31" ht="20" customHeight="1" x14ac:dyDescent="0.2">
      <c r="E278" s="4" t="s">
        <v>1310</v>
      </c>
      <c r="F278" s="8" t="str">
        <f>IF(ISBLANK(input_mgmt_az1_en1_edge_overlay_interface_ip_2_ip),"Value Missing",input_mgmt_az1_en1_edge_overlay_interface_ip_2_ip)</f>
        <v>Value Missing</v>
      </c>
      <c r="H278" s="4" t="s">
        <v>1310</v>
      </c>
      <c r="I278" s="8" t="str">
        <f>IF(ISBLANK(input_wld_az1_en1_edge_overlay_interface_ip_2_ip),"Value Missing",input_wld_az1_en1_edge_overlay_interface_ip_2_ip)</f>
        <v>Value Missing</v>
      </c>
      <c r="K278" s="238" t="str">
        <f>IF(wld_dpg_separation_result="Included",CONCATENATE(prefix_wld_az1_rack_vlan,"54"),CONCATENATE(prefix_wld_az1_rack_vlan,"55"))</f>
        <v>1355</v>
      </c>
      <c r="L278" s="66"/>
      <c r="M278" s="2"/>
      <c r="N278" s="66"/>
      <c r="O278" s="10" t="str">
        <f>IF(wld_dpg_separation_result="Included",CONCATENATE(prefix_wld_az1_rack_cidr,".54.1"),CONCATENATE(prefix_wld_az1_rack_cidr,".55.1"))</f>
        <v>10.13..55.1</v>
      </c>
      <c r="P278" s="66"/>
      <c r="Q278" s="10">
        <v>1500</v>
      </c>
      <c r="R278" s="66"/>
      <c r="S278" s="2"/>
      <c r="V278" s="2"/>
      <c r="W278" s="2"/>
      <c r="Y278" s="2"/>
      <c r="AB278" s="2"/>
    </row>
    <row r="279" spans="5:31" ht="20" customHeight="1" x14ac:dyDescent="0.2">
      <c r="E279" s="4" t="s">
        <v>1313</v>
      </c>
      <c r="F279" s="8" t="str">
        <f>IF(ISBLANK(mgmt_en01_bfd_chosen),"Value Missing",mgmt_en01_bfd_chosen)</f>
        <v>Selected</v>
      </c>
      <c r="H279" s="6"/>
      <c r="I279" s="6"/>
      <c r="K279" s="238" t="str">
        <f>IF(wld_dpg_separation_result="Included",CONCATENATE(prefix_wld_az1_rack_vlan,"65"),CONCATENATE(prefix_wld_az1_rack_vlan,"66"))</f>
        <v>1366</v>
      </c>
      <c r="L279" s="66"/>
      <c r="M279" s="2"/>
      <c r="N279" s="66"/>
      <c r="O279" s="10" t="str">
        <f>IF(wld_dpg_separation_result="Included",CONCATENATE(prefix_wld_az1_rack_cidr,".65.1"),CONCATENATE(prefix_wld_az1_rack_cidr,".66.1"))</f>
        <v>10.13..66.1</v>
      </c>
      <c r="P279" s="66"/>
      <c r="Q279" s="10">
        <v>1500</v>
      </c>
      <c r="R279" s="66"/>
      <c r="S279" s="2"/>
      <c r="V279" s="2"/>
      <c r="W279" s="2"/>
      <c r="Y279" s="2"/>
      <c r="AB279" s="2"/>
    </row>
    <row r="280" spans="5:31" ht="20" customHeight="1" x14ac:dyDescent="0.2">
      <c r="E280" s="6"/>
      <c r="H280" s="6"/>
      <c r="K280" s="238" t="str">
        <f>IF(wld_dpg_separation_result="Included",CONCATENATE(prefix_wld_az1_rack_vlan,"76"),CONCATENATE(prefix_wld_az1_rack_vlan,"77"))</f>
        <v>1377</v>
      </c>
      <c r="L280" s="66"/>
      <c r="M280" s="2"/>
      <c r="N280" s="66"/>
      <c r="O280" s="10" t="str">
        <f>IF(wld_dpg_separation_result="Included",CONCATENATE(prefix_wld_az1_rack_cidr,".76.1"),CONCATENATE(prefix_wld_az1_rack_cidr,".77.1"))</f>
        <v>10.13..77.1</v>
      </c>
      <c r="P280" s="66"/>
      <c r="Q280" s="10">
        <v>1500</v>
      </c>
      <c r="R280" s="66"/>
      <c r="S280" s="2"/>
      <c r="V280" s="2"/>
      <c r="W280" s="2"/>
      <c r="Y280" s="2"/>
      <c r="AB280" s="2"/>
      <c r="AE280" s="25"/>
    </row>
    <row r="281" spans="5:31" ht="20" customHeight="1" x14ac:dyDescent="0.2">
      <c r="E281" s="14" t="s">
        <v>1314</v>
      </c>
      <c r="F281" s="16"/>
      <c r="G281" s="33"/>
      <c r="H281" s="14" t="s">
        <v>1315</v>
      </c>
      <c r="I281" s="16"/>
      <c r="K281" s="238" t="str">
        <f>IF(wld_dpg_separation_result="Included",CONCATENATE(prefix_wld_az1_rack_vlan,"87"),CONCATENATE(prefix_wld_az1_rack_vlan,"88"))</f>
        <v>1388</v>
      </c>
      <c r="L281" s="66"/>
      <c r="M281" s="2"/>
      <c r="N281" s="66"/>
      <c r="O281" s="10" t="str">
        <f>IF(wld_dpg_separation_result="Included",CONCATENATE(prefix_wld_az1_rack_cidr,".87.1"),CONCATENATE(prefix_wld_az1_rack_cidr,".88.1"))</f>
        <v>10.13..88.1</v>
      </c>
      <c r="P281" s="66"/>
      <c r="Q281" s="10">
        <v>1500</v>
      </c>
      <c r="R281" s="66"/>
      <c r="S281" s="2"/>
      <c r="V281" s="2"/>
      <c r="W281" s="2"/>
      <c r="Y281" s="2"/>
      <c r="AB281" s="2"/>
    </row>
    <row r="282" spans="5:31" ht="20" customHeight="1" x14ac:dyDescent="0.2">
      <c r="E282" s="4" t="s">
        <v>1304</v>
      </c>
      <c r="F282" s="8" t="str">
        <f>IF(mgmt_az1_en2_fqdn="Value Missing",mgmt_az1_en2_fqdn,LEFT(mgmt_az1_en2_fqdn,FIND(".",mgmt_az1_en2_fqdn)-1))</f>
        <v>Value Missing</v>
      </c>
      <c r="H282" s="4" t="s">
        <v>1304</v>
      </c>
      <c r="I282" s="8" t="str">
        <f>IF(wld_az1_en2_fqdn="Value Missing",wld_az1_en2_fqdn,LEFT(wld_az1_en2_fqdn,FIND(".",wld_az1_en2_fqdn)-1))</f>
        <v>Value Missing</v>
      </c>
      <c r="L282" s="25"/>
      <c r="M282" s="2"/>
      <c r="P282" s="2"/>
      <c r="S282" s="2"/>
      <c r="V282" s="2"/>
      <c r="W282" s="2"/>
      <c r="Y282" s="2"/>
      <c r="AB282" s="2"/>
    </row>
    <row r="283" spans="5:31" ht="20" customHeight="1" x14ac:dyDescent="0.2">
      <c r="E283" s="4" t="s">
        <v>1305</v>
      </c>
      <c r="F283" s="8" t="str">
        <f>mgmt_az1_en1_fqdn</f>
        <v>Value Missing</v>
      </c>
      <c r="H283" s="4" t="s">
        <v>1305</v>
      </c>
      <c r="I283" s="8" t="str">
        <f>wld_az1_en2_fqdn</f>
        <v>Value Missing</v>
      </c>
      <c r="L283" s="25"/>
      <c r="M283" s="2"/>
      <c r="P283" s="2"/>
      <c r="S283" s="2"/>
      <c r="V283" s="2"/>
      <c r="W283" s="2"/>
      <c r="Y283" s="2"/>
      <c r="AB283" s="2"/>
    </row>
    <row r="284" spans="5:31" ht="20" customHeight="1" x14ac:dyDescent="0.2">
      <c r="E284" s="4" t="s">
        <v>1306</v>
      </c>
      <c r="F284" s="8" t="str">
        <f>IF(mgmt_az1_en2_mgmt_cidr="Value Missing","Value Missing",(_xlfn.TEXTBEFORE(mgmt_az1_en2_mgmt_cidr,"/",1)))</f>
        <v>Value Missing</v>
      </c>
      <c r="H284" s="4" t="s">
        <v>1306</v>
      </c>
      <c r="I284" s="8" t="str">
        <f>IF(wld_az1_en2_mgmt_cidr="Value Missing","Value Missing",(_xlfn.TEXTBEFORE(wld_az1_en2_mgmt_cidr,"/",1)))</f>
        <v>Value Missing</v>
      </c>
      <c r="L284" s="25"/>
      <c r="M284" s="2"/>
      <c r="P284" s="2"/>
      <c r="S284" s="2"/>
      <c r="V284" s="2"/>
      <c r="W284" s="2"/>
      <c r="Y284" s="2"/>
      <c r="AB284" s="2"/>
    </row>
    <row r="285" spans="5:31" ht="20" customHeight="1" x14ac:dyDescent="0.2">
      <c r="E285" s="4" t="s">
        <v>3144</v>
      </c>
      <c r="F285" s="8" t="str">
        <f>IF(ISBLANK(input_mgmt_az1_en2_mgmt_cidr),"Value Missing",input_mgmt_az1_en2_mgmt_cidr)</f>
        <v>Value Missing</v>
      </c>
      <c r="H285" s="4" t="s">
        <v>3144</v>
      </c>
      <c r="I285" s="8" t="str">
        <f>IF(ISBLANK(input_wld_az1_en2_mgmt_cidr),"Value Missing",input_wld_az1_en2_mgmt_cidr)</f>
        <v>Value Missing</v>
      </c>
      <c r="L285" s="25"/>
      <c r="P285" s="2"/>
      <c r="S285" s="2"/>
      <c r="V285" s="2"/>
      <c r="W285" s="2"/>
      <c r="Y285" s="2"/>
      <c r="AB285" s="2"/>
    </row>
    <row r="286" spans="5:31" ht="20" customHeight="1" x14ac:dyDescent="0.2">
      <c r="E286" s="4" t="s">
        <v>1307</v>
      </c>
      <c r="F286" s="8" t="str">
        <f>IF(ISBLANK(input_mgmt_az1_en2_uplink01_interface_cidr),"Value Missing",input_mgmt_az1_en2_uplink01_interface_cidr)</f>
        <v>Value Missing</v>
      </c>
      <c r="H286" s="4" t="s">
        <v>1307</v>
      </c>
      <c r="I286" s="8" t="str">
        <f>IF(ISBLANK(input_wld_az1_en2_uplink01_interface_cidr),"Value Missing",input_wld_az1_en2_uplink01_interface_cidr)</f>
        <v>Value Missing</v>
      </c>
      <c r="L286" s="25"/>
      <c r="P286" s="2"/>
      <c r="S286" s="2"/>
      <c r="V286" s="2"/>
      <c r="W286" s="2"/>
      <c r="Y286" s="2"/>
      <c r="AB286" s="2"/>
    </row>
    <row r="287" spans="5:31" ht="20" customHeight="1" x14ac:dyDescent="0.2">
      <c r="E287" s="4" t="s">
        <v>1308</v>
      </c>
      <c r="F287" s="8" t="str">
        <f>IF(ISBLANK(input_mgmt_az1_en2_uplink02_interface_cidr),"Value Missing",input_mgmt_az1_en2_uplink02_interface_cidr)</f>
        <v>Value Missing</v>
      </c>
      <c r="H287" s="4" t="s">
        <v>1308</v>
      </c>
      <c r="I287" s="8" t="str">
        <f>IF(ISBLANK(input_wld_az1_en2_uplink02_interface_cidr),"Value Missing",input_wld_az1_en2_uplink02_interface_cidr)</f>
        <v>Value Missing</v>
      </c>
      <c r="L287" s="25"/>
      <c r="P287" s="2"/>
      <c r="S287" s="2"/>
      <c r="V287" s="2"/>
      <c r="W287" s="2"/>
      <c r="Y287" s="2"/>
      <c r="AB287" s="2"/>
    </row>
    <row r="288" spans="5:31" ht="20" customHeight="1" x14ac:dyDescent="0.2">
      <c r="E288" s="4" t="s">
        <v>1309</v>
      </c>
      <c r="F288" s="8" t="str">
        <f>IF(ISBLANK(input_mgmt_az1_en2_edge_overlay_interface_ip_1_ip),"Value Missing",input_mgmt_az1_en2_edge_overlay_interface_ip_1_ip)</f>
        <v>Value Missing</v>
      </c>
      <c r="H288" s="4" t="s">
        <v>1309</v>
      </c>
      <c r="I288" s="8" t="str">
        <f>IF(ISBLANK(input_wld_az1_en2_edge_overlay_interface_ip_1_ip),"Value Missing",input_wld_az1_en2_edge_overlay_interface_ip_1_ip)</f>
        <v>Value Missing</v>
      </c>
      <c r="L288" s="25"/>
      <c r="S288" s="2"/>
      <c r="V288" s="2"/>
      <c r="W288" s="2"/>
      <c r="Y288" s="2"/>
      <c r="AB288" s="2"/>
    </row>
    <row r="289" spans="5:28" ht="20" customHeight="1" x14ac:dyDescent="0.2">
      <c r="E289" s="4" t="s">
        <v>1310</v>
      </c>
      <c r="F289" s="8" t="str">
        <f>IF(ISBLANK(input_mgmt_az1_en2_edge_overlay_interface_ip_2_ip),"Value Missing",input_mgmt_az1_en2_edge_overlay_interface_ip_2_ip)</f>
        <v>Value Missing</v>
      </c>
      <c r="H289" s="4" t="s">
        <v>1310</v>
      </c>
      <c r="I289" s="8" t="str">
        <f>IF(ISBLANK(input_wld_az1_en2_edge_overlay_interface_ip_2_ip),"Value Missing",input_wld_az1_en2_edge_overlay_interface_ip_2_ip)</f>
        <v>Value Missing</v>
      </c>
      <c r="L289" s="25"/>
      <c r="S289" s="2"/>
      <c r="V289" s="2"/>
      <c r="W289" s="2"/>
      <c r="Y289" s="2"/>
      <c r="AB289" s="2"/>
    </row>
    <row r="290" spans="5:28" ht="20" customHeight="1" x14ac:dyDescent="0.2">
      <c r="E290" s="4" t="s">
        <v>1313</v>
      </c>
      <c r="F290" s="8" t="str">
        <f>IF(ISBLANK(mgmt_en02_bfd_chosen),"Value Missing",mgmt_en02_bfd_chosen)</f>
        <v>Selected</v>
      </c>
      <c r="H290" s="6"/>
      <c r="I290" s="2"/>
    </row>
    <row r="292" spans="5:28" ht="20" customHeight="1" x14ac:dyDescent="0.2">
      <c r="E292" s="14" t="s">
        <v>1316</v>
      </c>
      <c r="F292" s="15"/>
      <c r="H292" s="14" t="s">
        <v>1317</v>
      </c>
      <c r="I292" s="15"/>
    </row>
    <row r="293" spans="5:28" ht="20" customHeight="1" x14ac:dyDescent="0.2">
      <c r="E293" s="17" t="s">
        <v>250</v>
      </c>
      <c r="F293" s="20" t="s">
        <v>1318</v>
      </c>
      <c r="H293" s="17" t="s">
        <v>250</v>
      </c>
      <c r="I293" s="18" t="s">
        <v>1318</v>
      </c>
    </row>
    <row r="294" spans="5:28" ht="20" customHeight="1" x14ac:dyDescent="0.2">
      <c r="E294" s="4" t="s">
        <v>1024</v>
      </c>
      <c r="F294" s="8"/>
      <c r="H294" s="4" t="s">
        <v>1024</v>
      </c>
      <c r="I294" s="8"/>
    </row>
    <row r="295" spans="5:28" ht="20" customHeight="1" x14ac:dyDescent="0.2">
      <c r="E295" s="4" t="s">
        <v>1026</v>
      </c>
      <c r="F295" s="8" t="str">
        <f>IF(ISBLANK(input_mgmt_az2_mgmt_vlan),"Value Missing",input_mgmt_az2_mgmt_vlan)</f>
        <v>Value Missing</v>
      </c>
      <c r="G295" s="33"/>
      <c r="H295" s="4" t="s">
        <v>1026</v>
      </c>
      <c r="I295" s="8" t="str">
        <f>IF(ISBLANK(input_wld_az2_mgmt_vlan),"Value Missing",input_wld_az2_mgmt_vlan)</f>
        <v>Value Missing</v>
      </c>
    </row>
    <row r="296" spans="5:28" ht="20" customHeight="1" x14ac:dyDescent="0.2">
      <c r="E296" s="4" t="s">
        <v>240</v>
      </c>
      <c r="F296" s="8" t="str">
        <f>IF(ISBLANK(input_mgmt_az2_vmotion_vlan),"Value Missing",input_mgmt_az2_vmotion_vlan)</f>
        <v>Value Missing</v>
      </c>
      <c r="H296" s="4" t="s">
        <v>240</v>
      </c>
      <c r="I296" s="8" t="str">
        <f>IF(ISBLANK(input_wld_az2_vmotion_vlan),"Value Missing",input_wld_az2_vmotion_vlan)</f>
        <v>Value Missing</v>
      </c>
    </row>
    <row r="297" spans="5:28" ht="20" customHeight="1" x14ac:dyDescent="0.2">
      <c r="E297" s="23" t="str">
        <f>CONCATENATE("Principal Storage Network ",wld_principal_storage_chosen)</f>
        <v>Principal Storage Network vSAN-ESA</v>
      </c>
      <c r="F297" s="8" t="str">
        <f>IF(ISBLANK(input_mgmt_az2_vsan_vlan),"Value Missing",input_mgmt_az2_vsan_vlan)</f>
        <v>Value Missing</v>
      </c>
      <c r="H297" s="23" t="s">
        <v>1319</v>
      </c>
      <c r="I297" s="8" t="str">
        <f>IF(ISBLANK(input_wld_az2_principal_storage_vlan),"Value Missing",input_wld_az2_principal_storage_vlan)</f>
        <v>Value Missing</v>
      </c>
    </row>
    <row r="298" spans="5:28" ht="20" customHeight="1" x14ac:dyDescent="0.2">
      <c r="E298" s="4" t="s">
        <v>1030</v>
      </c>
      <c r="F298" s="8" t="str">
        <f>IF(ISBLANK(input_mgmt_az2_host_overlay_vlan),"Value Missing",input_mgmt_az2_host_overlay_vlan)</f>
        <v>Value Missing</v>
      </c>
      <c r="H298" s="4" t="s">
        <v>1030</v>
      </c>
      <c r="I298" s="8" t="str">
        <f>IF(ISBLANK(input_wld_az2_host_overlay_vlan),"Value Missing",input_wld_az2_host_overlay_vlan)</f>
        <v>Value Missing</v>
      </c>
    </row>
    <row r="299" spans="5:28" ht="20" customHeight="1" x14ac:dyDescent="0.2">
      <c r="E299" s="4" t="s">
        <v>1032</v>
      </c>
      <c r="F299" s="8" t="str">
        <f>IF(ISBLANK(input_mgmt_az2_secondary_storage_vlan),"Value Missing",input_mgmt_az2_secondary_storage_vlan)</f>
        <v>Value Missing</v>
      </c>
      <c r="H299" s="4" t="s">
        <v>1032</v>
      </c>
      <c r="I299" s="8" t="str">
        <f>IF(ISBLANK(input_wld_az2_secondary_storage_vlan),"Value Missing",input_wld_az2_secondary_storage_vlan)</f>
        <v>Value Missing</v>
      </c>
    </row>
    <row r="300" spans="5:28" ht="20" customHeight="1" x14ac:dyDescent="0.2">
      <c r="E300" s="4" t="s">
        <v>1035</v>
      </c>
      <c r="F300" s="8" t="str">
        <f>IF(ISBLANK(input_mgmt_az1_uplink01_vlan),"Value Missing",input_mgmt_az1_uplink01_vlan)</f>
        <v>Value Missing</v>
      </c>
      <c r="H300" s="4" t="s">
        <v>686</v>
      </c>
      <c r="I300" s="8" t="str">
        <f>IF(ISBLANK(input_wld_az2_storage_cluster_vlan),"Value Missing",input_wld_az2_storage_cluster_vlan)</f>
        <v>Value Missing</v>
      </c>
    </row>
    <row r="301" spans="5:28" ht="20" customHeight="1" x14ac:dyDescent="0.2">
      <c r="E301" s="4" t="s">
        <v>1037</v>
      </c>
      <c r="F301" s="8" t="str">
        <f>IF(ISBLANK(input_mgmt_az1_uplink02_vlan),"Value Missing",input_mgmt_az1_uplink02_vlan)</f>
        <v>Value Missing</v>
      </c>
      <c r="H301" s="4" t="s">
        <v>1035</v>
      </c>
      <c r="I301" s="8" t="str">
        <f>IF(ISBLANK(input_wld_az1_uplink01_vlan),"Value Missing",input_wld_az1_uplink01_vlan)</f>
        <v>Value Missing</v>
      </c>
    </row>
    <row r="302" spans="5:28" ht="20" customHeight="1" x14ac:dyDescent="0.2">
      <c r="E302" s="4" t="s">
        <v>1039</v>
      </c>
      <c r="F302" s="8" t="str">
        <f>IF(ISBLANK(input_mgmt_az1_edge_overlay_vlan),"Value Missing",input_mgmt_az1_edge_overlay_vlan)</f>
        <v>Value Missing</v>
      </c>
      <c r="H302" s="4" t="s">
        <v>1037</v>
      </c>
      <c r="I302" s="8" t="str">
        <f>IF(ISBLANK(input_wld_az1_uplink02_vlan),"Value Missing",input_wld_az1_uplink02_vlan)</f>
        <v>Value Missing</v>
      </c>
    </row>
    <row r="303" spans="5:28" ht="20" customHeight="1" x14ac:dyDescent="0.2">
      <c r="E303" s="4" t="s">
        <v>1041</v>
      </c>
      <c r="F303" s="8" t="str">
        <f>IF(ISBLANK(input_mgmt_az1_rtep_overlay_vlan),"Value Missing",input_mgmt_az1_rtep_overlay_vlan)</f>
        <v>Value Missing</v>
      </c>
      <c r="H303" s="4" t="s">
        <v>1039</v>
      </c>
      <c r="I303" s="8" t="str">
        <f>IF(ISBLANK(input_wld_az1_edge_overlay_vlan),"Value Missing",input_wld_az1_edge_overlay_vlan)</f>
        <v>Value Missing</v>
      </c>
    </row>
    <row r="304" spans="5:28" ht="20" customHeight="1" x14ac:dyDescent="0.2">
      <c r="E304" s="4" t="s">
        <v>1043</v>
      </c>
      <c r="F304" s="8" t="str">
        <f>IF(ISBLANK(input_mgmt_az1_vrms_vlan),"Value Missing",input_mgmt_az1_vrms_vlan)</f>
        <v>Value Missing</v>
      </c>
      <c r="H304" s="4" t="s">
        <v>1041</v>
      </c>
      <c r="I304" s="8" t="str">
        <f>IF(ISBLANK(input_wld_az1_rtep_overlay_vlan),"Value Missing",input_wld_az1_rtep_overlay_vlan)</f>
        <v>Value Missing</v>
      </c>
    </row>
    <row r="305" spans="5:9" ht="20" customHeight="1" x14ac:dyDescent="0.2">
      <c r="E305" s="2"/>
      <c r="F305" s="2"/>
      <c r="H305" s="4" t="s">
        <v>1043</v>
      </c>
      <c r="I305" s="8" t="str">
        <f>IF(ISBLANK(input_wld_az1_vrms_vlan),"Value Missing",input_wld_az1_vrms_vlan)</f>
        <v>Value Missing</v>
      </c>
    </row>
    <row r="306" spans="5:9" ht="20" customHeight="1" x14ac:dyDescent="0.2">
      <c r="E306" s="14" t="s">
        <v>1320</v>
      </c>
      <c r="F306" s="15"/>
    </row>
    <row r="307" spans="5:9" ht="20" customHeight="1" x14ac:dyDescent="0.2">
      <c r="E307" s="17" t="s">
        <v>250</v>
      </c>
      <c r="F307" s="20" t="s">
        <v>1318</v>
      </c>
      <c r="H307" s="14" t="s">
        <v>1321</v>
      </c>
      <c r="I307" s="15"/>
    </row>
    <row r="308" spans="5:9" ht="20" customHeight="1" x14ac:dyDescent="0.2">
      <c r="E308" s="4" t="s">
        <v>1024</v>
      </c>
      <c r="F308" s="8"/>
      <c r="H308" s="17" t="s">
        <v>250</v>
      </c>
      <c r="I308" s="18" t="s">
        <v>1322</v>
      </c>
    </row>
    <row r="309" spans="5:9" ht="20" customHeight="1" x14ac:dyDescent="0.2">
      <c r="E309" s="4" t="s">
        <v>1026</v>
      </c>
      <c r="F309" s="8" t="str">
        <f>IF(ISBLANK(input_mgmt_az2_mgmt_cidr),"Value Missing",input_mgmt_az2_mgmt_cidr)</f>
        <v>Value Missing</v>
      </c>
      <c r="G309" s="33"/>
      <c r="H309" s="4" t="s">
        <v>1024</v>
      </c>
      <c r="I309" s="8"/>
    </row>
    <row r="310" spans="5:9" ht="20" customHeight="1" x14ac:dyDescent="0.2">
      <c r="E310" s="4" t="s">
        <v>240</v>
      </c>
      <c r="F310" s="8" t="str">
        <f>IF(OR(mgmt_az2_vmotion_network="Value Missing",mgmt_az2_vmotion_network="Value Missing"),"Value Missing",(CONCATENATE(mgmt_az2_vmotion_network,"/",VLOOKUP(mgmt_az2_vmotion_mask,table_mask_to_cidr,2,FALSE))))</f>
        <v>Value Missing</v>
      </c>
      <c r="H310" s="4" t="s">
        <v>1026</v>
      </c>
      <c r="I310" s="8" t="str">
        <f>IF(ISBLANK(input_wld_az2_mgmt_cidr),"Value Missing",input_wld_az2_mgmt_cidr)</f>
        <v>Value Missing</v>
      </c>
    </row>
    <row r="311" spans="5:9" ht="20" customHeight="1" x14ac:dyDescent="0.2">
      <c r="E311" s="23" t="str">
        <f>CONCATENATE("Principal Storage Network ",wld_principal_storage_chosen)</f>
        <v>Principal Storage Network vSAN-ESA</v>
      </c>
      <c r="F311" s="8" t="str">
        <f>IF(OR(mgmt_az2_vsan_network="Value Missing",mgmt_az2_vsan_network="Value Missing"),"Value Missing",(CONCATENATE(mgmt_az2_vsan_network,"/",VLOOKUP(mgmt_az2_vsan_mask,table_mask_to_cidr,2,FALSE))))</f>
        <v>Value Missing</v>
      </c>
      <c r="H311" s="4" t="s">
        <v>240</v>
      </c>
      <c r="I311" s="8" t="str">
        <f>IF(OR(ISBLANK(input_wld_az2_vmotion_network),input_wld_az2_vmotion_network="Value Missing"),"Value Missing",(CONCATENATE(input_wld_az2_vmotion_network,"/",VLOOKUP(input_wld_az2_vmotion_mask,table_mask_to_cidr,2,FALSE))))</f>
        <v>Value Missing</v>
      </c>
    </row>
    <row r="312" spans="5:9" ht="20" customHeight="1" x14ac:dyDescent="0.2">
      <c r="E312" s="4" t="s">
        <v>1030</v>
      </c>
      <c r="F312" s="8" t="str">
        <f>IF(ISBLANK(input_mgmt_az2_host_overlay_cidr),"Value Missing",input_mgmt_az2_host_overlay_cidr)</f>
        <v>Value Missing</v>
      </c>
      <c r="H312" s="23" t="s">
        <v>1319</v>
      </c>
      <c r="I312" s="8" t="str">
        <f>IF(OR(ISBLANK(input_wld_az2_principal_storage_network),input_wld_az2_principal_storage_network="Value Missing"),"Value Missing",(CONCATENATE(input_wld_az2_principal_storage_network,"/",VLOOKUP(input_wld_az2_principal_storage_mask,table_mask_to_cidr,2,FALSE))))</f>
        <v>Value Missing</v>
      </c>
    </row>
    <row r="313" spans="5:9" ht="20" customHeight="1" x14ac:dyDescent="0.2">
      <c r="E313" s="4" t="s">
        <v>1032</v>
      </c>
      <c r="F313" s="8" t="str">
        <f>IF(OR(mgmt_az2_secondary_storage_network="Value Missing",mgmt_az2_secondary_storage_network="Value Missing"),"Value Missing",(CONCATENATE(mgmt_az2_secondary_storage_network,"/",VLOOKUP(mgmt_az2_vmotion_mask,table_mask_to_cidr,2,FALSE))))</f>
        <v>Value Missing</v>
      </c>
      <c r="H313" s="4" t="s">
        <v>1030</v>
      </c>
      <c r="I313" s="8" t="str">
        <f>IF(ISBLANK(input_wld_az2_host_overlay_cidr),"Value Missing",input_wld_az2_host_overlay_cidr)</f>
        <v>Value Missing</v>
      </c>
    </row>
    <row r="314" spans="5:9" ht="20" customHeight="1" x14ac:dyDescent="0.2">
      <c r="E314" s="4" t="s">
        <v>1035</v>
      </c>
      <c r="F314" s="8" t="str">
        <f>IF(ISBLANK(input_mgmt_az1_uplink01_cidr),"Value Missing",input_mgmt_az1_uplink01_cidr)</f>
        <v>Value Missing</v>
      </c>
      <c r="H314" s="4" t="s">
        <v>1032</v>
      </c>
      <c r="I314" s="8" t="str">
        <f>IF(OR(wld_az2_secondary_storage_network="Value Missing",wld_az2_secondary_storage_mask="Value Missing"),"Value Missing",(CONCATENATE(wld_az2_secondary_storage_network,"/",VLOOKUP(wld_az2_secondary_storage_mask,table_mask_to_cidr,2,FALSE))))</f>
        <v>Value Missing</v>
      </c>
    </row>
    <row r="315" spans="5:9" ht="20" customHeight="1" x14ac:dyDescent="0.2">
      <c r="E315" s="4" t="s">
        <v>1037</v>
      </c>
      <c r="F315" s="8" t="str">
        <f>IF(ISBLANK(input_mgmt_az1_uplink02_cidr),"Value Missing",input_mgmt_az1_uplink02_cidr)</f>
        <v>Value Missing</v>
      </c>
      <c r="H315" s="4" t="s">
        <v>686</v>
      </c>
      <c r="I315" s="8" t="str">
        <f>IF(OR(ISBLANK(wld_az2_storage_cluster_network),wld_az2_storage_cluster_mask="Value Missing"),"Value Missing",(CONCATENATE(wld_az2_storage_cluster_network,"/",VLOOKUP(wld_az2_storage_cluster_mask,table_mask_to_cidr,2,FALSE))))</f>
        <v>Value Missing</v>
      </c>
    </row>
    <row r="316" spans="5:9" ht="20" customHeight="1" x14ac:dyDescent="0.2">
      <c r="E316" s="4" t="s">
        <v>1039</v>
      </c>
      <c r="F316" s="8" t="str">
        <f>IF(ISBLANK(input_mgmt_az1_edge_overlay_cidr),"Value Missing",input_mgmt_az1_edge_overlay_cidr)</f>
        <v>Value Missing</v>
      </c>
      <c r="H316" s="4" t="s">
        <v>1035</v>
      </c>
      <c r="I316" s="8" t="str">
        <f>IF(ISBLANK(input_wld_az1_uplink01_cidr),"Value Missing",input_wld_az1_uplink01_cidr)</f>
        <v>Value Missing</v>
      </c>
    </row>
    <row r="317" spans="5:9" ht="20" customHeight="1" x14ac:dyDescent="0.2">
      <c r="E317" s="4" t="s">
        <v>1041</v>
      </c>
      <c r="F317" s="8" t="str">
        <f>IF(ISBLANK(input_mgmt_az1_rtep_overlay_cidr),"Value Missing",input_mgmt_az1_rtep_overlay_cidr)</f>
        <v>Value Missing</v>
      </c>
      <c r="H317" s="4" t="s">
        <v>1037</v>
      </c>
      <c r="I317" s="8" t="str">
        <f>IF(ISBLANK(input_wld_az1_uplink02_cidr),"Value Missing",input_wld_az1_uplink02_cidr)</f>
        <v>Value Missing</v>
      </c>
    </row>
    <row r="318" spans="5:9" ht="20" customHeight="1" x14ac:dyDescent="0.2">
      <c r="E318" s="4" t="s">
        <v>1043</v>
      </c>
      <c r="F318" s="8"/>
      <c r="H318" s="4" t="s">
        <v>1039</v>
      </c>
      <c r="I318" s="8" t="str">
        <f>IF(ISBLANK(input_wld_az1_edge_overlay_cidr),"Value Missing",input_wld_az1_edge_overlay_cidr)</f>
        <v>Value Missing</v>
      </c>
    </row>
    <row r="319" spans="5:9" ht="20" customHeight="1" x14ac:dyDescent="0.2">
      <c r="E319" s="6"/>
      <c r="F319" s="6"/>
      <c r="H319" s="4" t="s">
        <v>1041</v>
      </c>
      <c r="I319" s="8" t="str">
        <f>IF(ISBLANK(input_wld_az1_rtep_overlay_cidr),"Value Missing",input_wld_az1_rtep_overlay_cidr)</f>
        <v>Value Missing</v>
      </c>
    </row>
    <row r="320" spans="5:9" ht="20" customHeight="1" x14ac:dyDescent="0.2">
      <c r="E320" s="14" t="s">
        <v>1323</v>
      </c>
      <c r="F320" s="15"/>
      <c r="H320" s="4" t="s">
        <v>1043</v>
      </c>
      <c r="I320" s="8" t="str">
        <f>IF(ISBLANK(input_wld_az1_vrms_cidr),"Value Missing",input_wld_az1_vrms_cidr)</f>
        <v>Value Missing</v>
      </c>
    </row>
    <row r="321" spans="5:9" ht="20" customHeight="1" x14ac:dyDescent="0.2">
      <c r="E321" s="17" t="s">
        <v>250</v>
      </c>
      <c r="F321" s="20" t="s">
        <v>1318</v>
      </c>
      <c r="H321" s="6"/>
      <c r="I321" s="6"/>
    </row>
    <row r="322" spans="5:9" ht="20" customHeight="1" x14ac:dyDescent="0.2">
      <c r="E322" s="4" t="s">
        <v>1024</v>
      </c>
      <c r="F322" s="8"/>
      <c r="G322" s="33"/>
      <c r="H322" s="14" t="s">
        <v>1324</v>
      </c>
      <c r="I322" s="15"/>
    </row>
    <row r="323" spans="5:9" ht="20" customHeight="1" x14ac:dyDescent="0.2">
      <c r="E323" s="4" t="s">
        <v>1026</v>
      </c>
      <c r="F323" s="8" t="str">
        <f>IF(ISBLANK(input_mgmt_az2_mgmt_cidr),"Value Missing",LEFT(mgmt_az2_mgmt_cidr,(FIND("/",mgmt_az2_mgmt_cidr)-1)))</f>
        <v>Value Missing</v>
      </c>
      <c r="G323" s="33"/>
      <c r="H323" s="17" t="s">
        <v>250</v>
      </c>
      <c r="I323" s="18" t="s">
        <v>1322</v>
      </c>
    </row>
    <row r="324" spans="5:9" ht="20" customHeight="1" x14ac:dyDescent="0.2">
      <c r="E324" s="4" t="s">
        <v>240</v>
      </c>
      <c r="F324" s="8" t="str">
        <f>IF(ISBLANK(input_mgmt_az2_vmotion_network),"Value Missing",input_mgmt_az2_vmotion_network)</f>
        <v>Value Missing</v>
      </c>
      <c r="H324" s="4" t="s">
        <v>1024</v>
      </c>
      <c r="I324" s="8" t="s">
        <v>578</v>
      </c>
    </row>
    <row r="325" spans="5:9" ht="20" customHeight="1" x14ac:dyDescent="0.2">
      <c r="E325" s="23" t="str">
        <f>CONCATENATE("Principal Storage Network ",wld_principal_storage_chosen)</f>
        <v>Principal Storage Network vSAN-ESA</v>
      </c>
      <c r="F325" s="8" t="str">
        <f>IF(ISBLANK(input_mgmt_az2_vsan_network),"Value Missing",input_mgmt_az2_vsan_network)</f>
        <v>Value Missing</v>
      </c>
      <c r="H325" s="4" t="s">
        <v>1026</v>
      </c>
      <c r="I325" s="8" t="str">
        <f>IF(OR(ISBLANK(wld_az2_mgmt_cidr),wld_az2_mgmt_cidr="Value Missing"),"Value Missing",LEFT(wld_az2_mgmt_cidr,(FIND("/",wld_az2_mgmt_cidr)-1)))</f>
        <v>Value Missing</v>
      </c>
    </row>
    <row r="326" spans="5:9" ht="20" customHeight="1" x14ac:dyDescent="0.2">
      <c r="E326" s="4" t="s">
        <v>1030</v>
      </c>
      <c r="F326" s="8" t="str">
        <f>IF(OR(ISBLANK(mgmt_az2_host_overlay_cidr),mgmt_az2_host_overlay_cidr="Value Missing"),"Value Missing",LEFT(mgmt_az2_host_overlay_cidr,(FIND("/",mgmt_az2_host_overlay_cidr)-1)))</f>
        <v>Value Missing</v>
      </c>
      <c r="H326" s="4" t="s">
        <v>240</v>
      </c>
      <c r="I326" s="8" t="str">
        <f>IF(ISBLANK(input_wld_az2_vmotion_network),"Value Missing",input_wld_az2_vmotion_network)</f>
        <v>Value Missing</v>
      </c>
    </row>
    <row r="327" spans="5:9" ht="20" customHeight="1" x14ac:dyDescent="0.2">
      <c r="E327" s="4" t="s">
        <v>1032</v>
      </c>
      <c r="F327" s="8" t="str">
        <f>IF(ISBLANK(input_mgmt_az2_secondary_storage_network),"Value Missing",input_mgmt_az2_secondary_storage_network)</f>
        <v>Value Missing</v>
      </c>
      <c r="H327" s="23" t="s">
        <v>1319</v>
      </c>
      <c r="I327" s="8" t="str">
        <f>IF(ISBLANK(input_wld_az2_principal_storage_network),"Value Missing",input_wld_az2_principal_storage_network)</f>
        <v>Value Missing</v>
      </c>
    </row>
    <row r="328" spans="5:9" ht="20" customHeight="1" x14ac:dyDescent="0.2">
      <c r="E328" s="4" t="s">
        <v>1035</v>
      </c>
      <c r="F328" s="8" t="str">
        <f>IF(mgmt_az1_uplink01_cidr="Value Missing",mgmt_az1_uplink01_cidr,LEFT(mgmt_az1_uplink01_cidr,(FIND("/",mgmt_az1_uplink01_cidr)-1)))</f>
        <v>Value Missing</v>
      </c>
      <c r="H328" s="4" t="s">
        <v>1030</v>
      </c>
      <c r="I328" s="8" t="str">
        <f>IF(OR(ISBLANK(wld_az2_host_overlay_cidr),wld_az2_host_overlay_cidr="Value Missing"),"Value Missing",LEFT(wld_az2_host_overlay_cidr,(FIND("/",wld_az2_host_overlay_cidr)-1)))</f>
        <v>Value Missing</v>
      </c>
    </row>
    <row r="329" spans="5:9" ht="20" customHeight="1" x14ac:dyDescent="0.2">
      <c r="E329" s="4" t="s">
        <v>1037</v>
      </c>
      <c r="F329" s="8" t="str">
        <f>IF(mgmt_az1_uplink02_cidr="Value Missing",mgmt_az1_uplink02_cidr,LEFT(mgmt_az1_uplink02_cidr,(FIND("/",mgmt_az1_uplink02_cidr)-1)))</f>
        <v>Value Missing</v>
      </c>
      <c r="H329" s="4" t="s">
        <v>1032</v>
      </c>
      <c r="I329" s="2" t="str">
        <f>IF(ISBLANK(input_wld_az2_secondary_storage_network),"Value Missing",input_wld_az2_secondary_storage_network)</f>
        <v>Value Missing</v>
      </c>
    </row>
    <row r="330" spans="5:9" ht="20" customHeight="1" x14ac:dyDescent="0.2">
      <c r="E330" s="4" t="s">
        <v>1039</v>
      </c>
      <c r="F330" s="8" t="str">
        <f>IF(mgmt_az1_edge_overlay_cidr="Value Missing",mgmt_az1_edge_overlay_cidr,(LEFT(mgmt_az1_edge_overlay_cidr,(FIND("/",mgmt_az1_edge_overlay_cidr)-1))))</f>
        <v>Value Missing</v>
      </c>
      <c r="H330" s="4" t="s">
        <v>686</v>
      </c>
      <c r="I330" s="2" t="str">
        <f>IF(ISBLANK(input_wld_az2_storage_cluster_network),"Value Missing",input_wld_az2_storage_cluster_network)</f>
        <v>Value Missing</v>
      </c>
    </row>
    <row r="331" spans="5:9" ht="20" customHeight="1" x14ac:dyDescent="0.2">
      <c r="E331" s="4" t="s">
        <v>1041</v>
      </c>
      <c r="F331" s="8" t="str">
        <f>mgmt_az1_rtep_overlay_cidr</f>
        <v>Value Missing</v>
      </c>
      <c r="H331" s="4" t="s">
        <v>1035</v>
      </c>
      <c r="I331" s="8" t="str">
        <f>wld_az1_uplink01_network</f>
        <v>Value Missing</v>
      </c>
    </row>
    <row r="332" spans="5:9" ht="20" customHeight="1" x14ac:dyDescent="0.2">
      <c r="E332" s="4" t="s">
        <v>1043</v>
      </c>
      <c r="F332" s="8"/>
      <c r="H332" s="4" t="s">
        <v>1037</v>
      </c>
      <c r="I332" s="8" t="str">
        <f>wld_az1_uplink02_network</f>
        <v>Value Missing</v>
      </c>
    </row>
    <row r="333" spans="5:9" ht="20" customHeight="1" x14ac:dyDescent="0.2">
      <c r="E333" s="2"/>
      <c r="F333" s="2"/>
      <c r="H333" s="4" t="s">
        <v>1039</v>
      </c>
      <c r="I333" s="8" t="str">
        <f>wld_az1_edge_overlay_network</f>
        <v>Value Missing</v>
      </c>
    </row>
    <row r="334" spans="5:9" ht="20" customHeight="1" x14ac:dyDescent="0.2">
      <c r="E334" s="14" t="s">
        <v>1325</v>
      </c>
      <c r="F334" s="15"/>
      <c r="H334" s="4" t="s">
        <v>1041</v>
      </c>
      <c r="I334" s="8" t="str">
        <f>IF(ISBLANK(input_wld_az1_rtep_overlay_cidr),"Value Missing",input_wld_az1_rtep_overlay_cidr)</f>
        <v>Value Missing</v>
      </c>
    </row>
    <row r="335" spans="5:9" ht="20" customHeight="1" x14ac:dyDescent="0.2">
      <c r="E335" s="17" t="s">
        <v>250</v>
      </c>
      <c r="F335" s="20" t="s">
        <v>1318</v>
      </c>
      <c r="H335" s="4" t="s">
        <v>1043</v>
      </c>
      <c r="I335" s="8" t="str">
        <f>IF(ISBLANK(input_wld_az1_vrms_cidr),"Value Missing",input_wld_az1_vrms_cidr)</f>
        <v>Value Missing</v>
      </c>
    </row>
    <row r="336" spans="5:9" ht="20" customHeight="1" x14ac:dyDescent="0.2">
      <c r="E336" s="4" t="s">
        <v>1024</v>
      </c>
      <c r="F336" s="8"/>
    </row>
    <row r="337" spans="5:9" ht="20" customHeight="1" x14ac:dyDescent="0.2">
      <c r="E337" s="4" t="s">
        <v>1026</v>
      </c>
      <c r="F337" s="8" t="str">
        <f>IF(mgmt_az2_mgmt_cidr="Value Missing","Value Missing",VLOOKUP(INT(RIGHT(mgmt_az2_mgmt_cidr,LEN(mgmt_az2_mgmt_cidr)-FIND("/",mgmt_az2_mgmt_cidr))),table_cidr_to_mask,2,FALSE))</f>
        <v>Value Missing</v>
      </c>
      <c r="G337" s="33"/>
      <c r="H337" s="14" t="s">
        <v>1326</v>
      </c>
      <c r="I337" s="15"/>
    </row>
    <row r="338" spans="5:9" ht="20" customHeight="1" x14ac:dyDescent="0.2">
      <c r="E338" s="4" t="s">
        <v>240</v>
      </c>
      <c r="F338" s="8" t="str">
        <f>IF(ISBLANK(input_mgmt_az2_vmotion_mask),"Value Missing",input_mgmt_az2_vmotion_mask)</f>
        <v>Value Missing</v>
      </c>
      <c r="H338" s="17" t="s">
        <v>250</v>
      </c>
      <c r="I338" s="18" t="s">
        <v>1322</v>
      </c>
    </row>
    <row r="339" spans="5:9" ht="20" customHeight="1" x14ac:dyDescent="0.2">
      <c r="E339" s="23" t="str">
        <f>CONCATENATE("Principal Storage Network ",wld_principal_storage_chosen)</f>
        <v>Principal Storage Network vSAN-ESA</v>
      </c>
      <c r="F339" s="8" t="str">
        <f>IF(ISBLANK(input_mgmt_az2_vsan_mask),"Value Missing",input_mgmt_az2_vsan_mask)</f>
        <v>Value Missing</v>
      </c>
      <c r="H339" s="4" t="s">
        <v>1024</v>
      </c>
      <c r="I339" s="8" t="s">
        <v>578</v>
      </c>
    </row>
    <row r="340" spans="5:9" ht="20" customHeight="1" x14ac:dyDescent="0.2">
      <c r="E340" s="4" t="s">
        <v>1030</v>
      </c>
      <c r="F340" s="8" t="str">
        <f>IF(mgmt_az2_host_overlay_cidr="Value Missing","Value Missing",(VLOOKUP(INT(RIGHT(mgmt_az2_host_overlay_cidr,LEN(mgmt_az2_host_overlay_cidr)-FIND("/",mgmt_az2_host_overlay_cidr))),table_cidr_to_mask,2,FALSE)))</f>
        <v>Value Missing</v>
      </c>
      <c r="H340" s="4" t="s">
        <v>1026</v>
      </c>
      <c r="I340" s="8" t="str">
        <f>IF(wld_az2_mgmt_cidr="Value Missing","Value Missing",VLOOKUP(INT(RIGHT(wld_az2_mgmt_cidr,LEN(wld_az2_mgmt_cidr)-FIND("/",wld_az2_mgmt_cidr))),table_cidr_to_mask,2,FALSE))</f>
        <v>Value Missing</v>
      </c>
    </row>
    <row r="341" spans="5:9" ht="20" customHeight="1" x14ac:dyDescent="0.2">
      <c r="E341" s="4" t="s">
        <v>1032</v>
      </c>
      <c r="F341" s="8" t="str">
        <f>IF(ISBLANK(input_mgmt_az2_secondary_storage_mask),"Value Missing",input_mgmt_az2_secondary_storage_mask)</f>
        <v>Value Missing</v>
      </c>
      <c r="H341" s="4" t="s">
        <v>240</v>
      </c>
      <c r="I341" s="8" t="str">
        <f>IF(ISBLANK(input_wld_az2_vmotion_mask),"Value Missing",input_wld_az2_vmotion_mask)</f>
        <v>Value Missing</v>
      </c>
    </row>
    <row r="342" spans="5:9" ht="20" customHeight="1" x14ac:dyDescent="0.2">
      <c r="E342" s="4" t="s">
        <v>1035</v>
      </c>
      <c r="F342" s="8" t="str">
        <f>mgmt_az1_uplink01_mask</f>
        <v>Value Missing</v>
      </c>
      <c r="H342" s="23" t="s">
        <v>1319</v>
      </c>
      <c r="I342" s="8" t="str">
        <f>IF(ISBLANK(input_wld_az2_principal_storage_mask),"Value Missing",input_wld_az2_principal_storage_mask)</f>
        <v>Value Missing</v>
      </c>
    </row>
    <row r="343" spans="5:9" ht="20" customHeight="1" x14ac:dyDescent="0.2">
      <c r="E343" s="4" t="s">
        <v>1037</v>
      </c>
      <c r="F343" s="8" t="str">
        <f>mgmt_az1_uplink02_mask</f>
        <v>Value Missing</v>
      </c>
      <c r="H343" s="4" t="s">
        <v>1030</v>
      </c>
      <c r="I343" s="8" t="str">
        <f>IF(wld_az2_host_overlay_cidr="Value Missing","Value Missing",(VLOOKUP(INT(RIGHT(wld_az2_host_overlay_cidr,LEN(wld_az2_host_overlay_cidr)-FIND("/",wld_az2_host_overlay_cidr))),table_cidr_to_mask,2,FALSE)))</f>
        <v>Value Missing</v>
      </c>
    </row>
    <row r="344" spans="5:9" ht="20" customHeight="1" x14ac:dyDescent="0.2">
      <c r="E344" s="4" t="s">
        <v>1039</v>
      </c>
      <c r="F344" s="8" t="str">
        <f>mgmt_az1_edge_overlay_mask</f>
        <v>Value Missing</v>
      </c>
      <c r="H344" s="4" t="s">
        <v>1032</v>
      </c>
      <c r="I344" s="2">
        <f>input_wld_az2_secondary_storage_mask</f>
        <v>0</v>
      </c>
    </row>
    <row r="345" spans="5:9" ht="20" customHeight="1" x14ac:dyDescent="0.2">
      <c r="E345" s="4" t="s">
        <v>1041</v>
      </c>
      <c r="F345" s="8"/>
      <c r="H345" s="4" t="s">
        <v>686</v>
      </c>
      <c r="I345" s="2" t="str">
        <f>IF(ISBLANK(input_wld_az2_storage_cluster_mask),"Value Missing",input_wld_az2_storage_cluster_mask)</f>
        <v>Value Missing</v>
      </c>
    </row>
    <row r="346" spans="5:9" ht="20" customHeight="1" x14ac:dyDescent="0.2">
      <c r="E346" s="4" t="s">
        <v>1043</v>
      </c>
      <c r="F346" s="8" t="str">
        <f>IF(mgmt_az2_mgmt_cidr="Value Missing","Value Missing",VLOOKUP(INT(RIGHT(mgmt_az2_mgmt_cidr,LEN(mgmt_az2_mgmt_cidr)-FIND("/",mgmt_az2_mgmt_cidr))),table_cidr_to_mask,2,FALSE))</f>
        <v>Value Missing</v>
      </c>
      <c r="H346" s="4" t="s">
        <v>1035</v>
      </c>
      <c r="I346" s="8" t="str">
        <f>wld_az1_uplink01_mask</f>
        <v>Value Missing</v>
      </c>
    </row>
    <row r="347" spans="5:9" ht="20" customHeight="1" x14ac:dyDescent="0.2">
      <c r="E347" s="2"/>
      <c r="F347" s="2"/>
      <c r="H347" s="4" t="s">
        <v>1037</v>
      </c>
      <c r="I347" s="8" t="str">
        <f>wld_az1_uplink02_mask</f>
        <v>Value Missing</v>
      </c>
    </row>
    <row r="348" spans="5:9" ht="20" customHeight="1" x14ac:dyDescent="0.2">
      <c r="E348" s="14" t="s">
        <v>1327</v>
      </c>
      <c r="F348" s="15"/>
      <c r="H348" s="4" t="s">
        <v>1039</v>
      </c>
      <c r="I348" s="8" t="str">
        <f>wld_az1_edge_overlay_mask</f>
        <v>Value Missing</v>
      </c>
    </row>
    <row r="349" spans="5:9" ht="20" customHeight="1" x14ac:dyDescent="0.2">
      <c r="E349" s="17" t="s">
        <v>250</v>
      </c>
      <c r="F349" s="18" t="s">
        <v>1318</v>
      </c>
      <c r="H349" s="4" t="s">
        <v>1041</v>
      </c>
      <c r="I349" s="8" t="str">
        <f>IF(ISBLANK(input_wld_az1_rtep_overlay_cidr),"Value Missing",input_wld_az1_rtep_overlay_cidr)</f>
        <v>Value Missing</v>
      </c>
    </row>
    <row r="350" spans="5:9" ht="20" customHeight="1" x14ac:dyDescent="0.2">
      <c r="E350" s="4" t="s">
        <v>1024</v>
      </c>
      <c r="F350" s="8"/>
      <c r="H350" s="4" t="s">
        <v>1043</v>
      </c>
      <c r="I350" s="8" t="str">
        <f>IF(ISBLANK(input_wld_az1_vrms_cidr),"Value Missing",input_wld_az1_vrms_cidr)</f>
        <v>Value Missing</v>
      </c>
    </row>
    <row r="351" spans="5:9" ht="20" customHeight="1" x14ac:dyDescent="0.2">
      <c r="E351" s="4" t="s">
        <v>1026</v>
      </c>
      <c r="F351" s="8" t="str">
        <f>IF(ISBLANK(input_mgmt_az2_mgmt_gateway_ip),"Value Missing",input_mgmt_az2_mgmt_gateway_ip)</f>
        <v>Value Missing</v>
      </c>
      <c r="G351" s="33"/>
    </row>
    <row r="352" spans="5:9" ht="20" customHeight="1" x14ac:dyDescent="0.2">
      <c r="E352" s="4" t="s">
        <v>240</v>
      </c>
      <c r="F352" s="8" t="str">
        <f>IF(ISBLANK(input_mgmt_az2_vmotion_gateway_ip),"Value Missing",input_mgmt_az2_vmotion_gateway_ip)</f>
        <v>Value Missing</v>
      </c>
      <c r="H352" s="14" t="s">
        <v>1328</v>
      </c>
      <c r="I352" s="15"/>
    </row>
    <row r="353" spans="2:37" ht="20" customHeight="1" x14ac:dyDescent="0.2">
      <c r="E353" s="23" t="str">
        <f>CONCATENATE("Principal Storage Network ",wld_principal_storage_chosen)</f>
        <v>Principal Storage Network vSAN-ESA</v>
      </c>
      <c r="F353" s="8" t="str">
        <f>IF(ISBLANK(input_mgmt_az2_vsan_gateway_ip),"Value Missing",input_mgmt_az2_vsan_gateway_ip)</f>
        <v>Value Missing</v>
      </c>
      <c r="H353" s="17" t="s">
        <v>250</v>
      </c>
      <c r="I353" s="18" t="s">
        <v>1322</v>
      </c>
    </row>
    <row r="354" spans="2:37" ht="20" customHeight="1" x14ac:dyDescent="0.2">
      <c r="B354" s="2"/>
      <c r="C354" s="2"/>
      <c r="E354" s="4" t="s">
        <v>1030</v>
      </c>
      <c r="F354" s="8" t="str">
        <f>IF(ISBLANK(input_mgmt_az2_host_overlay_gateway_ip),"Value Missing",input_mgmt_az2_host_overlay_gateway_ip)</f>
        <v>Value Missing</v>
      </c>
      <c r="H354" s="4" t="s">
        <v>1024</v>
      </c>
      <c r="I354" s="8" t="s">
        <v>578</v>
      </c>
    </row>
    <row r="355" spans="2:37" ht="20" customHeight="1" x14ac:dyDescent="0.2">
      <c r="B355" s="2"/>
      <c r="C355" s="2"/>
      <c r="E355" s="4" t="s">
        <v>1032</v>
      </c>
      <c r="F355" s="8" t="str">
        <f>IF(ISBLANK(input_mgmt_az2_secondary_storage_gateway_ip),"Value Missing",input_mgmt_az2_secondary_storage_gateway_ip)</f>
        <v>Value Missing</v>
      </c>
      <c r="H355" s="4" t="s">
        <v>1026</v>
      </c>
      <c r="I355" s="8" t="str">
        <f>IF(ISBLANK(input_wld_az2_mgmt_gateway_ip),"Value Missing",input_wld_az2_mgmt_gateway_ip)</f>
        <v>Value Missing</v>
      </c>
    </row>
    <row r="356" spans="2:37" ht="20" customHeight="1" x14ac:dyDescent="0.2">
      <c r="B356" s="2"/>
      <c r="C356" s="2"/>
      <c r="E356" s="4" t="s">
        <v>1035</v>
      </c>
      <c r="F356" s="8" t="str">
        <f>IF(ISBLANK(mgmt_az1_uplink01_gateway_ip),"Value Missing",mgmt_az1_uplink01_gateway_ip)</f>
        <v>Value Missing</v>
      </c>
      <c r="H356" s="4" t="s">
        <v>240</v>
      </c>
      <c r="I356" s="8" t="str">
        <f>IF(ISBLANK(input_wld_az2_vmotion_gateway_ip),"Value Missing",input_wld_az2_vmotion_gateway_ip)</f>
        <v>Value Missing</v>
      </c>
    </row>
    <row r="357" spans="2:37" ht="20" customHeight="1" x14ac:dyDescent="0.2">
      <c r="B357" s="2"/>
      <c r="C357" s="2"/>
      <c r="E357" s="4" t="s">
        <v>1037</v>
      </c>
      <c r="F357" s="8" t="str">
        <f>IF(ISBLANK(input_mgmt_az1_uplink02_gateway_ip),"Value Missing",mgmt_az1_uplink02_gateway_ip)</f>
        <v>Value Missing</v>
      </c>
      <c r="H357" s="23" t="s">
        <v>1319</v>
      </c>
      <c r="I357" s="8" t="str">
        <f>IF(ISBLANK(input_wld_az2_principal_storage_gateway_ip),"Value Missing",input_wld_az2_principal_storage_gateway_ip)</f>
        <v>Value Missing</v>
      </c>
    </row>
    <row r="358" spans="2:37" ht="20" customHeight="1" x14ac:dyDescent="0.2">
      <c r="B358" s="2"/>
      <c r="C358" s="2"/>
      <c r="E358" s="4" t="s">
        <v>1039</v>
      </c>
      <c r="F358" s="8" t="str">
        <f>IF(ISBLANK(input_mgmt_az1_edge_overlay_gateway_ip),"Value Missing",input_mgmt_az1_edge_overlay_gateway_ip)</f>
        <v>Value Missing</v>
      </c>
      <c r="H358" s="4" t="s">
        <v>1030</v>
      </c>
      <c r="I358" s="8" t="str">
        <f>IF(ISBLANK(input_wld_az2_host_overlay_gateway_ip),"Value Missing",input_wld_az2_host_overlay_gateway_ip)</f>
        <v>Value Missing</v>
      </c>
    </row>
    <row r="359" spans="2:37" ht="20" customHeight="1" x14ac:dyDescent="0.2">
      <c r="B359" s="2"/>
      <c r="C359" s="2"/>
      <c r="E359" s="4" t="s">
        <v>1041</v>
      </c>
      <c r="F359" s="8" t="str">
        <f>IF(ISBLANK(input_mgmt_az1_rtep_overlay_gateway_ip),"Value Missing",input_mgmt_az1_rtep_overlay_gateway_ip)</f>
        <v>Value Missing</v>
      </c>
      <c r="H359" s="4" t="s">
        <v>1032</v>
      </c>
      <c r="I359" s="8" t="str">
        <f>IF(ISBLANK(input_wld_az2_secondary_storage_gateway_ip),"Value Missing",input_wld_az2_secondary_storage_gateway_ip)</f>
        <v>Value Missing</v>
      </c>
    </row>
    <row r="360" spans="2:37" ht="20" customHeight="1" x14ac:dyDescent="0.2">
      <c r="B360" s="2"/>
      <c r="C360" s="2"/>
      <c r="E360" s="4" t="s">
        <v>1043</v>
      </c>
      <c r="F360" s="8"/>
      <c r="H360" s="4" t="s">
        <v>686</v>
      </c>
      <c r="I360" s="8" t="str">
        <f>IF(ISBLANK(input_wld_az2_storage_cluster_gateway_ip),"Value Missing",input_wld_az2_storage_cluster_gateway_ip)</f>
        <v>Value Missing</v>
      </c>
    </row>
    <row r="361" spans="2:37" ht="20" customHeight="1" x14ac:dyDescent="0.2">
      <c r="B361" s="2"/>
      <c r="C361" s="2"/>
      <c r="E361" s="2"/>
      <c r="F361" s="2"/>
      <c r="G361" s="33"/>
      <c r="H361" s="4" t="s">
        <v>1035</v>
      </c>
      <c r="I361" s="8" t="str">
        <f>wld_az1_uplink01_gateway_ip</f>
        <v>Value Missing</v>
      </c>
    </row>
    <row r="362" spans="2:37" ht="20" customHeight="1" x14ac:dyDescent="0.2">
      <c r="B362" s="2"/>
      <c r="C362" s="2"/>
      <c r="E362" s="14" t="s">
        <v>1329</v>
      </c>
      <c r="F362" s="15"/>
      <c r="H362" s="4" t="s">
        <v>1037</v>
      </c>
      <c r="I362" s="8" t="str">
        <f>wld_az1_uplink02_gateway_ip</f>
        <v>Value Missing</v>
      </c>
    </row>
    <row r="363" spans="2:37" ht="20" customHeight="1" x14ac:dyDescent="0.2">
      <c r="B363" s="2"/>
      <c r="C363" s="2"/>
      <c r="E363" s="17" t="s">
        <v>250</v>
      </c>
      <c r="F363" s="18" t="s">
        <v>1318</v>
      </c>
      <c r="H363" s="4" t="s">
        <v>1039</v>
      </c>
      <c r="I363" s="8" t="str">
        <f>wld_az1_edge_overlay_gateway_ip</f>
        <v>Value Missing</v>
      </c>
    </row>
    <row r="364" spans="2:37" ht="20" customHeight="1" x14ac:dyDescent="0.2">
      <c r="B364" s="2"/>
      <c r="C364" s="2"/>
      <c r="E364" s="4" t="s">
        <v>1024</v>
      </c>
      <c r="F364" s="8"/>
      <c r="H364" s="4" t="s">
        <v>1041</v>
      </c>
      <c r="I364" s="8" t="str">
        <f>wld_az1_rtep_overlay_gateway_ip</f>
        <v>Value Missing</v>
      </c>
    </row>
    <row r="365" spans="2:37" ht="20" customHeight="1" x14ac:dyDescent="0.2">
      <c r="B365" s="2"/>
      <c r="C365" s="2"/>
      <c r="E365" s="4" t="s">
        <v>1026</v>
      </c>
      <c r="F365" s="8" t="str">
        <f>IF(ISBLANK(input_mgmt_az2_mgmt_mtu),"Value Missing",input_mgmt_az2_mgmt_mtu)</f>
        <v>Value Missing</v>
      </c>
      <c r="H365" s="4" t="s">
        <v>1043</v>
      </c>
      <c r="I365" s="8" t="str">
        <f>wld_az1_vrms_gateway_ip</f>
        <v>Value Missing</v>
      </c>
    </row>
    <row r="366" spans="2:37" ht="20" customHeight="1" x14ac:dyDescent="0.2">
      <c r="B366" s="2"/>
      <c r="C366" s="2"/>
      <c r="E366" s="4" t="s">
        <v>240</v>
      </c>
      <c r="F366" s="8" t="str">
        <f>IF(ISBLANK(input_mgmt_az2_vmotion_mtu),"Value Missing",input_mgmt_az2_vmotion_mtu)</f>
        <v>Value Missing</v>
      </c>
    </row>
    <row r="367" spans="2:37" ht="20" customHeight="1" x14ac:dyDescent="0.2">
      <c r="B367" s="2"/>
      <c r="C367" s="2"/>
      <c r="E367" s="23" t="str">
        <f>CONCATENATE("Principal Storage Network ",wld_principal_storage_chosen)</f>
        <v>Principal Storage Network vSAN-ESA</v>
      </c>
      <c r="F367" s="8" t="str">
        <f>IF(ISBLANK(input_mgmt_az2_vsan_mtu),"Value Missing",input_mgmt_az2_vsan_mtu)</f>
        <v>Value Missing</v>
      </c>
      <c r="H367" s="14" t="s">
        <v>1330</v>
      </c>
      <c r="I367" s="15"/>
    </row>
    <row r="368" spans="2:37" s="2" customFormat="1" ht="20" customHeight="1" x14ac:dyDescent="0.2">
      <c r="E368" s="4" t="s">
        <v>1030</v>
      </c>
      <c r="F368" s="8" t="str">
        <f>IF(ISBLANK(input_mgmt_az2_host_overlay_mtu),"Value Missing",input_mgmt_az2_host_overlay_mtu)</f>
        <v>Value Missing</v>
      </c>
      <c r="G368" s="9"/>
      <c r="H368" s="17" t="s">
        <v>250</v>
      </c>
      <c r="I368" s="18" t="s">
        <v>1322</v>
      </c>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spans="5:37" s="2" customFormat="1" ht="20" customHeight="1" x14ac:dyDescent="0.2">
      <c r="E369" s="4" t="s">
        <v>1032</v>
      </c>
      <c r="F369" s="8" t="str">
        <f>IF(ISBLANK(input_mgmt_az2_secondary_storage_mtu),"Value Missing",input_mgmt_az2_secondary_storage_mtu)</f>
        <v>Value Missing</v>
      </c>
      <c r="G369" s="9"/>
      <c r="H369" s="4" t="s">
        <v>1024</v>
      </c>
      <c r="I369" s="8"/>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spans="5:37" s="2" customFormat="1" ht="20" customHeight="1" x14ac:dyDescent="0.2">
      <c r="E370" s="4" t="s">
        <v>1035</v>
      </c>
      <c r="F370" s="8" t="str">
        <f>IF(ISBLANK(input_mgmt_az1_uplink01_mtu),"Value Missing",input_mgmt_az1_uplink01_mtu)</f>
        <v>Value Missing</v>
      </c>
      <c r="G370" s="9"/>
      <c r="H370" s="4" t="s">
        <v>1026</v>
      </c>
      <c r="I370" s="8" t="str">
        <f>IF(ISBLANK(input_wld_az2_mgmt_mtu),"Value Missing",input_wld_az2_mgmt_mtu)</f>
        <v>Value Missing</v>
      </c>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spans="5:37" s="2" customFormat="1" ht="20" customHeight="1" x14ac:dyDescent="0.2">
      <c r="E371" s="4" t="s">
        <v>1037</v>
      </c>
      <c r="F371" s="8" t="str">
        <f>IF(ISBLANK(input_mgmt_az1_uplink02_mtu),"Value Missing",input_mgmt_az1_uplink02_mtu)</f>
        <v>Value Missing</v>
      </c>
      <c r="G371" s="9"/>
      <c r="H371" s="4" t="s">
        <v>240</v>
      </c>
      <c r="I371" s="8" t="str">
        <f>IF(ISBLANK(input_wld_az2_vmotion_mtu),"Value Missing",input_wld_az2_vmotion_mtu)</f>
        <v>Value Missing</v>
      </c>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spans="5:37" s="2" customFormat="1" ht="20" customHeight="1" x14ac:dyDescent="0.2">
      <c r="E372" s="4" t="s">
        <v>1039</v>
      </c>
      <c r="F372" s="8" t="s">
        <v>578</v>
      </c>
      <c r="G372" s="9"/>
      <c r="H372" s="23" t="s">
        <v>1319</v>
      </c>
      <c r="I372" s="8" t="str">
        <f>IF(ISBLANK(input_wld_az2_principal_storage_mtu),"Value Missing",input_wld_az2_principal_storage_mtu)</f>
        <v>Value Missing</v>
      </c>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spans="5:37" s="2" customFormat="1" ht="20" customHeight="1" x14ac:dyDescent="0.2">
      <c r="E373" s="4" t="s">
        <v>1041</v>
      </c>
      <c r="F373" s="8"/>
      <c r="G373" s="9"/>
      <c r="H373" s="4" t="s">
        <v>1030</v>
      </c>
      <c r="I373" s="8" t="str">
        <f>IF(ISBLANK(input_wld_az2_host_overlay_mtu),"Value Missing",input_wld_az2_host_overlay_mtu)</f>
        <v>Value Missing</v>
      </c>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spans="5:37" s="2" customFormat="1" ht="20" customHeight="1" x14ac:dyDescent="0.2">
      <c r="E374" s="4" t="s">
        <v>1043</v>
      </c>
      <c r="F374" s="8"/>
      <c r="G374" s="33"/>
      <c r="H374" s="4" t="s">
        <v>1032</v>
      </c>
      <c r="I374" s="8" t="str">
        <f>IF(ISBLANK(input_wld_az2_secondary_storage_mtu),"Value Missing",input_wld_az2_secondary_storage_mtu)</f>
        <v>Value Missing</v>
      </c>
      <c r="J374" s="21"/>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spans="5:37" s="2" customFormat="1" ht="20" customHeight="1" x14ac:dyDescent="0.2">
      <c r="G375" s="9"/>
      <c r="H375" s="4" t="s">
        <v>686</v>
      </c>
      <c r="I375" s="8" t="str">
        <f>IF(ISBLANK(input_wld_az2_storage_cluster_mtu),"Value Missing",input_wld_az2_storage_cluster_mtu)</f>
        <v>Value Missing</v>
      </c>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spans="5:37" s="2" customFormat="1" ht="20" customHeight="1" x14ac:dyDescent="0.2">
      <c r="E376" s="14" t="s">
        <v>1331</v>
      </c>
      <c r="F376" s="15"/>
      <c r="G376" s="9"/>
      <c r="H376" s="4" t="s">
        <v>1035</v>
      </c>
      <c r="I376" s="8" t="str">
        <f>IF(ISBLANK(input_wld_az1_uplink01_mtu),"Value Missing",input_wld_az1_uplink01_mtu)</f>
        <v>Value Missing</v>
      </c>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spans="5:37" s="2" customFormat="1" ht="20" customHeight="1" x14ac:dyDescent="0.2">
      <c r="E377" s="17" t="s">
        <v>250</v>
      </c>
      <c r="F377" s="20" t="s">
        <v>1318</v>
      </c>
      <c r="G377" s="9"/>
      <c r="H377" s="4" t="s">
        <v>1037</v>
      </c>
      <c r="I377" s="8" t="str">
        <f>IF(ISBLANK(input_wld_az1_uplink02_mtu),"Value Missing",input_wld_az1_uplink02_mtu)</f>
        <v>Value Missing</v>
      </c>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spans="5:37" s="2" customFormat="1" ht="20" customHeight="1" x14ac:dyDescent="0.2">
      <c r="E378" s="4" t="s">
        <v>1006</v>
      </c>
      <c r="F378" s="8" t="str">
        <f>mgmt_en_asn</f>
        <v>Value Missing</v>
      </c>
      <c r="G378" s="9"/>
      <c r="H378" s="4" t="s">
        <v>1039</v>
      </c>
      <c r="I378" s="8" t="str">
        <f>wld_az1_edge_overlay_mtu</f>
        <v>N/A</v>
      </c>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spans="5:37" s="2" customFormat="1" ht="20" customHeight="1" x14ac:dyDescent="0.2">
      <c r="E379" s="4" t="s">
        <v>163</v>
      </c>
      <c r="F379" s="8" t="str">
        <f>IF(ISBLANK(input_mgmt_az2_tor1_peer_ip),"Value Missing",input_mgmt_az2_tor1_peer_ip)</f>
        <v>Value Missing</v>
      </c>
      <c r="G379" s="9"/>
      <c r="H379" s="4" t="s">
        <v>1041</v>
      </c>
      <c r="I379" s="8">
        <f>wld_az1_rtep_overlay_mtu</f>
        <v>0</v>
      </c>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spans="5:37" s="2" customFormat="1" ht="20" customHeight="1" x14ac:dyDescent="0.2">
      <c r="E380" s="4" t="s">
        <v>164</v>
      </c>
      <c r="F380" s="8" t="str">
        <f>IF(ISBLANK(input_mgmt_az2_tor1_peer_asn),"Value Missing",input_mgmt_az2_tor1_peer_asn)</f>
        <v>Value Missing</v>
      </c>
      <c r="G380" s="9"/>
      <c r="H380" s="4" t="s">
        <v>1043</v>
      </c>
      <c r="I380" s="8" t="str">
        <f>wld_az1_vrms_mtu</f>
        <v>Value Missing</v>
      </c>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spans="5:37" s="2" customFormat="1" ht="20" customHeight="1" x14ac:dyDescent="0.2">
      <c r="E381" s="4" t="s">
        <v>165</v>
      </c>
      <c r="F381" s="8" t="str">
        <f>IF(ISBLANK(input_mgmt_az2_tor1_peer_bgp_password),"Value Missing",input_mgmt_az2_tor1_peer_bgp_password)</f>
        <v>Value Missing</v>
      </c>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spans="5:37" s="2" customFormat="1" ht="20" customHeight="1" x14ac:dyDescent="0.2">
      <c r="E382" s="4" t="s">
        <v>166</v>
      </c>
      <c r="F382" s="8" t="str">
        <f>IF(ISBLANK(input_mgmt_az2_tor2_peer_ip),"Value Missing",input_mgmt_az2_tor2_peer_ip)</f>
        <v>Value Missing</v>
      </c>
      <c r="G382" s="9"/>
      <c r="H382" s="14" t="s">
        <v>1332</v>
      </c>
      <c r="I382" s="15"/>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spans="5:37" s="2" customFormat="1" ht="20" customHeight="1" x14ac:dyDescent="0.2">
      <c r="E383" s="4" t="s">
        <v>167</v>
      </c>
      <c r="F383" s="8" t="str">
        <f>IF(ISBLANK(input_mgmt_az2_tor2_peer_asn),"Value Missing",input_mgmt_az2_tor2_peer_asn)</f>
        <v>Value Missing</v>
      </c>
      <c r="G383" s="9"/>
      <c r="H383" s="17" t="s">
        <v>250</v>
      </c>
      <c r="I383" s="20" t="s">
        <v>1318</v>
      </c>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spans="5:37" s="2" customFormat="1" ht="20" customHeight="1" x14ac:dyDescent="0.2">
      <c r="E384" s="4" t="s">
        <v>168</v>
      </c>
      <c r="F384" s="8" t="str">
        <f>IF(ISBLANK(input_mgmt_az2_tor2_peer_bgp_password),"Value Missing",input_mgmt_az2_tor2_peer_bgp_password)</f>
        <v>Value Missing</v>
      </c>
      <c r="G384" s="9"/>
      <c r="H384" s="4" t="s">
        <v>1006</v>
      </c>
      <c r="I384" s="8" t="str">
        <f>wld_en_asn</f>
        <v>Value Missing</v>
      </c>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spans="2:37" s="2" customFormat="1" ht="20" customHeight="1" x14ac:dyDescent="0.2">
      <c r="E385" s="7"/>
      <c r="F385" s="7"/>
      <c r="G385" s="9"/>
      <c r="H385" s="4" t="s">
        <v>163</v>
      </c>
      <c r="I385" s="8" t="str">
        <f>IF(ISBLANK(input_wld_az2_tor1_peer_ip),"Value Missing",input_wld_az2_tor1_peer_ip)</f>
        <v>Value Missing</v>
      </c>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spans="2:37" s="2" customFormat="1" ht="20" customHeight="1" x14ac:dyDescent="0.2">
      <c r="E386" s="14" t="s">
        <v>1333</v>
      </c>
      <c r="F386" s="15"/>
      <c r="G386" s="9"/>
      <c r="H386" s="4" t="s">
        <v>164</v>
      </c>
      <c r="I386" s="8" t="str">
        <f>IF(ISBLANK(input_wld_az2_tor1_peer_asn),"Value Missing",input_wld_az2_tor1_peer_asn)</f>
        <v>Value Missing</v>
      </c>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spans="2:37" s="2" customFormat="1" ht="20" customHeight="1" x14ac:dyDescent="0.2">
      <c r="E387" s="17" t="s">
        <v>250</v>
      </c>
      <c r="F387" s="20" t="s">
        <v>1322</v>
      </c>
      <c r="G387" s="33"/>
      <c r="H387" s="4" t="s">
        <v>165</v>
      </c>
      <c r="I387" s="8" t="str">
        <f>IF(ISBLANK(input_wld_az2_tor1_peer_bgp_password),"Value Missing",input_wld_az2_tor1_peer_bgp_password)</f>
        <v>Value Missing</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spans="2:37" s="2" customFormat="1" ht="20" customHeight="1" x14ac:dyDescent="0.2">
      <c r="E388" s="4" t="s">
        <v>1024</v>
      </c>
      <c r="F388" s="8"/>
      <c r="G388" s="9"/>
      <c r="H388" s="4" t="s">
        <v>166</v>
      </c>
      <c r="I388" s="8" t="str">
        <f>IF(ISBLANK(input_wld_az2_tor2_peer_ip),"Value Missing",input_wld_az2_tor2_peer_ip)</f>
        <v>Value Missing</v>
      </c>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spans="2:37" s="2" customFormat="1" ht="20" customHeight="1" x14ac:dyDescent="0.2">
      <c r="E389" s="4" t="s">
        <v>1026</v>
      </c>
      <c r="F389" s="8" t="str">
        <f>IF('Value Reference Tables - MR'!$F126="Value Missing","Value Missing",CONCATENATE("az2_",'Value Reference Tables - MR'!$F126))</f>
        <v>Value Missing</v>
      </c>
      <c r="G389" s="9"/>
      <c r="H389" s="4" t="s">
        <v>167</v>
      </c>
      <c r="I389" s="8" t="str">
        <f>IF(ISBLANK(input_wld_az2_tor2_peer_asn),"Value Missing",input_wld_az2_tor2_peer_asn)</f>
        <v>Value Missing</v>
      </c>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spans="2:37" s="2" customFormat="1" ht="20" customHeight="1" x14ac:dyDescent="0.2">
      <c r="E390" s="4" t="s">
        <v>240</v>
      </c>
      <c r="F390" s="8" t="str">
        <f>IF('Value Reference Tables - MR'!$F127="Value Missing","Value Missing",CONCATENATE("az2_",'Value Reference Tables - MR'!$F127))</f>
        <v>Value Missing</v>
      </c>
      <c r="G390" s="9"/>
      <c r="H390" s="4" t="s">
        <v>168</v>
      </c>
      <c r="I390" s="8" t="str">
        <f>IF(ISBLANK(input_wld_az2_tor2_peer_bgp_password),"Value Missing",input_wld_az2_tor2_peer_bgp_password)</f>
        <v>Value Missing</v>
      </c>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spans="2:37" s="2" customFormat="1" ht="20" customHeight="1" x14ac:dyDescent="0.2">
      <c r="E391" s="4" t="s">
        <v>246</v>
      </c>
      <c r="F391" s="8" t="str">
        <f>IF('Value Reference Tables - MR'!$F128="Value Missing","Value Missing",CONCATENATE("az2_",'Value Reference Tables - MR'!$F128))</f>
        <v>Value Missing</v>
      </c>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spans="2:37" s="2" customFormat="1" ht="20" customHeight="1" x14ac:dyDescent="0.2">
      <c r="E392" s="4" t="s">
        <v>1030</v>
      </c>
      <c r="F392" s="8" t="str">
        <f>mgmt_az1_host_overlay_pg</f>
        <v>N/A</v>
      </c>
      <c r="G392" s="9"/>
      <c r="H392" s="14" t="s">
        <v>1334</v>
      </c>
      <c r="I392" s="15"/>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spans="2:37" s="2" customFormat="1" ht="20" customHeight="1" x14ac:dyDescent="0.2">
      <c r="E393" s="4" t="s">
        <v>1043</v>
      </c>
      <c r="F393" s="8"/>
      <c r="G393" s="9"/>
      <c r="H393" s="17" t="s">
        <v>250</v>
      </c>
      <c r="I393" s="20" t="s">
        <v>1322</v>
      </c>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spans="2:37" s="2" customFormat="1" ht="20" customHeight="1" x14ac:dyDescent="0.2">
      <c r="E394" s="4" t="s">
        <v>1035</v>
      </c>
      <c r="F394" s="8" t="str">
        <f>mgmt_cl01_az1_uplink01_pg</f>
        <v>Value Missing</v>
      </c>
      <c r="G394" s="33"/>
      <c r="H394" s="4" t="s">
        <v>1024</v>
      </c>
      <c r="I394" s="41"/>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spans="2:37" s="2" customFormat="1" ht="20" customHeight="1" x14ac:dyDescent="0.2">
      <c r="E395" s="4" t="s">
        <v>1037</v>
      </c>
      <c r="F395" s="8" t="str">
        <f>mgmt_cl01_az1_uplink02_pg</f>
        <v>Value Missing</v>
      </c>
      <c r="G395" s="33"/>
      <c r="H395" s="4" t="s">
        <v>1026</v>
      </c>
      <c r="I395" s="8" t="str">
        <f>IF('Value Reference Tables - MR'!$I126="Value Missing","Value Missing",CONCATENATE("az2_",'Value Reference Tables - MR'!$I126))</f>
        <v>Value Missing</v>
      </c>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spans="2:37" s="2" customFormat="1" ht="20" customHeight="1" x14ac:dyDescent="0.2">
      <c r="E396" s="23" t="s">
        <v>1039</v>
      </c>
      <c r="F396" s="8" t="str">
        <f>mgmt_az1_edge_overlay_pg</f>
        <v>N/A</v>
      </c>
      <c r="G396" s="9"/>
      <c r="H396" s="4" t="s">
        <v>240</v>
      </c>
      <c r="I396" s="8" t="str">
        <f>IF('Value Reference Tables - MR'!$I127="Value Missing","Value Missing",CONCATENATE("az2_",'Value Reference Tables - MR'!$I127))</f>
        <v>Value Missing</v>
      </c>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spans="2:37" s="2" customFormat="1" ht="20" customHeight="1" x14ac:dyDescent="0.2">
      <c r="E397" s="4" t="s">
        <v>3670</v>
      </c>
      <c r="F397" s="8" t="str">
        <f>mgmt_az1_rtep_overlay_pg</f>
        <v>N/A</v>
      </c>
      <c r="G397" s="9"/>
      <c r="H397" s="4" t="s">
        <v>246</v>
      </c>
      <c r="I397" s="8" t="str">
        <f>IF('Value Reference Tables - MR'!$I128="Value Missing","Value Missing",CONCATENATE("az2_",'Value Reference Tables - MR'!$I128))</f>
        <v>Value Missing</v>
      </c>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spans="2:37" s="2" customFormat="1" ht="20" customHeight="1" x14ac:dyDescent="0.2">
      <c r="G398" s="9"/>
      <c r="H398" s="4" t="s">
        <v>1030</v>
      </c>
      <c r="I398" s="8" t="str">
        <f>mgmt_az2_host_overlay_pg</f>
        <v>N/A</v>
      </c>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spans="2:37" s="2" customFormat="1" ht="20" customHeight="1" x14ac:dyDescent="0.2">
      <c r="E399" s="27" t="s">
        <v>1335</v>
      </c>
      <c r="F399" s="15"/>
      <c r="G399" s="9"/>
      <c r="H399" s="4" t="s">
        <v>1043</v>
      </c>
      <c r="I399" s="8"/>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spans="2:37" s="2" customFormat="1" ht="20" customHeight="1" x14ac:dyDescent="0.2">
      <c r="B400" s="9"/>
      <c r="C400" s="9"/>
      <c r="E400" s="17" t="s">
        <v>250</v>
      </c>
      <c r="F400" s="20" t="s">
        <v>1322</v>
      </c>
      <c r="G400" s="9"/>
      <c r="H400" s="4" t="s">
        <v>1035</v>
      </c>
      <c r="I400" s="8" t="str">
        <f>wld_cl01_az1_uplink01_pg</f>
        <v>Value Missing</v>
      </c>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spans="2:37" s="2" customFormat="1" ht="20" customHeight="1" x14ac:dyDescent="0.2">
      <c r="B401" s="9"/>
      <c r="C401" s="9"/>
      <c r="E401" s="28" t="s">
        <v>1167</v>
      </c>
      <c r="F401" s="8" t="str">
        <f>IF(ISBLANK(input_mgmt_az2_vmotion_pool_start_ip),"Value Missing",input_mgmt_az2_vmotion_pool_start_ip)</f>
        <v>Value Missing</v>
      </c>
      <c r="G401" s="9"/>
      <c r="H401" s="4" t="s">
        <v>1037</v>
      </c>
      <c r="I401" s="8" t="str">
        <f>wld_cl01_az1_uplink02_pg</f>
        <v>Value Missing</v>
      </c>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spans="2:37" s="2" customFormat="1" ht="20" customHeight="1" x14ac:dyDescent="0.2">
      <c r="B402" s="9"/>
      <c r="C402" s="9"/>
      <c r="E402" s="28" t="s">
        <v>1168</v>
      </c>
      <c r="F402" s="8" t="str">
        <f>IF(ISBLANK(input_mgmt_az2_vmotion_pool_end_ip),"Value Missing",input_mgmt_az2_vmotion_pool_end_ip)</f>
        <v>Value Missing</v>
      </c>
      <c r="G402" s="9"/>
      <c r="H402" s="23" t="s">
        <v>1039</v>
      </c>
      <c r="I402" s="8" t="str">
        <f>wld_az1_edge_overlay_pg</f>
        <v>N/A</v>
      </c>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spans="2:37" s="2" customFormat="1" ht="20" customHeight="1" x14ac:dyDescent="0.2">
      <c r="B403" s="9"/>
      <c r="C403" s="9"/>
      <c r="E403" s="28" t="s">
        <v>1169</v>
      </c>
      <c r="F403" s="8" t="str">
        <f>IF(ISBLANK(input_mgmt_az2_vsan_pool_start_ip),"Value Missing",input_mgmt_az2_vsan_pool_start_ip)</f>
        <v>Value Missing</v>
      </c>
      <c r="G403" s="9"/>
      <c r="H403" s="4" t="s">
        <v>3670</v>
      </c>
      <c r="I403" s="8" t="str">
        <f>mgmt_az1_rtep_overlay_pg</f>
        <v>N/A</v>
      </c>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spans="2:37" s="2" customFormat="1" ht="20" customHeight="1" x14ac:dyDescent="0.2">
      <c r="B404" s="9"/>
      <c r="C404" s="9"/>
      <c r="E404" s="28" t="s">
        <v>1170</v>
      </c>
      <c r="F404" s="8" t="str">
        <f>IF(ISBLANK(input_mgmt_az2_vsan_pool_end_ip),"Value Missing",input_mgmt_az2_vsan_pool_end_ip)</f>
        <v>Value Missing</v>
      </c>
      <c r="G404" s="33"/>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spans="2:37" s="2" customFormat="1" ht="20" customHeight="1" x14ac:dyDescent="0.2">
      <c r="B405" s="9"/>
      <c r="C405" s="9"/>
      <c r="E405" s="28" t="s">
        <v>1171</v>
      </c>
      <c r="F405" s="8" t="str">
        <f>IF(ISBLANK(input_mgmt_az2_host_overlay_pool_start_ip),"Value Missing",input_mgmt_az2_host_overlay_pool_start_ip)</f>
        <v>Value Missing</v>
      </c>
      <c r="G405" s="9"/>
      <c r="H405" s="27" t="s">
        <v>1336</v>
      </c>
      <c r="I405" s="15"/>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spans="2:37" s="2" customFormat="1" ht="20" customHeight="1" x14ac:dyDescent="0.2">
      <c r="B406" s="9"/>
      <c r="C406" s="9"/>
      <c r="E406" s="28" t="s">
        <v>1172</v>
      </c>
      <c r="F406" s="8" t="str">
        <f>IF(ISBLANK(input_mgmt_az2_host_overlay_pool_end_ip),"Value Missing",input_mgmt_az2_host_overlay_pool_end_ip)</f>
        <v>Value Missing</v>
      </c>
      <c r="G406" s="9"/>
      <c r="H406" s="17" t="s">
        <v>250</v>
      </c>
      <c r="I406" s="20" t="s">
        <v>1322</v>
      </c>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spans="2:37" s="2" customFormat="1" ht="20" customHeight="1" x14ac:dyDescent="0.2">
      <c r="B407" s="9"/>
      <c r="C407" s="9"/>
      <c r="E407" s="23" t="s">
        <v>1173</v>
      </c>
      <c r="F407" s="8" t="str">
        <f>IF(ISBLANK(input_mgmt_az2_secondary_storage_pool_start_ip),"Value Missing",input_mgmt_az2_secondary_storage_pool_start_ip)</f>
        <v>Value Missing</v>
      </c>
      <c r="G407" s="9"/>
      <c r="H407" s="28" t="s">
        <v>1167</v>
      </c>
      <c r="I407" s="8" t="str">
        <f>IF(ISBLANK(input_wld_az2_vmotion_pool_start_ip),"Value Missing",input_wld_az2_vmotion_pool_start_ip)</f>
        <v>Value Missing</v>
      </c>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spans="2:37" s="2" customFormat="1" ht="20" customHeight="1" x14ac:dyDescent="0.2">
      <c r="B408" s="9"/>
      <c r="C408" s="9"/>
      <c r="E408" s="30" t="s">
        <v>1174</v>
      </c>
      <c r="F408" s="8" t="str">
        <f>IF(ISBLANK(input_mgmt_az2_secondary_storage_pool_end_ip),"Value Missing",input_mgmt_az2_secondary_storage_pool_end_ip)</f>
        <v>Value Missing</v>
      </c>
      <c r="G408" s="9"/>
      <c r="H408" s="28" t="s">
        <v>1168</v>
      </c>
      <c r="I408" s="8" t="str">
        <f>IF(ISBLANK(input_wld_az2_vmotion_pool_end_ip),"Value Missing",input_wld_az2_vmotion_pool_end_ip)</f>
        <v>Value Missing</v>
      </c>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spans="2:37" s="2" customFormat="1" ht="20" customHeight="1" x14ac:dyDescent="0.2">
      <c r="B409" s="9"/>
      <c r="C409" s="9"/>
      <c r="E409" s="28" t="s">
        <v>1177</v>
      </c>
      <c r="F409" s="8"/>
      <c r="G409" s="9"/>
      <c r="H409" s="28" t="s">
        <v>1169</v>
      </c>
      <c r="I409" s="8" t="str">
        <f>IF(ISBLANK(input_wld_az2_principal_storage_pool_start_ip),"Value Missing",input_wld_az2_principal_storage_pool_start_ip)</f>
        <v>Value Missing</v>
      </c>
      <c r="J409" s="21"/>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spans="2:37" s="2" customFormat="1" ht="20" customHeight="1" x14ac:dyDescent="0.2">
      <c r="B410" s="9"/>
      <c r="C410" s="9"/>
      <c r="E410" s="28" t="s">
        <v>1178</v>
      </c>
      <c r="F410" s="8"/>
      <c r="G410" s="9"/>
      <c r="H410" s="28" t="s">
        <v>1170</v>
      </c>
      <c r="I410" s="8" t="str">
        <f>IF(ISBLANK(input_wld_az2_principal_storage_pool_end_ip),"Value Missing",input_wld_az2_principal_storage_pool_end_ip)</f>
        <v>Value Missing</v>
      </c>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spans="2:37" s="2" customFormat="1" ht="20" customHeight="1" x14ac:dyDescent="0.2">
      <c r="B411" s="9"/>
      <c r="C411" s="9"/>
      <c r="G411" s="9"/>
      <c r="H411" s="28" t="s">
        <v>1171</v>
      </c>
      <c r="I411" s="8" t="str">
        <f>IF(ISBLANK(input_wld_az2_host_overlay_pool_start_ip),"Value Missing",input_wld_az2_host_overlay_pool_start_ip)</f>
        <v>Value Missing</v>
      </c>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spans="2:37" s="2" customFormat="1" ht="20" customHeight="1" x14ac:dyDescent="0.2">
      <c r="B412" s="9"/>
      <c r="C412" s="9"/>
      <c r="E412" s="27" t="s">
        <v>1337</v>
      </c>
      <c r="F412" s="15"/>
      <c r="G412" s="9"/>
      <c r="H412" s="28" t="s">
        <v>1172</v>
      </c>
      <c r="I412" s="8" t="str">
        <f>IF(ISBLANK(input_wld_az2_host_overlay_pool_end_ip),"Value Missing",input_wld_az2_host_overlay_pool_end_ip)</f>
        <v>Value Missing</v>
      </c>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spans="2:37" s="2" customFormat="1" ht="20" customHeight="1" x14ac:dyDescent="0.2">
      <c r="B413" s="9"/>
      <c r="C413" s="9"/>
      <c r="E413" s="19" t="s">
        <v>250</v>
      </c>
      <c r="F413" s="20" t="s">
        <v>1322</v>
      </c>
      <c r="G413" s="9"/>
      <c r="H413" s="23" t="s">
        <v>1173</v>
      </c>
      <c r="I413" s="8" t="str">
        <f>IF(ISBLANK(input_wld_az2_secondary_storage_pool_start_ip),"Value Missing",input_wld_az2_secondary_storage_pool_start_ip)</f>
        <v>Value Missing</v>
      </c>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spans="2:37" s="2" customFormat="1" ht="20" customHeight="1" x14ac:dyDescent="0.2">
      <c r="B414" s="9"/>
      <c r="C414" s="9"/>
      <c r="E414" s="28" t="s">
        <v>1188</v>
      </c>
      <c r="F414" s="8" t="str">
        <f>IF(ISBLANK(input_mgmt_az2_pool_name),"Value Missing",input_mgmt_az2_pool_name)</f>
        <v>Value Missing</v>
      </c>
      <c r="G414" s="9"/>
      <c r="H414" s="30" t="s">
        <v>1174</v>
      </c>
      <c r="I414" s="8" t="str">
        <f>IF(ISBLANK(input_wld_az2_secondary_storage_pool_end_ip),"Value Missing",input_wld_az2_secondary_storage_pool_end_ip)</f>
        <v>Value Missing</v>
      </c>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spans="2:37" s="2" customFormat="1" ht="20" customHeight="1" x14ac:dyDescent="0.2">
      <c r="B415" s="9"/>
      <c r="C415" s="9"/>
      <c r="E415" s="28" t="s">
        <v>1189</v>
      </c>
      <c r="F415" s="8" t="str">
        <f>IF(ISBLANK(input_mgmt_az2_host_overlay_network_profile_name),"Value Missing",input_mgmt_az2_host_overlay_network_profile_name)</f>
        <v>Value Missing</v>
      </c>
      <c r="G415" s="9"/>
      <c r="H415" s="4" t="s">
        <v>686</v>
      </c>
      <c r="I415" s="8" t="str">
        <f>IF(ISBLANK(input_wld_az2_storage_cluster_pool_start_ip),"Value Missing",input_wld_az2_storage_cluster_pool_start_ip)</f>
        <v>Value Missing</v>
      </c>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spans="2:37" ht="20" customHeight="1" x14ac:dyDescent="0.2">
      <c r="E416" s="28" t="s">
        <v>1192</v>
      </c>
      <c r="F416" s="8" t="str">
        <f>IF(ISBLANK(input_mgmt_az2_host_overlay_network_pool_name),"Value Missing",input_mgmt_az2_host_overlay_network_pool_name)</f>
        <v>Value Missing</v>
      </c>
      <c r="H416" s="4" t="s">
        <v>686</v>
      </c>
      <c r="I416" s="8" t="str">
        <f>IF(ISBLANK(input_wld_az2_storage_cluster_pool_end_ip),"Value Missing",input_wld_az2_storage_cluster_pool_end_ip)</f>
        <v>Value Missing</v>
      </c>
    </row>
    <row r="417" spans="5:10" ht="20" customHeight="1" x14ac:dyDescent="0.2">
      <c r="E417" s="28" t="s">
        <v>1195</v>
      </c>
      <c r="F417" s="8" t="str">
        <f>IF(ISBLANK(input_mgmt_az2_host_overlay_uplink_profile_name),"Value Missing",input_mgmt_az2_host_overlay_uplink_profile_name)</f>
        <v>Value Missing</v>
      </c>
      <c r="H417" s="28" t="s">
        <v>1177</v>
      </c>
      <c r="I417" s="42"/>
    </row>
    <row r="418" spans="5:10" ht="20" customHeight="1" x14ac:dyDescent="0.2">
      <c r="E418" s="7"/>
      <c r="F418" s="7"/>
      <c r="H418" s="28" t="s">
        <v>1178</v>
      </c>
      <c r="I418" s="42"/>
    </row>
    <row r="419" spans="5:10" ht="20" customHeight="1" x14ac:dyDescent="0.2">
      <c r="E419" s="27" t="s">
        <v>1339</v>
      </c>
      <c r="F419" s="15"/>
    </row>
    <row r="420" spans="5:10" ht="20" customHeight="1" x14ac:dyDescent="0.2">
      <c r="E420" s="19" t="s">
        <v>250</v>
      </c>
      <c r="F420" s="20" t="s">
        <v>1322</v>
      </c>
      <c r="H420" s="27" t="s">
        <v>1338</v>
      </c>
      <c r="I420" s="15"/>
    </row>
    <row r="421" spans="5:10" ht="20" customHeight="1" x14ac:dyDescent="0.2">
      <c r="E421" s="4" t="s">
        <v>1231</v>
      </c>
      <c r="F421" s="8" t="str">
        <f>IF(ISBLANK(input_mgmt_az2_host1_mgmt_ip),"Value Missing",input_mgmt_az2_host1_mgmt_ip)</f>
        <v>Value Missing</v>
      </c>
      <c r="H421" s="19" t="s">
        <v>250</v>
      </c>
      <c r="I421" s="20" t="s">
        <v>1322</v>
      </c>
    </row>
    <row r="422" spans="5:10" ht="20" customHeight="1" x14ac:dyDescent="0.2">
      <c r="E422" s="4" t="s">
        <v>1232</v>
      </c>
      <c r="F422" s="8" t="str">
        <f>IF(ISBLANK(input_mgmt_az2_host2_mgmt_ip),"Value Missing",input_mgmt_az2_host2_mgmt_ip)</f>
        <v>Value Missing</v>
      </c>
      <c r="H422" s="28" t="s">
        <v>1188</v>
      </c>
      <c r="I422" s="8" t="str">
        <f>IF(ISBLANK(input_wld_az2_pool_name),"Value Missing",input_wld_az2_pool_name)</f>
        <v>Value Missing</v>
      </c>
    </row>
    <row r="423" spans="5:10" ht="20" customHeight="1" x14ac:dyDescent="0.2">
      <c r="E423" s="4" t="s">
        <v>1233</v>
      </c>
      <c r="F423" s="8" t="str">
        <f>IF(ISBLANK(input_mgmt_az2_host3_mgmt_ip),"Value Missing",input_mgmt_az2_host3_mgmt_ip)</f>
        <v>Value Missing</v>
      </c>
      <c r="H423" s="28" t="s">
        <v>1189</v>
      </c>
      <c r="I423" s="8" t="str">
        <f>IF(ISBLANK(input_wld_az2_host_overlay_network_profile_name),"Value Missing",input_wld_az2_host_overlay_network_profile_name)</f>
        <v>Value Missing</v>
      </c>
    </row>
    <row r="424" spans="5:10" ht="20" customHeight="1" x14ac:dyDescent="0.2">
      <c r="E424" s="4" t="s">
        <v>1234</v>
      </c>
      <c r="F424" s="8" t="str">
        <f>IF(ISBLANK(input_mgmt_az2_host4_mgmt_ip),"Value Missing",input_mgmt_az2_host4_mgmt_ip)</f>
        <v>Value Missing</v>
      </c>
      <c r="H424" s="28" t="s">
        <v>1192</v>
      </c>
      <c r="I424" s="8" t="str">
        <f>IF(ISBLANK(input_wld_az2_host_overlay_network_pool_name),"Value Missing",input_wld_az2_host_overlay_network_pool_name)</f>
        <v>Value Missing</v>
      </c>
    </row>
    <row r="425" spans="5:10" ht="20" customHeight="1" x14ac:dyDescent="0.2">
      <c r="E425" s="4" t="s">
        <v>1235</v>
      </c>
      <c r="F425" s="8" t="str">
        <f>IF(ISBLANK(input_mgmt_az2_host5_mgmt_ip),"Value Missing",input_mgmt_az2_host5_mgmt_ip)</f>
        <v>Value Missing</v>
      </c>
      <c r="H425" s="28" t="s">
        <v>1195</v>
      </c>
      <c r="I425" s="8" t="str">
        <f>IF(ISBLANK(input_wld_az2_host_overlay_uplink_profile_name),"Value Missing",input_wld_az2_host_overlay_uplink_profile_name)</f>
        <v>Value Missing</v>
      </c>
    </row>
    <row r="426" spans="5:10" ht="20" customHeight="1" x14ac:dyDescent="0.2">
      <c r="E426" s="4" t="s">
        <v>1236</v>
      </c>
      <c r="F426" s="8" t="str">
        <f>IF(ISBLANK(input_mgmt_az2_host6_mgmt_ip),"Value Missing",input_mgmt_az2_host6_mgmt_ip)</f>
        <v>Value Missing</v>
      </c>
    </row>
    <row r="427" spans="5:10" ht="20" customHeight="1" x14ac:dyDescent="0.2">
      <c r="E427" s="4" t="s">
        <v>1237</v>
      </c>
      <c r="F427" s="8" t="str">
        <f>IF(ISBLANK(input_mgmt_az2_host7_mgmt_ip),"Value Missing",input_mgmt_az2_host7_mgmt_ip)</f>
        <v>Value Missing</v>
      </c>
      <c r="H427" s="27" t="s">
        <v>1340</v>
      </c>
      <c r="I427" s="15"/>
      <c r="J427" s="2"/>
    </row>
    <row r="428" spans="5:10" ht="20" customHeight="1" x14ac:dyDescent="0.2">
      <c r="E428" s="4" t="s">
        <v>1238</v>
      </c>
      <c r="F428" s="8" t="str">
        <f>IF(ISBLANK(input_mgmt_az2_host8_mgmt_ip),"Value Missing",input_mgmt_az2_host8_mgmt_ip)</f>
        <v>Value Missing</v>
      </c>
      <c r="H428" s="19" t="s">
        <v>250</v>
      </c>
      <c r="I428" s="20" t="s">
        <v>1322</v>
      </c>
      <c r="J428" s="21"/>
    </row>
    <row r="429" spans="5:10" ht="20" customHeight="1" x14ac:dyDescent="0.2">
      <c r="E429" s="4" t="s">
        <v>1239</v>
      </c>
      <c r="F429" s="8" t="str">
        <f>IF(ISBLANK(input_mgmt_az2_host9_mgmt_ip),"Value Missing",input_mgmt_az2_host9_mgmt_ip)</f>
        <v>Value Missing</v>
      </c>
      <c r="G429" s="2"/>
      <c r="H429" s="4" t="s">
        <v>1231</v>
      </c>
      <c r="I429" s="8" t="str">
        <f>IF(ISBLANK(input_wld_az2_host1_mgmt_ip),"Value Missing",input_wld_az2_host1_mgmt_ip)</f>
        <v>Value Missing</v>
      </c>
    </row>
    <row r="430" spans="5:10" ht="20" customHeight="1" x14ac:dyDescent="0.2">
      <c r="E430" s="4" t="s">
        <v>1240</v>
      </c>
      <c r="F430" s="8" t="str">
        <f>IF(ISBLANK(input_mgmt_az2_host10_mgmt_ip),"Value Missing",input_mgmt_az2_host10_mgmt_ip)</f>
        <v>Value Missing</v>
      </c>
      <c r="G430" s="2"/>
      <c r="H430" s="4" t="s">
        <v>1232</v>
      </c>
      <c r="I430" s="8" t="str">
        <f>IF(ISBLANK(input_wld_az2_host2_mgmt_ip),"Value Missing",input_wld_az2_host2_mgmt_ip)</f>
        <v>Value Missing</v>
      </c>
    </row>
    <row r="431" spans="5:10" ht="20" customHeight="1" x14ac:dyDescent="0.2">
      <c r="E431" s="4" t="s">
        <v>1241</v>
      </c>
      <c r="F431" s="8" t="str">
        <f>IF(ISBLANK(input_mgmt_az2_host11_mgmt_ip),"Value Missing",input_mgmt_az2_host11_mgmt_ip)</f>
        <v>Value Missing</v>
      </c>
      <c r="G431" s="2"/>
      <c r="H431" s="4" t="s">
        <v>1233</v>
      </c>
      <c r="I431" s="8" t="str">
        <f>IF(ISBLANK(input_wld_az2_host3_mgmt_ip),"Value Missing",input_wld_az2_host3_mgmt_ip)</f>
        <v>Value Missing</v>
      </c>
    </row>
    <row r="432" spans="5:10" ht="20" customHeight="1" x14ac:dyDescent="0.2">
      <c r="E432" s="4" t="s">
        <v>1242</v>
      </c>
      <c r="F432" s="8" t="str">
        <f>IF(ISBLANK(input_mgmt_az2_host12_mgmt_ip),"Value Missing",input_mgmt_az2_host12_mgmt_ip)</f>
        <v>Value Missing</v>
      </c>
      <c r="G432" s="2"/>
      <c r="H432" s="4" t="s">
        <v>1234</v>
      </c>
      <c r="I432" s="8" t="str">
        <f>IF(ISBLANK(input_wld_az2_host4_mgmt_ip),"Value Missing",input_wld_az2_host4_mgmt_ip)</f>
        <v>Value Missing</v>
      </c>
    </row>
    <row r="433" spans="5:9" ht="20" customHeight="1" x14ac:dyDescent="0.2">
      <c r="E433" s="4" t="s">
        <v>1243</v>
      </c>
      <c r="F433" s="8" t="str">
        <f>IF(ISBLANK(input_mgmt_az2_host13_mgmt_ip),"Value Missing",input_mgmt_az2_host13_mgmt_ip)</f>
        <v>Value Missing</v>
      </c>
      <c r="G433" s="2"/>
      <c r="H433" s="4" t="s">
        <v>1235</v>
      </c>
      <c r="I433" s="8" t="str">
        <f>IF(ISBLANK(input_wld_az2_host5_mgmt_ip),"Value Missing",input_wld_az2_host5_mgmt_ip)</f>
        <v>Value Missing</v>
      </c>
    </row>
    <row r="434" spans="5:9" ht="20" customHeight="1" x14ac:dyDescent="0.2">
      <c r="E434" s="4" t="s">
        <v>1244</v>
      </c>
      <c r="F434" s="8" t="str">
        <f>IF(ISBLANK(input_mgmt_az2_host14_mgmt_ip),"Value Missing",input_mgmt_az2_host14_mgmt_ip)</f>
        <v>Value Missing</v>
      </c>
      <c r="G434" s="2"/>
      <c r="H434" s="4" t="s">
        <v>1236</v>
      </c>
      <c r="I434" s="8" t="str">
        <f>IF(ISBLANK(input_wld_az2_host6_mgmt_ip),"Value Missing",input_wld_az2_host6_mgmt_ip)</f>
        <v>Value Missing</v>
      </c>
    </row>
    <row r="435" spans="5:9" ht="20" customHeight="1" x14ac:dyDescent="0.2">
      <c r="E435" s="4" t="s">
        <v>1245</v>
      </c>
      <c r="F435" s="8" t="str">
        <f>IF(ISBLANK(input_mgmt_az2_host15_mgmt_ip),"Value Missing",input_mgmt_az2_host15_mgmt_ip)</f>
        <v>Value Missing</v>
      </c>
      <c r="G435" s="2"/>
      <c r="H435" s="4" t="s">
        <v>1237</v>
      </c>
      <c r="I435" s="8" t="str">
        <f>IF(ISBLANK(input_wld_az2_host7_mgmt_ip),"Value Missing",input_wld_az2_host7_mgmt_ip)</f>
        <v>Value Missing</v>
      </c>
    </row>
    <row r="436" spans="5:9" ht="20" customHeight="1" x14ac:dyDescent="0.2">
      <c r="E436" s="4" t="s">
        <v>1246</v>
      </c>
      <c r="F436" s="8" t="str">
        <f>IF(ISBLANK(input_mgmt_az2_host16_mgmt_ip),"Value Missing",input_mgmt_az2_host16_mgmt_ip)</f>
        <v>Value Missing</v>
      </c>
      <c r="G436" s="2"/>
      <c r="H436" s="4" t="s">
        <v>1238</v>
      </c>
      <c r="I436" s="8" t="str">
        <f>IF(ISBLANK(input_wld_az2_host8_mgmt_ip),"Value Missing",input_wld_az2_host8_mgmt_ip)</f>
        <v>Value Missing</v>
      </c>
    </row>
    <row r="437" spans="5:9" ht="20" customHeight="1" x14ac:dyDescent="0.2">
      <c r="E437" s="4" t="s">
        <v>1247</v>
      </c>
      <c r="F437" s="8" t="str">
        <f>IF(ISBLANK(input_mgmt_az2_host1_vrms_ip),"Value Missing",input_mgmt_az2_host1_vrms_ip)</f>
        <v>Value Missing</v>
      </c>
      <c r="G437" s="2"/>
      <c r="H437" s="4" t="s">
        <v>1239</v>
      </c>
      <c r="I437" s="8" t="str">
        <f>IF(ISBLANK(input_wld_az2_host9_mgmt_ip),"Value Missing",input_wld_az2_host9_mgmt_ip)</f>
        <v>Value Missing</v>
      </c>
    </row>
    <row r="438" spans="5:9" ht="20" customHeight="1" x14ac:dyDescent="0.2">
      <c r="E438" s="4" t="s">
        <v>1248</v>
      </c>
      <c r="F438" s="8" t="str">
        <f>IF(ISBLANK(input_mgmt_az2_host2_vrms_ip),"Value Missing",input_mgmt_az2_host2_vrms_ip)</f>
        <v>Value Missing</v>
      </c>
      <c r="G438" s="2"/>
      <c r="H438" s="4" t="s">
        <v>1240</v>
      </c>
      <c r="I438" s="8" t="str">
        <f>IF(ISBLANK(input_wld_az2_host10_mgmt_ip),"Value Missing",input_wld_az2_host10_mgmt_ip)</f>
        <v>Value Missing</v>
      </c>
    </row>
    <row r="439" spans="5:9" ht="20" customHeight="1" x14ac:dyDescent="0.2">
      <c r="E439" s="4" t="s">
        <v>1256</v>
      </c>
      <c r="F439" s="8" t="str">
        <f>IF(ISBLANK(input_mgmt_az2_host3_vrms_ip),"Value Missing",input_mgmt_az2_host3_vrms_ip)</f>
        <v>Value Missing</v>
      </c>
      <c r="G439" s="21"/>
      <c r="H439" s="4" t="s">
        <v>1241</v>
      </c>
      <c r="I439" s="8" t="str">
        <f>IF(ISBLANK(input_wld_az2_host11_mgmt_ip),"Value Missing",input_wld_az2_host11_mgmt_ip)</f>
        <v>Value Missing</v>
      </c>
    </row>
    <row r="440" spans="5:9" ht="20" customHeight="1" x14ac:dyDescent="0.2">
      <c r="E440" s="4" t="s">
        <v>1257</v>
      </c>
      <c r="F440" s="8" t="str">
        <f>IF(ISBLANK(input_mgmt_az2_host4_vrms_ip),"Value Missing",input_mgmt_az2_host4_vrms_ip)</f>
        <v>Value Missing</v>
      </c>
      <c r="G440" s="2"/>
      <c r="H440" s="4" t="s">
        <v>1242</v>
      </c>
      <c r="I440" s="8" t="str">
        <f>IF(ISBLANK(input_wld_az2_host12_mgmt_ip),"Value Missing",input_wld_az2_host12_mgmt_ip)</f>
        <v>Value Missing</v>
      </c>
    </row>
    <row r="441" spans="5:9" ht="20" customHeight="1" x14ac:dyDescent="0.2">
      <c r="E441" s="4" t="s">
        <v>1259</v>
      </c>
      <c r="F441" s="8" t="str">
        <f>IF(ISBLANK(input_mgmt_az2_host5_vrms_ip),"Value Missing",input_mgmt_az2_host5_vrms_ip)</f>
        <v>Value Missing</v>
      </c>
      <c r="G441" s="2"/>
      <c r="H441" s="4" t="s">
        <v>1243</v>
      </c>
      <c r="I441" s="8" t="str">
        <f>IF(ISBLANK(input_wld_az2_host13_mgmt_ip),"Value Missing",input_wld_az2_host13_mgmt_ip)</f>
        <v>Value Missing</v>
      </c>
    </row>
    <row r="442" spans="5:9" ht="20" customHeight="1" x14ac:dyDescent="0.2">
      <c r="E442" s="4" t="s">
        <v>1261</v>
      </c>
      <c r="F442" s="8" t="str">
        <f>IF(ISBLANK(input_mgmt_az2_host6_vrms_ip),"Value Missing",input_mgmt_az2_host6_vrms_ip)</f>
        <v>Value Missing</v>
      </c>
      <c r="G442" s="2"/>
      <c r="H442" s="4" t="s">
        <v>1244</v>
      </c>
      <c r="I442" s="8" t="str">
        <f>IF(ISBLANK(input_wld_az2_host14_mgmt_ip),"Value Missing",input_wld_az2_host14_mgmt_ip)</f>
        <v>Value Missing</v>
      </c>
    </row>
    <row r="443" spans="5:9" ht="20" customHeight="1" x14ac:dyDescent="0.2">
      <c r="E443" s="4" t="s">
        <v>1263</v>
      </c>
      <c r="F443" s="8" t="str">
        <f>IF(ISBLANK(input_mgmt_az2_host7_vrms_ip),"Value Missing",input_mgmt_az2_host7_vrms_ip)</f>
        <v>Value Missing</v>
      </c>
      <c r="G443" s="2"/>
      <c r="H443" s="4" t="s">
        <v>1245</v>
      </c>
      <c r="I443" s="8" t="str">
        <f>IF(ISBLANK(input_wld_az2_host15_mgmt_ip),"Value Missing",input_wld_az2_host15_mgmt_ip)</f>
        <v>Value Missing</v>
      </c>
    </row>
    <row r="444" spans="5:9" ht="20" customHeight="1" x14ac:dyDescent="0.2">
      <c r="E444" s="4" t="s">
        <v>1265</v>
      </c>
      <c r="F444" s="8" t="str">
        <f>IF(ISBLANK(input_mgmt_az2_host8_vrms_ip),"Value Missing",input_mgmt_az2_host8_vrms_ip)</f>
        <v>Value Missing</v>
      </c>
      <c r="G444" s="2"/>
      <c r="H444" s="4" t="s">
        <v>1246</v>
      </c>
      <c r="I444" s="8" t="str">
        <f>IF(ISBLANK(input_wld_az2_host16_mgmt_ip),"Value Missing",input_wld_az2_host16_mgmt_ip)</f>
        <v>Value Missing</v>
      </c>
    </row>
    <row r="445" spans="5:9" ht="20" customHeight="1" x14ac:dyDescent="0.2">
      <c r="E445" s="4" t="s">
        <v>1267</v>
      </c>
      <c r="F445" s="8" t="str">
        <f>IF(ISBLANK(input_mgmt_az2_host9_vrms_ip),"Value Missing",input_mgmt_az2_host9_vrms_ip)</f>
        <v>Value Missing</v>
      </c>
      <c r="G445" s="2"/>
      <c r="H445" s="4" t="s">
        <v>1247</v>
      </c>
      <c r="I445" s="8" t="str">
        <f>IF(ISBLANK(input_wld_az2_host1_vrms_ip),"Value Missing",input_wld_az2_host1_vrms_ip)</f>
        <v>Value Missing</v>
      </c>
    </row>
    <row r="446" spans="5:9" ht="20" customHeight="1" x14ac:dyDescent="0.2">
      <c r="E446" s="4" t="s">
        <v>1269</v>
      </c>
      <c r="F446" s="8" t="str">
        <f>IF(ISBLANK(input_mgmt_az2_host10_vrms_ip),"Value Missing",input_mgmt_az2_host10_vrms_ip)</f>
        <v>Value Missing</v>
      </c>
      <c r="G446" s="2"/>
      <c r="H446" s="4" t="s">
        <v>1248</v>
      </c>
      <c r="I446" s="8" t="str">
        <f>IF(ISBLANK(input_wld_az2_host2_vrms_ip),"Value Missing",input_wld_az2_host2_vrms_ip)</f>
        <v>Value Missing</v>
      </c>
    </row>
    <row r="447" spans="5:9" ht="20" customHeight="1" x14ac:dyDescent="0.2">
      <c r="E447" s="4" t="s">
        <v>1271</v>
      </c>
      <c r="F447" s="8" t="str">
        <f>IF(ISBLANK(input_mgmt_az2_host11_vrms_ip),"Value Missing",input_mgmt_az2_host11_vrms_ip)</f>
        <v>Value Missing</v>
      </c>
      <c r="G447" s="2"/>
      <c r="H447" s="4" t="s">
        <v>1256</v>
      </c>
      <c r="I447" s="8" t="str">
        <f>IF(ISBLANK(input_wld_az2_host3_vrms_ip),"Value Missing",input_wld_az2_host3_vrms_ip)</f>
        <v>Value Missing</v>
      </c>
    </row>
    <row r="448" spans="5:9" ht="20" customHeight="1" x14ac:dyDescent="0.2">
      <c r="E448" s="4" t="s">
        <v>1273</v>
      </c>
      <c r="F448" s="8" t="str">
        <f>IF(ISBLANK(input_mgmt_az2_host12_vrms_ip),"Value Missing",input_mgmt_az2_host12_vrms_ip)</f>
        <v>Value Missing</v>
      </c>
      <c r="G448" s="2"/>
      <c r="H448" s="4" t="s">
        <v>1257</v>
      </c>
      <c r="I448" s="8" t="str">
        <f>IF(ISBLANK(input_wld_az2_host4_vrms_ip),"Value Missing",input_wld_az2_host4_vrms_ip)</f>
        <v>Value Missing</v>
      </c>
    </row>
    <row r="449" spans="5:9" ht="20" customHeight="1" x14ac:dyDescent="0.2">
      <c r="E449" s="4" t="s">
        <v>1275</v>
      </c>
      <c r="F449" s="8" t="str">
        <f>IF(ISBLANK(input_mgmt_az2_host13_vrms_ip),"Value Missing",input_mgmt_az2_host13_vrms_ip)</f>
        <v>Value Missing</v>
      </c>
      <c r="G449" s="2"/>
      <c r="H449" s="4" t="s">
        <v>1259</v>
      </c>
      <c r="I449" s="8" t="str">
        <f>IF(ISBLANK(input_wld_az2_host5_vrms_ip),"Value Missing",input_wld_az2_host5_vrms_ip)</f>
        <v>Value Missing</v>
      </c>
    </row>
    <row r="450" spans="5:9" ht="20" customHeight="1" x14ac:dyDescent="0.2">
      <c r="E450" s="4" t="s">
        <v>1277</v>
      </c>
      <c r="F450" s="8" t="str">
        <f>IF(ISBLANK(input_mgmt_az2_host14_vrms_ip),"Value Missing",input_mgmt_az2_host14_vrms_ip)</f>
        <v>Value Missing</v>
      </c>
      <c r="G450" s="2"/>
      <c r="H450" s="4" t="s">
        <v>1261</v>
      </c>
      <c r="I450" s="8" t="str">
        <f>IF(ISBLANK(input_wld_az2_host6_vrms_ip),"Value Missing",input_wld_az2_host6_vrms_ip)</f>
        <v>Value Missing</v>
      </c>
    </row>
    <row r="451" spans="5:9" ht="20" customHeight="1" x14ac:dyDescent="0.2">
      <c r="E451" s="4" t="s">
        <v>1279</v>
      </c>
      <c r="F451" s="8" t="str">
        <f>IF(ISBLANK(input_mgmt_az2_host15_vrms_ip),"Value Missing",input_mgmt_az2_host15_vrms_ip)</f>
        <v>Value Missing</v>
      </c>
      <c r="G451" s="2"/>
      <c r="H451" s="4" t="s">
        <v>1263</v>
      </c>
      <c r="I451" s="8" t="str">
        <f>IF(ISBLANK(input_wld_az2_host7_vrms_ip),"Value Missing",input_wld_az2_host7_vrms_ip)</f>
        <v>Value Missing</v>
      </c>
    </row>
    <row r="452" spans="5:9" ht="20" customHeight="1" x14ac:dyDescent="0.2">
      <c r="E452" s="4" t="s">
        <v>1281</v>
      </c>
      <c r="F452" s="8" t="str">
        <f>IF(ISBLANK(input_mgmt_az2_host16_vrms_ip),"Value Missing",input_mgmt_az2_host16_vrms_ip)</f>
        <v>Value Missing</v>
      </c>
      <c r="G452" s="2"/>
      <c r="H452" s="4" t="s">
        <v>1265</v>
      </c>
      <c r="I452" s="8" t="str">
        <f>IF(ISBLANK(input_wld_az2_host8_vrms_ip),"Value Missing",input_wld_az2_host8_vrms_ip)</f>
        <v>Value Missing</v>
      </c>
    </row>
    <row r="453" spans="5:9" ht="20" customHeight="1" x14ac:dyDescent="0.2">
      <c r="E453" s="2"/>
      <c r="F453" s="2"/>
      <c r="G453" s="2"/>
      <c r="H453" s="4" t="s">
        <v>1267</v>
      </c>
      <c r="I453" s="8" t="str">
        <f>IF(ISBLANK(input_wld_az2_host9_vrms_ip),"Value Missing",input_wld_az2_host9_vrms_ip)</f>
        <v>Value Missing</v>
      </c>
    </row>
    <row r="454" spans="5:9" ht="20" customHeight="1" x14ac:dyDescent="0.2">
      <c r="E454" s="618" t="s">
        <v>1341</v>
      </c>
      <c r="F454" s="619"/>
      <c r="G454" s="2"/>
      <c r="H454" s="4" t="s">
        <v>1269</v>
      </c>
      <c r="I454" s="8" t="str">
        <f>IF(ISBLANK(input_wld_az2_host10_vrms_ip),"Value Missing",input_wld_az2_host10_vrms_ip)</f>
        <v>Value Missing</v>
      </c>
    </row>
    <row r="455" spans="5:9" ht="20" customHeight="1" x14ac:dyDescent="0.2">
      <c r="E455" s="19" t="s">
        <v>250</v>
      </c>
      <c r="F455" s="20" t="s">
        <v>1322</v>
      </c>
      <c r="G455" s="2"/>
      <c r="H455" s="4" t="s">
        <v>1271</v>
      </c>
      <c r="I455" s="8" t="str">
        <f>IF(ISBLANK(input_wld_az2_host11_vrms_ip),"Value Missing",input_wld_az2_host11_vrms_ip)</f>
        <v>Value Missing</v>
      </c>
    </row>
    <row r="456" spans="5:9" ht="20" customHeight="1" x14ac:dyDescent="0.2">
      <c r="E456" s="4" t="s">
        <v>1258</v>
      </c>
      <c r="F456" s="8" t="str">
        <f>IF(mgmt_az2_host1_fqdn="Value Missing",mgmt_az2_host1_fqdn,LEFT(mgmt_az2_host1_fqdn,FIND(".",mgmt_az2_host1_fqdn)-1))</f>
        <v>Value Missing</v>
      </c>
      <c r="G456" s="2"/>
      <c r="H456" s="4" t="s">
        <v>1273</v>
      </c>
      <c r="I456" s="8" t="str">
        <f>IF(ISBLANK(input_wld_az2_host12_vrms_ip),"Value Missing",input_wld_az2_host12_vrms_ip)</f>
        <v>Value Missing</v>
      </c>
    </row>
    <row r="457" spans="5:9" ht="20" customHeight="1" x14ac:dyDescent="0.2">
      <c r="E457" s="4" t="s">
        <v>1260</v>
      </c>
      <c r="F457" s="8" t="str">
        <f>IF(mgmt_az2_host2_fqdn="Value Missing",mgmt_az2_host2_fqdn,LEFT(mgmt_az2_host2_fqdn,FIND(".",mgmt_az2_host2_fqdn)-1))</f>
        <v>Value Missing</v>
      </c>
      <c r="G457" s="2"/>
      <c r="H457" s="4" t="s">
        <v>1275</v>
      </c>
      <c r="I457" s="8" t="str">
        <f>IF(ISBLANK(input_wld_az2_host13_vrms_ip),"Value Missing",input_wld_az2_host13_vrms_ip)</f>
        <v>Value Missing</v>
      </c>
    </row>
    <row r="458" spans="5:9" ht="20" customHeight="1" x14ac:dyDescent="0.2">
      <c r="E458" s="4" t="s">
        <v>1262</v>
      </c>
      <c r="F458" s="8" t="str">
        <f>IF(mgmt_az2_host3_fqdn="Value Missing",mgmt_az2_host3_fqdn,LEFT(mgmt_az2_host3_fqdn,FIND(".",mgmt_az2_host3_fqdn)-1))</f>
        <v>Value Missing</v>
      </c>
      <c r="G458" s="21"/>
      <c r="H458" s="4" t="s">
        <v>1277</v>
      </c>
      <c r="I458" s="8" t="str">
        <f>IF(ISBLANK(input_wld_az2_host14_vrms_ip),"Value Missing",input_wld_az2_host14_vrms_ip)</f>
        <v>Value Missing</v>
      </c>
    </row>
    <row r="459" spans="5:9" ht="20" customHeight="1" x14ac:dyDescent="0.2">
      <c r="E459" s="4" t="s">
        <v>1264</v>
      </c>
      <c r="F459" s="8" t="str">
        <f>IF(mgmt_az2_host4_fqdn="Value Missing",mgmt_az2_host4_fqdn,LEFT(mgmt_az2_host4_fqdn,FIND(".",mgmt_az2_host4_fqdn)-1))</f>
        <v>Value Missing</v>
      </c>
      <c r="G459" s="2"/>
      <c r="H459" s="4" t="s">
        <v>1279</v>
      </c>
      <c r="I459" s="8" t="str">
        <f>IF(ISBLANK(input_wld_az2_host15_vrms_ip),"Value Missing",input_wld_az2_host15_vrms_ip)</f>
        <v>Value Missing</v>
      </c>
    </row>
    <row r="460" spans="5:9" ht="20" customHeight="1" x14ac:dyDescent="0.2">
      <c r="E460" s="4" t="s">
        <v>1266</v>
      </c>
      <c r="F460" s="8" t="str">
        <f>IF(mgmt_az2_host5_fqdn="Value Missing",mgmt_az2_host5_fqdn,LEFT(mgmt_az2_host5_fqdn,FIND(".",mgmt_az2_host5_fqdn)-1))</f>
        <v>Value Missing</v>
      </c>
      <c r="G460" s="2"/>
      <c r="H460" s="4" t="s">
        <v>1281</v>
      </c>
      <c r="I460" s="8" t="str">
        <f>IF(ISBLANK(input_wld_az2_host16_vrms_ip),"Value Missing",input_wld_az2_host16_vrms_ip)</f>
        <v>Value Missing</v>
      </c>
    </row>
    <row r="461" spans="5:9" ht="20" customHeight="1" x14ac:dyDescent="0.2">
      <c r="E461" s="4" t="s">
        <v>1268</v>
      </c>
      <c r="F461" s="8" t="str">
        <f>IF(mgmt_az2_host6_fqdn="Value Missing",mgmt_az2_host6_fqdn,LEFT(mgmt_az2_host6_fqdn,FIND(".",mgmt_az2_host6_fqdn)-1))</f>
        <v>Value Missing</v>
      </c>
      <c r="G461" s="2"/>
      <c r="I461" s="25"/>
    </row>
    <row r="462" spans="5:9" ht="20" customHeight="1" x14ac:dyDescent="0.2">
      <c r="E462" s="4" t="s">
        <v>1270</v>
      </c>
      <c r="F462" s="8" t="str">
        <f>IF(mgmt_az2_host7_fqdn="Value Missing",mgmt_az2_host7_fqdn,LEFT(mgmt_az2_host7_fqdn,FIND(".",mgmt_az2_host7_fqdn)-1))</f>
        <v>Value Missing</v>
      </c>
      <c r="G462" s="2"/>
      <c r="H462" s="618" t="s">
        <v>1342</v>
      </c>
      <c r="I462" s="619"/>
    </row>
    <row r="463" spans="5:9" ht="20" customHeight="1" x14ac:dyDescent="0.2">
      <c r="E463" s="4" t="s">
        <v>1272</v>
      </c>
      <c r="F463" s="8" t="str">
        <f>IF(mgmt_az2_host8_fqdn="Value Missing",mgmt_az2_host8_fqdn,LEFT(mgmt_az2_host8_fqdn,FIND(".",mgmt_az2_host8_fqdn)-1))</f>
        <v>Value Missing</v>
      </c>
      <c r="G463" s="2"/>
      <c r="H463" s="19" t="s">
        <v>250</v>
      </c>
      <c r="I463" s="20" t="s">
        <v>1322</v>
      </c>
    </row>
    <row r="464" spans="5:9" ht="20" customHeight="1" x14ac:dyDescent="0.2">
      <c r="E464" s="4" t="s">
        <v>1274</v>
      </c>
      <c r="F464" s="8" t="str">
        <f>IF(mgmt_az2_host9_fqdn="Value Missing",mgmt_az2_host9_fqdn,LEFT(mgmt_az2_host9_fqdn,FIND(".",mgmt_az2_host9_fqdn)-1))</f>
        <v>Value Missing</v>
      </c>
      <c r="G464" s="2"/>
      <c r="H464" s="4" t="s">
        <v>1258</v>
      </c>
      <c r="I464" s="8" t="str">
        <f>IF(wld_az2_host1_fqdn="Value Missing",wld_az2_host1_fqdn,LEFT(wld_az2_host1_fqdn,FIND(".",wld_az2_host1_fqdn)-1))</f>
        <v>Value Missing</v>
      </c>
    </row>
    <row r="465" spans="5:9" ht="20" customHeight="1" x14ac:dyDescent="0.2">
      <c r="E465" s="4" t="s">
        <v>1276</v>
      </c>
      <c r="F465" s="8" t="str">
        <f>IF(mgmt_az2_host10_fqdn="Value Missing",mgmt_az2_host10_fqdn,LEFT(mgmt_az2_host10_fqdn,FIND(".",mgmt_az2_host10_fqdn)-1))</f>
        <v>Value Missing</v>
      </c>
      <c r="G465" s="2"/>
      <c r="H465" s="4" t="s">
        <v>1260</v>
      </c>
      <c r="I465" s="8" t="str">
        <f>IF(wld_az2_host2_fqdn="Value Missing",wld_az2_host2_fqdn,LEFT(wld_az2_host2_fqdn,FIND(".",wld_az2_host2_fqdn)-1))</f>
        <v>Value Missing</v>
      </c>
    </row>
    <row r="466" spans="5:9" ht="20" customHeight="1" x14ac:dyDescent="0.2">
      <c r="E466" s="4" t="s">
        <v>1278</v>
      </c>
      <c r="F466" s="8" t="str">
        <f>IF(mgmt_az2_host11_fqdn="Value Missing",mgmt_az2_host11_fqdn,LEFT(mgmt_az2_host11_fqdn,FIND(".",mgmt_az2_host11_fqdn)-1))</f>
        <v>Value Missing</v>
      </c>
      <c r="G466" s="2"/>
      <c r="H466" s="4" t="s">
        <v>1262</v>
      </c>
      <c r="I466" s="8" t="str">
        <f>IF(wld_az2_host3_fqdn="Value Missing",wld_az2_host3_fqdn,LEFT(wld_az2_host3_fqdn,FIND(".",wld_az2_host3_fqdn)-1))</f>
        <v>Value Missing</v>
      </c>
    </row>
    <row r="467" spans="5:9" ht="20" customHeight="1" x14ac:dyDescent="0.2">
      <c r="E467" s="4" t="s">
        <v>1280</v>
      </c>
      <c r="F467" s="8" t="str">
        <f>IF(mgmt_az2_host12_fqdn="Value Missing",mgmt_az2_host12_fqdn,LEFT(mgmt_az2_host12_fqdn,FIND(".",mgmt_az2_host12_fqdn)-1))</f>
        <v>Value Missing</v>
      </c>
      <c r="G467" s="2"/>
      <c r="H467" s="4" t="s">
        <v>1264</v>
      </c>
      <c r="I467" s="8" t="str">
        <f>IF(wld_az2_host4_fqdn="Value Missing",wld_az2_host4_fqdn,LEFT(wld_az2_host4_fqdn,FIND(".",wld_az2_host4_fqdn)-1))</f>
        <v>Value Missing</v>
      </c>
    </row>
    <row r="468" spans="5:9" ht="20" customHeight="1" x14ac:dyDescent="0.2">
      <c r="E468" s="4" t="s">
        <v>1282</v>
      </c>
      <c r="F468" s="8" t="str">
        <f>IF(mgmt_az2_host13_fqdn="Value Missing",mgmt_az2_host13_fqdn,LEFT(mgmt_az2_host13_fqdn,FIND(".",mgmt_az2_host13_fqdn)-1))</f>
        <v>Value Missing</v>
      </c>
      <c r="G468" s="2"/>
      <c r="H468" s="4" t="s">
        <v>1266</v>
      </c>
      <c r="I468" s="8" t="str">
        <f>IF(wld_az2_host5_fqdn="Value Missing",wld_az2_host5_fqdn,LEFT(wld_az2_host5_fqdn,FIND(".",wld_az2_host5_fqdn)-1))</f>
        <v>Value Missing</v>
      </c>
    </row>
    <row r="469" spans="5:9" ht="20" customHeight="1" x14ac:dyDescent="0.2">
      <c r="E469" s="4" t="s">
        <v>1283</v>
      </c>
      <c r="F469" s="8" t="str">
        <f>IF(mgmt_az2_host14_fqdn="Value Missing",mgmt_az2_host14_fqdn,LEFT(mgmt_az2_host14_fqdn,FIND(".",mgmt_az2_host14_fqdn)-1))</f>
        <v>Value Missing</v>
      </c>
      <c r="G469" s="2"/>
      <c r="H469" s="4" t="s">
        <v>1268</v>
      </c>
      <c r="I469" s="8" t="str">
        <f>IF(wld_az2_host6_fqdn="Value Missing",wld_az2_host6_fqdn,LEFT(wld_az2_host6_fqdn,FIND(".",wld_az2_host6_fqdn)-1))</f>
        <v>Value Missing</v>
      </c>
    </row>
    <row r="470" spans="5:9" ht="20" customHeight="1" x14ac:dyDescent="0.2">
      <c r="E470" s="4" t="s">
        <v>1286</v>
      </c>
      <c r="F470" s="8" t="str">
        <f>IF(mgmt_az2_host15_fqdn="Value Missing",mgmt_az2_host15_fqdn,LEFT(mgmt_az2_host15_fqdn,FIND(".",mgmt_az2_host15_fqdn)-1))</f>
        <v>Value Missing</v>
      </c>
      <c r="G470" s="2"/>
      <c r="H470" s="4" t="s">
        <v>1270</v>
      </c>
      <c r="I470" s="8" t="str">
        <f>IF(wld_az2_host7_fqdn="Value Missing",wld_az2_host7_fqdn,LEFT(wld_az2_host7_fqdn,FIND(".",wld_az2_host7_fqdn)-1))</f>
        <v>Value Missing</v>
      </c>
    </row>
    <row r="471" spans="5:9" ht="20" customHeight="1" x14ac:dyDescent="0.2">
      <c r="E471" s="4" t="s">
        <v>1287</v>
      </c>
      <c r="F471" s="8" t="str">
        <f>IF(mgmt_az2_host16_fqdn="Value Missing",mgmt_az2_host16_fqdn,LEFT(mgmt_az2_host16_fqdn,FIND(".",mgmt_az2_host16_fqdn)-1))</f>
        <v>Value Missing</v>
      </c>
      <c r="G471" s="2"/>
      <c r="H471" s="4" t="s">
        <v>1272</v>
      </c>
      <c r="I471" s="8" t="str">
        <f>IF(wld_az2_host8_fqdn="Value Missing",wld_az2_host8_fqdn,LEFT(wld_az2_host8_fqdn,FIND(".",wld_az2_host8_fqdn)-1))</f>
        <v>Value Missing</v>
      </c>
    </row>
    <row r="472" spans="5:9" ht="20" customHeight="1" x14ac:dyDescent="0.2">
      <c r="E472" s="2"/>
      <c r="F472" s="2"/>
      <c r="G472" s="2"/>
      <c r="H472" s="4" t="s">
        <v>1274</v>
      </c>
      <c r="I472" s="8" t="str">
        <f>IF(wld_az2_host9_fqdn="Value Missing",wld_az2_host9_fqdn,LEFT(wld_az2_host9_fqdn,FIND(".",wld_az2_host9_fqdn)-1))</f>
        <v>Value Missing</v>
      </c>
    </row>
    <row r="473" spans="5:9" ht="20" customHeight="1" x14ac:dyDescent="0.2">
      <c r="E473" s="14" t="s">
        <v>1343</v>
      </c>
      <c r="F473" s="16"/>
      <c r="G473" s="2"/>
      <c r="H473" s="4" t="s">
        <v>1276</v>
      </c>
      <c r="I473" s="8" t="str">
        <f>IF(wld_az2_host10_fqdn="Value Missing",wld_az2_host10_fqdn,LEFT(wld_az2_host10_fqdn,FIND(".",wld_az2_host10_fqdn)-1))</f>
        <v>Value Missing</v>
      </c>
    </row>
    <row r="474" spans="5:9" ht="20" customHeight="1" x14ac:dyDescent="0.2">
      <c r="E474" s="19" t="s">
        <v>250</v>
      </c>
      <c r="F474" s="20" t="s">
        <v>1322</v>
      </c>
      <c r="G474" s="2"/>
      <c r="H474" s="4" t="s">
        <v>1278</v>
      </c>
      <c r="I474" s="8" t="str">
        <f>IF(wld_az2_host11_fqdn="Value Missing",wld_az2_host11_fqdn,LEFT(wld_az2_host11_fqdn,FIND(".",wld_az2_host11_fqdn)-1))</f>
        <v>Value Missing</v>
      </c>
    </row>
    <row r="475" spans="5:9" ht="20" customHeight="1" x14ac:dyDescent="0.2">
      <c r="E475" s="4" t="s">
        <v>1258</v>
      </c>
      <c r="F475" s="8" t="str">
        <f>IF(ISBLANK(input_mgmt_az2_host1_fqdn),"Value Missing",input_mgmt_az2_host1_fqdn)</f>
        <v>Value Missing</v>
      </c>
      <c r="H475" s="4" t="s">
        <v>1280</v>
      </c>
      <c r="I475" s="8" t="str">
        <f>IF(wld_az2_host12_fqdn="Value Missing",wld_az2_host12_fqdn,LEFT(wld_az2_host12_fqdn,FIND(".",wld_az2_host12_fqdn)-1))</f>
        <v>Value Missing</v>
      </c>
    </row>
    <row r="476" spans="5:9" ht="20" customHeight="1" x14ac:dyDescent="0.2">
      <c r="E476" s="4" t="s">
        <v>1260</v>
      </c>
      <c r="F476" s="8" t="str">
        <f>IF(ISBLANK(input_mgmt_az2_host2_fqdn),"Value Missing",input_mgmt_az2_host2_fqdn)</f>
        <v>Value Missing</v>
      </c>
      <c r="H476" s="4" t="s">
        <v>1282</v>
      </c>
      <c r="I476" s="8" t="str">
        <f>IF(wld_az2_host13_fqdn="Value Missing",wld_az2_host13_fqdn,LEFT(wld_az2_host13_fqdn,FIND(".",wld_az2_host13_fqdn)-1))</f>
        <v>Value Missing</v>
      </c>
    </row>
    <row r="477" spans="5:9" ht="20" customHeight="1" x14ac:dyDescent="0.2">
      <c r="E477" s="4" t="s">
        <v>1262</v>
      </c>
      <c r="F477" s="8" t="str">
        <f>IF(ISBLANK(input_mgmt_az2_host3_fqdn),"Value Missing",input_mgmt_az2_host3_fqdn)</f>
        <v>Value Missing</v>
      </c>
      <c r="H477" s="4" t="s">
        <v>1283</v>
      </c>
      <c r="I477" s="8" t="str">
        <f>IF(wld_az2_host14_fqdn="Value Missing",wld_az2_host14_fqdn,LEFT(wld_az2_host14_fqdn,FIND(".",wld_az2_host14_fqdn)-1))</f>
        <v>Value Missing</v>
      </c>
    </row>
    <row r="478" spans="5:9" ht="20" customHeight="1" x14ac:dyDescent="0.2">
      <c r="E478" s="4" t="s">
        <v>1264</v>
      </c>
      <c r="F478" s="8" t="str">
        <f>IF(ISBLANK(input_mgmt_az2_host4_fqdn),"Value Missing",input_mgmt_az2_host4_fqdn)</f>
        <v>Value Missing</v>
      </c>
      <c r="H478" s="4" t="s">
        <v>1286</v>
      </c>
      <c r="I478" s="8" t="str">
        <f>IF(wld_az2_host15_fqdn="Value Missing",wld_az2_host15_fqdn,LEFT(wld_az2_host15_fqdn,FIND(".",wld_az2_host15_fqdn)-1))</f>
        <v>Value Missing</v>
      </c>
    </row>
    <row r="479" spans="5:9" ht="20" customHeight="1" x14ac:dyDescent="0.2">
      <c r="E479" s="4" t="s">
        <v>1266</v>
      </c>
      <c r="F479" s="8" t="str">
        <f>IF(ISBLANK(input_mgmt_az2_host5_fqdn),"Value Missing",input_mgmt_az2_host5_fqdn)</f>
        <v>Value Missing</v>
      </c>
      <c r="H479" s="4" t="s">
        <v>1287</v>
      </c>
      <c r="I479" s="8" t="str">
        <f>IF(wld_az2_host16_fqdn="Value Missing",wld_az2_host16_fqdn,LEFT(wld_az2_host16_fqdn,FIND(".",wld_az2_host16_fqdn)-1))</f>
        <v>Value Missing</v>
      </c>
    </row>
    <row r="480" spans="5:9" ht="20" customHeight="1" x14ac:dyDescent="0.2">
      <c r="E480" s="4" t="s">
        <v>1268</v>
      </c>
      <c r="F480" s="8" t="str">
        <f>IF(ISBLANK(input_mgmt_az2_host6_fqdn),"Value Missing",input_mgmt_az2_host6_fqdn)</f>
        <v>Value Missing</v>
      </c>
      <c r="I480" s="25"/>
    </row>
    <row r="481" spans="5:9" ht="20" customHeight="1" x14ac:dyDescent="0.2">
      <c r="E481" s="4" t="s">
        <v>1270</v>
      </c>
      <c r="F481" s="8" t="str">
        <f>IF(ISBLANK(input_mgmt_az2_host7_fqdn),"Value Missing",input_mgmt_az2_host7_fqdn)</f>
        <v>Value Missing</v>
      </c>
      <c r="H481" s="14" t="s">
        <v>1296</v>
      </c>
      <c r="I481" s="16"/>
    </row>
    <row r="482" spans="5:9" ht="20" customHeight="1" x14ac:dyDescent="0.2">
      <c r="E482" s="4" t="s">
        <v>1272</v>
      </c>
      <c r="F482" s="8" t="str">
        <f>IF(ISBLANK(input_mgmt_az2_host8_fqdn),"Value Missing",input_mgmt_az2_host8_fqdn)</f>
        <v>Value Missing</v>
      </c>
      <c r="H482" s="19" t="s">
        <v>250</v>
      </c>
      <c r="I482" s="20" t="s">
        <v>1322</v>
      </c>
    </row>
    <row r="483" spans="5:9" ht="20" customHeight="1" x14ac:dyDescent="0.2">
      <c r="E483" s="4" t="s">
        <v>1274</v>
      </c>
      <c r="F483" s="8" t="str">
        <f>IF(ISBLANK(input_mgmt_az2_host9_fqdn),"Value Missing",input_mgmt_az2_host9_fqdn)</f>
        <v>Value Missing</v>
      </c>
      <c r="H483" s="4" t="s">
        <v>1258</v>
      </c>
      <c r="I483" s="8" t="str">
        <f>IF(ISBLANK(input_wld_az2_host1_fqdn),"Value Missing",input_wld_az2_host1_fqdn)</f>
        <v>Value Missing</v>
      </c>
    </row>
    <row r="484" spans="5:9" ht="20" customHeight="1" x14ac:dyDescent="0.2">
      <c r="E484" s="4" t="s">
        <v>1276</v>
      </c>
      <c r="F484" s="8" t="str">
        <f>IF(ISBLANK(input_mgmt_az2_host10_fqdn),"Value Missing",input_mgmt_az2_host10_fqdn)</f>
        <v>Value Missing</v>
      </c>
      <c r="H484" s="4" t="s">
        <v>1260</v>
      </c>
      <c r="I484" s="8" t="str">
        <f>IF(ISBLANK(input_wld_az2_host2_fqdn),"Value Missing",input_wld_az2_host2_fqdn)</f>
        <v>Value Missing</v>
      </c>
    </row>
    <row r="485" spans="5:9" ht="20" customHeight="1" x14ac:dyDescent="0.2">
      <c r="E485" s="4" t="s">
        <v>1278</v>
      </c>
      <c r="F485" s="8" t="str">
        <f>IF(ISBLANK(input_mgmt_az2_host11_fqdn),"Value Missing",input_mgmt_az2_host11_fqdn)</f>
        <v>Value Missing</v>
      </c>
      <c r="H485" s="4" t="s">
        <v>1262</v>
      </c>
      <c r="I485" s="8" t="str">
        <f>IF(ISBLANK(input_wld_az2_host3_fqdn),"Value Missing",input_wld_az2_host3_fqdn)</f>
        <v>Value Missing</v>
      </c>
    </row>
    <row r="486" spans="5:9" ht="20" customHeight="1" x14ac:dyDescent="0.2">
      <c r="E486" s="4" t="s">
        <v>1280</v>
      </c>
      <c r="F486" s="8" t="str">
        <f>IF(ISBLANK(input_mgmt_az2_host12_fqdn),"Value Missing",input_mgmt_az2_host12_fqdn)</f>
        <v>Value Missing</v>
      </c>
      <c r="H486" s="4" t="s">
        <v>1264</v>
      </c>
      <c r="I486" s="8" t="str">
        <f>IF(ISBLANK(input_wld_az2_host4_fqdn),"Value Missing",input_wld_az2_host4_fqdn)</f>
        <v>Value Missing</v>
      </c>
    </row>
    <row r="487" spans="5:9" ht="20" customHeight="1" x14ac:dyDescent="0.2">
      <c r="E487" s="4" t="s">
        <v>1282</v>
      </c>
      <c r="F487" s="8" t="str">
        <f>IF(ISBLANK(input_mgmt_az2_host13_fqdn),"Value Missing",input_mgmt_az2_host13_fqdn)</f>
        <v>Value Missing</v>
      </c>
      <c r="H487" s="4" t="s">
        <v>1266</v>
      </c>
      <c r="I487" s="8" t="str">
        <f>IF(ISBLANK(input_wld_az2_host5_fqdn),"Value Missing",input_wld_az2_host5_fqdn)</f>
        <v>Value Missing</v>
      </c>
    </row>
    <row r="488" spans="5:9" ht="20" customHeight="1" x14ac:dyDescent="0.2">
      <c r="E488" s="4" t="s">
        <v>1283</v>
      </c>
      <c r="F488" s="8" t="str">
        <f>IF(ISBLANK(input_mgmt_az2_host14_fqdn),"Value Missing",input_mgmt_az2_host14_fqdn)</f>
        <v>Value Missing</v>
      </c>
      <c r="H488" s="4" t="s">
        <v>1268</v>
      </c>
      <c r="I488" s="8" t="str">
        <f>IF(ISBLANK(input_wld_az2_host6_fqdn),"Value Missing",input_wld_az2_host6_fqdn)</f>
        <v>Value Missing</v>
      </c>
    </row>
    <row r="489" spans="5:9" ht="20" customHeight="1" x14ac:dyDescent="0.2">
      <c r="E489" s="4" t="s">
        <v>1286</v>
      </c>
      <c r="F489" s="8" t="str">
        <f>IF(ISBLANK(input_mgmt_az2_host15_fqdn),"Value Missing",input_mgmt_az2_host15_fqdn)</f>
        <v>Value Missing</v>
      </c>
      <c r="H489" s="4" t="s">
        <v>1270</v>
      </c>
      <c r="I489" s="8" t="str">
        <f>IF(ISBLANK(input_wld_az2_host7_fqdn),"Value Missing",input_wld_az2_host7_fqdn)</f>
        <v>Value Missing</v>
      </c>
    </row>
    <row r="490" spans="5:9" ht="20" customHeight="1" x14ac:dyDescent="0.2">
      <c r="E490" s="4" t="s">
        <v>1287</v>
      </c>
      <c r="F490" s="8" t="str">
        <f>IF(ISBLANK(input_mgmt_az2_host16_fqdn),"Value Missing",input_mgmt_az2_host16_fqdn)</f>
        <v>Value Missing</v>
      </c>
      <c r="H490" s="4" t="s">
        <v>1272</v>
      </c>
      <c r="I490" s="8" t="str">
        <f>IF(ISBLANK(input_wld_az2_host8_fqdn),"Value Missing",input_wld_az2_host8_fqdn)</f>
        <v>Value Missing</v>
      </c>
    </row>
    <row r="491" spans="5:9" ht="20" customHeight="1" x14ac:dyDescent="0.2">
      <c r="E491" s="2"/>
      <c r="F491" s="2"/>
      <c r="H491" s="4" t="s">
        <v>1274</v>
      </c>
      <c r="I491" s="8" t="str">
        <f>IF(ISBLANK(input_wld_az2_host9_fqdn),"Value Missing",input_wld_az2_host9_fqdn)</f>
        <v>Value Missing</v>
      </c>
    </row>
    <row r="492" spans="5:9" ht="20" customHeight="1" x14ac:dyDescent="0.2">
      <c r="H492" s="4" t="s">
        <v>1276</v>
      </c>
      <c r="I492" s="8" t="str">
        <f>IF(ISBLANK(input_wld_az2_host10_fqdn),"Value Missing",input_wld_az2_host10_fqdn)</f>
        <v>Value Missing</v>
      </c>
    </row>
    <row r="493" spans="5:9" ht="20" customHeight="1" x14ac:dyDescent="0.2">
      <c r="H493" s="4" t="s">
        <v>1278</v>
      </c>
      <c r="I493" s="8" t="str">
        <f>IF(ISBLANK(input_wld_az2_host11_fqdn),"Value Missing",input_wld_az2_host11_fqdn)</f>
        <v>Value Missing</v>
      </c>
    </row>
    <row r="494" spans="5:9" ht="20" customHeight="1" x14ac:dyDescent="0.2">
      <c r="H494" s="4" t="s">
        <v>1280</v>
      </c>
      <c r="I494" s="8" t="str">
        <f>IF(ISBLANK(input_wld_az2_host12_fqdn),"Value Missing",input_wld_az2_host12_fqdn)</f>
        <v>Value Missing</v>
      </c>
    </row>
    <row r="495" spans="5:9" ht="20" customHeight="1" x14ac:dyDescent="0.2">
      <c r="H495" s="4" t="s">
        <v>1282</v>
      </c>
      <c r="I495" s="8" t="str">
        <f>IF(ISBLANK(input_wld_az2_host13_fqdn),"Value Missing",input_wld_az2_host13_fqdn)</f>
        <v>Value Missing</v>
      </c>
    </row>
    <row r="496" spans="5:9" ht="20" customHeight="1" x14ac:dyDescent="0.2">
      <c r="H496" s="4" t="s">
        <v>1283</v>
      </c>
      <c r="I496" s="8" t="str">
        <f>IF(ISBLANK(input_wld_az2_host14_fqdn),"Value Missing",input_wld_az2_host14_fqdn)</f>
        <v>Value Missing</v>
      </c>
    </row>
    <row r="497" spans="8:9" ht="20" customHeight="1" x14ac:dyDescent="0.2">
      <c r="H497" s="4" t="s">
        <v>1286</v>
      </c>
      <c r="I497" s="8" t="str">
        <f>IF(ISBLANK(input_wld_az2_host15_fqdn),"Value Missing",input_wld_az2_host15_fqdn)</f>
        <v>Value Missing</v>
      </c>
    </row>
    <row r="498" spans="8:9" ht="20" customHeight="1" x14ac:dyDescent="0.2">
      <c r="H498" s="4" t="s">
        <v>1287</v>
      </c>
      <c r="I498" s="8" t="str">
        <f>IF(ISBLANK(input_wld_az2_host16_fqdn),"Value Missing",input_wld_az2_host16_fqdn)</f>
        <v>Value Missing</v>
      </c>
    </row>
    <row r="499" spans="8:9" ht="20" customHeight="1" x14ac:dyDescent="0.2">
      <c r="I499" s="25"/>
    </row>
  </sheetData>
  <sheetProtection algorithmName="SHA-512" hashValue="U14fGFtFFR+ck0yQePmE3qBzkf1hiUBSCnUSxbY3kWCXjOV2amKtZGhnAanKj1en6lHs7gkYrSLmNZRPbY/KHg==" saltValue="/qHxHGxyIqKtidtIIk/FMw==" spinCount="100000" sheet="1" objects="1" scenarios="1"/>
  <mergeCells count="31">
    <mergeCell ref="AG6:AH6"/>
    <mergeCell ref="AG17:AH17"/>
    <mergeCell ref="Z192:AA192"/>
    <mergeCell ref="AC192:AD192"/>
    <mergeCell ref="K192:L192"/>
    <mergeCell ref="N192:O192"/>
    <mergeCell ref="Q192:R192"/>
    <mergeCell ref="T192:U192"/>
    <mergeCell ref="W192:X192"/>
    <mergeCell ref="N216:O216"/>
    <mergeCell ref="K216:L216"/>
    <mergeCell ref="Q216:R216"/>
    <mergeCell ref="Z216:AA216"/>
    <mergeCell ref="AC216:AD216"/>
    <mergeCell ref="T216:U216"/>
    <mergeCell ref="W216:X216"/>
    <mergeCell ref="E232:F232"/>
    <mergeCell ref="E454:F454"/>
    <mergeCell ref="H462:I462"/>
    <mergeCell ref="H192:I192"/>
    <mergeCell ref="H232:I232"/>
    <mergeCell ref="E192:F192"/>
    <mergeCell ref="B42:C42"/>
    <mergeCell ref="B50:C50"/>
    <mergeCell ref="B58:C58"/>
    <mergeCell ref="E2:M2"/>
    <mergeCell ref="E3:M3"/>
    <mergeCell ref="B6:C6"/>
    <mergeCell ref="B21:C21"/>
    <mergeCell ref="B30:C30"/>
    <mergeCell ref="E6:F6"/>
  </mergeCells>
  <conditionalFormatting sqref="C8:C19 C33:C35 C37:C40 C44:C48 C52:C56 C60">
    <cfRule type="notContainsBlanks" dxfId="738" priority="330">
      <formula>LEN(TRIM(C8))&gt;0</formula>
    </cfRule>
  </conditionalFormatting>
  <conditionalFormatting sqref="C23:C28">
    <cfRule type="notContainsBlanks" dxfId="735" priority="284">
      <formula>LEN(TRIM(C23))&gt;0</formula>
    </cfRule>
  </conditionalFormatting>
  <conditionalFormatting sqref="F135:F136">
    <cfRule type="expression" dxfId="729" priority="99">
      <formula>mgmt_domain_existing_vcf_operations_chosen="Selected"</formula>
    </cfRule>
    <cfRule type="notContainsBlanks" dxfId="727" priority="101">
      <formula>LEN(TRIM(F135))&gt;0</formula>
    </cfRule>
    <cfRule type="containsBlanks" dxfId="726" priority="102">
      <formula>LEN(TRIM(F135))=0</formula>
    </cfRule>
  </conditionalFormatting>
  <conditionalFormatting sqref="F150:F151">
    <cfRule type="expression" dxfId="725" priority="107">
      <formula>mgmt_domain_existing_vcf_operations_chosen="Selected"</formula>
    </cfRule>
    <cfRule type="notContainsBlanks" dxfId="723" priority="109">
      <formula>LEN(TRIM(F150))&gt;0</formula>
    </cfRule>
    <cfRule type="containsBlanks" dxfId="722" priority="110">
      <formula>LEN(TRIM(F150))=0</formula>
    </cfRule>
  </conditionalFormatting>
  <conditionalFormatting sqref="F161">
    <cfRule type="expression" dxfId="721" priority="103">
      <formula>mgmt_domain_existing_vcf_operations_chosen="Selected"</formula>
    </cfRule>
    <cfRule type="notContainsBlanks" dxfId="719" priority="105">
      <formula>LEN(TRIM(F161))&gt;0</formula>
    </cfRule>
    <cfRule type="containsBlanks" dxfId="718" priority="106">
      <formula>LEN(TRIM(F161))=0</formula>
    </cfRule>
  </conditionalFormatting>
  <conditionalFormatting sqref="F186">
    <cfRule type="expression" dxfId="717" priority="255">
      <formula>mgmt_domain_existing_vcf_operations_chosen="Selected"</formula>
    </cfRule>
    <cfRule type="notContainsBlanks" dxfId="715" priority="257">
      <formula>LEN(TRIM(F186))&gt;0</formula>
    </cfRule>
    <cfRule type="containsBlanks" dxfId="714" priority="258">
      <formula>LEN(TRIM(F186))=0</formula>
    </cfRule>
    <cfRule type="expression" dxfId="707" priority="267">
      <formula>mgmt_domain_existing_vcf_operations_chosen="Selected"</formula>
    </cfRule>
    <cfRule type="notContainsBlanks" dxfId="705" priority="269">
      <formula>LEN(TRIM(F186))&gt;0</formula>
    </cfRule>
    <cfRule type="containsBlanks" dxfId="704" priority="270">
      <formula>LEN(TRIM(F186))=0</formula>
    </cfRule>
  </conditionalFormatting>
  <conditionalFormatting sqref="I156">
    <cfRule type="expression" dxfId="690" priority="87">
      <formula>mgmt_domain_existing_vcf_operations_chosen="Selected"</formula>
    </cfRule>
    <cfRule type="notContainsBlanks" dxfId="688" priority="89">
      <formula>LEN(TRIM(I156))&gt;0</formula>
    </cfRule>
    <cfRule type="containsBlanks" dxfId="687" priority="90">
      <formula>LEN(TRIM(I156))=0</formula>
    </cfRule>
  </conditionalFormatting>
  <conditionalFormatting sqref="L276 N276 P276">
    <cfRule type="notContainsBlanks" dxfId="673" priority="85" stopIfTrue="1">
      <formula>LEN(TRIM(L276))&gt;0</formula>
    </cfRule>
    <cfRule type="containsBlanks" dxfId="672" priority="86">
      <formula>LEN(TRIM(L276))=0</formula>
    </cfRule>
  </conditionalFormatting>
  <conditionalFormatting sqref="L277 N277 P277">
    <cfRule type="notContainsBlanks" dxfId="671" priority="78" stopIfTrue="1">
      <formula>LEN(TRIM(L277))&gt;0</formula>
    </cfRule>
    <cfRule type="containsBlanks" dxfId="670" priority="79">
      <formula>LEN(TRIM(L277))=0</formula>
    </cfRule>
  </conditionalFormatting>
  <conditionalFormatting sqref="L278 N278 P278">
    <cfRule type="notContainsBlanks" dxfId="669" priority="71" stopIfTrue="1">
      <formula>LEN(TRIM(L278))&gt;0</formula>
    </cfRule>
    <cfRule type="containsBlanks" dxfId="668" priority="72">
      <formula>LEN(TRIM(L278))=0</formula>
    </cfRule>
  </conditionalFormatting>
  <conditionalFormatting sqref="L279 N279 P279">
    <cfRule type="notContainsBlanks" dxfId="667" priority="64" stopIfTrue="1">
      <formula>LEN(TRIM(L279))&gt;0</formula>
    </cfRule>
    <cfRule type="containsBlanks" dxfId="666" priority="65">
      <formula>LEN(TRIM(L279))=0</formula>
    </cfRule>
  </conditionalFormatting>
  <conditionalFormatting sqref="L280 N280 P280">
    <cfRule type="notContainsBlanks" dxfId="665" priority="57" stopIfTrue="1">
      <formula>LEN(TRIM(L280))&gt;0</formula>
    </cfRule>
    <cfRule type="containsBlanks" dxfId="664" priority="58">
      <formula>LEN(TRIM(L280))=0</formula>
    </cfRule>
  </conditionalFormatting>
  <conditionalFormatting sqref="L281 N281 P281">
    <cfRule type="notContainsBlanks" dxfId="663" priority="50" stopIfTrue="1">
      <formula>LEN(TRIM(L281))&gt;0</formula>
    </cfRule>
    <cfRule type="containsBlanks" dxfId="662" priority="51">
      <formula>LEN(TRIM(L281))=0</formula>
    </cfRule>
  </conditionalFormatting>
  <conditionalFormatting sqref="M271 K276:L276 N276:R276">
    <cfRule type="expression" dxfId="661" priority="82">
      <formula>wld_multi_rack_count_chosen&lt;2</formula>
    </cfRule>
  </conditionalFormatting>
  <conditionalFormatting sqref="M271:M276 K276:L281 N276:R281">
    <cfRule type="expression" dxfId="660" priority="45">
      <formula>OR(wld_domain_result="Excluded",wld_multirack_result="Excluded")</formula>
    </cfRule>
    <cfRule type="expression" dxfId="659" priority="46">
      <formula>wld_multi_rack_count_chosen="Exclude"</formula>
    </cfRule>
  </conditionalFormatting>
  <conditionalFormatting sqref="M272 K277:L277 N277:R277">
    <cfRule type="expression" dxfId="658" priority="75">
      <formula>wld_multi_rack_count_chosen&lt;3</formula>
    </cfRule>
  </conditionalFormatting>
  <conditionalFormatting sqref="M273 K278:L278 N278:R278">
    <cfRule type="expression" dxfId="657" priority="68">
      <formula>wld_multi_rack_count_chosen&lt;4</formula>
    </cfRule>
  </conditionalFormatting>
  <conditionalFormatting sqref="M274 K279:L279 N279:R279">
    <cfRule type="expression" dxfId="656" priority="61">
      <formula>wld_multi_rack_count_chosen&lt;5</formula>
    </cfRule>
  </conditionalFormatting>
  <conditionalFormatting sqref="M275 K280:L280 N280:R280">
    <cfRule type="expression" dxfId="655" priority="54">
      <formula>wld_multi_rack_count_chosen&lt;6</formula>
    </cfRule>
  </conditionalFormatting>
  <conditionalFormatting sqref="M276 K281:L281 N281:R281">
    <cfRule type="expression" dxfId="654" priority="47">
      <formula>wld_multi_rack_count_chosen&lt;7</formula>
    </cfRule>
  </conditionalFormatting>
  <conditionalFormatting sqref="R276">
    <cfRule type="notContainsBlanks" dxfId="635" priority="83" stopIfTrue="1">
      <formula>LEN(TRIM(R276))&gt;0</formula>
    </cfRule>
    <cfRule type="containsBlanks" dxfId="634" priority="84" stopIfTrue="1">
      <formula>LEN(TRIM(R276))=0</formula>
    </cfRule>
  </conditionalFormatting>
  <conditionalFormatting sqref="R277">
    <cfRule type="notContainsBlanks" dxfId="633" priority="76" stopIfTrue="1">
      <formula>LEN(TRIM(R277))&gt;0</formula>
    </cfRule>
    <cfRule type="containsBlanks" dxfId="632" priority="77" stopIfTrue="1">
      <formula>LEN(TRIM(R277))=0</formula>
    </cfRule>
  </conditionalFormatting>
  <conditionalFormatting sqref="R278">
    <cfRule type="notContainsBlanks" dxfId="631" priority="69" stopIfTrue="1">
      <formula>LEN(TRIM(R278))&gt;0</formula>
    </cfRule>
    <cfRule type="containsBlanks" dxfId="630" priority="70" stopIfTrue="1">
      <formula>LEN(TRIM(R278))=0</formula>
    </cfRule>
  </conditionalFormatting>
  <conditionalFormatting sqref="R279">
    <cfRule type="notContainsBlanks" dxfId="629" priority="62" stopIfTrue="1">
      <formula>LEN(TRIM(R279))&gt;0</formula>
    </cfRule>
    <cfRule type="containsBlanks" dxfId="628" priority="63" stopIfTrue="1">
      <formula>LEN(TRIM(R279))=0</formula>
    </cfRule>
  </conditionalFormatting>
  <conditionalFormatting sqref="R280">
    <cfRule type="notContainsBlanks" dxfId="627" priority="55" stopIfTrue="1">
      <formula>LEN(TRIM(R280))&gt;0</formula>
    </cfRule>
    <cfRule type="containsBlanks" dxfId="626" priority="56" stopIfTrue="1">
      <formula>LEN(TRIM(R280))=0</formula>
    </cfRule>
  </conditionalFormatting>
  <conditionalFormatting sqref="R281">
    <cfRule type="notContainsBlanks" dxfId="625" priority="48" stopIfTrue="1">
      <formula>LEN(TRIM(R281))&gt;0</formula>
    </cfRule>
    <cfRule type="containsBlanks" dxfId="624" priority="49" stopIfTrue="1">
      <formula>LEN(TRIM(R281))=0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325" operator="containsText" id="{30A3F409-3375-C04B-96F9-B67835A3D38B}">
            <xm:f>NOT(ISERROR(SEARCH("Value Missing",C8)))</xm:f>
            <xm:f>"Value Missing"</xm:f>
            <x14:dxf>
              <font>
                <color theme="1"/>
              </font>
              <fill>
                <patternFill>
                  <bgColor rgb="FFFFBE29"/>
                </patternFill>
              </fill>
            </x14:dxf>
          </x14:cfRule>
          <x14:cfRule type="containsText" priority="326" operator="containsText" id="{A65C3405-968D-A649-AF5B-232123F01C80}">
            <xm:f>NOT(ISERROR(SEARCH("Not Required",C8)))</xm:f>
            <xm:f>"Not Required"</xm:f>
            <x14:dxf>
              <font>
                <color theme="0"/>
              </font>
              <fill>
                <patternFill>
                  <bgColor rgb="FF4F5F69"/>
                </patternFill>
              </fill>
            </x14:dxf>
          </x14:cfRule>
          <xm:sqref>C8:C19 C33:C35 C37:C40 C44:C48 C52:C56 C60</xm:sqref>
        </x14:conditionalFormatting>
        <x14:conditionalFormatting xmlns:xm="http://schemas.microsoft.com/office/excel/2006/main">
          <x14:cfRule type="containsText" priority="282" operator="containsText" id="{2E06A456-9CFD-394A-87AD-D2A057EC4C00}">
            <xm:f>NOT(ISERROR(SEARCH("Value Missing",C23)))</xm:f>
            <xm:f>"Value Missing"</xm:f>
            <x14:dxf>
              <font>
                <color theme="1"/>
              </font>
              <fill>
                <patternFill>
                  <bgColor rgb="FFFFBE29"/>
                </patternFill>
              </fill>
            </x14:dxf>
          </x14:cfRule>
          <x14:cfRule type="containsText" priority="283" operator="containsText" id="{04254876-DA6D-6442-90ED-5779B82C483F}">
            <xm:f>NOT(ISERROR(SEARCH("Not Required",C23)))</xm:f>
            <xm:f>"Not Required"</xm:f>
            <x14:dxf>
              <font>
                <color theme="0"/>
              </font>
              <fill>
                <patternFill>
                  <bgColor rgb="FF4F5F69"/>
                </patternFill>
              </fill>
            </x14:dxf>
          </x14:cfRule>
          <xm:sqref>C23:C28</xm:sqref>
        </x14:conditionalFormatting>
        <x14:conditionalFormatting xmlns:xm="http://schemas.microsoft.com/office/excel/2006/main">
          <x14:cfRule type="notContainsText" priority="315" operator="notContains" id="{E2FC6685-011A-7D40-B36E-2F6CD984D011}">
            <xm:f>ISERROR(SEARCH("Value Missing",F38))</xm:f>
            <xm:f>"Value Missing"</xm:f>
            <x14:dxf>
              <font>
                <color theme="1"/>
              </font>
              <fill>
                <patternFill>
                  <bgColor rgb="FFEFFDE3"/>
                </patternFill>
              </fill>
            </x14:dxf>
          </x14:cfRule>
          <xm:sqref>F38:F49 I38:I49 L39:L47 O39:O47 R39:R47 F53:F64 I53:I64 L53:L64 O53:O64 R53:R64 U53:U64 X53:X64 AA53:AA64 AD53:AD64 I135:I136 I140:I151 I155 I157:I160 I271:I278 F271:F279 I339:I350</xm:sqref>
        </x14:conditionalFormatting>
        <x14:conditionalFormatting xmlns:xm="http://schemas.microsoft.com/office/excel/2006/main">
          <x14:cfRule type="containsText" priority="314" operator="containsText" id="{45CAB6F9-A76E-F144-8161-CEFD98D62362}">
            <xm:f>NOT(ISERROR(SEARCH("Not Required",F38)))</xm:f>
            <xm:f>"Not Required"</xm:f>
            <x14:dxf>
              <font>
                <color theme="0"/>
              </font>
              <fill>
                <patternFill>
                  <bgColor rgb="FF506069"/>
                </patternFill>
              </fill>
            </x14:dxf>
          </x14:cfRule>
          <xm:sqref>F38:F49 I38:I49 L39:L47 O39:O47 R39:R47 F53:F64 I53:I64 L53:L64 O53:O64 R53:R64 U53:U64 X53:X64 AA53:AA64 AD53:AD64 I135:I136 I140:I151 I155 I157:I160 I339:I350 I271:I278 F271:F279</xm:sqref>
        </x14:conditionalFormatting>
        <x14:conditionalFormatting xmlns:xm="http://schemas.microsoft.com/office/excel/2006/main">
          <x14:cfRule type="containsText" priority="25" operator="containsText" id="{F8F6D287-D5EC-A245-9627-98CF3DE76067}">
            <xm:f>NOT(ISERROR(SEARCH("Value Missing",F100)))</xm:f>
            <xm:f>"Value Missing"</xm:f>
            <x14:dxf>
              <font>
                <color theme="1"/>
              </font>
              <fill>
                <patternFill>
                  <bgColor rgb="FFFFBD29"/>
                </patternFill>
              </fill>
            </x14:dxf>
          </x14:cfRule>
          <x14:cfRule type="containsText" priority="26" operator="containsText" id="{322B45DF-0C3A-8341-85FC-40834E1CC103}">
            <xm:f>NOT(ISERROR(SEARCH("Not Required",F100)))</xm:f>
            <xm:f>"Not Required"</xm:f>
            <x14:dxf>
              <font>
                <color theme="0"/>
              </font>
              <fill>
                <patternFill>
                  <bgColor rgb="FF506069"/>
                </patternFill>
              </fill>
            </x14:dxf>
          </x14:cfRule>
          <x14:cfRule type="notContainsText" priority="27" operator="notContains" id="{5564705D-33A9-D14E-8CDD-B34AEA25C21F}">
            <xm:f>ISERROR(SEARCH("Value Missing",F100))</xm:f>
            <xm:f>"Value Missing"</xm:f>
            <x14:dxf>
              <font>
                <color theme="1"/>
              </font>
              <fill>
                <patternFill>
                  <bgColor rgb="FFEFFDE3"/>
                </patternFill>
              </fill>
            </x14:dxf>
          </x14:cfRule>
          <xm:sqref>F100:F111 I282:I289 F282:F290</xm:sqref>
        </x14:conditionalFormatting>
        <x14:conditionalFormatting xmlns:xm="http://schemas.microsoft.com/office/excel/2006/main">
          <x14:cfRule type="containsText" priority="100" stopIfTrue="1" operator="containsText" id="{5BF1A790-0B4D-5048-9ABD-D5312BB43F39}">
            <xm:f>NOT(ISERROR(SEARCH("Value Missing",F135)))</xm:f>
            <xm:f>"Value Missing"</xm:f>
            <x14:dxf>
              <font>
                <color rgb="FF0E223A"/>
              </font>
              <fill>
                <patternFill>
                  <bgColor rgb="FFFFBE29"/>
                </patternFill>
              </fill>
            </x14:dxf>
          </x14:cfRule>
          <xm:sqref>F135:F136</xm:sqref>
        </x14:conditionalFormatting>
        <x14:conditionalFormatting xmlns:xm="http://schemas.microsoft.com/office/excel/2006/main">
          <x14:cfRule type="containsText" priority="108" stopIfTrue="1" operator="containsText" id="{2025EE07-F0D2-5C4D-ADE3-0DD692DE1F78}">
            <xm:f>NOT(ISERROR(SEARCH("Value Missing",F150)))</xm:f>
            <xm:f>"Value Missing"</xm:f>
            <x14:dxf>
              <font>
                <color rgb="FF0E223A"/>
              </font>
              <fill>
                <patternFill>
                  <bgColor rgb="FFFFBE29"/>
                </patternFill>
              </fill>
            </x14:dxf>
          </x14:cfRule>
          <xm:sqref>F150:F151</xm:sqref>
        </x14:conditionalFormatting>
        <x14:conditionalFormatting xmlns:xm="http://schemas.microsoft.com/office/excel/2006/main">
          <x14:cfRule type="containsText" priority="104" stopIfTrue="1" operator="containsText" id="{2A22471B-5133-3C49-A30A-0F63C483BDB5}">
            <xm:f>NOT(ISERROR(SEARCH("Value Missing",F161)))</xm:f>
            <xm:f>"Value Missing"</xm:f>
            <x14:dxf>
              <font>
                <color rgb="FF0E223A"/>
              </font>
              <fill>
                <patternFill>
                  <bgColor rgb="FFFFBE29"/>
                </patternFill>
              </fill>
            </x14:dxf>
          </x14:cfRule>
          <xm:sqref>F161</xm:sqref>
        </x14:conditionalFormatting>
        <x14:conditionalFormatting xmlns:xm="http://schemas.microsoft.com/office/excel/2006/main">
          <x14:cfRule type="containsText" priority="256" stopIfTrue="1" operator="containsText" id="{7D4DEBEB-A173-7F4F-9C79-8ECC19831809}">
            <xm:f>NOT(ISERROR(SEARCH("Value Missing",F186)))</xm:f>
            <xm:f>"Value Missing"</xm:f>
            <x14:dxf>
              <font>
                <color rgb="FF0E223A"/>
              </font>
              <fill>
                <patternFill>
                  <bgColor rgb="FFFFBE29"/>
                </patternFill>
              </fill>
            </x14:dxf>
          </x14:cfRule>
          <x14:cfRule type="notContainsText" priority="260" operator="notContains" id="{60CD5978-8FB8-FF43-85E9-364702C0CAA9}">
            <xm:f>ISERROR(SEARCH("Value Missing",F186))</xm:f>
            <xm:f>"Value Missing"</xm:f>
            <x14:dxf>
              <font>
                <color rgb="FF006100"/>
              </font>
              <fill>
                <patternFill>
                  <bgColor rgb="FFC6EFCE"/>
                </patternFill>
              </fill>
            </x14:dxf>
          </x14:cfRule>
          <x14:cfRule type="containsText" priority="261" operator="containsText" id="{90CAD925-3107-4146-B9BB-526E697276DF}">
            <xm:f>NOT(ISERROR(SEARCH("Value Missing",F186)))</xm:f>
            <xm:f>"Value Missing"</xm:f>
            <x14:dxf>
              <font>
                <color rgb="FF9C0006"/>
              </font>
              <fill>
                <patternFill>
                  <bgColor rgb="FFFFC7CE"/>
                </patternFill>
              </fill>
            </x14:dxf>
          </x14:cfRule>
          <x14:cfRule type="notContainsText" priority="262" operator="notContains" id="{A64DB7C4-5E87-5A48-BE1E-79C5A5200141}">
            <xm:f>ISERROR(SEARCH("Value Missing",F186))</xm:f>
            <xm:f>"Value Missing"</xm:f>
            <x14:dxf>
              <font>
                <color rgb="FF006100"/>
              </font>
              <fill>
                <patternFill>
                  <bgColor rgb="FFC6EFCE"/>
                </patternFill>
              </fill>
            </x14:dxf>
          </x14:cfRule>
          <x14:cfRule type="containsText" priority="263" operator="containsText" id="{51D9070B-BE64-774E-9D04-DFDE224AE899}">
            <xm:f>NOT(ISERROR(SEARCH("Value Missing",F186)))</xm:f>
            <xm:f>"Value Missing"</xm:f>
            <x14:dxf>
              <font>
                <color rgb="FF9C0006"/>
              </font>
              <fill>
                <patternFill>
                  <bgColor rgb="FFFFC7CE"/>
                </patternFill>
              </fill>
            </x14:dxf>
          </x14:cfRule>
          <x14:cfRule type="notContainsText" priority="265" operator="notContains" id="{B7E4B134-1375-4741-ADC9-3D565C12F2AB}">
            <xm:f>ISERROR(SEARCH("Value Missing",F186))</xm:f>
            <xm:f>"Value Missing"</xm:f>
            <x14:dxf>
              <font>
                <color rgb="FF006100"/>
              </font>
              <fill>
                <patternFill>
                  <bgColor rgb="FFC6EFCE"/>
                </patternFill>
              </fill>
            </x14:dxf>
          </x14:cfRule>
          <x14:cfRule type="containsText" priority="266" operator="containsText" id="{3787AAFD-DADB-D94F-91BA-2E8FECD7C597}">
            <xm:f>NOT(ISERROR(SEARCH("Value Missing",F186)))</xm:f>
            <xm:f>"Value Missing"</xm:f>
            <x14:dxf>
              <font>
                <color rgb="FF9C0006"/>
              </font>
              <fill>
                <patternFill>
                  <bgColor rgb="FFFFC7CE"/>
                </patternFill>
              </fill>
            </x14:dxf>
          </x14:cfRule>
          <x14:cfRule type="containsText" priority="268" stopIfTrue="1" operator="containsText" id="{784E68FA-8023-794C-BD87-0A9D011C4959}">
            <xm:f>NOT(ISERROR(SEARCH("Value Missing",F186)))</xm:f>
            <xm:f>"Value Missing"</xm:f>
            <x14:dxf>
              <font>
                <color rgb="FF0E223A"/>
              </font>
              <fill>
                <patternFill>
                  <bgColor rgb="FFFFBE29"/>
                </patternFill>
              </fill>
            </x14:dxf>
          </x14:cfRule>
          <x14:cfRule type="notContainsText" priority="272" operator="notContains" id="{11FFCF3C-8326-444A-90E8-517EEE7E55A2}">
            <xm:f>ISERROR(SEARCH("Value Missing",F186))</xm:f>
            <xm:f>"Value Missing"</xm:f>
            <x14:dxf>
              <font>
                <color rgb="FF006100"/>
              </font>
              <fill>
                <patternFill>
                  <bgColor rgb="FFC6EFCE"/>
                </patternFill>
              </fill>
            </x14:dxf>
          </x14:cfRule>
          <x14:cfRule type="containsText" priority="273" operator="containsText" id="{C9672E1A-1695-594B-9F42-DB874E6191EC}">
            <xm:f>NOT(ISERROR(SEARCH("Value Missing",F186)))</xm:f>
            <xm:f>"Value Missing"</xm:f>
            <x14:dxf>
              <font>
                <color rgb="FF9C0006"/>
              </font>
              <fill>
                <patternFill>
                  <bgColor rgb="FFFFC7CE"/>
                </patternFill>
              </fill>
            </x14:dxf>
          </x14:cfRule>
          <x14:cfRule type="notContainsText" priority="274" operator="notContains" id="{C6A2A1FE-59E8-BB4C-8B10-B1342F266A20}">
            <xm:f>ISERROR(SEARCH("Value Missing",F186))</xm:f>
            <xm:f>"Value Missing"</xm:f>
            <x14:dxf>
              <font>
                <color rgb="FF006100"/>
              </font>
              <fill>
                <patternFill>
                  <bgColor rgb="FFC6EFCE"/>
                </patternFill>
              </fill>
            </x14:dxf>
          </x14:cfRule>
          <x14:cfRule type="containsText" priority="275" operator="containsText" id="{C16983BC-AF16-2841-9EA9-792057041EFE}">
            <xm:f>NOT(ISERROR(SEARCH("Value Missing",F186)))</xm:f>
            <xm:f>"Value Missing"</xm:f>
            <x14:dxf>
              <font>
                <color rgb="FF9C0006"/>
              </font>
              <fill>
                <patternFill>
                  <bgColor rgb="FFFFC7CE"/>
                </patternFill>
              </fill>
            </x14:dxf>
          </x14:cfRule>
          <x14:cfRule type="notContainsText" priority="277" operator="notContains" id="{5429F24B-9BF7-8141-9CCF-1F7920CF0406}">
            <xm:f>ISERROR(SEARCH("Value Missing",F186))</xm:f>
            <xm:f>"Value Missing"</xm:f>
            <x14:dxf>
              <font>
                <color rgb="FF006100"/>
              </font>
              <fill>
                <patternFill>
                  <bgColor rgb="FFC6EFCE"/>
                </patternFill>
              </fill>
            </x14:dxf>
          </x14:cfRule>
          <x14:cfRule type="containsText" priority="278" operator="containsText" id="{E627FF7E-80A3-9940-8316-1E369D6157AB}">
            <xm:f>NOT(ISERROR(SEARCH("Value Missing",F186)))</xm:f>
            <xm:f>"Value Missing"</xm:f>
            <x14:dxf>
              <font>
                <color rgb="FF9C0006"/>
              </font>
              <fill>
                <patternFill>
                  <bgColor rgb="FFFFC7CE"/>
                </patternFill>
              </fill>
            </x14:dxf>
          </x14:cfRule>
          <xm:sqref>F186</xm:sqref>
        </x14:conditionalFormatting>
        <x14:conditionalFormatting xmlns:xm="http://schemas.microsoft.com/office/excel/2006/main">
          <x14:cfRule type="containsText" priority="291" operator="containsText" id="{72CC92B6-7065-824D-B6B6-B08AC16DCD08}">
            <xm:f>NOT(ISERROR(SEARCH("Value Missing",F336)))</xm:f>
            <xm:f>"Value Missing"</xm:f>
            <x14:dxf>
              <font>
                <color theme="1"/>
              </font>
              <fill>
                <patternFill>
                  <bgColor rgb="FFFFBD29"/>
                </patternFill>
              </fill>
            </x14:dxf>
          </x14:cfRule>
          <x14:cfRule type="containsText" priority="292" operator="containsText" id="{28E521F9-4BBC-064B-BD7C-1DBEC7C58D3D}">
            <xm:f>NOT(ISERROR(SEARCH("Not Required",F336)))</xm:f>
            <xm:f>"Not Required"</xm:f>
            <x14:dxf>
              <font>
                <color theme="0"/>
              </font>
              <fill>
                <patternFill>
                  <bgColor rgb="FF506069"/>
                </patternFill>
              </fill>
            </x14:dxf>
          </x14:cfRule>
          <x14:cfRule type="notContainsText" priority="293" operator="notContains" id="{875F1B01-BDE0-FB4E-ACFA-043A2FD7BB3E}">
            <xm:f>ISERROR(SEARCH("Value Missing",F336))</xm:f>
            <xm:f>"Value Missing"</xm:f>
            <x14:dxf>
              <font>
                <color theme="1"/>
              </font>
              <fill>
                <patternFill>
                  <bgColor rgb="FFEFFDE3"/>
                </patternFill>
              </fill>
            </x14:dxf>
          </x14:cfRule>
          <xm:sqref>F336:F346</xm:sqref>
        </x14:conditionalFormatting>
        <x14:conditionalFormatting xmlns:xm="http://schemas.microsoft.com/office/excel/2006/main">
          <x14:cfRule type="containsText" priority="328" operator="containsText" id="{6FEEEEE0-7416-1E4F-A814-0143DEF4CFF3}">
            <xm:f>NOT(ISERROR(SEARCH("Value Missing",F8)))</xm:f>
            <xm:f>"Value Missing"</xm:f>
            <x14:dxf>
              <font>
                <color theme="1"/>
              </font>
              <fill>
                <patternFill>
                  <bgColor rgb="FFFFBD29"/>
                </patternFill>
              </fill>
            </x14:dxf>
          </x14:cfRule>
          <xm:sqref>I53:I54 I125:I136 I271:I278 F271:F279 F182:F190 AA8:AA14 F8:F19 I8:I19 L8:L19 O8:O19 R8:R19 U8:U19 X8:X19 AD8:AD19 AA16:AA19 F23:F34 I23:I34 L23:L34 O23:O34 R23:R34 U23:U34 X23:X34 AA23:AA34 AD23:AD34 F69:F80 I69:I80 L69:L80 O69:O80 R69:R80 U69:U80 X69:X80 AA69:AA80 AD69:AD80 F85:F96 I85:I96 L85:L96 O85:O96 R85:R96 U85:U96 X85:X96 AA85:AA96 AD85:AD96 F115:F121 I115:I121 L115:L121 O115:O121 R115:R121 U115:U121 X115:X121 AA115:AA121 AD115:AD121 L125:L130 O125:O130 R125:R130 U125:U130 X125:X130 AA125:AA130 AD125:AD130 F125:F134 F140:F149 F155:F160 F165:F178 I165:I178 L165:L178 O165:O178 R165:R178 U165:U178 X165:X178 AA165:AA178 AD165:AD178 I182:I190 L182:L190 O182:O190 R182:R190 U182:U190 X182:X190 AA182:AA190 AD182:AD190 F194:F195 L194:L195 O194:O195 R194:R195 U194:U195 X194:X195 AA194:AA195 AD194:AD195 L199:L214 O199:O214 R199:R214 U199:U214 X199:X214 AA199:AA214 AD199:AD214 F199:F230 I199:I230 L218:L233 O218:O233 R218:R233 U218:U233 X218:X233 AA218:AA233 AD218:AD233 F234:F249 I234:I249 L237:L252 O237:O252 R237:R252 U237:U252 X237:X252 AA237:AA252 AD237:AD252 F253:F268 I253:I268 L255:L261 O255:O261 R255:R261 U255:U261 X255:X261 AA255:AA261 AD255:AD261 F294:F304 I294:I305 F308:F318 I309:I320 F322:F332 I324:I335 F350:F360 I354:I365 F364:F374 I369:I380 F378:F384 I384:I390 F388:F397 I394:I403 F401:F410 I407:I418 F414:F417 F421:F452 I422:I425 I429:I460 F456:F471 I464:I479 F475:F490 I483:I498</xm:sqref>
        </x14:conditionalFormatting>
        <x14:conditionalFormatting xmlns:xm="http://schemas.microsoft.com/office/excel/2006/main">
          <x14:cfRule type="containsText" priority="22" operator="containsText" id="{0BFC2548-F550-1B4E-B74A-58C260417917}">
            <xm:f>NOT(ISERROR(SEARCH("Value Missing",I100)))</xm:f>
            <xm:f>"Value Missing"</xm:f>
            <x14:dxf>
              <font>
                <color theme="1"/>
              </font>
              <fill>
                <patternFill>
                  <bgColor rgb="FFFFBD29"/>
                </patternFill>
              </fill>
            </x14:dxf>
          </x14:cfRule>
          <x14:cfRule type="containsText" priority="23" operator="containsText" id="{D910BD57-DA88-DF48-9592-BE081B28E684}">
            <xm:f>NOT(ISERROR(SEARCH("Not Required",I100)))</xm:f>
            <xm:f>"Not Required"</xm:f>
            <x14:dxf>
              <font>
                <color theme="0"/>
              </font>
              <fill>
                <patternFill>
                  <bgColor rgb="FF506069"/>
                </patternFill>
              </fill>
            </x14:dxf>
          </x14:cfRule>
          <x14:cfRule type="notContainsText" priority="24" operator="notContains" id="{2E7000E7-CF09-A940-9B3D-D96D635398D8}">
            <xm:f>ISERROR(SEARCH("Value Missing",I100))</xm:f>
            <xm:f>"Value Missing"</xm:f>
            <x14:dxf>
              <font>
                <color theme="1"/>
              </font>
              <fill>
                <patternFill>
                  <bgColor rgb="FFEFFDE3"/>
                </patternFill>
              </fill>
            </x14:dxf>
          </x14:cfRule>
          <xm:sqref>I100:I111</xm:sqref>
        </x14:conditionalFormatting>
        <x14:conditionalFormatting xmlns:xm="http://schemas.microsoft.com/office/excel/2006/main">
          <x14:cfRule type="containsText" priority="88" stopIfTrue="1" operator="containsText" id="{9759BC04-AE11-A04C-9051-0EE5A6AFA6F6}">
            <xm:f>NOT(ISERROR(SEARCH("Value Missing",I156)))</xm:f>
            <xm:f>"Value Missing"</xm:f>
            <x14:dxf>
              <font>
                <color rgb="FF0E223A"/>
              </font>
              <fill>
                <patternFill>
                  <bgColor rgb="FFFFBE29"/>
                </patternFill>
              </fill>
            </x14:dxf>
          </x14:cfRule>
          <x14:cfRule type="notContainsText" priority="92" operator="notContains" id="{F95AF1BF-1E3B-DB42-8F14-E4A053285F43}">
            <xm:f>ISERROR(SEARCH("Value Missing",I156))</xm:f>
            <xm:f>"Value Missing"</xm:f>
            <x14:dxf>
              <font>
                <color rgb="FF006100"/>
              </font>
              <fill>
                <patternFill>
                  <bgColor rgb="FFC6EFCE"/>
                </patternFill>
              </fill>
            </x14:dxf>
          </x14:cfRule>
          <x14:cfRule type="containsText" priority="93" operator="containsText" id="{384E719D-3162-724D-998F-C2AFEB798E9B}">
            <xm:f>NOT(ISERROR(SEARCH("Value Missing",I156)))</xm:f>
            <xm:f>"Value Missing"</xm:f>
            <x14:dxf>
              <font>
                <color rgb="FF9C0006"/>
              </font>
              <fill>
                <patternFill>
                  <bgColor rgb="FFFFC7CE"/>
                </patternFill>
              </fill>
            </x14:dxf>
          </x14:cfRule>
          <x14:cfRule type="notContainsText" priority="94" operator="notContains" id="{7A9F70AB-ECF5-234E-8681-CE2C9CE3407E}">
            <xm:f>ISERROR(SEARCH("Value Missing",I156))</xm:f>
            <xm:f>"Value Missing"</xm:f>
            <x14:dxf>
              <font>
                <color rgb="FF006100"/>
              </font>
              <fill>
                <patternFill>
                  <bgColor rgb="FFC6EFCE"/>
                </patternFill>
              </fill>
            </x14:dxf>
          </x14:cfRule>
          <x14:cfRule type="containsText" priority="95" operator="containsText" id="{987F56E2-7209-B149-9C87-C9C45C9B4568}">
            <xm:f>NOT(ISERROR(SEARCH("Value Missing",I156)))</xm:f>
            <xm:f>"Value Missing"</xm:f>
            <x14:dxf>
              <font>
                <color rgb="FF9C0006"/>
              </font>
              <fill>
                <patternFill>
                  <bgColor rgb="FFFFC7CE"/>
                </patternFill>
              </fill>
            </x14:dxf>
          </x14:cfRule>
          <x14:cfRule type="notContainsText" priority="97" operator="notContains" id="{21325923-C720-2E46-B08D-2D3513622B6F}">
            <xm:f>ISERROR(SEARCH("Value Missing",I156))</xm:f>
            <xm:f>"Value Missing"</xm:f>
            <x14:dxf>
              <font>
                <color rgb="FF006100"/>
              </font>
              <fill>
                <patternFill>
                  <bgColor rgb="FFC6EFCE"/>
                </patternFill>
              </fill>
            </x14:dxf>
          </x14:cfRule>
          <x14:cfRule type="containsText" priority="98" operator="containsText" id="{AF373FEF-4402-CE4E-A610-DC924B237CAD}">
            <xm:f>NOT(ISERROR(SEARCH("Value Missing",I156)))</xm:f>
            <xm:f>"Value Missing"</xm:f>
            <x14:dxf>
              <font>
                <color rgb="FF9C0006"/>
              </font>
              <fill>
                <patternFill>
                  <bgColor rgb="FFFFC7CE"/>
                </patternFill>
              </fill>
            </x14:dxf>
          </x14:cfRule>
          <xm:sqref>I156</xm:sqref>
        </x14:conditionalFormatting>
        <x14:conditionalFormatting xmlns:xm="http://schemas.microsoft.com/office/excel/2006/main">
          <x14:cfRule type="containsText" priority="252" operator="containsText" id="{6224CAFD-AB38-1F46-A927-8B474B6B96C8}">
            <xm:f>NOT(ISERROR(SEARCH("Value Missing",L53)))</xm:f>
            <xm:f>"Value Missing"</xm:f>
            <x14:dxf>
              <font>
                <color theme="1"/>
              </font>
              <fill>
                <patternFill>
                  <bgColor rgb="FFFFBD29"/>
                </patternFill>
              </fill>
            </x14:dxf>
          </x14:cfRule>
          <x14:cfRule type="containsText" priority="253" operator="containsText" id="{69F56B06-F737-F745-92B3-A1BA6CF53FC1}">
            <xm:f>NOT(ISERROR(SEARCH("Not Required",L53)))</xm:f>
            <xm:f>"Not Required"</xm:f>
            <x14:dxf>
              <font>
                <color theme="0"/>
              </font>
              <fill>
                <patternFill>
                  <bgColor rgb="FF506069"/>
                </patternFill>
              </fill>
            </x14:dxf>
          </x14:cfRule>
          <x14:cfRule type="notContainsText" priority="254" operator="notContains" id="{7870F5D3-3AB6-3A4E-B049-A189076E98D1}">
            <xm:f>ISERROR(SEARCH("Value Missing",L53))</xm:f>
            <xm:f>"Value Missing"</xm:f>
            <x14:dxf>
              <font>
                <color theme="1"/>
              </font>
              <fill>
                <patternFill>
                  <bgColor rgb="FFEFFDE3"/>
                </patternFill>
              </fill>
            </x14:dxf>
          </x14:cfRule>
          <xm:sqref>L53:L56</xm:sqref>
        </x14:conditionalFormatting>
        <x14:conditionalFormatting xmlns:xm="http://schemas.microsoft.com/office/excel/2006/main">
          <x14:cfRule type="containsText" priority="313" operator="containsText" id="{2B265EB1-2EB1-2848-B9E1-F4B52A8E22E2}">
            <xm:f>NOT(ISERROR(SEARCH("Value Missing",F38)))</xm:f>
            <xm:f>"Value Missing"</xm:f>
            <x14:dxf>
              <font>
                <color theme="1"/>
              </font>
              <fill>
                <patternFill>
                  <bgColor rgb="FFFFBD29"/>
                </patternFill>
              </fill>
            </x14:dxf>
          </x14:cfRule>
          <xm:sqref>L53:L64 O53:O64 R53:R64 U53:U64 X53:X64 AA53:AA64 AD53:AD64 F38:F49 I38:I49 L39:L47 O39:O47 R39:R47 F53:F64 I53:I64 I135:I136 I140:I151 I155 I157:I160 I339:I350</xm:sqref>
        </x14:conditionalFormatting>
        <x14:conditionalFormatting xmlns:xm="http://schemas.microsoft.com/office/excel/2006/main">
          <x14:cfRule type="containsText" priority="19" operator="containsText" id="{56F2BC60-5975-DD42-81E0-D0217581B254}">
            <xm:f>NOT(ISERROR(SEARCH("Value Missing",L101)))</xm:f>
            <xm:f>"Value Missing"</xm:f>
            <x14:dxf>
              <font>
                <color theme="1"/>
              </font>
              <fill>
                <patternFill>
                  <bgColor rgb="FFFFBD29"/>
                </patternFill>
              </fill>
            </x14:dxf>
          </x14:cfRule>
          <x14:cfRule type="containsText" priority="20" operator="containsText" id="{773BF1CC-155C-A84B-B94D-9ADA2E446940}">
            <xm:f>NOT(ISERROR(SEARCH("Not Required",L101)))</xm:f>
            <xm:f>"Not Required"</xm:f>
            <x14:dxf>
              <font>
                <color theme="0"/>
              </font>
              <fill>
                <patternFill>
                  <bgColor rgb="FF506069"/>
                </patternFill>
              </fill>
            </x14:dxf>
          </x14:cfRule>
          <x14:cfRule type="notContainsText" priority="21" operator="notContains" id="{CFAB87D1-FA31-304A-BD4A-A7686825E5D9}">
            <xm:f>ISERROR(SEARCH("Value Missing",L101))</xm:f>
            <xm:f>"Value Missing"</xm:f>
            <x14:dxf>
              <font>
                <color theme="1"/>
              </font>
              <fill>
                <patternFill>
                  <bgColor rgb="FFEFFDE3"/>
                </patternFill>
              </fill>
            </x14:dxf>
          </x14:cfRule>
          <xm:sqref>L101:L111</xm:sqref>
        </x14:conditionalFormatting>
        <x14:conditionalFormatting xmlns:xm="http://schemas.microsoft.com/office/excel/2006/main">
          <x14:cfRule type="containsText" priority="210" operator="containsText" id="{3484D9B2-8390-8D49-84C4-1BB762F411BD}">
            <xm:f>NOT(ISERROR(SEARCH("Value Missing",O53)))</xm:f>
            <xm:f>"Value Missing"</xm:f>
            <x14:dxf>
              <font>
                <color theme="1"/>
              </font>
              <fill>
                <patternFill>
                  <bgColor rgb="FFFFBD29"/>
                </patternFill>
              </fill>
            </x14:dxf>
          </x14:cfRule>
          <x14:cfRule type="containsText" priority="211" operator="containsText" id="{B4FF0D6C-6C46-394E-BD50-67E1D251040A}">
            <xm:f>NOT(ISERROR(SEARCH("Not Required",O53)))</xm:f>
            <xm:f>"Not Required"</xm:f>
            <x14:dxf>
              <font>
                <color theme="0"/>
              </font>
              <fill>
                <patternFill>
                  <bgColor rgb="FF506069"/>
                </patternFill>
              </fill>
            </x14:dxf>
          </x14:cfRule>
          <x14:cfRule type="notContainsText" priority="212" operator="notContains" id="{E4DF8E44-677B-5044-90B7-70A29E7D9546}">
            <xm:f>ISERROR(SEARCH("Value Missing",O53))</xm:f>
            <xm:f>"Value Missing"</xm:f>
            <x14:dxf>
              <font>
                <color theme="1"/>
              </font>
              <fill>
                <patternFill>
                  <bgColor rgb="FFEFFDE3"/>
                </patternFill>
              </fill>
            </x14:dxf>
          </x14:cfRule>
          <xm:sqref>O53:O56</xm:sqref>
        </x14:conditionalFormatting>
        <x14:conditionalFormatting xmlns:xm="http://schemas.microsoft.com/office/excel/2006/main">
          <x14:cfRule type="containsText" priority="174" operator="containsText" id="{BE046617-BB68-A248-B205-0BA04B74BC03}">
            <xm:f>NOT(ISERROR(SEARCH("Value Missing",O56)))</xm:f>
            <xm:f>"Value Missing"</xm:f>
            <x14:dxf>
              <font>
                <color theme="1"/>
              </font>
              <fill>
                <patternFill>
                  <bgColor rgb="FFFFBD29"/>
                </patternFill>
              </fill>
            </x14:dxf>
          </x14:cfRule>
          <x14:cfRule type="containsText" priority="175" operator="containsText" id="{47D8B146-5634-DD49-8B63-DF06CDE5E18A}">
            <xm:f>NOT(ISERROR(SEARCH("Not Required",O56)))</xm:f>
            <xm:f>"Not Required"</xm:f>
            <x14:dxf>
              <font>
                <color theme="0"/>
              </font>
              <fill>
                <patternFill>
                  <bgColor rgb="FF506069"/>
                </patternFill>
              </fill>
            </x14:dxf>
          </x14:cfRule>
          <x14:cfRule type="notContainsText" priority="176" operator="notContains" id="{F314583A-4DC4-6B46-B96E-2AAA05DE3F83}">
            <xm:f>ISERROR(SEARCH("Value Missing",O56))</xm:f>
            <xm:f>"Value Missing"</xm:f>
            <x14:dxf>
              <font>
                <color theme="1"/>
              </font>
              <fill>
                <patternFill>
                  <bgColor rgb="FFEFFDE3"/>
                </patternFill>
              </fill>
            </x14:dxf>
          </x14:cfRule>
          <xm:sqref>O56</xm:sqref>
        </x14:conditionalFormatting>
        <x14:conditionalFormatting xmlns:xm="http://schemas.microsoft.com/office/excel/2006/main">
          <x14:cfRule type="containsText" priority="16" operator="containsText" id="{FDD90CBA-110D-2947-80DC-414F397FF119}">
            <xm:f>NOT(ISERROR(SEARCH("Value Missing",O101)))</xm:f>
            <xm:f>"Value Missing"</xm:f>
            <x14:dxf>
              <font>
                <color theme="1"/>
              </font>
              <fill>
                <patternFill>
                  <bgColor rgb="FFFFBD29"/>
                </patternFill>
              </fill>
            </x14:dxf>
          </x14:cfRule>
          <x14:cfRule type="containsText" priority="17" operator="containsText" id="{A5C57837-B1B2-CD4B-A45D-C143EF0986C6}">
            <xm:f>NOT(ISERROR(SEARCH("Not Required",O101)))</xm:f>
            <xm:f>"Not Required"</xm:f>
            <x14:dxf>
              <font>
                <color theme="0"/>
              </font>
              <fill>
                <patternFill>
                  <bgColor rgb="FF506069"/>
                </patternFill>
              </fill>
            </x14:dxf>
          </x14:cfRule>
          <x14:cfRule type="notContainsText" priority="18" operator="notContains" id="{F410AAF4-F5C6-334D-A7EE-A52A06B9ACB5}">
            <xm:f>ISERROR(SEARCH("Value Missing",O101))</xm:f>
            <xm:f>"Value Missing"</xm:f>
            <x14:dxf>
              <font>
                <color theme="1"/>
              </font>
              <fill>
                <patternFill>
                  <bgColor rgb="FFEFFDE3"/>
                </patternFill>
              </fill>
            </x14:dxf>
          </x14:cfRule>
          <xm:sqref>O101:O111</xm:sqref>
        </x14:conditionalFormatting>
        <x14:conditionalFormatting xmlns:xm="http://schemas.microsoft.com/office/excel/2006/main">
          <x14:cfRule type="containsText" priority="204" operator="containsText" id="{4DB5BF19-7549-2D4D-9F00-53662934B3EA}">
            <xm:f>NOT(ISERROR(SEARCH("Value Missing",R53)))</xm:f>
            <xm:f>"Value Missing"</xm:f>
            <x14:dxf>
              <font>
                <color theme="1"/>
              </font>
              <fill>
                <patternFill>
                  <bgColor rgb="FFFFBD29"/>
                </patternFill>
              </fill>
            </x14:dxf>
          </x14:cfRule>
          <x14:cfRule type="containsText" priority="205" operator="containsText" id="{73C225FC-2EA3-ED4E-8798-D772148AC61F}">
            <xm:f>NOT(ISERROR(SEARCH("Not Required",R53)))</xm:f>
            <xm:f>"Not Required"</xm:f>
            <x14:dxf>
              <font>
                <color theme="0"/>
              </font>
              <fill>
                <patternFill>
                  <bgColor rgb="FF506069"/>
                </patternFill>
              </fill>
            </x14:dxf>
          </x14:cfRule>
          <x14:cfRule type="notContainsText" priority="206" operator="notContains" id="{98CD919A-1892-B144-9FD2-E20F738B8462}">
            <xm:f>ISERROR(SEARCH("Value Missing",R53))</xm:f>
            <xm:f>"Value Missing"</xm:f>
            <x14:dxf>
              <font>
                <color theme="1"/>
              </font>
              <fill>
                <patternFill>
                  <bgColor rgb="FFEFFDE3"/>
                </patternFill>
              </fill>
            </x14:dxf>
          </x14:cfRule>
          <xm:sqref>R53:R56</xm:sqref>
        </x14:conditionalFormatting>
        <x14:conditionalFormatting xmlns:xm="http://schemas.microsoft.com/office/excel/2006/main">
          <x14:cfRule type="containsText" priority="171" operator="containsText" id="{CF58F867-FF0B-1D42-8BDB-FEA6BC35ED7F}">
            <xm:f>NOT(ISERROR(SEARCH("Value Missing",R56)))</xm:f>
            <xm:f>"Value Missing"</xm:f>
            <x14:dxf>
              <font>
                <color theme="1"/>
              </font>
              <fill>
                <patternFill>
                  <bgColor rgb="FFFFBD29"/>
                </patternFill>
              </fill>
            </x14:dxf>
          </x14:cfRule>
          <x14:cfRule type="containsText" priority="172" operator="containsText" id="{675D5EFB-839D-C44D-9960-0B8483B9E49C}">
            <xm:f>NOT(ISERROR(SEARCH("Not Required",R56)))</xm:f>
            <xm:f>"Not Required"</xm:f>
            <x14:dxf>
              <font>
                <color theme="0"/>
              </font>
              <fill>
                <patternFill>
                  <bgColor rgb="FF506069"/>
                </patternFill>
              </fill>
            </x14:dxf>
          </x14:cfRule>
          <x14:cfRule type="notContainsText" priority="173" operator="notContains" id="{6B12F593-4614-044E-B315-C3C241E7ED5A}">
            <xm:f>ISERROR(SEARCH("Value Missing",R56))</xm:f>
            <xm:f>"Value Missing"</xm:f>
            <x14:dxf>
              <font>
                <color theme="1"/>
              </font>
              <fill>
                <patternFill>
                  <bgColor rgb="FFEFFDE3"/>
                </patternFill>
              </fill>
            </x14:dxf>
          </x14:cfRule>
          <xm:sqref>R56</xm:sqref>
        </x14:conditionalFormatting>
        <x14:conditionalFormatting xmlns:xm="http://schemas.microsoft.com/office/excel/2006/main">
          <x14:cfRule type="containsText" priority="13" operator="containsText" id="{485EFC88-5558-9B40-AD37-F76432090520}">
            <xm:f>NOT(ISERROR(SEARCH("Value Missing",R101)))</xm:f>
            <xm:f>"Value Missing"</xm:f>
            <x14:dxf>
              <font>
                <color theme="1"/>
              </font>
              <fill>
                <patternFill>
                  <bgColor rgb="FFFFBD29"/>
                </patternFill>
              </fill>
            </x14:dxf>
          </x14:cfRule>
          <x14:cfRule type="containsText" priority="14" operator="containsText" id="{A8FC0855-9EE3-B046-B23D-1B2E7A7129AB}">
            <xm:f>NOT(ISERROR(SEARCH("Not Required",R101)))</xm:f>
            <xm:f>"Not Required"</xm:f>
            <x14:dxf>
              <font>
                <color theme="0"/>
              </font>
              <fill>
                <patternFill>
                  <bgColor rgb="FF506069"/>
                </patternFill>
              </fill>
            </x14:dxf>
          </x14:cfRule>
          <x14:cfRule type="notContainsText" priority="15" operator="notContains" id="{B04C3EF3-3F8E-5D4C-AA00-8AFD41A3306B}">
            <xm:f>ISERROR(SEARCH("Value Missing",R101))</xm:f>
            <xm:f>"Value Missing"</xm:f>
            <x14:dxf>
              <font>
                <color theme="1"/>
              </font>
              <fill>
                <patternFill>
                  <bgColor rgb="FFEFFDE3"/>
                </patternFill>
              </fill>
            </x14:dxf>
          </x14:cfRule>
          <xm:sqref>R101:R111</xm:sqref>
        </x14:conditionalFormatting>
        <x14:conditionalFormatting xmlns:xm="http://schemas.microsoft.com/office/excel/2006/main">
          <x14:cfRule type="containsText" priority="40" operator="containsText" id="{B79EBB3B-EC11-884C-B779-815769F0BA83}">
            <xm:f>NOT(ISERROR(SEARCH("Value Missing",U39)))</xm:f>
            <xm:f>"Value Missing"</xm:f>
            <x14:dxf>
              <font>
                <color theme="1"/>
              </font>
              <fill>
                <patternFill>
                  <bgColor rgb="FFFFBD29"/>
                </patternFill>
              </fill>
            </x14:dxf>
          </x14:cfRule>
          <x14:cfRule type="containsText" priority="41" operator="containsText" id="{20F2DFD4-A7DF-D947-9DC9-9516120AE4E3}">
            <xm:f>NOT(ISERROR(SEARCH("Not Required",U39)))</xm:f>
            <xm:f>"Not Required"</xm:f>
            <x14:dxf>
              <font>
                <color theme="0"/>
              </font>
              <fill>
                <patternFill>
                  <bgColor rgb="FF506069"/>
                </patternFill>
              </fill>
            </x14:dxf>
          </x14:cfRule>
          <x14:cfRule type="notContainsText" priority="42" operator="notContains" id="{D11A1D73-B207-C841-A84D-918A99DCD697}">
            <xm:f>ISERROR(SEARCH("Value Missing",U39))</xm:f>
            <xm:f>"Value Missing"</xm:f>
            <x14:dxf>
              <font>
                <color theme="1"/>
              </font>
              <fill>
                <patternFill>
                  <bgColor rgb="FFEFFDE3"/>
                </patternFill>
              </fill>
            </x14:dxf>
          </x14:cfRule>
          <xm:sqref>U39:U47</xm:sqref>
        </x14:conditionalFormatting>
        <x14:conditionalFormatting xmlns:xm="http://schemas.microsoft.com/office/excel/2006/main">
          <x14:cfRule type="containsText" priority="198" operator="containsText" id="{9017B3EB-7DBE-9745-80C7-2EA0322DBD9D}">
            <xm:f>NOT(ISERROR(SEARCH("Value Missing",U53)))</xm:f>
            <xm:f>"Value Missing"</xm:f>
            <x14:dxf>
              <font>
                <color theme="1"/>
              </font>
              <fill>
                <patternFill>
                  <bgColor rgb="FFFFBD29"/>
                </patternFill>
              </fill>
            </x14:dxf>
          </x14:cfRule>
          <x14:cfRule type="containsText" priority="199" operator="containsText" id="{806AF8E0-6D97-EC41-968B-57478A38AD6C}">
            <xm:f>NOT(ISERROR(SEARCH("Not Required",U53)))</xm:f>
            <xm:f>"Not Required"</xm:f>
            <x14:dxf>
              <font>
                <color theme="0"/>
              </font>
              <fill>
                <patternFill>
                  <bgColor rgb="FF506069"/>
                </patternFill>
              </fill>
            </x14:dxf>
          </x14:cfRule>
          <x14:cfRule type="notContainsText" priority="200" operator="notContains" id="{2563BE9A-6184-354D-B78B-4DF4EB2B9741}">
            <xm:f>ISERROR(SEARCH("Value Missing",U53))</xm:f>
            <xm:f>"Value Missing"</xm:f>
            <x14:dxf>
              <font>
                <color theme="1"/>
              </font>
              <fill>
                <patternFill>
                  <bgColor rgb="FFEFFDE3"/>
                </patternFill>
              </fill>
            </x14:dxf>
          </x14:cfRule>
          <xm:sqref>U53:U56</xm:sqref>
        </x14:conditionalFormatting>
        <x14:conditionalFormatting xmlns:xm="http://schemas.microsoft.com/office/excel/2006/main">
          <x14:cfRule type="containsText" priority="168" operator="containsText" id="{C1B279C3-DA18-8442-B1B8-B06229D29315}">
            <xm:f>NOT(ISERROR(SEARCH("Value Missing",U56)))</xm:f>
            <xm:f>"Value Missing"</xm:f>
            <x14:dxf>
              <font>
                <color theme="1"/>
              </font>
              <fill>
                <patternFill>
                  <bgColor rgb="FFFFBD29"/>
                </patternFill>
              </fill>
            </x14:dxf>
          </x14:cfRule>
          <x14:cfRule type="containsText" priority="169" operator="containsText" id="{0A17DF85-0295-4845-B39F-3EB7492CEB3A}">
            <xm:f>NOT(ISERROR(SEARCH("Not Required",U56)))</xm:f>
            <xm:f>"Not Required"</xm:f>
            <x14:dxf>
              <font>
                <color theme="0"/>
              </font>
              <fill>
                <patternFill>
                  <bgColor rgb="FF506069"/>
                </patternFill>
              </fill>
            </x14:dxf>
          </x14:cfRule>
          <x14:cfRule type="notContainsText" priority="170" operator="notContains" id="{7A999857-3F31-DC42-986B-784B462399DB}">
            <xm:f>ISERROR(SEARCH("Value Missing",U56))</xm:f>
            <xm:f>"Value Missing"</xm:f>
            <x14:dxf>
              <font>
                <color theme="1"/>
              </font>
              <fill>
                <patternFill>
                  <bgColor rgb="FFEFFDE3"/>
                </patternFill>
              </fill>
            </x14:dxf>
          </x14:cfRule>
          <xm:sqref>U56</xm:sqref>
        </x14:conditionalFormatting>
        <x14:conditionalFormatting xmlns:xm="http://schemas.microsoft.com/office/excel/2006/main">
          <x14:cfRule type="containsText" priority="10" operator="containsText" id="{C30F667F-B59D-944D-B08C-6E3AB16B05EB}">
            <xm:f>NOT(ISERROR(SEARCH("Value Missing",U101)))</xm:f>
            <xm:f>"Value Missing"</xm:f>
            <x14:dxf>
              <font>
                <color theme="1"/>
              </font>
              <fill>
                <patternFill>
                  <bgColor rgb="FFFFBD29"/>
                </patternFill>
              </fill>
            </x14:dxf>
          </x14:cfRule>
          <x14:cfRule type="containsText" priority="11" operator="containsText" id="{7F907210-FF0C-FD4A-B727-D79F0B0F5969}">
            <xm:f>NOT(ISERROR(SEARCH("Not Required",U101)))</xm:f>
            <xm:f>"Not Required"</xm:f>
            <x14:dxf>
              <font>
                <color theme="0"/>
              </font>
              <fill>
                <patternFill>
                  <bgColor rgb="FF506069"/>
                </patternFill>
              </fill>
            </x14:dxf>
          </x14:cfRule>
          <x14:cfRule type="notContainsText" priority="12" operator="notContains" id="{66057D3F-EE8C-734D-AAF1-71DBB683F1A4}">
            <xm:f>ISERROR(SEARCH("Value Missing",U101))</xm:f>
            <xm:f>"Value Missing"</xm:f>
            <x14:dxf>
              <font>
                <color theme="1"/>
              </font>
              <fill>
                <patternFill>
                  <bgColor rgb="FFEFFDE3"/>
                </patternFill>
              </fill>
            </x14:dxf>
          </x14:cfRule>
          <xm:sqref>U101:U111</xm:sqref>
        </x14:conditionalFormatting>
        <x14:conditionalFormatting xmlns:xm="http://schemas.microsoft.com/office/excel/2006/main">
          <x14:cfRule type="containsText" priority="37" operator="containsText" id="{7CCE0CF7-BAB2-0344-98D6-21BF6CFCEEEF}">
            <xm:f>NOT(ISERROR(SEARCH("Value Missing",X39)))</xm:f>
            <xm:f>"Value Missing"</xm:f>
            <x14:dxf>
              <font>
                <color theme="1"/>
              </font>
              <fill>
                <patternFill>
                  <bgColor rgb="FFFFBD29"/>
                </patternFill>
              </fill>
            </x14:dxf>
          </x14:cfRule>
          <x14:cfRule type="containsText" priority="38" operator="containsText" id="{67C5E1C7-827A-2247-9770-41F1AEFE3765}">
            <xm:f>NOT(ISERROR(SEARCH("Not Required",X39)))</xm:f>
            <xm:f>"Not Required"</xm:f>
            <x14:dxf>
              <font>
                <color theme="0"/>
              </font>
              <fill>
                <patternFill>
                  <bgColor rgb="FF506069"/>
                </patternFill>
              </fill>
            </x14:dxf>
          </x14:cfRule>
          <x14:cfRule type="notContainsText" priority="39" operator="notContains" id="{9A552E01-4760-3448-8FD6-6F3234371C4D}">
            <xm:f>ISERROR(SEARCH("Value Missing",X39))</xm:f>
            <xm:f>"Value Missing"</xm:f>
            <x14:dxf>
              <font>
                <color theme="1"/>
              </font>
              <fill>
                <patternFill>
                  <bgColor rgb="FFEFFDE3"/>
                </patternFill>
              </fill>
            </x14:dxf>
          </x14:cfRule>
          <xm:sqref>X39:X47</xm:sqref>
        </x14:conditionalFormatting>
        <x14:conditionalFormatting xmlns:xm="http://schemas.microsoft.com/office/excel/2006/main">
          <x14:cfRule type="containsText" priority="192" operator="containsText" id="{A798AA75-439F-4A46-AB83-7E4358A88D66}">
            <xm:f>NOT(ISERROR(SEARCH("Value Missing",X53)))</xm:f>
            <xm:f>"Value Missing"</xm:f>
            <x14:dxf>
              <font>
                <color theme="1"/>
              </font>
              <fill>
                <patternFill>
                  <bgColor rgb="FFFFBD29"/>
                </patternFill>
              </fill>
            </x14:dxf>
          </x14:cfRule>
          <x14:cfRule type="containsText" priority="193" operator="containsText" id="{A847CD3B-37FA-4146-AAE3-6DA7692BE6D6}">
            <xm:f>NOT(ISERROR(SEARCH("Not Required",X53)))</xm:f>
            <xm:f>"Not Required"</xm:f>
            <x14:dxf>
              <font>
                <color theme="0"/>
              </font>
              <fill>
                <patternFill>
                  <bgColor rgb="FF506069"/>
                </patternFill>
              </fill>
            </x14:dxf>
          </x14:cfRule>
          <x14:cfRule type="notContainsText" priority="194" operator="notContains" id="{AA6925D0-91F1-8449-983B-B5EE70C7F44D}">
            <xm:f>ISERROR(SEARCH("Value Missing",X53))</xm:f>
            <xm:f>"Value Missing"</xm:f>
            <x14:dxf>
              <font>
                <color theme="1"/>
              </font>
              <fill>
                <patternFill>
                  <bgColor rgb="FFEFFDE3"/>
                </patternFill>
              </fill>
            </x14:dxf>
          </x14:cfRule>
          <xm:sqref>X53:X56</xm:sqref>
        </x14:conditionalFormatting>
        <x14:conditionalFormatting xmlns:xm="http://schemas.microsoft.com/office/excel/2006/main">
          <x14:cfRule type="containsText" priority="165" operator="containsText" id="{D3FD3035-29E9-C741-95F9-7E63301A762E}">
            <xm:f>NOT(ISERROR(SEARCH("Value Missing",X56)))</xm:f>
            <xm:f>"Value Missing"</xm:f>
            <x14:dxf>
              <font>
                <color theme="1"/>
              </font>
              <fill>
                <patternFill>
                  <bgColor rgb="FFFFBD29"/>
                </patternFill>
              </fill>
            </x14:dxf>
          </x14:cfRule>
          <x14:cfRule type="containsText" priority="166" operator="containsText" id="{6542A7B2-8630-7B40-8349-79CED9462BD1}">
            <xm:f>NOT(ISERROR(SEARCH("Not Required",X56)))</xm:f>
            <xm:f>"Not Required"</xm:f>
            <x14:dxf>
              <font>
                <color theme="0"/>
              </font>
              <fill>
                <patternFill>
                  <bgColor rgb="FF506069"/>
                </patternFill>
              </fill>
            </x14:dxf>
          </x14:cfRule>
          <x14:cfRule type="notContainsText" priority="167" operator="notContains" id="{ED8BDAB0-934B-E348-A096-D1CFEC970647}">
            <xm:f>ISERROR(SEARCH("Value Missing",X56))</xm:f>
            <xm:f>"Value Missing"</xm:f>
            <x14:dxf>
              <font>
                <color theme="1"/>
              </font>
              <fill>
                <patternFill>
                  <bgColor rgb="FFEFFDE3"/>
                </patternFill>
              </fill>
            </x14:dxf>
          </x14:cfRule>
          <xm:sqref>X56</xm:sqref>
        </x14:conditionalFormatting>
        <x14:conditionalFormatting xmlns:xm="http://schemas.microsoft.com/office/excel/2006/main">
          <x14:cfRule type="containsText" priority="7" operator="containsText" id="{65FCE715-C957-A049-91A7-8CBA7C1EB726}">
            <xm:f>NOT(ISERROR(SEARCH("Value Missing",X101)))</xm:f>
            <xm:f>"Value Missing"</xm:f>
            <x14:dxf>
              <font>
                <color theme="1"/>
              </font>
              <fill>
                <patternFill>
                  <bgColor rgb="FFFFBD29"/>
                </patternFill>
              </fill>
            </x14:dxf>
          </x14:cfRule>
          <x14:cfRule type="containsText" priority="8" operator="containsText" id="{F611D9EB-7867-E94C-842B-0946ACA54FED}">
            <xm:f>NOT(ISERROR(SEARCH("Not Required",X101)))</xm:f>
            <xm:f>"Not Required"</xm:f>
            <x14:dxf>
              <font>
                <color theme="0"/>
              </font>
              <fill>
                <patternFill>
                  <bgColor rgb="FF506069"/>
                </patternFill>
              </fill>
            </x14:dxf>
          </x14:cfRule>
          <x14:cfRule type="notContainsText" priority="9" operator="notContains" id="{BB063A9C-A620-534D-9F8E-0EF8245B618C}">
            <xm:f>ISERROR(SEARCH("Value Missing",X101))</xm:f>
            <xm:f>"Value Missing"</xm:f>
            <x14:dxf>
              <font>
                <color theme="1"/>
              </font>
              <fill>
                <patternFill>
                  <bgColor rgb="FFEFFDE3"/>
                </patternFill>
              </fill>
            </x14:dxf>
          </x14:cfRule>
          <xm:sqref>X101:X111</xm:sqref>
        </x14:conditionalFormatting>
        <x14:conditionalFormatting xmlns:xm="http://schemas.microsoft.com/office/excel/2006/main">
          <x14:cfRule type="containsText" priority="329" operator="containsText" id="{8BE8EA82-7A72-C646-8E99-CF9839909AD6}">
            <xm:f>NOT(ISERROR(SEARCH("Not Required",F8)))</xm:f>
            <xm:f>"Not Required"</xm:f>
            <x14:dxf>
              <font>
                <color theme="0"/>
              </font>
              <fill>
                <patternFill>
                  <bgColor rgb="FF506069"/>
                </patternFill>
              </fill>
            </x14:dxf>
          </x14:cfRule>
          <x14:cfRule type="notContainsText" priority="331" operator="notContains" id="{06767BDF-1E13-B344-B0F5-AC2964A2B7BB}">
            <xm:f>ISERROR(SEARCH("Value Missing",F8))</xm:f>
            <xm:f>"Value Missing"</xm:f>
            <x14:dxf>
              <font>
                <color theme="1"/>
              </font>
              <fill>
                <patternFill>
                  <bgColor rgb="FFEFFDE3"/>
                </patternFill>
              </fill>
            </x14:dxf>
          </x14:cfRule>
          <xm:sqref>AA8:AA14 F8:F19 I8:I19 L8:L19 O8:O19 R8:R19 U8:U19 X8:X19 AD8:AD19 AA16:AA19 F23:F34 I23:I34 L23:L34 O23:O34 R23:R34 U23:U34 X23:X34 AA23:AA34 AD23:AD34 I53:I54 F69:F80 I69:I80 L69:L80 O69:O80 R69:R80 U69:U80 X69:X80 AA69:AA80 AD69:AD80 F85:F96 I85:I96 L85:L96 O85:O96 R85:R96 U85:U96 X85:X96 AA85:AA96 AD85:AD96 F115:F121 I115:I121 L115:L121 O115:O121 R115:R121 U115:U121 X115:X121 AA115:AA121 AD115:AD121 L125:L130 O125:O130 R125:R130 U125:U130 X125:X130 AA125:AA130 AD125:AD130 F125:F134 I125:I136 F140:F149 F155:F160 F165:F178 I165:I178 L165:L178 O165:O178 R165:R178 U165:U178 X165:X178 AA165:AA178 AD165:AD178 F182:F190 I182:I190 L182:L190 O182:O190 R182:R190 U182:U190 X182:X190 AA182:AA190 AD182:AD190 F194:F195 L194:L195 O194:O195 R194:R195 U194:U195 X194:X195 AA194:AA195 AD194:AD195 L199:L214 O199:O214 R199:R214 U199:U214 X199:X214 AA199:AA214 AD199:AD214 F199:F230 I199:I230 L218:L233 O218:O233 R218:R233 U218:U233 X218:X233 AA218:AA233 AD218:AD233 F234:F249 I234:I249 L237:L252 O237:O252 R237:R252 U237:U252 X237:X252 AA237:AA252 AD237:AD252 F253:F268 I253:I268 L255:L261 O255:O261 R255:R261 U255:U261 X255:X261 AA255:AA261 AD255:AD261 F294:F304 I294:I305 F308:F318 I309:I320 F322:F332 I324:I335 F350:F360 I354:I365 F364:F374 I369:I380 F378:F384 I384:I390 F388:F397 I394:I403 F401:F410 I407:I418 F414:F417 F421:F452 I422:I425 I429:I460 F456:F471 I464:I479 F475:F490 I483:I498</xm:sqref>
        </x14:conditionalFormatting>
        <x14:conditionalFormatting xmlns:xm="http://schemas.microsoft.com/office/excel/2006/main">
          <x14:cfRule type="containsText" priority="34" operator="containsText" id="{C3226025-96A7-174E-B18F-7DE4FD2C4806}">
            <xm:f>NOT(ISERROR(SEARCH("Value Missing",AA39)))</xm:f>
            <xm:f>"Value Missing"</xm:f>
            <x14:dxf>
              <font>
                <color theme="1"/>
              </font>
              <fill>
                <patternFill>
                  <bgColor rgb="FFFFBD29"/>
                </patternFill>
              </fill>
            </x14:dxf>
          </x14:cfRule>
          <x14:cfRule type="containsText" priority="35" operator="containsText" id="{2F7B9298-6F2D-CF46-B59A-DE3D41A821A2}">
            <xm:f>NOT(ISERROR(SEARCH("Not Required",AA39)))</xm:f>
            <xm:f>"Not Required"</xm:f>
            <x14:dxf>
              <font>
                <color theme="0"/>
              </font>
              <fill>
                <patternFill>
                  <bgColor rgb="FF506069"/>
                </patternFill>
              </fill>
            </x14:dxf>
          </x14:cfRule>
          <x14:cfRule type="notContainsText" priority="36" operator="notContains" id="{A3EC2F0D-66A9-364C-97A9-ABB9D8CE96B4}">
            <xm:f>ISERROR(SEARCH("Value Missing",AA39))</xm:f>
            <xm:f>"Value Missing"</xm:f>
            <x14:dxf>
              <font>
                <color theme="1"/>
              </font>
              <fill>
                <patternFill>
                  <bgColor rgb="FFEFFDE3"/>
                </patternFill>
              </fill>
            </x14:dxf>
          </x14:cfRule>
          <xm:sqref>AA39:AA47</xm:sqref>
        </x14:conditionalFormatting>
        <x14:conditionalFormatting xmlns:xm="http://schemas.microsoft.com/office/excel/2006/main">
          <x14:cfRule type="containsText" priority="186" operator="containsText" id="{B46CA4F9-3C6E-9142-9DCB-973E2E3893CE}">
            <xm:f>NOT(ISERROR(SEARCH("Value Missing",AA53)))</xm:f>
            <xm:f>"Value Missing"</xm:f>
            <x14:dxf>
              <font>
                <color theme="1"/>
              </font>
              <fill>
                <patternFill>
                  <bgColor rgb="FFFFBD29"/>
                </patternFill>
              </fill>
            </x14:dxf>
          </x14:cfRule>
          <x14:cfRule type="containsText" priority="187" operator="containsText" id="{3073A76A-73E6-2645-98F0-C7A0F9003A9B}">
            <xm:f>NOT(ISERROR(SEARCH("Not Required",AA53)))</xm:f>
            <xm:f>"Not Required"</xm:f>
            <x14:dxf>
              <font>
                <color theme="0"/>
              </font>
              <fill>
                <patternFill>
                  <bgColor rgb="FF506069"/>
                </patternFill>
              </fill>
            </x14:dxf>
          </x14:cfRule>
          <x14:cfRule type="notContainsText" priority="188" operator="notContains" id="{A9F6D0D6-42C0-8C44-B9E0-4DE4789AED56}">
            <xm:f>ISERROR(SEARCH("Value Missing",AA53))</xm:f>
            <xm:f>"Value Missing"</xm:f>
            <x14:dxf>
              <font>
                <color theme="1"/>
              </font>
              <fill>
                <patternFill>
                  <bgColor rgb="FFEFFDE3"/>
                </patternFill>
              </fill>
            </x14:dxf>
          </x14:cfRule>
          <xm:sqref>AA53:AA56</xm:sqref>
        </x14:conditionalFormatting>
        <x14:conditionalFormatting xmlns:xm="http://schemas.microsoft.com/office/excel/2006/main">
          <x14:cfRule type="containsText" priority="162" operator="containsText" id="{B01DAB95-54B5-2A48-9E42-698AE8EAB2B5}">
            <xm:f>NOT(ISERROR(SEARCH("Value Missing",AA56)))</xm:f>
            <xm:f>"Value Missing"</xm:f>
            <x14:dxf>
              <font>
                <color theme="1"/>
              </font>
              <fill>
                <patternFill>
                  <bgColor rgb="FFFFBD29"/>
                </patternFill>
              </fill>
            </x14:dxf>
          </x14:cfRule>
          <x14:cfRule type="containsText" priority="163" operator="containsText" id="{75F873D6-B9D9-3341-8652-F67C103EA278}">
            <xm:f>NOT(ISERROR(SEARCH("Not Required",AA56)))</xm:f>
            <xm:f>"Not Required"</xm:f>
            <x14:dxf>
              <font>
                <color theme="0"/>
              </font>
              <fill>
                <patternFill>
                  <bgColor rgb="FF506069"/>
                </patternFill>
              </fill>
            </x14:dxf>
          </x14:cfRule>
          <x14:cfRule type="notContainsText" priority="164" operator="notContains" id="{7EF64B70-5424-4E41-B8D8-C26C3A9F41BE}">
            <xm:f>ISERROR(SEARCH("Value Missing",AA56))</xm:f>
            <xm:f>"Value Missing"</xm:f>
            <x14:dxf>
              <font>
                <color theme="1"/>
              </font>
              <fill>
                <patternFill>
                  <bgColor rgb="FFEFFDE3"/>
                </patternFill>
              </fill>
            </x14:dxf>
          </x14:cfRule>
          <xm:sqref>AA56</xm:sqref>
        </x14:conditionalFormatting>
        <x14:conditionalFormatting xmlns:xm="http://schemas.microsoft.com/office/excel/2006/main">
          <x14:cfRule type="containsText" priority="4" operator="containsText" id="{CE02A564-13F8-CB4E-BBE7-469466844E83}">
            <xm:f>NOT(ISERROR(SEARCH("Value Missing",AA101)))</xm:f>
            <xm:f>"Value Missing"</xm:f>
            <x14:dxf>
              <font>
                <color theme="1"/>
              </font>
              <fill>
                <patternFill>
                  <bgColor rgb="FFFFBD29"/>
                </patternFill>
              </fill>
            </x14:dxf>
          </x14:cfRule>
          <x14:cfRule type="containsText" priority="5" operator="containsText" id="{2064E239-ADAD-054F-92A8-0E87FF80742F}">
            <xm:f>NOT(ISERROR(SEARCH("Not Required",AA101)))</xm:f>
            <xm:f>"Not Required"</xm:f>
            <x14:dxf>
              <font>
                <color theme="0"/>
              </font>
              <fill>
                <patternFill>
                  <bgColor rgb="FF506069"/>
                </patternFill>
              </fill>
            </x14:dxf>
          </x14:cfRule>
          <x14:cfRule type="notContainsText" priority="6" operator="notContains" id="{A8E557FF-0FC1-1C48-9B1F-5289E2F783B1}">
            <xm:f>ISERROR(SEARCH("Value Missing",AA101))</xm:f>
            <xm:f>"Value Missing"</xm:f>
            <x14:dxf>
              <font>
                <color theme="1"/>
              </font>
              <fill>
                <patternFill>
                  <bgColor rgb="FFEFFDE3"/>
                </patternFill>
              </fill>
            </x14:dxf>
          </x14:cfRule>
          <xm:sqref>AA101:AA111</xm:sqref>
        </x14:conditionalFormatting>
        <x14:conditionalFormatting xmlns:xm="http://schemas.microsoft.com/office/excel/2006/main">
          <x14:cfRule type="containsText" priority="31" operator="containsText" id="{2AC29FE5-D98A-2143-A3B7-B8F397FE8DD4}">
            <xm:f>NOT(ISERROR(SEARCH("Value Missing",AD39)))</xm:f>
            <xm:f>"Value Missing"</xm:f>
            <x14:dxf>
              <font>
                <color theme="1"/>
              </font>
              <fill>
                <patternFill>
                  <bgColor rgb="FFFFBD29"/>
                </patternFill>
              </fill>
            </x14:dxf>
          </x14:cfRule>
          <x14:cfRule type="containsText" priority="32" operator="containsText" id="{353681F6-113B-A245-BAE3-7878FC3CF345}">
            <xm:f>NOT(ISERROR(SEARCH("Not Required",AD39)))</xm:f>
            <xm:f>"Not Required"</xm:f>
            <x14:dxf>
              <font>
                <color theme="0"/>
              </font>
              <fill>
                <patternFill>
                  <bgColor rgb="FF506069"/>
                </patternFill>
              </fill>
            </x14:dxf>
          </x14:cfRule>
          <x14:cfRule type="notContainsText" priority="33" operator="notContains" id="{D515E712-91F5-FC40-B227-DD5FE835B161}">
            <xm:f>ISERROR(SEARCH("Value Missing",AD39))</xm:f>
            <xm:f>"Value Missing"</xm:f>
            <x14:dxf>
              <font>
                <color theme="1"/>
              </font>
              <fill>
                <patternFill>
                  <bgColor rgb="FFEFFDE3"/>
                </patternFill>
              </fill>
            </x14:dxf>
          </x14:cfRule>
          <xm:sqref>AD39:AD47</xm:sqref>
        </x14:conditionalFormatting>
        <x14:conditionalFormatting xmlns:xm="http://schemas.microsoft.com/office/excel/2006/main">
          <x14:cfRule type="containsText" priority="180" operator="containsText" id="{905D31CE-3E0A-864C-9F1B-D63656711729}">
            <xm:f>NOT(ISERROR(SEARCH("Value Missing",AD53)))</xm:f>
            <xm:f>"Value Missing"</xm:f>
            <x14:dxf>
              <font>
                <color theme="1"/>
              </font>
              <fill>
                <patternFill>
                  <bgColor rgb="FFFFBD29"/>
                </patternFill>
              </fill>
            </x14:dxf>
          </x14:cfRule>
          <x14:cfRule type="containsText" priority="181" operator="containsText" id="{3CAFDB47-63D3-8A49-874F-B7F36B085F1D}">
            <xm:f>NOT(ISERROR(SEARCH("Not Required",AD53)))</xm:f>
            <xm:f>"Not Required"</xm:f>
            <x14:dxf>
              <font>
                <color theme="0"/>
              </font>
              <fill>
                <patternFill>
                  <bgColor rgb="FF506069"/>
                </patternFill>
              </fill>
            </x14:dxf>
          </x14:cfRule>
          <x14:cfRule type="notContainsText" priority="182" operator="notContains" id="{6B88948E-0E39-3548-A8DD-6AF259181EC7}">
            <xm:f>ISERROR(SEARCH("Value Missing",AD53))</xm:f>
            <xm:f>"Value Missing"</xm:f>
            <x14:dxf>
              <font>
                <color theme="1"/>
              </font>
              <fill>
                <patternFill>
                  <bgColor rgb="FFEFFDE3"/>
                </patternFill>
              </fill>
            </x14:dxf>
          </x14:cfRule>
          <xm:sqref>AD53:AD56</xm:sqref>
        </x14:conditionalFormatting>
        <x14:conditionalFormatting xmlns:xm="http://schemas.microsoft.com/office/excel/2006/main">
          <x14:cfRule type="containsText" priority="159" operator="containsText" id="{CB44C791-709B-FE4B-BC8E-877B39027780}">
            <xm:f>NOT(ISERROR(SEARCH("Value Missing",AD56)))</xm:f>
            <xm:f>"Value Missing"</xm:f>
            <x14:dxf>
              <font>
                <color theme="1"/>
              </font>
              <fill>
                <patternFill>
                  <bgColor rgb="FFFFBD29"/>
                </patternFill>
              </fill>
            </x14:dxf>
          </x14:cfRule>
          <x14:cfRule type="containsText" priority="160" operator="containsText" id="{157796BB-CFBB-3B4D-A417-32FFDAA88E68}">
            <xm:f>NOT(ISERROR(SEARCH("Not Required",AD56)))</xm:f>
            <xm:f>"Not Required"</xm:f>
            <x14:dxf>
              <font>
                <color theme="0"/>
              </font>
              <fill>
                <patternFill>
                  <bgColor rgb="FF506069"/>
                </patternFill>
              </fill>
            </x14:dxf>
          </x14:cfRule>
          <x14:cfRule type="notContainsText" priority="161" operator="notContains" id="{7DFC07FF-0C18-784A-844A-D8E074C7A5AA}">
            <xm:f>ISERROR(SEARCH("Value Missing",AD56))</xm:f>
            <xm:f>"Value Missing"</xm:f>
            <x14:dxf>
              <font>
                <color theme="1"/>
              </font>
              <fill>
                <patternFill>
                  <bgColor rgb="FFEFFDE3"/>
                </patternFill>
              </fill>
            </x14:dxf>
          </x14:cfRule>
          <xm:sqref>AD56</xm:sqref>
        </x14:conditionalFormatting>
        <x14:conditionalFormatting xmlns:xm="http://schemas.microsoft.com/office/excel/2006/main">
          <x14:cfRule type="containsText" priority="1" operator="containsText" id="{D119EA57-EE16-B14A-83BB-B45D9ABAC99D}">
            <xm:f>NOT(ISERROR(SEARCH("Value Missing",AD101)))</xm:f>
            <xm:f>"Value Missing"</xm:f>
            <x14:dxf>
              <font>
                <color theme="1"/>
              </font>
              <fill>
                <patternFill>
                  <bgColor rgb="FFFFBD29"/>
                </patternFill>
              </fill>
            </x14:dxf>
          </x14:cfRule>
          <x14:cfRule type="containsText" priority="2" operator="containsText" id="{F616CC5A-9053-DE42-A5ED-C29F3D0C3A0B}">
            <xm:f>NOT(ISERROR(SEARCH("Not Required",AD101)))</xm:f>
            <xm:f>"Not Required"</xm:f>
            <x14:dxf>
              <font>
                <color theme="0"/>
              </font>
              <fill>
                <patternFill>
                  <bgColor rgb="FF506069"/>
                </patternFill>
              </fill>
            </x14:dxf>
          </x14:cfRule>
          <x14:cfRule type="notContainsText" priority="3" operator="notContains" id="{0CA08DEF-74CE-1742-A32E-15B59A5753C4}">
            <xm:f>ISERROR(SEARCH("Value Missing",AD101))</xm:f>
            <xm:f>"Value Missing"</xm:f>
            <x14:dxf>
              <font>
                <color theme="1"/>
              </font>
              <fill>
                <patternFill>
                  <bgColor rgb="FFEFFDE3"/>
                </patternFill>
              </fill>
            </x14:dxf>
          </x14:cfRule>
          <xm:sqref>AD101:AD111</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0877-68F0-1C4B-B1D2-916A0B669497}">
  <sheetPr codeName="Sheet5"/>
  <dimension ref="A1:AF312"/>
  <sheetViews>
    <sheetView showGridLines="0" zoomScaleNormal="100" workbookViewId="0">
      <pane ySplit="4" topLeftCell="A5" activePane="bottomLeft" state="frozen"/>
      <selection pane="bottomLeft" activeCell="A5" sqref="A5"/>
    </sheetView>
  </sheetViews>
  <sheetFormatPr baseColWidth="10" defaultColWidth="11" defaultRowHeight="20" customHeight="1" x14ac:dyDescent="0.2"/>
  <cols>
    <col min="1" max="1" width="2.83203125" style="9" customWidth="1"/>
    <col min="2" max="2" width="57" style="9" customWidth="1"/>
    <col min="3" max="3" width="44.83203125" style="9" bestFit="1" customWidth="1"/>
    <col min="4" max="4" width="2.83203125" style="9" customWidth="1"/>
    <col min="5" max="5" width="73.6640625" style="9" bestFit="1" customWidth="1"/>
    <col min="6" max="6" width="45.33203125" style="9" bestFit="1" customWidth="1"/>
    <col min="7" max="7" width="2.83203125" style="9" customWidth="1"/>
    <col min="8" max="8" width="58.33203125" style="9" bestFit="1" customWidth="1"/>
    <col min="9" max="9" width="41.83203125" style="9" bestFit="1" customWidth="1"/>
    <col min="10" max="10" width="2.83203125" style="9" customWidth="1"/>
    <col min="11" max="11" width="57.1640625" style="9" bestFit="1" customWidth="1"/>
    <col min="12" max="12" width="73.83203125" style="9" bestFit="1" customWidth="1"/>
    <col min="13" max="13" width="2.83203125" style="9" customWidth="1"/>
    <col min="14" max="14" width="73.83203125" style="9" bestFit="1" customWidth="1"/>
    <col min="15" max="15" width="50.83203125" style="9" customWidth="1"/>
    <col min="16" max="16" width="2.83203125" style="9" customWidth="1"/>
    <col min="17" max="17" width="71.83203125" style="9" bestFit="1" customWidth="1"/>
    <col min="18" max="18" width="57.6640625" style="9" bestFit="1" customWidth="1"/>
    <col min="19" max="19" width="2.83203125" style="9" customWidth="1"/>
    <col min="20" max="20" width="85.33203125" style="9" bestFit="1" customWidth="1"/>
    <col min="21" max="21" width="72.83203125" style="9" bestFit="1" customWidth="1"/>
    <col min="22" max="22" width="2.83203125" style="9" customWidth="1"/>
    <col min="23" max="23" width="69" style="9" bestFit="1" customWidth="1"/>
    <col min="24" max="24" width="59.33203125" style="9" bestFit="1" customWidth="1"/>
    <col min="25" max="25" width="2.83203125" style="9" customWidth="1"/>
    <col min="26" max="26" width="55.83203125" style="9" bestFit="1" customWidth="1"/>
    <col min="27" max="27" width="49.6640625" style="9" bestFit="1" customWidth="1"/>
    <col min="28" max="28" width="2.83203125" style="9" customWidth="1"/>
    <col min="29" max="29" width="49.6640625" style="9" bestFit="1" customWidth="1"/>
    <col min="30" max="31" width="19.1640625" style="9" bestFit="1" customWidth="1"/>
    <col min="32" max="32" width="2.83203125" style="9" customWidth="1"/>
    <col min="33" max="33" width="45.83203125" style="9" bestFit="1" customWidth="1"/>
    <col min="34" max="34" width="49.6640625" style="9" bestFit="1" customWidth="1"/>
    <col min="35" max="36" width="20.6640625" style="9" bestFit="1" customWidth="1"/>
    <col min="37" max="39" width="11" style="9" customWidth="1"/>
    <col min="40" max="16384" width="11" style="9"/>
  </cols>
  <sheetData>
    <row r="1" spans="1:31" s="2" customFormat="1" ht="16" customHeight="1" x14ac:dyDescent="0.2">
      <c r="A1" s="1"/>
      <c r="B1" s="1"/>
      <c r="C1" s="1"/>
      <c r="D1" s="1"/>
      <c r="E1" s="1"/>
      <c r="F1" s="1"/>
      <c r="G1" s="1"/>
      <c r="H1" s="9"/>
      <c r="I1" s="9"/>
      <c r="J1" s="1"/>
      <c r="K1" s="1"/>
      <c r="L1" s="1"/>
      <c r="M1" s="1"/>
      <c r="N1" s="1"/>
      <c r="O1" s="1"/>
      <c r="P1" s="1"/>
    </row>
    <row r="2" spans="1:31" s="2" customFormat="1" ht="54" customHeight="1" x14ac:dyDescent="0.2">
      <c r="H2" s="9"/>
      <c r="I2" s="9"/>
      <c r="Q2" s="631"/>
      <c r="R2" s="632"/>
      <c r="S2" s="216"/>
      <c r="T2" s="216"/>
      <c r="U2" s="216"/>
      <c r="V2" s="627"/>
      <c r="W2" s="627"/>
      <c r="X2" s="627"/>
      <c r="Y2" s="627"/>
      <c r="Z2" s="628"/>
    </row>
    <row r="3" spans="1:31" s="2" customFormat="1" ht="20" customHeight="1" x14ac:dyDescent="0.2">
      <c r="H3" s="9"/>
      <c r="I3" s="9"/>
      <c r="Q3" s="629" t="s">
        <v>1008</v>
      </c>
      <c r="R3" s="629"/>
      <c r="S3" s="629"/>
      <c r="T3" s="629"/>
      <c r="U3" s="629"/>
      <c r="V3" s="629"/>
      <c r="W3" s="629"/>
      <c r="X3" s="630"/>
      <c r="Y3" s="630"/>
      <c r="Z3" s="630"/>
    </row>
    <row r="4" spans="1:31" s="2" customFormat="1" ht="16" x14ac:dyDescent="0.2">
      <c r="H4" s="9"/>
      <c r="I4" s="9"/>
      <c r="V4" s="11"/>
      <c r="W4" s="3"/>
    </row>
    <row r="5" spans="1:31" s="2" customFormat="1" ht="16" x14ac:dyDescent="0.2">
      <c r="H5" s="9"/>
      <c r="I5" s="9"/>
      <c r="V5" s="11"/>
      <c r="W5" s="3"/>
    </row>
    <row r="6" spans="1:31" s="2" customFormat="1" ht="20" customHeight="1" x14ac:dyDescent="0.2">
      <c r="B6" s="217" t="s">
        <v>1344</v>
      </c>
      <c r="C6" s="217"/>
      <c r="E6" s="218" t="s">
        <v>1345</v>
      </c>
      <c r="F6" s="218"/>
      <c r="H6" s="217" t="s">
        <v>1346</v>
      </c>
      <c r="I6" s="217"/>
      <c r="K6" s="217" t="s">
        <v>1347</v>
      </c>
      <c r="L6" s="217"/>
      <c r="N6" s="623" t="s">
        <v>1348</v>
      </c>
      <c r="O6" s="624"/>
      <c r="Q6" s="621" t="s">
        <v>1442</v>
      </c>
      <c r="R6" s="622"/>
      <c r="T6" s="621" t="s">
        <v>1476</v>
      </c>
      <c r="U6" s="622"/>
      <c r="V6" s="11"/>
      <c r="W6" s="621" t="s">
        <v>1427</v>
      </c>
      <c r="X6" s="622"/>
      <c r="Z6" s="621" t="s">
        <v>1436</v>
      </c>
      <c r="AA6" s="622"/>
      <c r="AC6" s="621" t="s">
        <v>1349</v>
      </c>
      <c r="AD6" s="622"/>
      <c r="AE6" s="397"/>
    </row>
    <row r="7" spans="1:31" s="2" customFormat="1" ht="20" customHeight="1" x14ac:dyDescent="0.2">
      <c r="B7" s="4" t="s">
        <v>1350</v>
      </c>
      <c r="C7" s="8" t="str">
        <f>IF(ISBLANK(mgmt_vcf_installer_location_chosen),"Value Missing",mgmt_vcf_installer_location_chosen)</f>
        <v>Deployed on one of the hosts in the management domain</v>
      </c>
      <c r="E7" s="4" t="s">
        <v>1351</v>
      </c>
      <c r="F7" s="8">
        <v>1</v>
      </c>
      <c r="H7" s="219" t="s">
        <v>250</v>
      </c>
      <c r="I7" s="220" t="s">
        <v>20</v>
      </c>
      <c r="K7" s="219" t="s">
        <v>250</v>
      </c>
      <c r="L7" s="220" t="s">
        <v>20</v>
      </c>
      <c r="N7" s="219" t="s">
        <v>250</v>
      </c>
      <c r="O7" s="220" t="s">
        <v>20</v>
      </c>
      <c r="Q7" s="220" t="s">
        <v>250</v>
      </c>
      <c r="R7" s="220" t="s">
        <v>20</v>
      </c>
      <c r="T7" s="220" t="s">
        <v>250</v>
      </c>
      <c r="U7" s="220" t="s">
        <v>20</v>
      </c>
      <c r="W7" s="220" t="s">
        <v>250</v>
      </c>
      <c r="X7" s="220" t="s">
        <v>20</v>
      </c>
      <c r="Z7" s="220" t="s">
        <v>250</v>
      </c>
      <c r="AA7" s="220" t="s">
        <v>20</v>
      </c>
      <c r="AC7" s="220" t="s">
        <v>250</v>
      </c>
      <c r="AD7" s="220" t="s">
        <v>1021</v>
      </c>
      <c r="AE7" s="220" t="s">
        <v>1322</v>
      </c>
    </row>
    <row r="8" spans="1:31" s="2" customFormat="1" ht="20" customHeight="1" x14ac:dyDescent="0.2">
      <c r="B8" s="4" t="s">
        <v>3291</v>
      </c>
      <c r="C8" s="8" t="str">
        <f>CONCATENATE(this_instance,"-ins01.",sample_child_dns_zone)</f>
        <v>sfo-ins01.sfo.rainpole.io</v>
      </c>
      <c r="E8" s="4" t="s">
        <v>1352</v>
      </c>
      <c r="F8" s="8" t="str">
        <f>wld_compute_hosts_per_rack_chosen</f>
        <v>Exclude</v>
      </c>
      <c r="H8" s="4" t="s">
        <v>1353</v>
      </c>
      <c r="I8" s="8" t="s">
        <v>1935</v>
      </c>
      <c r="K8" s="4" t="s">
        <v>1354</v>
      </c>
      <c r="L8" s="8" t="str">
        <f>IF(ISBLANK(input_ca_administrator_username),"Value Missing",input_ca_administrator_username)</f>
        <v>Value Missing</v>
      </c>
      <c r="N8" s="4" t="s">
        <v>1355</v>
      </c>
      <c r="O8" s="8" t="str">
        <f>IF(ISBLANK(input_mgmt_sddc_domain),"Value Missing",input_mgmt_sddc_domain)</f>
        <v>Value Missing</v>
      </c>
      <c r="Q8" s="23" t="s">
        <v>1446</v>
      </c>
      <c r="R8" s="8" t="str">
        <f>IF(ISBLANK(input_xreg_vra_virtual_ip),"Value Missing",input_xreg_vra_virtual_ip)</f>
        <v>Value Missing</v>
      </c>
      <c r="T8" s="4" t="s">
        <v>1486</v>
      </c>
      <c r="U8" s="8" t="str">
        <f>IF(ISBLANK(input_mgmt_srm_recovery_sddc_manager_fqdn),"Value Missing",input_mgmt_srm_recovery_sddc_manager_fqdn)</f>
        <v>Value Missing</v>
      </c>
      <c r="W8" s="4" t="s">
        <v>269</v>
      </c>
      <c r="X8" s="8" t="str">
        <f>IF(ISBLANK(input_mgmt_witnessaz_mgmt_vlan),"Value Missing",input_mgmt_witnessaz_mgmt_vlan)</f>
        <v>Value Missing</v>
      </c>
      <c r="Z8" s="4" t="s">
        <v>1444</v>
      </c>
      <c r="AA8" s="8" t="str">
        <f>IF(ISBLANK(input_wld_witnessaz_mgmt_cidr),"Value Missing",VLOOKUP(INT(RIGHT(input_wld_witnessaz_mgmt_cidr,LEN(input_wld_witnessaz_mgmt_cidr)-FIND("/",input_wld_witnessaz_mgmt_cidr))),table_cidr_to_mask,2,FALSE))</f>
        <v>Value Missing</v>
      </c>
      <c r="AC8" s="4" t="s">
        <v>1358</v>
      </c>
      <c r="AD8" s="8" t="str">
        <f>'Value Reference Tables - MR'!F9</f>
        <v>Value Missing</v>
      </c>
      <c r="AE8" s="8" t="str">
        <f>'Value Reference Tables - MR'!F295</f>
        <v>Value Missing</v>
      </c>
    </row>
    <row r="9" spans="1:31" s="2" customFormat="1" ht="20" customHeight="1" x14ac:dyDescent="0.2">
      <c r="B9" s="4" t="s">
        <v>1359</v>
      </c>
      <c r="C9" s="8" t="s">
        <v>1360</v>
      </c>
      <c r="E9" s="4" t="s">
        <v>1361</v>
      </c>
      <c r="F9" s="8">
        <f>IF(vcf_granular_option_chosen="Create Cluster",PRODUCT(cluster_compute_hosts_per_rack_chosen,wld_multi_rack_count_chosen),PRODUCT(wld_compute_hosts_per_rack,wld_multi_rack_count_chosen))</f>
        <v>0</v>
      </c>
      <c r="H9" s="4" t="s">
        <v>1362</v>
      </c>
      <c r="I9" s="8" t="str">
        <f>IF(ISBLANK(input_cluster_domain_name),"Value Missing",input_cluster_domain_name)</f>
        <v>Value Missing</v>
      </c>
      <c r="N9" s="4" t="s">
        <v>1363</v>
      </c>
      <c r="O9" s="8"/>
      <c r="Q9" s="23" t="s">
        <v>1450</v>
      </c>
      <c r="R9" s="8" t="str">
        <f>IF(flt_auto_node_pool_start_ip="Value Missing","Value Missing",flt_auto_node_pool_start_ip)</f>
        <v>Value Missing</v>
      </c>
      <c r="T9" s="4" t="s">
        <v>1490</v>
      </c>
      <c r="U9" s="8" t="str">
        <f>IF(ISBLANK(input_mgmt_srm_recovery_sddc_manager_username),"Value Missing",input_mgmt_srm_recovery_sddc_manager_username)</f>
        <v>Value Missing</v>
      </c>
      <c r="Z9" s="4" t="s">
        <v>1448</v>
      </c>
      <c r="AA9" s="8" t="str">
        <f>IF(ISBLANK(input_mgmt_az1_uplink01_cidr),"Value Missing",VLOOKUP(INT(RIGHT(input_mgmt_az1_uplink01_cidr,LEN(input_mgmt_az1_uplink01_cidr)-FIND("/",input_mgmt_az1_uplink01_cidr))),table_cidr_to_mask,2,FALSE))</f>
        <v>Value Missing</v>
      </c>
    </row>
    <row r="10" spans="1:31" s="2" customFormat="1" ht="20" customHeight="1" x14ac:dyDescent="0.2">
      <c r="B10" s="8" t="s">
        <v>1364</v>
      </c>
      <c r="C10" s="8" t="str">
        <f>CONCATENATE(this_instance,".rainpole.io")</f>
        <v>sfo.rainpole.io</v>
      </c>
      <c r="E10" s="140" t="str">
        <f>IF(OR(wld_domain_chosen="Deploy Workload Domain with a Multi-Rack Layer 3 Cluster",cluster_chosen="Deploy a Multi-Rack Layer 3 Cluster",),"Include","Exclude")</f>
        <v>Exclude</v>
      </c>
      <c r="F10" s="140" t="str">
        <f>IF(mgmt_domain_deployment_type_chosen="VMware vSphere Foundation","Excluded",
IF(AND(vcf_granular_option_chosen&lt;&gt;"Deploy a new VCF fleet",vcf_granular_option_chosen&lt;&gt;"Deploy a VCF Instance in an existing VCF fleet",vcf_granular_option_chosen&lt;&gt;"Create Workload Domain",vcf_granular_option_chosen&lt;&gt;"Create Cluster"),"Excluded",
IF(AND(wld_domain_chosen&lt;&gt;"Deploy Workload Domain with a Multi-Rack Layer 3 Cluster",cluster_chosen&lt;&gt;"Deploy a Multi-Rack Layer 3 Cluster"),"Excluded",
IF(AND(wld_multi_rack_count_chosen="Exclude",wld_compute_hosts_per_rack_chosen="Exclude",cluster_compute_hosts_per_rack_chosen="Exclude"),"Excluded",
IF(OR(wld_principal_storage_chosen="vSAN-ESA",wld_principal_storage_chosen="vSAN-OSA",wld_principal_storage_chosen="vSAN Compute Cluster"),
IF(wld_multirack_calc="Include","Included","Excluded"),"Excluded")))))</f>
        <v>Excluded</v>
      </c>
      <c r="H10" s="4" t="s">
        <v>648</v>
      </c>
      <c r="I10" s="8" t="str">
        <f>cluster_principal_storage_chosen</f>
        <v>vSAN Compute Cluster</v>
      </c>
      <c r="K10" s="217" t="s">
        <v>1367</v>
      </c>
      <c r="L10" s="217"/>
      <c r="N10" s="4" t="s">
        <v>1365</v>
      </c>
      <c r="O10" s="8" t="str">
        <f>IF(ISBLANK(input_svc_vcf_ca_vcf_user),"Value Missing",input_svc_vcf_ca_vcf_user)</f>
        <v>Value Missing</v>
      </c>
      <c r="Q10" s="23" t="s">
        <v>1453</v>
      </c>
      <c r="R10" s="8" t="str">
        <f>IF(flt_auto_node_pool_start_ip="Value Missing","Value Missing",LEFT(xreg_vra_nodea_ip,FIND("~",SUBSTITUTE(xreg_vra_nodea_ip,".","~",3)))&amp;(RIGHT(xreg_vra_nodea_ip,LEN(xreg_vra_nodea_ip)-FIND("~",SUBSTITUTE(xreg_vra_nodea_ip,".","~",3)))+1))</f>
        <v>Value Missing</v>
      </c>
      <c r="T10" s="4" t="s">
        <v>1493</v>
      </c>
      <c r="U10" s="8" t="str">
        <f>IF(ISBLANK(input_mgmt_srm_recovery_sddc_manager_password),"Value Missing",input_mgmt_srm_recovery_sddc_manager_password)</f>
        <v>Value Missing</v>
      </c>
      <c r="W10" s="621" t="s">
        <v>1435</v>
      </c>
      <c r="X10" s="622"/>
      <c r="Z10" s="4" t="s">
        <v>1451</v>
      </c>
      <c r="AA10" s="8" t="str">
        <f>IF(ISBLANK(input_mgmt_az1_uplink02_cidr),"Value Missing",VLOOKUP(INT(RIGHT(input_mgmt_az1_uplink02_cidr,LEN(input_mgmt_az1_uplink02_cidr)-FIND("/",input_mgmt_az1_uplink02_cidr))),table_cidr_to_mask,2,FALSE))</f>
        <v>Value Missing</v>
      </c>
      <c r="AC10" s="621" t="s">
        <v>1381</v>
      </c>
      <c r="AD10" s="622"/>
      <c r="AE10" s="397"/>
    </row>
    <row r="11" spans="1:31" s="2" customFormat="1" ht="20" customHeight="1" x14ac:dyDescent="0.2">
      <c r="B11" s="2" t="s">
        <v>1366</v>
      </c>
      <c r="C11" s="2" t="str">
        <f t="array" aca="1" ref="C11" ca="1">INDIRECT("'Version History'!B8")</f>
        <v>v1.9.1.102</v>
      </c>
      <c r="H11" s="396" t="s">
        <v>202</v>
      </c>
      <c r="I11" s="220" t="s">
        <v>20</v>
      </c>
      <c r="K11" s="219" t="s">
        <v>250</v>
      </c>
      <c r="L11" s="220" t="s">
        <v>20</v>
      </c>
      <c r="N11" s="4" t="s">
        <v>667</v>
      </c>
      <c r="O11" s="8" t="str">
        <f>'Management Domain Sizing'!D40</f>
        <v>Small</v>
      </c>
      <c r="Q11" s="23" t="s">
        <v>1456</v>
      </c>
      <c r="R11" s="8" t="str">
        <f>IF(flt_auto_node_pool_start_ip="Value Missing","Value Missing",LEFT(xreg_vra_nodea_ip,FIND("~",SUBSTITUTE(xreg_vra_nodea_ip,".","~",3)))&amp;(RIGHT(xreg_vra_nodea_ip,LEN(xreg_vra_nodea_ip)-FIND("~",SUBSTITUTE(xreg_vra_nodea_ip,".","~",3)))+2))</f>
        <v>Value Missing</v>
      </c>
      <c r="T11" s="4" t="s">
        <v>1496</v>
      </c>
      <c r="U11" s="8" t="s">
        <v>521</v>
      </c>
      <c r="W11" s="220" t="s">
        <v>250</v>
      </c>
      <c r="X11" s="220" t="s">
        <v>20</v>
      </c>
      <c r="Z11" s="4" t="s">
        <v>1460</v>
      </c>
      <c r="AA11" s="8"/>
      <c r="AC11" s="220" t="s">
        <v>250</v>
      </c>
      <c r="AD11" s="220" t="s">
        <v>1021</v>
      </c>
      <c r="AE11" s="220" t="s">
        <v>1322</v>
      </c>
    </row>
    <row r="12" spans="1:31" s="2" customFormat="1" ht="20" customHeight="1" x14ac:dyDescent="0.2">
      <c r="B12" s="217" t="s">
        <v>1368</v>
      </c>
      <c r="C12" s="217"/>
      <c r="E12" s="217" t="s">
        <v>1369</v>
      </c>
      <c r="F12" s="217"/>
      <c r="H12" s="4" t="s">
        <v>85</v>
      </c>
      <c r="I12" s="8" t="str">
        <f>IF(ISBLANK(input_cluster_az1_mgmt_vlan),"Value Missing",input_cluster_az1_mgmt_vlan)</f>
        <v>Value Missing</v>
      </c>
      <c r="K12" s="4" t="s">
        <v>1371</v>
      </c>
      <c r="L12" s="8" t="str">
        <f>IF(ISBLANK(input_esxi_root_password),"Value Missing",input_esxi_root_password)</f>
        <v>Value Missing</v>
      </c>
      <c r="N12" s="4" t="s">
        <v>1370</v>
      </c>
      <c r="O12" s="8" t="str">
        <f>'Management Domain Sizing'!F40</f>
        <v>Large</v>
      </c>
      <c r="Q12" s="23" t="s">
        <v>1458</v>
      </c>
      <c r="R12" s="8" t="str">
        <f>IF(flt_auto_node_pool_start_ip="Value Missing","Value Missing",LEFT(xreg_vra_nodea_ip,FIND("~",SUBSTITUTE(xreg_vra_nodea_ip,".","~",3)))&amp;(RIGHT(xreg_vra_nodea_ip,LEN(xreg_vra_nodea_ip)-FIND("~",SUBSTITUTE(xreg_vra_nodea_ip,".","~",3)))+3))</f>
        <v>Value Missing</v>
      </c>
      <c r="T12" s="4" t="s">
        <v>1500</v>
      </c>
      <c r="U12" s="8" t="s">
        <v>521</v>
      </c>
      <c r="W12" s="4" t="s">
        <v>269</v>
      </c>
      <c r="X12" s="8" t="str">
        <f>IF(ISBLANK(input_mgmt_witness_mgmt_pg),"Value Missing",input_mgmt_witness_mgmt_pg)</f>
        <v>Value Missing</v>
      </c>
      <c r="Z12" s="4" t="s">
        <v>1461</v>
      </c>
      <c r="AA12" s="8" t="str">
        <f>IF(ISBLANK(input_wld_witnessaz_mgmt_cidr),"Value Missing",VLOOKUP(INT(RIGHT(input_wld_witnessaz_mgmt_cidr,LEN(input_wld_witnessaz_mgmt_cidr)-FIND("/",input_wld_witnessaz_mgmt_cidr))),table_cidr_to_mask,2,FALSE))</f>
        <v>Value Missing</v>
      </c>
      <c r="AC12" s="4" t="s">
        <v>1358</v>
      </c>
      <c r="AD12" s="8" t="str">
        <f>'Value Reference Tables - MR'!F24</f>
        <v>Value Missing</v>
      </c>
      <c r="AE12" s="8" t="str">
        <f>'Value Reference Tables - MR'!F309</f>
        <v>Value Missing</v>
      </c>
    </row>
    <row r="13" spans="1:31" s="2" customFormat="1" ht="20" customHeight="1" x14ac:dyDescent="0.2">
      <c r="B13" s="219" t="s">
        <v>250</v>
      </c>
      <c r="C13" s="220" t="s">
        <v>20</v>
      </c>
      <c r="E13" s="219" t="s">
        <v>250</v>
      </c>
      <c r="F13" s="220" t="s">
        <v>20</v>
      </c>
      <c r="H13" s="4" t="s">
        <v>180</v>
      </c>
      <c r="I13" s="8" t="str">
        <f>IF(ISBLANK(input_cluster_az1_mgmt_gateway_ip),"Value Missing",input_cluster_az1_mgmt_gateway_ip)</f>
        <v>Value Missing</v>
      </c>
      <c r="K13" s="23" t="s">
        <v>1375</v>
      </c>
      <c r="L13" s="8" t="str">
        <f>IF(ISBLANK(input_administrator_vsphere_local_password),"Value Missing",input_administrator_vsphere_local_password)</f>
        <v>Value Missing</v>
      </c>
      <c r="N13" s="4" t="s">
        <v>1372</v>
      </c>
      <c r="O13" s="8" t="str">
        <f>IF(ISBLANK(mgmt_ceip_status_chosen),"Value Missing",mgmt_ceip_status_chosen)</f>
        <v>Selected</v>
      </c>
      <c r="Q13" s="23" t="s">
        <v>3099</v>
      </c>
      <c r="R13" s="8" t="str">
        <f>IF(flt_auto_node_pool_start_ip="Value Missing","Value Missing",LEFT(xreg_vra_nodea_ip,FIND("~",SUBSTITUTE(xreg_vra_nodea_ip,".","~",3)))&amp;(RIGHT(xreg_vra_nodea_ip,LEN(xreg_vra_nodea_ip)-FIND("~",SUBSTITUTE(xreg_vra_nodea_ip,".","~",3)))+4))</f>
        <v>Value Missing</v>
      </c>
      <c r="T13" s="4" t="s">
        <v>1502</v>
      </c>
      <c r="U13" s="8" t="str">
        <f>IF(ISBLANK(input_xreg_vrops_vrms_sso_username),"Value Missing",input_xreg_vrops_vrms_sso_username)</f>
        <v>Value Missing</v>
      </c>
      <c r="Z13" s="4" t="s">
        <v>1468</v>
      </c>
      <c r="AA13" s="8" t="str">
        <f>IF(ISBLANK(input_wld_az1_uplink01_cidr),"Value Missing",VLOOKUP(INT(RIGHT(input_wld_az1_uplink01_cidr,LEN(input_wld_az1_uplink01_cidr)-FIND("/",input_wld_az1_uplink01_cidr))),table_cidr_to_mask,2,FALSE))</f>
        <v>Value Missing</v>
      </c>
    </row>
    <row r="14" spans="1:31" s="2" customFormat="1" ht="20" customHeight="1" x14ac:dyDescent="0.2">
      <c r="B14" s="4" t="s">
        <v>1373</v>
      </c>
      <c r="C14" s="8" t="str">
        <f>IF(ISBLANK(input_vcf_installer_ip),"Value Missing",input_vcf_installer_ip)</f>
        <v>Value Missing</v>
      </c>
      <c r="E14" s="4" t="s">
        <v>1374</v>
      </c>
      <c r="F14" s="8" t="str">
        <f>IF(ISBLANK(input_wld_vc_ip),"Value Missing",input_wld_vc_ip)</f>
        <v>Value Missing</v>
      </c>
      <c r="H14" s="4" t="s">
        <v>181</v>
      </c>
      <c r="I14" s="8" t="str">
        <f>IF(ISBLANK(input_cluster_az1_mgmt_cidr),"Value Missing",input_cluster_az1_mgmt_cidr)</f>
        <v>Value Missing</v>
      </c>
      <c r="K14" s="23" t="s">
        <v>1379</v>
      </c>
      <c r="L14" s="8" t="str">
        <f>IF(ISBLANK(input_vcenter_root_password),"Value Missing",input_vcenter_root_password)</f>
        <v>Value Missing</v>
      </c>
      <c r="N14" s="4" t="s">
        <v>1376</v>
      </c>
      <c r="O14" s="8" t="str">
        <f>'Management Domain Sizing'!I40</f>
        <v>Medium</v>
      </c>
      <c r="Q14" s="23" t="s">
        <v>3100</v>
      </c>
      <c r="R14" s="8" t="str">
        <f>IF(flt_auto_node_pool_start_ip="Value Missing","Value Missing",LEFT(xreg_vra_nodea_ip,FIND("~",SUBSTITUTE(xreg_vra_nodea_ip,".","~",3)))&amp;(RIGHT(xreg_vra_nodea_ip,LEN(xreg_vra_nodea_ip)-FIND("~",SUBSTITUTE(xreg_vra_nodea_ip,".","~",3)))+5))</f>
        <v>Value Missing</v>
      </c>
      <c r="T14" s="4" t="s">
        <v>1505</v>
      </c>
      <c r="U14" s="8" t="str">
        <f>IF(ISBLANK(input_xreg_vrops_vrms_sso_password),"Value Missing",input_xreg_vrops_vrms_sso_password)</f>
        <v>Value Missing</v>
      </c>
      <c r="W14" s="621" t="s">
        <v>1447</v>
      </c>
      <c r="X14" s="622"/>
      <c r="Z14" s="4" t="s">
        <v>1470</v>
      </c>
      <c r="AA14" s="8" t="str">
        <f>IF(ISBLANK(input_wld_az1_uplink02_cidr),"Value Missing",VLOOKUP(INT(RIGHT(input_wld_az1_uplink02_cidr,LEN(input_wld_az1_uplink02_cidr)-FIND("/",input_wld_az1_uplink02_cidr))),table_cidr_to_mask,2,FALSE))</f>
        <v>Value Missing</v>
      </c>
      <c r="AC14" s="621" t="s">
        <v>1395</v>
      </c>
      <c r="AD14" s="622"/>
      <c r="AE14" s="397"/>
    </row>
    <row r="15" spans="1:31" s="2" customFormat="1" ht="20" customHeight="1" x14ac:dyDescent="0.2">
      <c r="B15" s="4" t="s">
        <v>1377</v>
      </c>
      <c r="C15" s="8" t="str">
        <f>IF(ISBLANK(input_sddc_mgr_ip),"Value Missing",input_sddc_mgr_ip)</f>
        <v>Value Missing</v>
      </c>
      <c r="E15" s="4" t="s">
        <v>1378</v>
      </c>
      <c r="F15" s="8" t="str">
        <f>IF(ISBLANK(input_wld_nsxt_vip_ip),"Value Missing",input_wld_nsxt_vip_ip)</f>
        <v>Value Missing</v>
      </c>
      <c r="H15" s="4" t="s">
        <v>155</v>
      </c>
      <c r="I15" s="8" t="str">
        <f>IF(ISBLANK(input_cluster_az1_mgmt_mtu),"Value Missing",input_cluster_az1_mgmt_mtu)</f>
        <v>Value Missing</v>
      </c>
      <c r="K15" s="23" t="s">
        <v>1384</v>
      </c>
      <c r="L15" s="8" t="str">
        <f>IF(ISBLANK(input_nsxt_lm_root_password),"Value Missing",input_nsxt_lm_root_password)</f>
        <v>Value Missing</v>
      </c>
      <c r="N15" s="4" t="s">
        <v>1380</v>
      </c>
      <c r="O15" s="8" t="str">
        <f>IF(ISBLANK(input_mgmt_ec_name),"Value Missing",input_mgmt_ec_name)</f>
        <v>Value Missing</v>
      </c>
      <c r="Q15" s="23" t="s">
        <v>575</v>
      </c>
      <c r="R15" s="8"/>
      <c r="T15" s="4" t="s">
        <v>1509</v>
      </c>
      <c r="U15" s="8" t="str">
        <f>IF(ISBLANK(input_xreg_vrops_srm_sso_username),"Value Missing",input_xreg_vrops_srm_sso_username)</f>
        <v>Value Missing</v>
      </c>
      <c r="V15" s="3"/>
      <c r="W15" s="220" t="s">
        <v>250</v>
      </c>
      <c r="X15" s="220" t="s">
        <v>20</v>
      </c>
      <c r="Z15" s="4" t="s">
        <v>1478</v>
      </c>
      <c r="AA15" s="8" t="str">
        <f>IF(ISBLANK(input_wld_az1_vrms_cidr),"Value Missing",VLOOKUP(INT(RIGHT(input_wld_az1_vrms_cidr,LEN(input_wld_az1_vrms_cidr)-FIND("/",input_wld_az1_vrms_cidr))),table_cidr_to_mask,2,FALSE))</f>
        <v>Value Missing</v>
      </c>
      <c r="AC15" s="220" t="s">
        <v>250</v>
      </c>
      <c r="AD15" s="220" t="s">
        <v>1021</v>
      </c>
      <c r="AE15" s="220" t="s">
        <v>1322</v>
      </c>
    </row>
    <row r="16" spans="1:31" s="2" customFormat="1" ht="20" customHeight="1" x14ac:dyDescent="0.2">
      <c r="B16" s="4" t="s">
        <v>1374</v>
      </c>
      <c r="C16" s="8" t="str">
        <f>IF(ISBLANK(input_mgmt_vc_ip),"Value Missing",input_mgmt_vc_ip)</f>
        <v>Value Missing</v>
      </c>
      <c r="E16" s="4" t="s">
        <v>1382</v>
      </c>
      <c r="F16" s="8" t="str">
        <f>IF(ISBLANK(input_wld_nsxt_mgra_ip),"Value Missing",input_wld_nsxt_mgra_ip)</f>
        <v>Value Missing</v>
      </c>
      <c r="H16" s="396" t="s">
        <v>1383</v>
      </c>
      <c r="I16" s="220" t="s">
        <v>20</v>
      </c>
      <c r="K16" s="23" t="s">
        <v>1387</v>
      </c>
      <c r="L16" s="8" t="str">
        <f>IF(ISBLANK(input_nsxt_lm_admin_password),"Value Missing",input_nsxt_lm_admin_password)</f>
        <v>Value Missing</v>
      </c>
      <c r="N16" s="4" t="s">
        <v>1385</v>
      </c>
      <c r="O16" s="8" t="str">
        <f>'Management Domain Sizing'!L40</f>
        <v>Excluded</v>
      </c>
      <c r="Q16" s="23" t="s">
        <v>3680</v>
      </c>
      <c r="R16" s="8" t="str">
        <f>IF(ISBLANK(input_xreg_vra_prefix),"Value Missing",input_xreg_vra_prefix)</f>
        <v>Value Missing</v>
      </c>
      <c r="T16" s="4" t="s">
        <v>1512</v>
      </c>
      <c r="U16" s="8" t="str">
        <f>IF(ISBLANK(input_xreg_vrops_srm_sso_password),"Value Missing",input_xreg_vrops_srm_sso_password)</f>
        <v>Value Missing</v>
      </c>
      <c r="V16" s="3"/>
      <c r="W16" s="4" t="s">
        <v>269</v>
      </c>
      <c r="X16" s="8" t="str">
        <f>IF(ISBLANK(input_mgmt_witnessaz_mgmt_cidr),"Value Missing",input_mgmt_witnessaz_mgmt_cidr)</f>
        <v>Value Missing</v>
      </c>
      <c r="AC16" s="4" t="s">
        <v>1358</v>
      </c>
      <c r="AD16" s="8" t="str">
        <f>'Value Reference Tables - MR'!F86</f>
        <v>Value Missing</v>
      </c>
      <c r="AE16" s="8" t="str">
        <f>'Value Reference Tables - MR'!F351</f>
        <v>Value Missing</v>
      </c>
    </row>
    <row r="17" spans="2:31" s="2" customFormat="1" ht="20" customHeight="1" x14ac:dyDescent="0.2">
      <c r="B17" s="4" t="s">
        <v>1378</v>
      </c>
      <c r="C17" s="8" t="str">
        <f>IF(ISBLANK(input_mgmt_nsxt_vip_ip),"Value Missing",input_mgmt_nsxt_vip_ip)</f>
        <v>Value Missing</v>
      </c>
      <c r="E17" s="4" t="s">
        <v>1386</v>
      </c>
      <c r="F17" s="8" t="str">
        <f>IF(ISBLANK(input_wld_nsxt_mgrb_ip),"Value Missing",input_wld_nsxt_mgrb_ip)</f>
        <v>Value Missing</v>
      </c>
      <c r="H17" s="4" t="s">
        <v>85</v>
      </c>
      <c r="I17" s="8" t="str">
        <f>IF(ISBLANK(input_cluster_az1_vmotion_vlan),"Value Missing",input_cluster_az1_vmotion_vlan)</f>
        <v>Value Missing</v>
      </c>
      <c r="K17" s="23" t="s">
        <v>1390</v>
      </c>
      <c r="L17" s="8" t="str">
        <f>IF(ISBLANK(input_nsxt_lm_audit_password),"Value Missing",input_nsxt_lm_audit_password)</f>
        <v>Value Missing</v>
      </c>
      <c r="N17" s="4" t="s">
        <v>1388</v>
      </c>
      <c r="O17" s="8" t="str">
        <f>IF(ISBLANK(input_mgmt_tier0_name),"Value Missing",input_mgmt_tier0_name)</f>
        <v>Value Missing</v>
      </c>
      <c r="V17" s="3"/>
      <c r="Z17" s="621" t="s">
        <v>1019</v>
      </c>
      <c r="AA17" s="622"/>
    </row>
    <row r="18" spans="2:31" s="2" customFormat="1" ht="20" customHeight="1" x14ac:dyDescent="0.2">
      <c r="B18" s="4" t="s">
        <v>1382</v>
      </c>
      <c r="C18" s="8" t="str">
        <f>IF(ISBLANK(input_mgmt_nsxt_mgra_ip),"Value Missing",input_mgmt_nsxt_mgra_ip)</f>
        <v>Value Missing</v>
      </c>
      <c r="E18" s="4" t="s">
        <v>1389</v>
      </c>
      <c r="F18" s="8" t="str">
        <f>IF(ISBLANK(input_wld_nsxt_mgrc_ip),"Value Missing",input_wld_nsxt_mgrc_ip)</f>
        <v>Value Missing</v>
      </c>
      <c r="H18" s="4" t="s">
        <v>155</v>
      </c>
      <c r="I18" s="8" t="str">
        <f>IF(ISBLANK(input_cluster_az1_vmotion_mtu),"Value Missing",input_cluster_az1_vmotion_mtu)</f>
        <v>Value Missing</v>
      </c>
      <c r="K18" s="23" t="s">
        <v>1393</v>
      </c>
      <c r="L18" s="8" t="str">
        <f>IF(ISBLANK(input_mgmt_nsxt_en_root_password),"Value Missing",input_mgmt_nsxt_en_root_password)</f>
        <v>Value Missing</v>
      </c>
      <c r="N18" s="4" t="s">
        <v>1391</v>
      </c>
      <c r="O18" s="8"/>
      <c r="Q18" s="621" t="s">
        <v>1466</v>
      </c>
      <c r="R18" s="622"/>
      <c r="T18" s="621" t="s">
        <v>1517</v>
      </c>
      <c r="U18" s="622"/>
      <c r="W18" s="621" t="s">
        <v>1459</v>
      </c>
      <c r="X18" s="622"/>
      <c r="Z18" s="220" t="s">
        <v>250</v>
      </c>
      <c r="AA18" s="220" t="s">
        <v>20</v>
      </c>
      <c r="AC18" s="621" t="s">
        <v>1408</v>
      </c>
      <c r="AD18" s="622"/>
      <c r="AE18" s="397"/>
    </row>
    <row r="19" spans="2:31" s="2" customFormat="1" ht="20" customHeight="1" x14ac:dyDescent="0.2">
      <c r="B19" s="4" t="s">
        <v>1386</v>
      </c>
      <c r="C19" s="8" t="str">
        <f>IF(ISBLANK(input_mgmt_nsxt_mgrb_ip),"Value Missing",input_mgmt_nsxt_mgrb_ip)</f>
        <v>Value Missing</v>
      </c>
      <c r="E19" s="4" t="s">
        <v>1392</v>
      </c>
      <c r="F19" s="8" t="str">
        <f>IF(ISBLANK(input_wld_nsxt_gm_vip_ip),"Value Missing",input_wld_nsxt_gm_vip_ip)</f>
        <v>Value Missing</v>
      </c>
      <c r="H19" s="4" t="s">
        <v>241</v>
      </c>
      <c r="I19" s="8" t="str">
        <f>IF(cluster_az1_vmotion_gateway_cidr="Value Missing","Value Missing",CONCATENATE(_xlfn.TEXTBEFORE(cluster_az1_vmotion_gateway_cidr,".",3),".0"))</f>
        <v>Value Missing</v>
      </c>
      <c r="K19" s="23" t="s">
        <v>1397</v>
      </c>
      <c r="L19" s="8" t="str">
        <f>IF(ISBLANK(input_mgmt_nsxt_en_admin_password),"Value Missing",input_mgmt_nsxt_en_admin_password)</f>
        <v>Value Missing</v>
      </c>
      <c r="N19" s="4" t="s">
        <v>1394</v>
      </c>
      <c r="O19" s="8" t="str">
        <f>IF(ISBLANK(input_mgmt_nsxt_global_mgr_vmca_signed_thumbprint),"Value Missing",input_mgmt_nsxt_global_mgr_vmca_signed_thumbprint)</f>
        <v>Value Missing</v>
      </c>
      <c r="Q19" s="220" t="s">
        <v>250</v>
      </c>
      <c r="R19" s="220" t="s">
        <v>20</v>
      </c>
      <c r="T19" s="220" t="s">
        <v>250</v>
      </c>
      <c r="U19" s="220" t="s">
        <v>20</v>
      </c>
      <c r="W19" s="220" t="s">
        <v>250</v>
      </c>
      <c r="X19" s="220" t="s">
        <v>20</v>
      </c>
      <c r="Z19" s="4" t="s">
        <v>1510</v>
      </c>
      <c r="AA19" s="8" t="str">
        <f>IF(mgmt_domain_chosen="First Instance","sfo","lax")</f>
        <v>sfo</v>
      </c>
      <c r="AC19" s="220" t="s">
        <v>250</v>
      </c>
      <c r="AD19" s="220" t="s">
        <v>1021</v>
      </c>
      <c r="AE19" s="220" t="s">
        <v>1322</v>
      </c>
    </row>
    <row r="20" spans="2:31" s="2" customFormat="1" ht="20" customHeight="1" x14ac:dyDescent="0.2">
      <c r="B20" s="4" t="s">
        <v>1389</v>
      </c>
      <c r="C20" s="8" t="str">
        <f>IF(ISBLANK(input_mgmt_nsxt_mgrc_ip),"Value Missing",input_mgmt_nsxt_mgrc_ip)</f>
        <v>Value Missing</v>
      </c>
      <c r="E20" s="4" t="s">
        <v>1396</v>
      </c>
      <c r="F20" s="8" t="str">
        <f>IF(ISBLANK(input_wld_nsxt_global_mgra_ip),"Value Missing",input_wld_nsxt_global_mgra_ip)</f>
        <v>Value Missing</v>
      </c>
      <c r="H20" s="4" t="s">
        <v>274</v>
      </c>
      <c r="I20" s="8" t="str">
        <f>IF(cluster_az1_vmotion_gateway_cidr="Value Missing",cluster_az1_vmotion_gateway_cidr,VLOOKUP(INT(RIGHT(cluster_az1_vmotion_gateway_cidr,LEN(cluster_az1_vmotion_gateway_cidr)-FIND("/",cluster_az1_vmotion_gateway_cidr))),table_cidr_to_mask,2,FALSE))</f>
        <v>Value Missing</v>
      </c>
      <c r="K20" s="23" t="s">
        <v>1400</v>
      </c>
      <c r="L20" s="8" t="str">
        <f>IF(ISBLANK(input_nsxt_gm_root_password),"Value Missing",input_nsxt_gm_root_password)</f>
        <v>Value Missing</v>
      </c>
      <c r="N20" s="4" t="s">
        <v>1398</v>
      </c>
      <c r="O20" s="8" t="str">
        <f>IF(ISBLANK(input_mgmt_nsxt_global_mgr_cluster_id),"Value Missing",input_mgmt_nsxt_global_mgr_cluster_id)</f>
        <v>Value Missing</v>
      </c>
      <c r="Q20" s="23" t="s">
        <v>1446</v>
      </c>
      <c r="R20" s="8" t="str">
        <f>IF(xreg_vra_virtual_fqdn="Value Missing",xreg_vra_virtual_fqdn,LEFT(xreg_vra_virtual_fqdn,FIND(".",xreg_vra_virtual_fqdn)-1))</f>
        <v>Value Missing</v>
      </c>
      <c r="T20" s="4" t="s">
        <v>1525</v>
      </c>
      <c r="U20" s="8" t="str">
        <f>IF(ISBLANK(input_mgmt_recovery_lb_creation_method),"Value Missing",input_mgmt_recovery_lb_creation_method)</f>
        <v>Value Missing</v>
      </c>
      <c r="V20" s="3"/>
      <c r="W20" s="4" t="s">
        <v>269</v>
      </c>
      <c r="X20" s="8" t="str">
        <f>IF(ISBLANK(input_mgmt_witnessaz_mgmt_gateway_ip),"Value Missing",input_mgmt_witnessaz_mgmt_gateway_ip)</f>
        <v>Value Missing</v>
      </c>
      <c r="Z20" s="4" t="s">
        <v>1513</v>
      </c>
      <c r="AA20" s="8" t="str">
        <f>IF(this_instance="sfo","lax","sfo")</f>
        <v>lax</v>
      </c>
      <c r="AC20" s="4" t="s">
        <v>1358</v>
      </c>
      <c r="AD20" s="8" t="str">
        <f>'Value Reference Tables - MR'!F70</f>
        <v>Value Missing</v>
      </c>
      <c r="AE20" s="8" t="str">
        <f>'Value Reference Tables - MR'!F365</f>
        <v>Value Missing</v>
      </c>
    </row>
    <row r="21" spans="2:31" s="2" customFormat="1" ht="20" customHeight="1" x14ac:dyDescent="0.2">
      <c r="B21" s="4" t="s">
        <v>1392</v>
      </c>
      <c r="C21" s="8" t="str">
        <f>IF(ISBLANK(input_mgmt_nsxt_gm_vip_ip),"Value Missing",input_mgmt_nsxt_gm_vip_ip)</f>
        <v>Value Missing</v>
      </c>
      <c r="E21" s="4" t="s">
        <v>1399</v>
      </c>
      <c r="F21" s="8" t="str">
        <f>IF(ISBLANK(input_wld_nsxt_global_mgrb_ip),"Value Missing",input_wld_nsxt_global_mgrb_ip)</f>
        <v>Value Missing</v>
      </c>
      <c r="H21" s="4" t="s">
        <v>447</v>
      </c>
      <c r="I21" s="8" t="str">
        <f>IF(OR(cluster_az1_vmotion_network="Value Missing",cluster_az1_vmotion_mask="Value Missing"),"Value Missing",(CONCATENATE(cluster_az1_vmotion_network,"/",VLOOKUP(cluster_az1_vmotion_mask,table_mask_to_cidr,2,FALSE))))</f>
        <v>Value Missing</v>
      </c>
      <c r="K21" s="23" t="s">
        <v>1403</v>
      </c>
      <c r="L21" s="8" t="str">
        <f>IF(ISBLANK(input_nsxt_gm_admin_password),"Value Missing",input_nsxt_gm_admin_password)</f>
        <v>Value Missing</v>
      </c>
      <c r="N21" s="4" t="s">
        <v>1401</v>
      </c>
      <c r="O21" s="8" t="str">
        <f>IF(ISBLANK(input_mgmt_nsxt_global_mgr_anti_affinity_rule_name),"Value Missing",input_mgmt_nsxt_global_mgr_anti_affinity_rule_name)</f>
        <v>Value Missing</v>
      </c>
      <c r="T21" s="4" t="s">
        <v>1528</v>
      </c>
      <c r="U21" s="8" t="str">
        <f>IF(ISBLANK(input_mgmt_vrms_vm_folder),"Value Missing",input_mgmt_vrms_vm_folder)</f>
        <v>Value Missing</v>
      </c>
      <c r="V21" s="3"/>
      <c r="Z21" s="4" t="s">
        <v>1516</v>
      </c>
      <c r="AA21" s="8" t="str">
        <f>IF(mgmt_consolidated_result="Included","m01",CONCATENATE("w0",wld_domain_number_chosen))</f>
        <v>w01</v>
      </c>
    </row>
    <row r="22" spans="2:31" s="2" customFormat="1" ht="20" customHeight="1" x14ac:dyDescent="0.2">
      <c r="B22" s="4" t="s">
        <v>1396</v>
      </c>
      <c r="C22" s="8" t="str">
        <f>IF(ISBLANK(input_mgmt_nsxt_global_mgra_ip),"Value Missing",input_mgmt_nsxt_global_mgra_ip)</f>
        <v>Value Missing</v>
      </c>
      <c r="E22" s="4" t="s">
        <v>1402</v>
      </c>
      <c r="F22" s="8" t="str">
        <f>IF(ISBLANK(input_wld_nsxt_global_mgrc_ip),"Value Missing",input_wld_nsxt_global_mgrc_ip)</f>
        <v>Value Missing</v>
      </c>
      <c r="H22" s="4" t="s">
        <v>180</v>
      </c>
      <c r="I22" s="8" t="str">
        <f>IF(cluster_az1_vmotion_gateway_cidr="Value Missing","Value Missing",LEFT(cluster_az1_vmotion_gateway_cidr,FIND("/",cluster_az1_vmotion_gateway_cidr)-1))</f>
        <v>Value Missing</v>
      </c>
      <c r="K22" s="23" t="s">
        <v>1406</v>
      </c>
      <c r="L22" s="8" t="str">
        <f>IF(ISBLANK(input_nsxt_gm_audit_password),"Value Missing",input_nsxt_gm_audit_password)</f>
        <v>Value Missing</v>
      </c>
      <c r="N22" s="4" t="s">
        <v>1404</v>
      </c>
      <c r="O22" s="8" t="str">
        <f>IF(ISBLANK(input_mgmt_nsxt_global_mgr_certificate_id),"Value Missing",input_mgmt_nsxt_global_mgr_certificate_id)</f>
        <v>Value Missing</v>
      </c>
      <c r="Q22" s="621" t="s">
        <v>1475</v>
      </c>
      <c r="R22" s="622"/>
      <c r="T22" s="4" t="s">
        <v>1533</v>
      </c>
      <c r="U22" s="8" t="str">
        <f>IF(ISBLANK(input_mgmt_vrms_root_password),"Value Missing",input_mgmt_vrms_root_password)</f>
        <v>Value Missing</v>
      </c>
      <c r="V22" s="3"/>
      <c r="W22" s="621" t="s">
        <v>1467</v>
      </c>
      <c r="X22" s="622"/>
      <c r="Z22" s="4" t="s">
        <v>1519</v>
      </c>
      <c r="AA22" s="8" t="str">
        <f>IF(this_instance="sfo","11","21")</f>
        <v>11</v>
      </c>
      <c r="AC22" s="621" t="s">
        <v>1417</v>
      </c>
      <c r="AD22" s="622"/>
      <c r="AE22" s="397"/>
    </row>
    <row r="23" spans="2:31" s="2" customFormat="1" ht="20" customHeight="1" x14ac:dyDescent="0.2">
      <c r="B23" s="4" t="s">
        <v>1399</v>
      </c>
      <c r="C23" s="8" t="str">
        <f>IF(ISBLANK(input_mgmt_nsxt_global_mgrb_ip),"Value Missing",input_mgmt_nsxt_global_mgrb_ip)</f>
        <v>Value Missing</v>
      </c>
      <c r="E23" s="4" t="s">
        <v>1405</v>
      </c>
      <c r="F23" s="8" t="str">
        <f>IF(ISBLANK(input_wld_avilb_ip),"Value Missing",input_wld_avilb_ip)</f>
        <v>Value Missing</v>
      </c>
      <c r="H23" s="4" t="s">
        <v>3092</v>
      </c>
      <c r="I23" s="8" t="str">
        <f>IF(ISBLANK(input_cluster_az1_vmotion_gateway_cidr),"Value Missing",input_cluster_az1_vmotion_gateway_cidr)</f>
        <v>Value Missing</v>
      </c>
      <c r="K23" s="23" t="s">
        <v>1400</v>
      </c>
      <c r="L23" s="8" t="str">
        <f>IF(ISBLANK(input_wld_nsxt_gm_root_password),"Value Missing",input_wld_nsxt_gm_root_password)</f>
        <v>Value Missing</v>
      </c>
      <c r="N23" s="4" t="s">
        <v>1407</v>
      </c>
      <c r="O23" s="8" t="str">
        <f>IF(ISBLANK(input_mgmt_nsxt_federation_global_manager_name),"Value Missing",input_mgmt_nsxt_federation_global_manager_name)</f>
        <v>Value Missing</v>
      </c>
      <c r="Q23" s="220" t="s">
        <v>250</v>
      </c>
      <c r="R23" s="220" t="s">
        <v>20</v>
      </c>
      <c r="T23" s="4" t="s">
        <v>1537</v>
      </c>
      <c r="U23" s="8" t="str">
        <f>IF(ISBLANK(input_mgmt_vrms_admin_password),"Value Missing",input_mgmt_vrms_admin_password)</f>
        <v>Value Missing</v>
      </c>
      <c r="V23" s="3"/>
      <c r="W23" s="220" t="s">
        <v>250</v>
      </c>
      <c r="X23" s="220" t="s">
        <v>20</v>
      </c>
      <c r="Z23" s="4" t="s">
        <v>1522</v>
      </c>
      <c r="AA23" s="8" t="str">
        <f>IF(this_instance="sfo","10.11.","10.21.")</f>
        <v>10.11.</v>
      </c>
      <c r="AC23" s="220" t="s">
        <v>250</v>
      </c>
      <c r="AD23" s="220" t="s">
        <v>1021</v>
      </c>
      <c r="AE23" s="220" t="s">
        <v>1322</v>
      </c>
    </row>
    <row r="24" spans="2:31" s="2" customFormat="1" ht="20" customHeight="1" x14ac:dyDescent="0.2">
      <c r="B24" s="4" t="s">
        <v>1402</v>
      </c>
      <c r="C24" s="8" t="str">
        <f>IF(ISBLANK(input_mgmt_nsxt_global_mgrc_ip),"Value Missing",input_mgmt_nsxt_global_mgrc_ip)</f>
        <v>Value Missing</v>
      </c>
      <c r="E24" s="4" t="s">
        <v>1409</v>
      </c>
      <c r="F24" s="8" t="str">
        <f>IF(ISBLANK(input_wld_avilb_mgra_ip),"Value Missing",input_wld_avilb_mgra_ip)</f>
        <v>Value Missing</v>
      </c>
      <c r="H24" s="23" t="s">
        <v>244</v>
      </c>
      <c r="I24" s="8" t="str">
        <f>IF(ISBLANK(input_cluster_az1_vmotion_pool_start_ip),"Value Missing",input_cluster_az1_vmotion_pool_start_ip)</f>
        <v>Value Missing</v>
      </c>
      <c r="K24" s="23" t="s">
        <v>1403</v>
      </c>
      <c r="L24" s="8" t="str">
        <f>IF(ISBLANK(input_wld_nsxt_gm_admin_password),"Value Missing",input_wld_nsxt_gm_admin_password)</f>
        <v>Value Missing</v>
      </c>
      <c r="N24" s="4" t="s">
        <v>1410</v>
      </c>
      <c r="O24" s="8" t="str">
        <f>IF(ISBLANK(input_mgmt_nsxt_federation_location_name),"Value Missing",input_mgmt_nsxt_federation_location_name)</f>
        <v>Value Missing</v>
      </c>
      <c r="Q24" s="23" t="s">
        <v>1446</v>
      </c>
      <c r="R24" s="8" t="str">
        <f>IF(ISBLANK(input_xreg_vra_virtual_fqdn),"Value Missing",input_xreg_vra_virtual_fqdn)</f>
        <v>Value Missing</v>
      </c>
      <c r="T24" s="4" t="s">
        <v>1541</v>
      </c>
      <c r="U24" s="8" t="str">
        <f>IF(ISBLANK(input_mgmt_vrms_site_name),"Value Missing",input_mgmt_vrms_site_name)</f>
        <v>Value Missing</v>
      </c>
      <c r="V24" s="3"/>
      <c r="W24" s="4" t="s">
        <v>269</v>
      </c>
      <c r="X24" s="8" t="str">
        <f>IF(ISBLANK(input_mgmt_witnessaz_mgmt_mtu),"Value Missing",input_mgmt_witnessaz_mgmt_mtu)</f>
        <v>Value Missing</v>
      </c>
      <c r="Z24" s="4" t="s">
        <v>1526</v>
      </c>
      <c r="AA24" s="8" t="str">
        <f>IF(this_instance="sfo","12","22")</f>
        <v>12</v>
      </c>
      <c r="AC24" s="4" t="s">
        <v>1358</v>
      </c>
      <c r="AD24" s="8" t="str">
        <f>'Value Reference Tables - MR'!I9</f>
        <v>Value Missing</v>
      </c>
      <c r="AE24" s="8" t="str">
        <f>'Value Reference Tables - MR'!I295</f>
        <v>Value Missing</v>
      </c>
    </row>
    <row r="25" spans="2:31" s="2" customFormat="1" ht="20" customHeight="1" x14ac:dyDescent="0.2">
      <c r="B25" s="4" t="s">
        <v>1405</v>
      </c>
      <c r="C25" s="8" t="str">
        <f>IF(ISBLANK(input_mgmt_avilb_ip),"Value Missing",input_mgmt_avilb_ip)</f>
        <v>Value Missing</v>
      </c>
      <c r="E25" s="4" t="s">
        <v>1411</v>
      </c>
      <c r="F25" s="8" t="str">
        <f>IF(ISBLANK(input_wld_avilb_mgrb_ip),"Value Missing",input_wld_avilb_mgrb_ip)</f>
        <v>Value Missing</v>
      </c>
      <c r="H25" s="23" t="s">
        <v>245</v>
      </c>
      <c r="I25" s="8" t="str">
        <f>IF(ISBLANK(input_cluster_az1_vmotion_pool_end_ip),"Value Missing",input_cluster_az1_vmotion_pool_end_ip)</f>
        <v>Value Missing</v>
      </c>
      <c r="K25" s="23" t="s">
        <v>1406</v>
      </c>
      <c r="L25" s="8" t="str">
        <f>IF(ISBLANK(input_wld_nsxt_gm_audit_password),"Value Missing",input_wld_nsxt_gm_audit_password)</f>
        <v>Value Missing</v>
      </c>
      <c r="N25" s="4" t="s">
        <v>1412</v>
      </c>
      <c r="O25" s="8" t="str">
        <f>IF(ISBLANK(input_mgmt_nsxt_lm_fingerprint),"Value Missing",input_mgmt_nsxt_lm_fingerprint)</f>
        <v>Value Missing</v>
      </c>
      <c r="Q25" s="23" t="s">
        <v>1446</v>
      </c>
      <c r="R25" s="8" t="str">
        <f>IF(ISBLANK(input_flt_auto_sr_fqdn),"Value Missing",input_flt_auto_sr_fqdn)</f>
        <v>Value Missing</v>
      </c>
      <c r="T25" s="4" t="s">
        <v>1545</v>
      </c>
      <c r="U25" s="8" t="str">
        <f>IF(ISBLANK(input_mgmt_vrms_admin_email),"Value Missing",input_mgmt_vrms_admin_email)</f>
        <v>Value Missing</v>
      </c>
      <c r="V25" s="3"/>
      <c r="Z25" s="4" t="s">
        <v>1529</v>
      </c>
      <c r="AA25" s="8" t="str">
        <f>IF(this_instance="sfo","10.12.","10.22.")</f>
        <v>10.12.</v>
      </c>
    </row>
    <row r="26" spans="2:31" s="2" customFormat="1" ht="20" customHeight="1" x14ac:dyDescent="0.2">
      <c r="B26" s="4" t="s">
        <v>191</v>
      </c>
      <c r="C26" s="8" t="str">
        <f>IF(ISBLANK(input_mgmt_avilb_mgra_ip),"Value Missing",input_mgmt_avilb_mgra_ip)</f>
        <v>Value Missing</v>
      </c>
      <c r="E26" s="4" t="s">
        <v>1413</v>
      </c>
      <c r="F26" s="8" t="str">
        <f>IF(ISBLANK(input_wld_avilb_mgrc_ip),"Value Missing",input_wld_avilb_mgrc_ip)</f>
        <v>Value Missing</v>
      </c>
      <c r="H26" s="396" t="s">
        <v>254</v>
      </c>
      <c r="I26" s="220" t="s">
        <v>20</v>
      </c>
      <c r="K26" s="23" t="s">
        <v>1415</v>
      </c>
      <c r="L26" s="8" t="str">
        <f>IF(ISBLANK(input_sddc_mgr_root_password),"Value Missing",input_sddc_mgr_root_password)</f>
        <v>Value Missing</v>
      </c>
      <c r="N26" s="4" t="s">
        <v>1414</v>
      </c>
      <c r="O26" s="8" t="str">
        <f>IF(ISBLANK(input_mgmt_nsxt_gm_fingerprint),"Value Missing",input_mgmt_nsxt_gm_fingerprint)</f>
        <v>Value Missing</v>
      </c>
      <c r="T26" s="4" t="s">
        <v>1550</v>
      </c>
      <c r="U26" s="8" t="str">
        <f>IF(ISBLANK(input_mgmt_vrms_pg),"Value Missing",input_mgmt_vrms_pg)</f>
        <v>Value Missing</v>
      </c>
      <c r="V26" s="3"/>
      <c r="W26" s="621" t="s">
        <v>1477</v>
      </c>
      <c r="X26" s="622"/>
      <c r="Z26" s="4" t="s">
        <v>1542</v>
      </c>
      <c r="AA26" s="8" t="str">
        <f>IF(this_instance="sfo","192.168.31","192.168.32")</f>
        <v>192.168.31</v>
      </c>
      <c r="AC26" s="621" t="s">
        <v>1429</v>
      </c>
      <c r="AD26" s="622"/>
      <c r="AE26" s="397"/>
    </row>
    <row r="27" spans="2:31" s="2" customFormat="1" ht="20" customHeight="1" x14ac:dyDescent="0.2">
      <c r="B27" s="4" t="s">
        <v>193</v>
      </c>
      <c r="C27" s="8" t="str">
        <f>IF(ISBLANK(input_mgmt_avilb_mgrb_ip),"Value Missing",input_mgmt_avilb_mgrb_ip)</f>
        <v>Value Missing</v>
      </c>
      <c r="E27" s="23" t="s">
        <v>3280</v>
      </c>
      <c r="F27" s="8" t="str">
        <f>IF(ISBLANK(input_wld_vnaa_ip),"Value Missing",input_wld_vnaa_ip)</f>
        <v>Value Missing</v>
      </c>
      <c r="H27" s="4" t="s">
        <v>85</v>
      </c>
      <c r="I27" s="8" t="str">
        <f>IF(ISBLANK(input_cluster_az1_principal_storage_vlan),"Value Missing",input_cluster_az1_principal_storage_vlan)</f>
        <v>Value Missing</v>
      </c>
      <c r="K27" s="23" t="s">
        <v>1419</v>
      </c>
      <c r="L27" s="8" t="str">
        <f>IF(ISBLANK(input_sddc_mgr_vcf_password),"Value Missing",input_sddc_mgr_vcf_password)</f>
        <v>Value Missing</v>
      </c>
      <c r="N27" s="4" t="s">
        <v>1416</v>
      </c>
      <c r="O27" s="8" t="str">
        <f>IF(ISBLANK(input_mgmt_nsxt_xreg_t1_name),"Value Missing",input_mgmt_nsxt_xreg_t1_name)</f>
        <v>Value Missing</v>
      </c>
      <c r="Q27" s="621" t="s">
        <v>1567</v>
      </c>
      <c r="R27" s="622"/>
      <c r="T27" s="4" t="s">
        <v>1553</v>
      </c>
      <c r="U27" s="8" t="str">
        <f>IF(ISBLANK(input_mgmt_vrms_p12_password),"Value Missing",input_mgmt_vrms_p12_password)</f>
        <v>Value Missing</v>
      </c>
      <c r="W27" s="220" t="s">
        <v>250</v>
      </c>
      <c r="X27" s="220" t="s">
        <v>20</v>
      </c>
      <c r="Z27" s="4" t="s">
        <v>1546</v>
      </c>
      <c r="AA27" s="8" t="str">
        <f>IF(this_instance="sfo","192.168.11","192.168.12")</f>
        <v>192.168.11</v>
      </c>
      <c r="AC27" s="220" t="s">
        <v>250</v>
      </c>
      <c r="AD27" s="220" t="s">
        <v>1021</v>
      </c>
      <c r="AE27" s="220" t="s">
        <v>1322</v>
      </c>
    </row>
    <row r="28" spans="2:31" s="2" customFormat="1" ht="20" customHeight="1" x14ac:dyDescent="0.2">
      <c r="B28" s="4" t="s">
        <v>195</v>
      </c>
      <c r="C28" s="8" t="str">
        <f>IF(ISBLANK(input_mgmt_avilb_mgrc_ip),"Value Missing",input_mgmt_avilb_mgrc_ip)</f>
        <v>Value Missing</v>
      </c>
      <c r="E28" s="23" t="s">
        <v>3281</v>
      </c>
      <c r="F28" s="8" t="str">
        <f>IF(ISBLANK(input_wld_vnab_ip),"Value Missing",input_wld_vnab_ip)</f>
        <v>Value Missing</v>
      </c>
      <c r="H28" s="4" t="s">
        <v>155</v>
      </c>
      <c r="I28" s="8" t="str">
        <f>IF(ISBLANK(input_cluster_az1_principal_storage_mtu),"Value Missing",input_cluster_az1_principal_storage_mtu)</f>
        <v>Value Missing</v>
      </c>
      <c r="K28" s="23" t="s">
        <v>1422</v>
      </c>
      <c r="L28" s="8" t="str">
        <f>IF(ISBLANK(input_sddc_mgr_admin_local_password),"Value Missing",input_sddc_mgr_admin_local_password)</f>
        <v>Value Missing</v>
      </c>
      <c r="N28" s="4" t="s">
        <v>1420</v>
      </c>
      <c r="O28" s="8"/>
      <c r="Q28" s="220" t="s">
        <v>250</v>
      </c>
      <c r="R28" s="220" t="s">
        <v>20</v>
      </c>
      <c r="T28" s="4" t="s">
        <v>1556</v>
      </c>
      <c r="U28" s="8"/>
      <c r="W28" s="4" t="s">
        <v>269</v>
      </c>
      <c r="X28" s="8" t="str">
        <f>IF(ISBLANK(input_wld_witnessaz_mgmt_vlan),"Value Missing",input_wld_witnessaz_mgmt_vlan)</f>
        <v>Value Missing</v>
      </c>
      <c r="Z28" s="4" t="s">
        <v>1551</v>
      </c>
      <c r="AA28" s="8" t="str">
        <f>IF(this_instance="sfo","21","11")</f>
        <v>21</v>
      </c>
      <c r="AC28" s="4" t="s">
        <v>1358</v>
      </c>
      <c r="AD28" s="8" t="s">
        <v>1431</v>
      </c>
      <c r="AE28" s="8" t="str">
        <f>wld_cl01_az1_vm_pg</f>
        <v>VM Network</v>
      </c>
    </row>
    <row r="29" spans="2:31" s="2" customFormat="1" ht="20" customHeight="1" x14ac:dyDescent="0.2">
      <c r="B29" s="4" t="s">
        <v>1421</v>
      </c>
      <c r="C29" s="8" t="str">
        <f>IF(ISBLANK(input_flt_vidb_vip_ip),"Value Missing",input_flt_vidb_vip_ip)</f>
        <v>Value Missing</v>
      </c>
      <c r="H29" s="4" t="s">
        <v>241</v>
      </c>
      <c r="I29" s="8" t="str">
        <f>IF(cluster_az1_principal_storage_gateway_cidr="Value Missing","Value Missing",CONCATENATE(_xlfn.TEXTBEFORE(cluster_az1_principal_storage_gateway_cidr,".",3),".0"))</f>
        <v>Value Missing</v>
      </c>
      <c r="K29" s="23" t="s">
        <v>1425</v>
      </c>
      <c r="L29" s="8" t="str">
        <f>IF(ISBLANK(input_svc_my_vmware_password),"Value Missing",input_svc_my_vmware_password)</f>
        <v>Value Missing</v>
      </c>
      <c r="N29" s="4" t="s">
        <v>1423</v>
      </c>
      <c r="O29" s="8"/>
      <c r="Q29" s="23" t="s">
        <v>1575</v>
      </c>
      <c r="R29" s="8" t="str">
        <f>IF(ISBLANK(input_xreg_vrops_virtual_ip),"Value Missing",input_xreg_vrops_virtual_ip)</f>
        <v>Value Missing</v>
      </c>
      <c r="T29" s="4" t="s">
        <v>1559</v>
      </c>
      <c r="U29" s="8" t="str">
        <f>IF(ISBLANK(input_mgmt_srm_vm_folder),"Value Missing",input_mgmt_srm_vm_folder)</f>
        <v>Value Missing</v>
      </c>
      <c r="V29" s="3"/>
      <c r="Z29" s="4" t="s">
        <v>1554</v>
      </c>
      <c r="AA29" s="8" t="str">
        <f>IF(this_instance="sfo","10.21.","10.11.")</f>
        <v>10.21.</v>
      </c>
    </row>
    <row r="30" spans="2:31" s="2" customFormat="1" ht="20" customHeight="1" x14ac:dyDescent="0.2">
      <c r="B30" s="4" t="s">
        <v>3166</v>
      </c>
      <c r="C30" s="8" t="str">
        <f>IF(ISBLANK(input_flt_auto_node_pool_start_ip),"Value Missing",input_flt_auto_node_pool_start_ip)</f>
        <v>Value Missing</v>
      </c>
      <c r="E30" s="623" t="s">
        <v>1418</v>
      </c>
      <c r="F30" s="625"/>
      <c r="H30" s="4" t="s">
        <v>274</v>
      </c>
      <c r="I30" s="8" t="str">
        <f>IF(cluster_az1_principal_storage_gateway_cidr="Value Missing",cluster_az1_principal_storage_gateway_cidr,VLOOKUP(INT(RIGHT(cluster_az1_principal_storage_gateway_cidr,LEN(cluster_az1_principal_storage_gateway_cidr)-FIND("/",cluster_az1_principal_storage_gateway_cidr))),table_cidr_to_mask,2,FALSE))</f>
        <v>Value Missing</v>
      </c>
      <c r="K30" s="23" t="s">
        <v>1354</v>
      </c>
      <c r="L30" s="8" t="str">
        <f>IF(ISBLANK(input_ca_administrator_password),"Value Missing",input_ca_administrator_password)</f>
        <v>Value Missing</v>
      </c>
      <c r="N30" s="4" t="s">
        <v>1426</v>
      </c>
      <c r="O30" s="8" t="str">
        <f>IF(ISBLANK(input_mgmt_avilb_cluster_name),"Value Missing",input_mgmt_avilb_cluster_name)</f>
        <v>Value Missing</v>
      </c>
      <c r="Q30" s="23" t="s">
        <v>1580</v>
      </c>
      <c r="R30" s="8" t="str">
        <f>IF(ISBLANK(input_xreg_vrops_nodea_ip),"Value Missing",input_xreg_vrops_nodea_ip)</f>
        <v>Value Missing</v>
      </c>
      <c r="T30" s="4" t="s">
        <v>1564</v>
      </c>
      <c r="U30" s="8" t="str">
        <f>IF(ISBLANK(input_mgmt_srm_root_password),"Value Missing",input_mgmt_srm_root_password)</f>
        <v>Value Missing</v>
      </c>
      <c r="V30" s="3"/>
      <c r="W30" s="621" t="s">
        <v>1494</v>
      </c>
      <c r="X30" s="622"/>
      <c r="Z30" s="4" t="s">
        <v>1557</v>
      </c>
      <c r="AA30" s="8" t="str">
        <f>IF(mgmt_domain_chosen="First Domain","6500","6502")</f>
        <v>6502</v>
      </c>
      <c r="AC30" s="621" t="s">
        <v>1440</v>
      </c>
      <c r="AD30" s="622"/>
      <c r="AE30" s="397"/>
    </row>
    <row r="31" spans="2:31" s="2" customFormat="1" ht="20" customHeight="1" x14ac:dyDescent="0.2">
      <c r="B31" s="4" t="s">
        <v>3165</v>
      </c>
      <c r="C31" s="8" t="str">
        <f>IF(ISBLANK(input_flt_auto_node_pool_end_ip),"Value Missing",input_flt_auto_node_pool_end_ip)</f>
        <v>Value Missing</v>
      </c>
      <c r="E31" s="219" t="s">
        <v>250</v>
      </c>
      <c r="F31" s="220" t="s">
        <v>20</v>
      </c>
      <c r="H31" s="4" t="s">
        <v>447</v>
      </c>
      <c r="I31" s="8" t="str">
        <f>IF(OR(cluster_az1_principal_storage_network="Value Missing",cluster_az1_principal_storage_mask="Value Missing"),"Value Missing",(CONCATENATE(cluster_az1_principal_storage_network,"/",VLOOKUP(cluster_az1_principal_storage_mask,table_mask_to_cidr,2,FALSE))))</f>
        <v>Value Missing</v>
      </c>
      <c r="K31" s="23" t="s">
        <v>3717</v>
      </c>
      <c r="L31" s="8" t="str">
        <f>IF(ISBLANK(input_mgmt_avilb_root_password),"Value Missing",input_mgmt_avilb_root_password)</f>
        <v>Value Missing</v>
      </c>
      <c r="N31" s="4" t="s">
        <v>1428</v>
      </c>
      <c r="O31" s="8" t="str">
        <f>IF(ISBLANK(input_mgmt_avilb_cluster_version),"Value Missing",input_mgmt_avilb_cluster_version)</f>
        <v>32.1.3</v>
      </c>
      <c r="Q31" s="23" t="s">
        <v>1584</v>
      </c>
      <c r="R31" s="8" t="str">
        <f>IF(ISBLANK(input_xreg_vrops_nodeb_ip),"Value Missing",input_xreg_vrops_nodeb_ip)</f>
        <v>Value Missing</v>
      </c>
      <c r="T31" s="4" t="s">
        <v>1568</v>
      </c>
      <c r="U31" s="8" t="str">
        <f>IF(ISBLANK(input_mgmt_srm_admin_password),"Value Missing",input_mgmt_srm_admin_password)</f>
        <v>Value Missing</v>
      </c>
      <c r="V31" s="3"/>
      <c r="W31" s="220" t="s">
        <v>250</v>
      </c>
      <c r="X31" s="220" t="s">
        <v>20</v>
      </c>
      <c r="Z31" s="4" t="s">
        <v>1560</v>
      </c>
      <c r="AA31" s="8">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c r="AC31" s="220" t="s">
        <v>250</v>
      </c>
      <c r="AD31" s="220" t="s">
        <v>1021</v>
      </c>
      <c r="AE31" s="220" t="s">
        <v>1322</v>
      </c>
    </row>
    <row r="32" spans="2:31" s="2" customFormat="1" ht="20" customHeight="1" x14ac:dyDescent="0.2">
      <c r="B32" s="4" t="s">
        <v>3167</v>
      </c>
      <c r="C32" s="8" t="str">
        <f>IF(ISBLANK(input_flt_vcfms_node_pool_start_ip),"Value Missing",input_flt_vcfms_node_pool_start_ip)</f>
        <v>Value Missing</v>
      </c>
      <c r="E32" s="4" t="s">
        <v>1374</v>
      </c>
      <c r="F32" s="8" t="str">
        <f>IF(wld_vc_fqdn="Value Missing",wld_vc_fqdn,LEFT(wld_vc_fqdn,FIND(".",wld_vc_fqdn)-1))</f>
        <v>Value Missing</v>
      </c>
      <c r="H32" s="4" t="s">
        <v>180</v>
      </c>
      <c r="I32" s="8" t="str">
        <f>IF(cluster_az1_principal_storage_gateway_cidr="Value Missing","Value Missing",LEFT(cluster_az1_principal_storage_gateway_cidr,FIND("/",cluster_az1_principal_storage_gateway_cidr)-1))</f>
        <v>Value Missing</v>
      </c>
      <c r="K32" s="23" t="s">
        <v>3718</v>
      </c>
      <c r="L32" s="8" t="str">
        <f>IF(ISBLANK(input_mgmt_avilb_vcfops_password),"Value Missing",input_mgmt_avilb_vcfops_password)</f>
        <v>Value Missing</v>
      </c>
      <c r="N32" s="4" t="s">
        <v>170</v>
      </c>
      <c r="O32" s="8"/>
      <c r="Q32" s="23" t="s">
        <v>1587</v>
      </c>
      <c r="R32" s="8" t="str">
        <f>IF(ISBLANK(input_xreg_vrops_nodec_ip),"Value Missing",input_xreg_vrops_nodec_ip)</f>
        <v>Value Missing</v>
      </c>
      <c r="T32" s="4" t="s">
        <v>1571</v>
      </c>
      <c r="U32" s="8" t="str">
        <f>IF(ISBLANK(input_mgmt_srm_database_password),"Value Missing",input_mgmt_srm_database_password)</f>
        <v>Value Missing</v>
      </c>
      <c r="V32" s="3"/>
      <c r="W32" s="4" t="s">
        <v>269</v>
      </c>
      <c r="X32" s="8" t="str">
        <f>IF(ISBLANK(input_wld_witness_mgmt_pg),"Value Missing",input_wld_witness_mgmt_pg)</f>
        <v>Value Missing</v>
      </c>
      <c r="Z32" s="4" t="s">
        <v>1565</v>
      </c>
      <c r="AA32" s="8" t="str">
        <f>IF(AND(this_instance="sfo",wld_domain_number_chosen=1),"10.13.",IF(AND(this_instance="sfo",wld_domain_number_chosen=2),"10.15.",IF(AND(this_instance="sfo",wld_domain_number_chosen=3),"10.17.",IF(AND(this_instance="lax",wld_domain_number_chosen=1),"10.23.",IF(AND(this_instance="lax",wld_domain_number_chosen=2),"10.25.",IF(AND(this_instance="lax",wld_domain_number_chosen=3),"10.27."))))))</f>
        <v>10.13.</v>
      </c>
      <c r="AC32" s="4" t="s">
        <v>1358</v>
      </c>
      <c r="AD32" s="8" t="str">
        <f>'Value Reference Tables - MR'!I24</f>
        <v>Value Missing</v>
      </c>
      <c r="AE32" s="8" t="str">
        <f>'Value Reference Tables - MR'!I310</f>
        <v>Value Missing</v>
      </c>
    </row>
    <row r="33" spans="2:31" s="2" customFormat="1" ht="20" customHeight="1" x14ac:dyDescent="0.2">
      <c r="B33" s="4" t="s">
        <v>3168</v>
      </c>
      <c r="C33" s="8" t="str">
        <f>IF(ISBLANK(input_flt_vcfms_node_pool_end_ip),"Value Missing",input_flt_vcfms_node_pool_end_ip)</f>
        <v>Value Missing</v>
      </c>
      <c r="E33" s="4" t="s">
        <v>1378</v>
      </c>
      <c r="F33" s="8" t="str">
        <f>IF(wld_nsxt_vip_fqdn="Value Missing",wld_nsxt_vip_fqdn,LEFT(wld_nsxt_vip_fqdn,FIND(".",wld_nsxt_vip_fqdn)-1))</f>
        <v>Value Missing</v>
      </c>
      <c r="H33" s="4" t="s">
        <v>3092</v>
      </c>
      <c r="I33" s="8" t="str">
        <f>IF(ISBLANK(input_cluster_az1_principal_storage_gateway_cidr),"Value Missing",input_cluster_az1_principal_storage_gateway_cidr)</f>
        <v>Value Missing</v>
      </c>
      <c r="K33" s="23" t="s">
        <v>3719</v>
      </c>
      <c r="L33" s="8" t="str">
        <f>IF(ISBLANK(input_wld_avilb_root_password),"Value Missing",input_wld_avilb_root_password)</f>
        <v>Value Missing</v>
      </c>
      <c r="N33" s="4" t="s">
        <v>172</v>
      </c>
      <c r="O33" s="8"/>
      <c r="Q33" s="23" t="s">
        <v>1591</v>
      </c>
      <c r="R33" s="8" t="str">
        <f>IF(ISBLANK(input_xreg_vrops_collector_ip),"Value Missing",input_xreg_vrops_collector_ip)</f>
        <v>Value Missing</v>
      </c>
      <c r="T33" s="4" t="s">
        <v>1576</v>
      </c>
      <c r="U33" s="8" t="str">
        <f>IF(ISBLANK(input_mgmt_srm_site_name),"Value Missing",input_mgmt_srm_site_name)</f>
        <v>Value Missing</v>
      </c>
      <c r="V33" s="3"/>
      <c r="Z33" s="4" t="s">
        <v>1569</v>
      </c>
      <c r="AA33" s="8"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34" spans="2:31" s="2" customFormat="1" ht="20" customHeight="1" x14ac:dyDescent="0.2">
      <c r="B34" s="23" t="s">
        <v>1356</v>
      </c>
      <c r="C34" s="8" t="str">
        <f>IF(ISBLANK(input_flt_fc_ip),"Value Missing",input_flt_fc_ip)</f>
        <v>Value Missing</v>
      </c>
      <c r="E34" s="4" t="s">
        <v>1382</v>
      </c>
      <c r="F34" s="8" t="str">
        <f>IF(wld_nsxt_mgra_fqdn="Value Missing",wld_nsxt_mgra_fqdn,LEFT(wld_nsxt_mgra_fqdn,FIND(".",wld_nsxt_mgra_fqdn)-1))</f>
        <v>Value Missing</v>
      </c>
      <c r="H34" s="23" t="s">
        <v>244</v>
      </c>
      <c r="I34" s="8" t="str">
        <f>IF(ISBLANK(input_cluster_az1_principal_storage_pool_start_ip),"Value Missing",input_cluster_az1_principal_storage_pool_start_ip)</f>
        <v>Value Missing</v>
      </c>
      <c r="K34" s="23" t="s">
        <v>3720</v>
      </c>
      <c r="L34" s="8" t="str">
        <f>IF(ISBLANK(input_wld_avilb_vcfops_password),"Value Missing",input_wld_avilb_vcfops_password)</f>
        <v>Value Missing</v>
      </c>
      <c r="N34" s="4" t="s">
        <v>1434</v>
      </c>
      <c r="O34" s="8" t="str">
        <f>IF(ISBLANK(input_mgmt_sddc_domain),"Value Missing",CONCATENATE(input_mgmt_sddc_domain,"-fd-mgmt"))</f>
        <v>Value Missing</v>
      </c>
      <c r="Q34" s="6"/>
      <c r="T34" s="4" t="s">
        <v>1581</v>
      </c>
      <c r="U34" s="8" t="str">
        <f>IF(ISBLANK(input_mgmt_srm_admin_email),"Value Missing",input_mgmt_srm_admin_email)</f>
        <v>Value Missing</v>
      </c>
      <c r="V34" s="3"/>
      <c r="W34" s="621" t="s">
        <v>1506</v>
      </c>
      <c r="X34" s="622"/>
      <c r="Z34" s="4" t="s">
        <v>1572</v>
      </c>
      <c r="AA34" s="8">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c r="AC34" s="621" t="s">
        <v>1454</v>
      </c>
      <c r="AD34" s="622"/>
      <c r="AE34" s="397"/>
    </row>
    <row r="35" spans="2:31" s="2" customFormat="1" ht="20" customHeight="1" x14ac:dyDescent="0.2">
      <c r="B35" s="4" t="s">
        <v>3152</v>
      </c>
      <c r="C35" s="8" t="str">
        <f>IF(ISBLANK(input_flt_ic_ip),"Value Missing",input_flt_ic_ip)</f>
        <v>Value Missing</v>
      </c>
      <c r="E35" s="4" t="s">
        <v>1386</v>
      </c>
      <c r="F35" s="8" t="str">
        <f>IF(wld_nsxt_mgrb_fqdn="Value Missing",wld_nsxt_mgrb_fqdn,LEFT(wld_nsxt_mgrb_fqdn,FIND(".",wld_nsxt_mgrb_fqdn)-1))</f>
        <v>Value Missing</v>
      </c>
      <c r="H35" s="23" t="s">
        <v>245</v>
      </c>
      <c r="I35" s="8" t="str">
        <f>IF(ISBLANK(input_cluster_az1_principal_storage_pool_end_ip),"Value Missing",input_cluster_az1_principal_storage_pool_end_ip)</f>
        <v>Value Missing</v>
      </c>
      <c r="K35" s="23" t="s">
        <v>1430</v>
      </c>
      <c r="L35" s="8" t="str">
        <f>IF(ISBLANK(input_svc_vcf_bck_password),"Value Missing",input_svc_vcf_bck_password)</f>
        <v>Value Missing</v>
      </c>
      <c r="N35" s="4" t="s">
        <v>1439</v>
      </c>
      <c r="O35" s="8" t="str">
        <f>IF(ISBLANK(input_mgmt_sddc_domain),"Value Missing",CONCATENATE(input_mgmt_sddc_domain,"-fd-nsx"))</f>
        <v>Value Missing</v>
      </c>
      <c r="Q35" s="621" t="s">
        <v>1599</v>
      </c>
      <c r="R35" s="622"/>
      <c r="T35" s="4" t="s">
        <v>1585</v>
      </c>
      <c r="U35" s="8" t="str">
        <f>IF(ISBLANK(input_mgmt_srm_p12_password),"Value Missing",input_mgmt_srm_p12_password)</f>
        <v>Value Missing</v>
      </c>
      <c r="V35" s="3"/>
      <c r="W35" s="220" t="s">
        <v>250</v>
      </c>
      <c r="X35" s="220" t="s">
        <v>20</v>
      </c>
      <c r="Z35" s="4" t="s">
        <v>1577</v>
      </c>
      <c r="AA35" s="8" t="str">
        <f>IF(AND(this_instance="sfo",wld_domain_number_chosen=1),"10.14.",IF(AND(this_instance="sfo",wld_domain_number_chosen=2),"10.16.",IF(AND(this_instance="sfo",wld_domain_number_chosen=3),"10.18.",IF(AND(this_instance="lax",wld_domain_number_chosen=1),"10.24.",IF(AND(this_instance="lax",wld_domain_number_chosen=2),"10.26.",IF(AND(this_instance="lax",wld_domain_number_chosen=3),"10.28."))))))</f>
        <v>10.14.</v>
      </c>
      <c r="AC35" s="220" t="s">
        <v>250</v>
      </c>
      <c r="AD35" s="220" t="s">
        <v>1021</v>
      </c>
      <c r="AE35" s="220" t="s">
        <v>1322</v>
      </c>
    </row>
    <row r="36" spans="2:31" s="2" customFormat="1" ht="20" customHeight="1" x14ac:dyDescent="0.2">
      <c r="B36" s="4" t="s">
        <v>3153</v>
      </c>
      <c r="C36" s="8" t="str">
        <f>IF(ISBLANK(input_flt_vidb_vip_ip),"Value Missing",input_flt_vidb_vip_ip)</f>
        <v>Value Missing</v>
      </c>
      <c r="E36" s="4" t="s">
        <v>1389</v>
      </c>
      <c r="F36" s="8" t="str">
        <f>IF(wld_nsxt_mgrc_fqdn="Value Missing",wld_nsxt_mgrc_fqdn,LEFT(wld_nsxt_mgrc_fqdn,FIND(".",wld_nsxt_mgrc_fqdn)-1))</f>
        <v>Value Missing</v>
      </c>
      <c r="H36" s="396" t="s">
        <v>1432</v>
      </c>
      <c r="I36" s="220" t="s">
        <v>20</v>
      </c>
      <c r="K36" s="23" t="s">
        <v>1433</v>
      </c>
      <c r="L36" s="8" t="str">
        <f t="array" ref="L36">IF(ISBLANK(input_mgmt_witness_root_password),"Value Missing",input_mgmt_witness_root_password)</f>
        <v>Value Missing</v>
      </c>
      <c r="N36" s="4" t="s">
        <v>1441</v>
      </c>
      <c r="O36" s="8" t="str">
        <f>IF(ISBLANK(input_mgmt_sddc_domain),"Value Missing",CONCATENATE(input_mgmt_sddc_domain,"-fd-edge"))</f>
        <v>Value Missing</v>
      </c>
      <c r="Q36" s="220" t="s">
        <v>250</v>
      </c>
      <c r="R36" s="220" t="s">
        <v>20</v>
      </c>
      <c r="T36" s="4" t="s">
        <v>1588</v>
      </c>
      <c r="U36" s="8" t="str">
        <f>IF(ISBLANK(input_mgmt_srm_vm_size),"Value Missing",input_mgmt_srm_vm_size)</f>
        <v>Standard</v>
      </c>
      <c r="V36" s="3"/>
      <c r="W36" s="4" t="s">
        <v>269</v>
      </c>
      <c r="X36" s="8" t="str">
        <f>IF(ISBLANK(input_wld_witnessaz_mgmt_cidr),"Value Missing",input_wld_witnessaz_mgmt_cidr)</f>
        <v>Value Missing</v>
      </c>
      <c r="Z36" s="4" t="s">
        <v>1589</v>
      </c>
      <c r="AA36" s="8" t="str">
        <f>IF(this_instance="sfo","21","11")</f>
        <v>21</v>
      </c>
      <c r="AC36" s="4" t="s">
        <v>1358</v>
      </c>
      <c r="AD36" s="8" t="str">
        <f>'Value Reference Tables - MR'!I86</f>
        <v>Value Missing</v>
      </c>
      <c r="AE36" s="8" t="str">
        <f>'Value Reference Tables - MR'!I355</f>
        <v>Value Missing</v>
      </c>
    </row>
    <row r="37" spans="2:31" s="2" customFormat="1" ht="20" customHeight="1" x14ac:dyDescent="0.2">
      <c r="B37" s="4" t="s">
        <v>3137</v>
      </c>
      <c r="C37" s="8" t="str">
        <f>IF(ISBLANK(input_flt_sr_ip),"Value Missing",input_flt_sr_ip)</f>
        <v>Value Missing</v>
      </c>
      <c r="E37" s="4" t="s">
        <v>1392</v>
      </c>
      <c r="F37" s="8" t="str">
        <f>IF(wld_nsxt_gm_vip_fqdn="Value Missing",wld_nsxt_gm_vip_fqdn,LEFT(wld_nsxt_gm_vip_fqdn,FIND(".",wld_nsxt_gm_vip_fqdn)-1))</f>
        <v>Value Missing</v>
      </c>
      <c r="H37" s="4" t="s">
        <v>85</v>
      </c>
      <c r="I37" s="8" t="str">
        <f>IF(ISBLANK(input_cluster_az1_secondary_storage_vlan),"Value Missing",input_cluster_az1_secondary_storage_vlan)</f>
        <v>Value Missing</v>
      </c>
      <c r="K37" s="23" t="s">
        <v>1438</v>
      </c>
      <c r="L37" s="8" t="str">
        <f>IF(ISBLANK(input_wld_witness_root_password),"Value Missing",input_wld_witness_root_password)</f>
        <v>Value Missing</v>
      </c>
      <c r="N37" s="4" t="s">
        <v>48</v>
      </c>
      <c r="O37" s="8" t="str">
        <f>IF(ISBLANK(input_ca_template_name),"Value Missing",input_ca_template_name)</f>
        <v>Value Missing</v>
      </c>
      <c r="Q37" s="23" t="s">
        <v>1575</v>
      </c>
      <c r="R37" s="8" t="str">
        <f>IF(xreg_vrops_virtual_fqdn="Value Missing",xreg_vrops_virtual_fqdn,LEFT(xreg_vrops_virtual_fqdn,FIND(".",xreg_vrops_virtual_fqdn)-1))</f>
        <v>Value Missing</v>
      </c>
      <c r="T37" s="4" t="s">
        <v>1592</v>
      </c>
      <c r="U37" s="8" t="str">
        <f>IF(ISBLANK(input_mgmt_srm_rpo),"Value Missing",input_mgmt_srm_rpo)</f>
        <v>Value Missing</v>
      </c>
      <c r="V37" s="3"/>
      <c r="Z37" s="4" t="s">
        <v>1593</v>
      </c>
      <c r="AA37" s="8" t="str">
        <f>IF(this_instance="sfo","10.21.","10.11.")</f>
        <v>10.21.</v>
      </c>
      <c r="AC37" s="4" t="s">
        <v>1032</v>
      </c>
      <c r="AE37" s="8" t="str">
        <f>IF(input_wld_az2_host_overlay_gateway_ip="DHCP","",IF(ISBLANK(input_wld_az2_secondary_storage_gateway_ip),"Value Missing",input_wld_az2_secondary_storage_gateway_ip))</f>
        <v>Value Missing</v>
      </c>
    </row>
    <row r="38" spans="2:31" s="2" customFormat="1" ht="20" customHeight="1" x14ac:dyDescent="0.2">
      <c r="B38" s="40" t="s">
        <v>3391</v>
      </c>
      <c r="C38" s="8" t="str">
        <f>IF(ISBLANK(input_flt_lc_ip),"Value Missing",input_flt_lc_ip)</f>
        <v>Value Missing</v>
      </c>
      <c r="E38" s="4" t="s">
        <v>1396</v>
      </c>
      <c r="F38" s="8" t="str">
        <f>IF(wld_nsxt_global_mgra_fqdn="Value Missing",wld_nsxt_global_mgra_fqdn,LEFT(wld_nsxt_global_mgra_fqdn,FIND(".",wld_nsxt_global_mgra_fqdn)-1))</f>
        <v>Value Missing</v>
      </c>
      <c r="H38" s="4" t="s">
        <v>155</v>
      </c>
      <c r="I38" s="8" t="str">
        <f>IF(ISBLANK(input_cluster_az1_secondary_storage_mtu),"Value Missing",input_cluster_az1_secondary_storage_mtu)</f>
        <v>Value Missing</v>
      </c>
      <c r="K38" s="4" t="s">
        <v>1443</v>
      </c>
      <c r="L38" s="8" t="str">
        <f>IF(ISBLANK(input_mgmt_internet_proxy_email),"Value Missing",input_mgmt_internet_proxy_email)</f>
        <v>Value Missing</v>
      </c>
      <c r="N38" s="4" t="s">
        <v>63</v>
      </c>
      <c r="O38" s="8" t="str">
        <f>IF(ISBLANK(input_ca_country),"Value Missing",input_ca_country)</f>
        <v>Value Missing</v>
      </c>
      <c r="Q38" s="23" t="s">
        <v>1580</v>
      </c>
      <c r="R38" s="8" t="str">
        <f>IF(xreg_vrops_nodea_fqdn="Value Missing",xreg_vrops_nodea_fqdn,LEFT(xreg_vrops_nodea_fqdn,FIND(".",xreg_vrops_nodea_fqdn)-1))</f>
        <v>Value Missing</v>
      </c>
      <c r="T38" s="4" t="s">
        <v>1596</v>
      </c>
      <c r="U38" s="8" t="str">
        <f>IF(ISBLANK(input_mgmt_srm_instances_per_day),"Value Missing",input_mgmt_srm_instances_per_day)</f>
        <v>Value Missing</v>
      </c>
      <c r="V38" s="3"/>
      <c r="W38" s="621" t="s">
        <v>1518</v>
      </c>
      <c r="X38" s="622"/>
      <c r="Z38" s="4" t="s">
        <v>1597</v>
      </c>
      <c r="AA38" s="8" t="str">
        <f>IF(mgmt_domain_chosen="First Domain","6501","6503")</f>
        <v>6503</v>
      </c>
    </row>
    <row r="39" spans="2:31" s="2" customFormat="1" ht="20" customHeight="1" x14ac:dyDescent="0.2">
      <c r="E39" s="4" t="s">
        <v>1399</v>
      </c>
      <c r="F39" s="8" t="str">
        <f>IF(wld_nsxt_global_mgrb_fqdn="Value Missing",wld_nsxt_global_mgrb_fqdn,LEFT(wld_nsxt_global_mgrb_fqdn,FIND(".",wld_nsxt_global_mgrb_fqdn)-1))</f>
        <v>Value Missing</v>
      </c>
      <c r="H39" s="4" t="s">
        <v>241</v>
      </c>
      <c r="I39" s="8" t="str">
        <f>IF(cluster_az1_secondary_storage_gateway_cidr="Value Missing","Value Missing",CONCATENATE(_xlfn.TEXTBEFORE(cluster_az1_secondary_storage_gateway_cidr,".",3),".0"))</f>
        <v>Value Missing</v>
      </c>
      <c r="K39" s="4" t="s">
        <v>1445</v>
      </c>
      <c r="L39" s="8" t="str">
        <f>IF(ISBLANK(input_mgmt_internet_proxy_password),"Value Missing",input_mgmt_internet_proxy_password)</f>
        <v>Value Missing</v>
      </c>
      <c r="N39" s="4" t="s">
        <v>57</v>
      </c>
      <c r="O39" s="8" t="str">
        <f>IF(ISBLANK(input_ca_algorithm),"Value Missing",input_ca_algorithm)</f>
        <v>Value Missing</v>
      </c>
      <c r="Q39" s="23" t="s">
        <v>1615</v>
      </c>
      <c r="R39" s="8" t="str">
        <f>IF(xreg_vrops_nodeb_fqdn="Value Missing",xreg_vrops_nodeb_fqdn,LEFT(xreg_vrops_nodeb_fqdn,FIND(".",xreg_vrops_nodeb_fqdn)-1))</f>
        <v>Value Missing</v>
      </c>
      <c r="T39" s="4" t="s">
        <v>1600</v>
      </c>
      <c r="U39" s="8" t="str">
        <f>IF(ISBLANK(input_mgmt_srm_days),"Value Missing",input_mgmt_srm_days)</f>
        <v>Value Missing</v>
      </c>
      <c r="W39" s="220" t="s">
        <v>250</v>
      </c>
      <c r="X39" s="220" t="s">
        <v>20</v>
      </c>
      <c r="Z39" s="4" t="s">
        <v>1601</v>
      </c>
      <c r="AA39" s="8" t="str">
        <f>IF(this_instance="sfo","192.168.2","192.168.4")</f>
        <v>192.168.2</v>
      </c>
      <c r="AC39" s="621" t="s">
        <v>1465</v>
      </c>
      <c r="AD39" s="622"/>
      <c r="AE39" s="397"/>
    </row>
    <row r="40" spans="2:31" s="2" customFormat="1" ht="20" customHeight="1" x14ac:dyDescent="0.2">
      <c r="B40" s="626" t="s">
        <v>1437</v>
      </c>
      <c r="C40" s="626"/>
      <c r="E40" s="4" t="s">
        <v>1402</v>
      </c>
      <c r="F40" s="8" t="str">
        <f>IF(wld_nsxt_global_mgrc_fqdn="Value Missing",wld_nsxt_global_mgrc_fqdn,LEFT(wld_nsxt_global_mgrc_fqdn,FIND(".",wld_nsxt_global_mgrc_fqdn)-1))</f>
        <v>Value Missing</v>
      </c>
      <c r="H40" s="4" t="s">
        <v>274</v>
      </c>
      <c r="I40" s="8" t="str">
        <f>IF(cluster_az1_secondary_storage_gateway_cidr="Value Missing",cluster_az1_secondary_storage_gateway_cidr,VLOOKUP(INT(RIGHT(cluster_az1_secondary_storage_gateway_cidr,LEN(cluster_az1_secondary_storage_gateway_cidr)-FIND("/",cluster_az1_secondary_storage_gateway_cidr))),table_cidr_to_mask,2,FALSE))</f>
        <v>Value Missing</v>
      </c>
      <c r="K40" s="4" t="s">
        <v>1449</v>
      </c>
      <c r="L40" s="8" t="str">
        <f>IF(ISBLANK(input_xreg_vrops_collector_root_password),"Value Missing",input_xreg_vrops_collector_root_password)</f>
        <v>Value Missing</v>
      </c>
      <c r="N40" s="4" t="s">
        <v>71</v>
      </c>
      <c r="O40" s="8" t="str">
        <f>IF(ISBLANK(input_ca_key_size),"Value Missing",input_ca_key_size)</f>
        <v>Value Missing</v>
      </c>
      <c r="Q40" s="23" t="s">
        <v>1619</v>
      </c>
      <c r="R40" s="8" t="str">
        <f>IF(xreg_vrops_nodec_fqdn="Value Missing",xreg_vrops_nodec_fqdn,LEFT(xreg_vrops_nodec_fqdn,FIND(".",xreg_vrops_nodec_fqdn)-1))</f>
        <v>Value Missing</v>
      </c>
      <c r="T40" s="4" t="s">
        <v>1604</v>
      </c>
      <c r="U40" s="8" t="str">
        <f>IF(ISBLANK(input_mgmt_srm_vrslcm_wsa_pg),"Value Missing",input_mgmt_srm_vrslcm_wsa_pg)</f>
        <v>Value Missing</v>
      </c>
      <c r="W40" s="4" t="s">
        <v>269</v>
      </c>
      <c r="X40" s="8" t="str">
        <f>IF(ISBLANK(input_wld_witnessaz_mgmt_gateway_ip),"Value Missing",input_wld_witnessaz_mgmt_gateway_ip)</f>
        <v>Value Missing</v>
      </c>
      <c r="Z40" s="4" t="s">
        <v>1605</v>
      </c>
      <c r="AA40" s="8" t="str">
        <f>IF(this_instance="sfo","10.21.","10.11.")</f>
        <v>10.21.</v>
      </c>
      <c r="AC40" s="220" t="s">
        <v>250</v>
      </c>
      <c r="AD40" s="220" t="s">
        <v>1021</v>
      </c>
      <c r="AE40" s="220" t="s">
        <v>1322</v>
      </c>
    </row>
    <row r="41" spans="2:31" s="2" customFormat="1" ht="20" customHeight="1" x14ac:dyDescent="0.2">
      <c r="B41" s="219" t="s">
        <v>250</v>
      </c>
      <c r="C41" s="219" t="s">
        <v>20</v>
      </c>
      <c r="E41" s="4" t="s">
        <v>1405</v>
      </c>
      <c r="F41" s="8" t="str">
        <f>IF(wld_avilb_fqdn="Value Missing",wld_avilb_fqdn,LEFT(wld_avilb_fqdn,FIND(".",wld_avilb_fqdn)-1))</f>
        <v>Value Missing</v>
      </c>
      <c r="H41" s="4" t="s">
        <v>447</v>
      </c>
      <c r="I41" s="8" t="str">
        <f>IF(cluster_az1_secondary_storage_network="Value missing","Value Missing",CONCATENATE(cluster_az1_secondary_storage_network,"/",VLOOKUP(cluster_az1_secondary_storage_mask,table_mask_to_cidr,2,FALSE)))</f>
        <v>Value Missing</v>
      </c>
      <c r="K41" s="4" t="s">
        <v>1452</v>
      </c>
      <c r="L41" s="8" t="str">
        <f>IF(ISBLANK(input_wld_esx_root_username),"Value Missing",input_wld_esx_root_username)</f>
        <v>Value Missing</v>
      </c>
      <c r="N41" s="4" t="s">
        <v>1424</v>
      </c>
      <c r="O41" s="8" t="str">
        <f>IF(ISBLANK(input_ca_email_address),"Value Missing",input_ca_email_address)</f>
        <v>Value Missing</v>
      </c>
      <c r="Q41" s="23" t="s">
        <v>1591</v>
      </c>
      <c r="R41" s="8" t="str">
        <f>IF(xreg_vrops_collector_fqdn="Value Missing",xreg_vrops_collector_fqdn,LEFT(xreg_vrops_collector_fqdn,FIND(".",xreg_vrops_collector_fqdn)-1))</f>
        <v>Value Missing</v>
      </c>
      <c r="T41" s="4" t="s">
        <v>1608</v>
      </c>
      <c r="U41" s="8" t="str">
        <f>IF(ISBLANK(input_mgmt_srm_vrslcm_wsa_rp),"Value Missing",input_mgmt_srm_vrslcm_wsa_rp)</f>
        <v>Value Missing</v>
      </c>
      <c r="V41" s="3"/>
      <c r="Z41" s="4" t="s">
        <v>1609</v>
      </c>
      <c r="AA41" s="8" t="s">
        <v>1610</v>
      </c>
      <c r="AC41" s="4" t="s">
        <v>1358</v>
      </c>
      <c r="AD41" s="8" t="str">
        <f>'Value Reference Tables - MR'!I70</f>
        <v>Value Missing</v>
      </c>
      <c r="AE41" s="8" t="str">
        <f>'Value Reference Tables - MR'!I370</f>
        <v>Value Missing</v>
      </c>
    </row>
    <row r="42" spans="2:31" s="2" customFormat="1" ht="20" customHeight="1" x14ac:dyDescent="0.2">
      <c r="B42" s="4" t="s">
        <v>1373</v>
      </c>
      <c r="C42" s="8" t="str">
        <f>IF(vcf_installer_fqdn="Value Missing",vcf_installer_fqdn,LEFT(vcf_installer_fqdn,FIND(".",vcf_installer_fqdn)-1))</f>
        <v>Value Missing</v>
      </c>
      <c r="H42" s="4" t="s">
        <v>180</v>
      </c>
      <c r="I42" s="8" t="str">
        <f>IF(cluster_az1_secondary_storage_gateway_cidr="Value Missing","Value Missing",LEFT(cluster_az1_secondary_storage_gateway_cidr,FIND("/",cluster_az1_secondary_storage_gateway_cidr)-1))</f>
        <v>Value Missing</v>
      </c>
      <c r="N42" s="4" t="s">
        <v>67</v>
      </c>
      <c r="O42" s="8" t="str">
        <f>IF(ISBLANK(input_ca_locality),"Value Missing",input_ca_locality)</f>
        <v>Value Missing</v>
      </c>
      <c r="Q42" s="9"/>
      <c r="R42" s="9"/>
      <c r="T42" s="4" t="s">
        <v>1613</v>
      </c>
      <c r="U42" s="8" t="str">
        <f>IF(ISBLANK(input_mgmt_srm_vrops_pg),"Value Missing",input_mgmt_srm_vrops_pg)</f>
        <v>Value Missing</v>
      </c>
      <c r="V42" s="3"/>
      <c r="W42" s="621" t="s">
        <v>1534</v>
      </c>
      <c r="X42" s="622"/>
      <c r="Z42" s="4" t="s">
        <v>1621</v>
      </c>
      <c r="AA42" s="8" t="str">
        <f>IF(this_instance="sfo","10.11.99","10.21.99")</f>
        <v>10.11.99</v>
      </c>
    </row>
    <row r="43" spans="2:31" s="2" customFormat="1" ht="20" customHeight="1" x14ac:dyDescent="0.2">
      <c r="B43" s="4" t="s">
        <v>1377</v>
      </c>
      <c r="C43" s="8" t="str">
        <f>IF(sddc_mgr_fqdn="Value Missing",sddc_mgr_fqdn,LEFT(sddc_mgr_fqdn,FIND(".",sddc_mgr_fqdn)-1))</f>
        <v>Value Missing</v>
      </c>
      <c r="E43" s="623" t="s">
        <v>1455</v>
      </c>
      <c r="F43" s="624"/>
      <c r="H43" s="4" t="s">
        <v>3092</v>
      </c>
      <c r="I43" s="8" t="str">
        <f>IF(ISBLANK(input_cluster_az1_secondary_storage_gateway_cidr),"Value Missing",input_cluster_az1_secondary_storage_gateway_cidr)</f>
        <v>Value Missing</v>
      </c>
      <c r="K43" s="623" t="s">
        <v>1457</v>
      </c>
      <c r="L43" s="624"/>
      <c r="N43" s="4" t="s">
        <v>59</v>
      </c>
      <c r="O43" s="8" t="str">
        <f>IF(ISBLANK(input_ca_organization),"Value Missing",input_ca_organization)</f>
        <v>Value Missing</v>
      </c>
      <c r="Q43" s="621" t="s">
        <v>1628</v>
      </c>
      <c r="R43" s="622"/>
      <c r="T43" s="4" t="s">
        <v>1616</v>
      </c>
      <c r="U43" s="8" t="str">
        <f>IF(ISBLANK(input_mgmt_srm_vrops_rp),"Value Missing",input_mgmt_srm_vrops_rp)</f>
        <v>Value Missing</v>
      </c>
      <c r="V43" s="3"/>
      <c r="W43" s="220" t="s">
        <v>250</v>
      </c>
      <c r="X43" s="220" t="s">
        <v>20</v>
      </c>
      <c r="Z43" s="4" t="s">
        <v>3171</v>
      </c>
      <c r="AA43" s="8" t="s">
        <v>3172</v>
      </c>
    </row>
    <row r="44" spans="2:31" s="2" customFormat="1" ht="20" customHeight="1" x14ac:dyDescent="0.2">
      <c r="B44" s="4" t="s">
        <v>1374</v>
      </c>
      <c r="C44" s="8" t="str">
        <f>IF(mgmt_vc_fqdn="Value Missing",mgmt_vc_fqdn,LEFT(mgmt_vc_fqdn,FIND(".",mgmt_vc_fqdn)-1))</f>
        <v>Value Missing</v>
      </c>
      <c r="E44" s="219" t="s">
        <v>250</v>
      </c>
      <c r="F44" s="220" t="s">
        <v>20</v>
      </c>
      <c r="H44" s="23" t="s">
        <v>244</v>
      </c>
      <c r="I44" s="8" t="str">
        <f>IF(ISBLANK(input_cluster_az1_secondary_storage_pool_start_ip),"Value Missing",input_cluster_az1_secondary_storage_pool_start_ip)</f>
        <v>Value Missing</v>
      </c>
      <c r="K44" s="219" t="s">
        <v>250</v>
      </c>
      <c r="L44" s="220" t="s">
        <v>20</v>
      </c>
      <c r="N44" s="4" t="s">
        <v>1463</v>
      </c>
      <c r="O44" s="8" t="str">
        <f>IF(ISBLANK(input_ca_organization_unit),"Value Missing",input_ca_organization_unit)</f>
        <v>Value Missing</v>
      </c>
      <c r="Q44" s="220" t="s">
        <v>250</v>
      </c>
      <c r="R44" s="220" t="s">
        <v>20</v>
      </c>
      <c r="T44" s="4" t="s">
        <v>1620</v>
      </c>
      <c r="U44" s="8" t="str">
        <f>IF(ISBLANK(input_mgmt_srm_vra_pg),"Value Missing",input_mgmt_srm_vra_pg)</f>
        <v>Value Missing</v>
      </c>
      <c r="V44" s="3"/>
      <c r="W44" s="4" t="s">
        <v>269</v>
      </c>
      <c r="X44" s="8" t="str">
        <f>IF(ISBLANK(input_wld_witnessaz_mgmt_mtu),"Value Missing",input_wld_witnessaz_mgmt_mtu)</f>
        <v>Value Missing</v>
      </c>
      <c r="Z44" s="4" t="s">
        <v>3173</v>
      </c>
      <c r="AA44" s="8">
        <v>6811</v>
      </c>
    </row>
    <row r="45" spans="2:31" s="2" customFormat="1" ht="20" customHeight="1" x14ac:dyDescent="0.2">
      <c r="B45" s="4" t="s">
        <v>1378</v>
      </c>
      <c r="C45" s="8" t="str">
        <f>IF(mgmt_nsxt_vip_fqdn="Value Missing",mgmt_nsxt_vip_fqdn,LEFT(mgmt_nsxt_vip_fqdn,FIND(".",mgmt_nsxt_vip_fqdn)-1))</f>
        <v>Value Missing</v>
      </c>
      <c r="E45" s="4" t="s">
        <v>1374</v>
      </c>
      <c r="F45" s="8" t="str">
        <f>IF(ISBLANK(input_wld_vc_fqdn),"Value Missing",input_wld_vc_fqdn)</f>
        <v>Value Missing</v>
      </c>
      <c r="H45" s="23" t="s">
        <v>245</v>
      </c>
      <c r="I45" s="8" t="str">
        <f>IF(ISBLANK(input_cluster_az1_secondary_storage_pool_end_ip),"Value Missing",input_cluster_az1_secondary_storage_pool_end_ip)</f>
        <v>Value Missing</v>
      </c>
      <c r="K45" s="4" t="s">
        <v>1462</v>
      </c>
      <c r="L45" s="8" t="str">
        <f>IF(ISBLANK(input_region_ntp1_server),"Value Missing",input_region_ntp1_server)</f>
        <v>Value Missing</v>
      </c>
      <c r="N45" s="4" t="s">
        <v>65</v>
      </c>
      <c r="O45" s="8" t="str">
        <f>IF(ISBLANK(input_ca_state),"Value Missing",input_ca_state)</f>
        <v>Value Missing</v>
      </c>
      <c r="Q45" s="23" t="s">
        <v>1575</v>
      </c>
      <c r="R45" s="8" t="str">
        <f>IF(ISBLANK(input_xreg_vrops_virtual_fqdn),"Value Missing",input_xreg_vrops_virtual_fqdn)</f>
        <v>Value Missing</v>
      </c>
      <c r="T45" s="4" t="s">
        <v>1623</v>
      </c>
      <c r="U45" s="8" t="str">
        <f>IF(ISBLANK(input_mgmt_srm_vra_rp),"Value Missing",input_mgmt_srm_vra_rp)</f>
        <v>Value Missing</v>
      </c>
      <c r="V45" s="3"/>
    </row>
    <row r="46" spans="2:31" s="2" customFormat="1" ht="20" customHeight="1" x14ac:dyDescent="0.2">
      <c r="B46" s="4" t="s">
        <v>1382</v>
      </c>
      <c r="C46" s="8" t="str">
        <f>IF(mgmt_nsxt_mgra_fqdn="Value Missing",mgmt_nsxt_mgra_fqdn,LEFT(mgmt_nsxt_mgra_fqdn,FIND(".",mgmt_nsxt_mgra_fqdn)-1))</f>
        <v>Value Missing</v>
      </c>
      <c r="E46" s="4" t="s">
        <v>1378</v>
      </c>
      <c r="F46" s="8" t="str">
        <f>IF(ISBLANK(input_wld_nsxt_vip_fqdn),"Value Missing",input_wld_nsxt_vip_fqdn)</f>
        <v>Value Missing</v>
      </c>
      <c r="H46" s="396" t="s">
        <v>686</v>
      </c>
      <c r="I46" s="220" t="s">
        <v>20</v>
      </c>
      <c r="K46" s="4" t="s">
        <v>1464</v>
      </c>
      <c r="L46" s="8" t="str">
        <f>IF(ISBLANK(input_region_ntp2_server),"Value Missing",input_region_ntp2_server)</f>
        <v>Value Missing</v>
      </c>
      <c r="N46" s="4" t="s">
        <v>25</v>
      </c>
      <c r="O46" s="8" t="str">
        <f>IF(ISBLANK(input_sftp_server_port),"Value Missing",input_sftp_server_port)</f>
        <v>Value Missing</v>
      </c>
      <c r="Q46" s="23" t="s">
        <v>1580</v>
      </c>
      <c r="R46" s="8" t="str">
        <f>IF(ISBLANK(input_xreg_vrops_nodea_fqdn),"Value Missing",input_xreg_vrops_nodea_fqdn)</f>
        <v>Value Missing</v>
      </c>
      <c r="T46" s="4" t="s">
        <v>1626</v>
      </c>
      <c r="U46" s="8" t="str">
        <f>IF(ISBLANK(input_mgmt_srm_recovery_vcenter_fqdn),"Value Missing",input_mgmt_srm_recovery_vcenter_fqdn)</f>
        <v>Value Missing</v>
      </c>
      <c r="V46" s="3"/>
      <c r="Z46" s="621" t="s">
        <v>1632</v>
      </c>
      <c r="AA46" s="622"/>
    </row>
    <row r="47" spans="2:31" s="2" customFormat="1" ht="20" customHeight="1" x14ac:dyDescent="0.2">
      <c r="B47" s="4" t="s">
        <v>1386</v>
      </c>
      <c r="C47" s="8" t="str">
        <f>IF(mgmt_nsxt_mgrb_fqdn="Value Missing",mgmt_nsxt_mgrb_fqdn,LEFT(mgmt_nsxt_mgrb_fqdn,FIND(".",mgmt_nsxt_mgrb_fqdn)-1))</f>
        <v>Value Missing</v>
      </c>
      <c r="E47" s="4" t="s">
        <v>1382</v>
      </c>
      <c r="F47" s="8" t="str">
        <f>IF(ISBLANK(input_wld_nsxt_mgra_fqdn),"Value Missing",input_wld_nsxt_mgra_fqdn)</f>
        <v>Value Missing</v>
      </c>
      <c r="H47" s="4" t="s">
        <v>85</v>
      </c>
      <c r="I47" s="8" t="str">
        <f>IF(ISBLANK(input_cluster_az1_storage_cluster_vlan),"Value Missing",input_cluster_az1_storage_cluster_vlan)</f>
        <v>Value Missing</v>
      </c>
      <c r="K47" s="4" t="s">
        <v>1469</v>
      </c>
      <c r="L47" s="8" t="str">
        <f>IF(ISBLANK(input_xregion_ntp1_server),"Value Missing",input_xregion_ntp1_server)</f>
        <v>Value Missing</v>
      </c>
      <c r="N47" s="4" t="s">
        <v>1031</v>
      </c>
      <c r="O47" s="8" t="str">
        <f>IF(ISBLANK(input_sftp_server_protocol),"Value Missing",input_sftp_server_protocol)</f>
        <v>Value Missing</v>
      </c>
      <c r="Q47" s="23" t="s">
        <v>1584</v>
      </c>
      <c r="R47" s="8" t="str">
        <f>IF(ISBLANK(input_xreg_vrops_nodeb_fqdn),"Value Missing",input_xreg_vrops_nodeb_fqdn)</f>
        <v>Value Missing</v>
      </c>
      <c r="T47" s="4" t="s">
        <v>1629</v>
      </c>
      <c r="U47" s="8" t="str">
        <f>IF(ISBLANK(input_mgmt_srm_recovery_vcenter_username),"Value Missing",input_mgmt_srm_recovery_vcenter_username)</f>
        <v>Value Missing</v>
      </c>
      <c r="V47" s="3"/>
      <c r="Z47" s="220" t="s">
        <v>250</v>
      </c>
      <c r="AA47" s="220" t="s">
        <v>20</v>
      </c>
    </row>
    <row r="48" spans="2:31" s="2" customFormat="1" ht="20" customHeight="1" x14ac:dyDescent="0.2">
      <c r="B48" s="4" t="s">
        <v>1389</v>
      </c>
      <c r="C48" s="8" t="str">
        <f>IF(mgmt_nsxt_mgrc_fqdn="Value Missing",mgmt_nsxt_mgrc_fqdn,LEFT(mgmt_nsxt_mgrc_fqdn,FIND(".",mgmt_nsxt_mgrc_fqdn)-1))</f>
        <v>Value Missing</v>
      </c>
      <c r="E48" s="4" t="s">
        <v>1386</v>
      </c>
      <c r="F48" s="8" t="str">
        <f>IF(ISBLANK(input_wld_nsxt_mgrb_fqdn),"Value Missing",input_wld_nsxt_mgrb_fqdn)</f>
        <v>Value Missing</v>
      </c>
      <c r="H48" s="4" t="s">
        <v>155</v>
      </c>
      <c r="I48" s="8" t="str">
        <f>IF(ISBLANK(input_cluster_az1_storage_cluster_mtu),"Value Missing",input_cluster_az1_storage_cluster_mtu)</f>
        <v>Value Missing</v>
      </c>
      <c r="K48" s="4" t="s">
        <v>1473</v>
      </c>
      <c r="L48" s="8" t="str">
        <f>IF(ISBLANK(input_mgmt_witness_ntp1_server),"Value Missing",input_mgmt_witness_ntp1_server)</f>
        <v>Value Missing</v>
      </c>
      <c r="N48" s="4" t="s">
        <v>1471</v>
      </c>
      <c r="O48" s="8" t="str">
        <f>IF(ISBLANK(input_svc_vcf_bck_user),"Value Missing",input_svc_vcf_bck_user)</f>
        <v>Value Missing</v>
      </c>
      <c r="Q48" s="23" t="s">
        <v>1587</v>
      </c>
      <c r="R48" s="8" t="str">
        <f>IF(ISBLANK(input_xreg_vrops_nodec_fqdn),"Value Missing",input_xreg_vrops_nodec_fqdn)</f>
        <v>Value Missing</v>
      </c>
      <c r="T48" s="4" t="s">
        <v>1631</v>
      </c>
      <c r="U48" s="8" t="str">
        <f>IF(ISBLANK(input_mgmt_srm_recovery_vcenter_password),"Value Missing",input_mgmt_srm_recovery_vcenter_password)</f>
        <v>Value Missing</v>
      </c>
      <c r="V48" s="3"/>
      <c r="Z48" s="4" t="s">
        <v>1642</v>
      </c>
      <c r="AA48" s="8" t="str">
        <f>IF(AND((spr_chosen="Management Only"),(spr_result="Included")),"True","False")</f>
        <v>False</v>
      </c>
    </row>
    <row r="49" spans="2:27" s="2" customFormat="1" ht="20" customHeight="1" x14ac:dyDescent="0.2">
      <c r="B49" s="4" t="s">
        <v>1392</v>
      </c>
      <c r="C49" s="8" t="str">
        <f>IF(mgmt_nsxt_gm_vip_fqdn="Value Missing",mgmt_nsxt_gm_vip_fqdn,LEFT(mgmt_nsxt_gm_vip_fqdn,FIND(".",mgmt_nsxt_gm_vip_fqdn)-1))</f>
        <v>Value Missing</v>
      </c>
      <c r="E49" s="4" t="s">
        <v>1389</v>
      </c>
      <c r="F49" s="8" t="str">
        <f>IF(ISBLANK(input_wld_nsxt_mgrc_fqdn),"Value Missing",input_wld_nsxt_mgrc_fqdn)</f>
        <v>Value Missing</v>
      </c>
      <c r="H49" s="4" t="s">
        <v>241</v>
      </c>
      <c r="I49" s="8" t="str">
        <f>IF(cluster_az1_storage_cluster_gateway_cidr="Value Missing","Value Missing",CONCATENATE(_xlfn.TEXTBEFORE(cluster_az1_storage_cluster_gateway_cidr,".",3),".0"))</f>
        <v>Value Missing</v>
      </c>
      <c r="K49" s="4" t="s">
        <v>1473</v>
      </c>
      <c r="L49" s="8" t="str">
        <f>IF(ISBLANK(input_mgmt_witness_ntp2_server),"Value Missing",input_mgmt_witness_ntp2_server)</f>
        <v>Value Missing</v>
      </c>
      <c r="N49" s="4" t="s">
        <v>32</v>
      </c>
      <c r="O49" s="8" t="str">
        <f>IF(ISBLANK(input_sftp_server_backup_dir),"Value Missing",input_sftp_server_backup_dir)</f>
        <v>Value Missing</v>
      </c>
      <c r="Q49" s="23" t="s">
        <v>1591</v>
      </c>
      <c r="R49" s="8" t="str">
        <f>IF(ISBLANK(input_xreg_vrops_collector_fqdn),"Value Missing",input_xreg_vrops_collector_fqdn)</f>
        <v>Value Missing</v>
      </c>
      <c r="T49" s="4" t="s">
        <v>1636</v>
      </c>
      <c r="U49" s="8" t="str">
        <f>IF(ISBLANK(input_mgmt_srm_recovery_sddc_manager_domain),"Value Missing",input_mgmt_srm_recovery_sddc_manager_domain)</f>
        <v>Value Missing</v>
      </c>
      <c r="V49" s="3"/>
      <c r="Z49" s="4" t="s">
        <v>1646</v>
      </c>
      <c r="AA49" s="8" t="str">
        <f>IF(AND((spr_chosen="Workload Only"),(spr_result="Included")),"True","False")</f>
        <v>False</v>
      </c>
    </row>
    <row r="50" spans="2:27" s="2" customFormat="1" ht="20" customHeight="1" x14ac:dyDescent="0.2">
      <c r="B50" s="4" t="s">
        <v>1396</v>
      </c>
      <c r="C50" s="8" t="str">
        <f>IF(mgmt_nsxt_global_mgra_fqdn="Value Missing",mgmt_nsxt_global_mgra_fqdn,LEFT(mgmt_nsxt_global_mgra_fqdn,FIND(".",mgmt_nsxt_global_mgra_fqdn)-1))</f>
        <v>Value Missing</v>
      </c>
      <c r="E50" s="4" t="s">
        <v>1392</v>
      </c>
      <c r="F50" s="8" t="str">
        <f>IF(ISBLANK(input_wld_nsxt_gm_vip_fqdn),"Value Missing",input_wld_nsxt_gm_vip_fqdn)</f>
        <v>Value Missing</v>
      </c>
      <c r="H50" s="4" t="s">
        <v>274</v>
      </c>
      <c r="I50" s="8" t="str">
        <f>IF(cluster_az1_storage_cluster_gateway_cidr="Value Missing",cluster_az1_storage_cluster_gateway_cidr,VLOOKUP(INT(RIGHT(cluster_az1_storage_cluster_gateway_cidr,LEN(cluster_az1_storage_cluster_gateway_cidr)-FIND("/",cluster_az1_storage_cluster_gateway_cidr))),table_cidr_to_mask,2,FALSE))</f>
        <v>Value Missing</v>
      </c>
      <c r="K50" s="4" t="s">
        <v>1480</v>
      </c>
      <c r="L50" s="8" t="str">
        <f>IF(ISBLANK(input_region_dns1_ip),"Value Missing",input_region_dns1_ip)</f>
        <v>Value Missing</v>
      </c>
      <c r="N50" s="4" t="s">
        <v>1474</v>
      </c>
      <c r="O50" s="8" t="str">
        <f>IF(ISBLANK(input_sftp_server_sshfingerprint),"Value Missing",input_sftp_server_sshfingerprint)</f>
        <v>Value Missing</v>
      </c>
      <c r="Q50" s="9"/>
      <c r="R50" s="9"/>
      <c r="T50" s="4" t="s">
        <v>1641</v>
      </c>
      <c r="U50" s="8" t="str">
        <f>IF(ISBLANK(input_mgmt_srm_recovery_nsx_location),"Value Missing",input_mgmt_srm_recovery_nsx_location)</f>
        <v>Value Missing</v>
      </c>
      <c r="V50" s="3"/>
      <c r="Z50" s="4" t="s">
        <v>1649</v>
      </c>
      <c r="AA50" s="8" t="str">
        <f>IF(spr_chosen="Management &amp; Workload","True","False")</f>
        <v>False</v>
      </c>
    </row>
    <row r="51" spans="2:27" s="2" customFormat="1" ht="20" customHeight="1" x14ac:dyDescent="0.2">
      <c r="B51" s="4" t="s">
        <v>1399</v>
      </c>
      <c r="C51" s="8" t="str">
        <f>IF(mgmt_nsxt_global_mgrb_fqdn="Value Missing",mgmt_nsxt_global_mgrb_fqdn,LEFT(mgmt_nsxt_global_mgrb_fqdn,FIND(".",mgmt_nsxt_global_mgrb_fqdn)-1))</f>
        <v>Value Missing</v>
      </c>
      <c r="E51" s="4" t="s">
        <v>1396</v>
      </c>
      <c r="F51" s="8" t="str">
        <f>IF(ISBLANK(input_wld_nsxt_global_mgra_fqdn),"Value Missing",input_wld_nsxt_global_mgra_fqdn)</f>
        <v>Value Missing</v>
      </c>
      <c r="H51" s="4" t="s">
        <v>447</v>
      </c>
      <c r="I51" s="8" t="str">
        <f>IF(cluster_az1_storage_cluster_network="Value missing","Value Missing",CONCATENATE(cluster_az1_storage_cluster_network,"/",VLOOKUP(cluster_az1_storage_cluster_mask,table_mask_to_cidr,2,FALSE)))</f>
        <v>Value Missing</v>
      </c>
      <c r="K51" s="4" t="s">
        <v>1483</v>
      </c>
      <c r="L51" s="8" t="str">
        <f>IF(ISBLANK(input_region_dns2_ip),"Value Missing",input_region_dns2_ip)</f>
        <v>Value Missing</v>
      </c>
      <c r="N51" s="4" t="s">
        <v>36</v>
      </c>
      <c r="O51" s="8" t="str">
        <f>IF(ISBLANK(input_sftp_server_passphrase),"Value Missing",input_sftp_server_passphrase)</f>
        <v>Value Missing</v>
      </c>
      <c r="Q51" s="623" t="s">
        <v>1662</v>
      </c>
      <c r="R51" s="624"/>
      <c r="T51" s="4" t="s">
        <v>1645</v>
      </c>
      <c r="U51" s="8" t="str">
        <f>IF(ISBLANK(input_mgmt_srm_recovery_nsx_ec_name),"Value Missing",input_mgmt_srm_recovery_nsx_ec_name)</f>
        <v>Value Missing</v>
      </c>
      <c r="Z51" s="4" t="s">
        <v>1653</v>
      </c>
      <c r="AA51" s="8" t="str">
        <f>IF(AND((mgmt_domain_chosen="Deploy a new VCF fleet"),(OR((spr_mo_result="True"),(spr_mw_result="True")))),"True","False")</f>
        <v>False</v>
      </c>
    </row>
    <row r="52" spans="2:27" s="2" customFormat="1" ht="20" customHeight="1" x14ac:dyDescent="0.2">
      <c r="B52" s="4" t="s">
        <v>1402</v>
      </c>
      <c r="C52" s="8" t="str">
        <f>IF(mgmt_nsxt_global_mgrc_fqdn="Value Missing",mgmt_nsxt_global_mgrc_fqdn,LEFT(mgmt_nsxt_global_mgrc_fqdn,FIND(".",mgmt_nsxt_global_mgrc_fqdn)-1))</f>
        <v>Value Missing</v>
      </c>
      <c r="E52" s="4" t="s">
        <v>1399</v>
      </c>
      <c r="F52" s="8" t="str">
        <f t="array" ref="F52">IF(ISBLANK(input_wld_nsxt_global_mgrb_fqdn),"Value Missing",input_wld_nsxt_global_mgrb_fqdn)</f>
        <v>Value Missing</v>
      </c>
      <c r="H52" s="4" t="s">
        <v>180</v>
      </c>
      <c r="I52" s="8" t="str">
        <f>IF(cluster_az1_storage_cluster_gateway_cidr="Value Missing","Value Missing",LEFT(cluster_az1_storage_cluster_gateway_cidr,FIND("/",cluster_az1_storage_cluster_gateway_cidr)-1))</f>
        <v>Value Missing</v>
      </c>
      <c r="K52" s="4" t="s">
        <v>1488</v>
      </c>
      <c r="L52" s="8" t="str">
        <f>IF(ISBLANK(input_xregion_dns1_ip),"Value Missing",input_xregion_dns1_ip)</f>
        <v>Value Missing</v>
      </c>
      <c r="N52" s="23" t="s">
        <v>1484</v>
      </c>
      <c r="O52" s="8" t="s">
        <v>1485</v>
      </c>
      <c r="Q52" s="220" t="s">
        <v>250</v>
      </c>
      <c r="R52" s="220" t="s">
        <v>20</v>
      </c>
      <c r="T52" s="4" t="s">
        <v>1648</v>
      </c>
      <c r="U52" s="8" t="str">
        <f>IF(ISBLANK(input_mgmt_srm_recovery_cluster),"Value Missing",input_mgmt_srm_recovery_cluster)</f>
        <v>Value Missing</v>
      </c>
      <c r="Z52" s="4" t="s">
        <v>1657</v>
      </c>
      <c r="AA52" s="8" t="str">
        <f>IF(AND((mgmt_domain_chosen&lt;&gt;"First Domain"),(OR((spr_mo_result="True"),(spr_mw_result="True")))),"True","False")</f>
        <v>False</v>
      </c>
    </row>
    <row r="53" spans="2:27" s="2" customFormat="1" ht="20" customHeight="1" x14ac:dyDescent="0.2">
      <c r="B53" s="4" t="s">
        <v>1405</v>
      </c>
      <c r="C53" s="8" t="str">
        <f>IF(mgmt_avilb_fqdn="Value Missing",mgmt_avilb_fqdn,LEFT(mgmt_avilb_fqdn,FIND(".",mgmt_avilb_fqdn)-1))</f>
        <v>Value Missing</v>
      </c>
      <c r="E53" s="4" t="s">
        <v>1402</v>
      </c>
      <c r="F53" s="8" t="str">
        <f>IF(ISBLANK(input_wld_nsxt_global_mgrc_fqdn),"Value Missing",input_wld_nsxt_global_mgrc_fqdn)</f>
        <v>Value Missing</v>
      </c>
      <c r="H53" s="4" t="s">
        <v>3092</v>
      </c>
      <c r="I53" s="8" t="str">
        <f>IF(ISBLANK(input_cluster_az1_storage_cluster_gateway_cidr),"Value Missing",input_cluster_az1_storage_cluster_gateway_cidr)</f>
        <v>Value Missing</v>
      </c>
      <c r="K53" s="4" t="s">
        <v>1491</v>
      </c>
      <c r="L53" s="8" t="str">
        <f>IF(ISBLANK(input_xregion_dns2_ip),"Value Missing",input_xregion_dns2_ip)</f>
        <v>Value Missing</v>
      </c>
      <c r="N53" s="23" t="s">
        <v>1489</v>
      </c>
      <c r="O53" s="8" t="str">
        <f>CONCATENATE(mgmt_cl01_cluster,"_primary-az-vmgroup")</f>
        <v>Value Missing_primary-az-vmgroup</v>
      </c>
      <c r="Q53" s="28" t="s">
        <v>1671</v>
      </c>
      <c r="R53" s="8" t="str">
        <f>IF(ISBLANK(input_mgmt_vrms_mgmt_ip),"Value Missing",input_mgmt_vrms_mgmt_ip)</f>
        <v>Value Missing</v>
      </c>
      <c r="T53" s="4" t="s">
        <v>1652</v>
      </c>
      <c r="U53" s="8" t="str">
        <f>IF(ISBLANK(input_mgmt_srm_recovery_datastore),"Value Missing",input_mgmt_srm_recovery_datastore)</f>
        <v>Value Missing</v>
      </c>
      <c r="V53" s="3"/>
      <c r="Z53" s="4" t="s">
        <v>1664</v>
      </c>
      <c r="AA53" s="8" t="str">
        <f>IF(AND((mgmt_domain_chosen="First Domain"),(OR((spr_wo_result="True"),(spr_mw_result="True")))),"True","False")</f>
        <v>False</v>
      </c>
    </row>
    <row r="54" spans="2:27" s="2" customFormat="1" ht="20" customHeight="1" x14ac:dyDescent="0.2">
      <c r="B54" s="4" t="s">
        <v>1472</v>
      </c>
      <c r="C54" s="8" t="str">
        <f>IF(flt_vidb_vip_fqdn="Value Missing",flt_vidb_vip_fqdn,LEFT(flt_vidb_vip_fqdn,FIND(".",flt_vidb_vip_fqdn)-1))</f>
        <v>Value Missing</v>
      </c>
      <c r="E54" s="4" t="s">
        <v>1481</v>
      </c>
      <c r="F54" s="8" t="str">
        <f>IF(ISBLANK(input_wld_az1_en1_fqdn),"Value Missing",input_wld_az1_en1_fqdn)</f>
        <v>Value Missing</v>
      </c>
      <c r="H54" s="23" t="s">
        <v>244</v>
      </c>
      <c r="I54" s="8" t="str">
        <f>IF(ISBLANK(input_cluster_az1_storage_cluster_pool_start_ip),"Value Missing",input_cluster_az1_storage_cluster_pool_start_ip)</f>
        <v>Value Missing</v>
      </c>
      <c r="K54" s="4" t="s">
        <v>1495</v>
      </c>
      <c r="L54" s="8" t="str">
        <f>IF(ISBLANK(input_mgmt_witness_dns1_ip),"Value Missing",input_mgmt_witness_dns1_ip)</f>
        <v>Value Missing</v>
      </c>
      <c r="N54" s="4" t="s">
        <v>1492</v>
      </c>
      <c r="O54" s="8" t="str">
        <f>IF(ISBLANK(mgmt_internet_proxy_type_chosen),"Value Missing",mgmt_internet_proxy_type_chosen)</f>
        <v>HTTPS</v>
      </c>
      <c r="Q54" s="28" t="s">
        <v>1674</v>
      </c>
      <c r="R54" s="8" t="str">
        <f>IF(ISBLANK(input_mgmt_vrms_vrms_ip),"Value Missing",input_mgmt_vrms_vrms_ip)</f>
        <v>Value Missing</v>
      </c>
      <c r="T54" s="4" t="s">
        <v>1656</v>
      </c>
      <c r="U54" s="8" t="str">
        <f>IF(ISBLANK(input_mgmt_vrms_recovery_replication_cidr),"Value Missing",input_mgmt_vrms_recovery_replication_cidr)</f>
        <v>Value Missing</v>
      </c>
      <c r="V54" s="3"/>
      <c r="Z54" s="4" t="s">
        <v>1667</v>
      </c>
      <c r="AA54" s="8" t="str">
        <f>IF((mgmt_nsxt_federation_result="Included"),"True","False")</f>
        <v>False</v>
      </c>
    </row>
    <row r="55" spans="2:27" s="2" customFormat="1" ht="20" customHeight="1" x14ac:dyDescent="0.2">
      <c r="B55" s="4" t="s">
        <v>3158</v>
      </c>
      <c r="C55" s="8" t="str">
        <f>IF(flt_lc_fqdn="Value Missing",flt_lc_fqdn,LEFT(flt_lc_fqdn,FIND(".",flt_lc_fqdn)-1))</f>
        <v>Value Missing</v>
      </c>
      <c r="E55" s="4" t="s">
        <v>1487</v>
      </c>
      <c r="F55" s="8" t="str">
        <f>IF(ISBLANK(input_wld_az1_en2_fqdn),"Value Missing",input_wld_az1_en2_fqdn)</f>
        <v>Value Missing</v>
      </c>
      <c r="H55" s="23" t="s">
        <v>245</v>
      </c>
      <c r="I55" s="8" t="str">
        <f>IF(ISBLANK(input_cluster_az1_storage_cluster_pool_end_ip),"Value Missing",input_cluster_az1_storage_cluster_pool_end_ip)</f>
        <v>Value Missing</v>
      </c>
      <c r="K55" s="4" t="s">
        <v>1498</v>
      </c>
      <c r="L55" s="8" t="str">
        <f>IF(ISBLANK(input_mgmt_witness_dns2_ip),"Value Missing",input_mgmt_witness_dns2_ip)</f>
        <v>Value Missing</v>
      </c>
      <c r="N55" s="4" t="s">
        <v>1034</v>
      </c>
      <c r="O55" s="8" t="str">
        <f>IF(ISBLANK(input_mgmt_internet_proxy_address),"Value Missing",input_mgmt_internet_proxy_address)</f>
        <v>Value Missing</v>
      </c>
      <c r="Q55" s="28" t="s">
        <v>1677</v>
      </c>
      <c r="R55" s="8" t="str">
        <f>IF(ISBLANK(input_mgmt_srm_ip),"Value Missing",input_mgmt_srm_ip)</f>
        <v>Value Missing</v>
      </c>
      <c r="T55" s="4" t="s">
        <v>1663</v>
      </c>
      <c r="U55" s="8" t="str">
        <f>IF(ISBLANK(input_mgmt_srm_sso_domain_membership),"Value Missing",input_mgmt_srm_sso_domain_membership)</f>
        <v>Value Missing</v>
      </c>
      <c r="V55" s="3"/>
      <c r="Z55" s="4" t="s">
        <v>1672</v>
      </c>
      <c r="AA55" s="8" t="str">
        <f>IF(AND((mgmt_nsxt_federation_result="Included"),(wld_domain_result="Included")),"True","False")</f>
        <v>False</v>
      </c>
    </row>
    <row r="56" spans="2:27" s="2" customFormat="1" ht="20" customHeight="1" x14ac:dyDescent="0.2">
      <c r="B56" s="4" t="s">
        <v>3156</v>
      </c>
      <c r="C56" s="8" t="str">
        <f>IF(flt_sr_fqdn="Value Missing",flt_sr_fqdn,LEFT(flt_sr_fqdn,FIND(".",flt_sr_fqdn)-1))</f>
        <v>Value Missing</v>
      </c>
      <c r="E56" s="4" t="s">
        <v>1405</v>
      </c>
      <c r="F56" s="8" t="str">
        <f>IF(ISBLANK(input_wld_avilb_fqdn),"Value Missing",input_wld_avilb_fqdn)</f>
        <v>Value Missing</v>
      </c>
      <c r="H56" s="396" t="s">
        <v>1482</v>
      </c>
      <c r="I56" s="220" t="s">
        <v>20</v>
      </c>
      <c r="K56" s="4" t="s">
        <v>1501</v>
      </c>
      <c r="L56" s="8" t="str">
        <f>IF(ISBLANK(input_domain_controller_hostname),"Value Missing",input_domain_controller_hostname)</f>
        <v>Value Missing</v>
      </c>
      <c r="N56" s="4" t="s">
        <v>1499</v>
      </c>
      <c r="O56" s="8" t="str">
        <f>IF(ISBLANK(input_mgmt_internet_proxy_port),"Value Missing",input_mgmt_internet_proxy_port)</f>
        <v>Value Missing</v>
      </c>
      <c r="Q56" s="28" t="s">
        <v>1680</v>
      </c>
      <c r="R56" s="8" t="str">
        <f>IF(ISBLANK(input_mgmt_srm_recovery_t1_si_ip),"Value Missing",input_mgmt_srm_recovery_t1_si_ip)</f>
        <v>Value Missing</v>
      </c>
      <c r="T56" s="9"/>
      <c r="U56" s="9"/>
      <c r="V56" s="3"/>
      <c r="Z56" s="4" t="s">
        <v>1675</v>
      </c>
      <c r="AA56" s="8" t="str">
        <f>IF(AND((mgmt_nsxt_federation_result="Included")),"True","False")</f>
        <v>False</v>
      </c>
    </row>
    <row r="57" spans="2:27" s="2" customFormat="1" ht="20" customHeight="1" x14ac:dyDescent="0.2">
      <c r="B57" s="4" t="s">
        <v>3157</v>
      </c>
      <c r="C57" s="8" t="str">
        <f>IF(flt_ic_fqdn="Value Missing",flt_ic_fqdn,LEFT(flt_ic_fqdn,FIND(".",flt_ic_fqdn)-1))</f>
        <v>Value Missing</v>
      </c>
      <c r="E57" s="23" t="s">
        <v>3280</v>
      </c>
      <c r="F57" s="8" t="str">
        <f>IF(ISBLANK(input_wld_vnaa_fqdn),"Value Missing",input_wld_vnaa_fqdn)</f>
        <v>Value Missing</v>
      </c>
      <c r="H57" s="23" t="s">
        <v>204</v>
      </c>
      <c r="I57" s="8" t="str">
        <f>IF(ISBLANK(input_cluster_az1_host1_mgmt_ip),"Value Missing",input_cluster_az1_host1_mgmt_ip)</f>
        <v>Value Missing</v>
      </c>
      <c r="K57" s="4" t="s">
        <v>1503</v>
      </c>
      <c r="L57" s="8" t="str">
        <f>IF(ISBLANK(input_certificate_authority_fqdn),"Value Missing",input_certificate_authority_fqdn)</f>
        <v>Value Missing</v>
      </c>
      <c r="N57" s="4" t="s">
        <v>1038</v>
      </c>
      <c r="O57" s="8" t="str">
        <f>mgmt_internet_proxy_auth_chosen</f>
        <v>Unselected</v>
      </c>
      <c r="Q57" s="9"/>
      <c r="R57" s="9"/>
      <c r="T57" s="621" t="s">
        <v>3388</v>
      </c>
      <c r="U57" s="622"/>
      <c r="V57" s="3"/>
      <c r="Z57" s="4" t="s">
        <v>1678</v>
      </c>
      <c r="AA57" s="8" t="str">
        <f>IF(AND((mgmt_domain_chosen&lt;&gt;"First Domain"),(mgmt_nsxt_federation_result="Included"),(wld_domain_result="Included")),"True","False")</f>
        <v>False</v>
      </c>
    </row>
    <row r="58" spans="2:27" s="2" customFormat="1" ht="20" customHeight="1" x14ac:dyDescent="0.2">
      <c r="E58" s="23" t="s">
        <v>3281</v>
      </c>
      <c r="F58" s="8" t="str">
        <f>IF(ISBLANK(input_wld_vnab_fqdn),"Value Missing",input_wld_vnab_fqdn)</f>
        <v>Value Missing</v>
      </c>
      <c r="H58" s="23" t="s">
        <v>206</v>
      </c>
      <c r="I58" s="8" t="str">
        <f>IF(ISBLANK(input_cluster_az1_host2_mgmt_ip),"Value Missing",input_cluster_az1_host2_mgmt_ip)</f>
        <v>Value Missing</v>
      </c>
      <c r="K58" s="4" t="s">
        <v>1507</v>
      </c>
      <c r="L58" s="8" t="str">
        <f>IF(ISBLANK(input_certificate_authority_name),"Value Missing",input_certificate_authority_name)</f>
        <v>Value Missing</v>
      </c>
      <c r="N58" s="4" t="s">
        <v>1504</v>
      </c>
      <c r="O58" s="8" t="str">
        <f>IF(ISBLANK(input_mgmt_offline_depot_fqdn),"Value Missing",input_mgmt_offline_depot_fqdn)</f>
        <v>Value Missing</v>
      </c>
      <c r="Q58" s="623" t="s">
        <v>1688</v>
      </c>
      <c r="R58" s="624"/>
      <c r="T58" s="220" t="s">
        <v>250</v>
      </c>
      <c r="U58" s="220" t="s">
        <v>20</v>
      </c>
      <c r="V58" s="3"/>
      <c r="Z58" s="4" t="s">
        <v>1681</v>
      </c>
      <c r="AA58" s="8" t="str">
        <f>IF(wld_domain_result="Included",IF(wld_domain_chosen="Create New SSO Domain","False","True"),"False")</f>
        <v>False</v>
      </c>
    </row>
    <row r="59" spans="2:27" s="2" customFormat="1" ht="20" customHeight="1" x14ac:dyDescent="0.2">
      <c r="B59" s="221" t="s">
        <v>1479</v>
      </c>
      <c r="C59" s="222"/>
      <c r="H59" s="23" t="s">
        <v>208</v>
      </c>
      <c r="I59" s="8" t="str">
        <f>IF(ISBLANK(input_cluster_az1_host3_mgmt_ip),"Value Missing",input_cluster_az1_host3_mgmt_ip)</f>
        <v>Value Missing</v>
      </c>
      <c r="K59" s="4" t="s">
        <v>1511</v>
      </c>
      <c r="L59" s="8" t="str">
        <f>IF(ISBLANK(input_sftp_server),"Value Missing",input_sftp_server)</f>
        <v>Value Missing</v>
      </c>
      <c r="N59" s="4" t="s">
        <v>1508</v>
      </c>
      <c r="O59" s="8" t="str">
        <f t="array" ref="O59">IF(ISBLANK(input_mgmt_offline_depot_port),"Value Missing",input_mgmt_offline_depot_port)</f>
        <v>Value Missing</v>
      </c>
      <c r="Q59" s="220" t="s">
        <v>250</v>
      </c>
      <c r="R59" s="220" t="s">
        <v>20</v>
      </c>
      <c r="T59" s="4" t="s">
        <v>1528</v>
      </c>
      <c r="U59" s="8" t="str">
        <f>IF(ISBLANK(input_wld_vrms_vm_folder),"Value Missing",input_wld_vrms_vm_folder)</f>
        <v>Value Missing</v>
      </c>
      <c r="V59" s="3"/>
      <c r="Z59" s="4" t="s">
        <v>1684</v>
      </c>
      <c r="AA59" s="8" cm="1">
        <f t="array" ref="AA59">SUM(IF('Management Domain Sizing'!C44:C67="Workload Domain",1,0))</f>
        <v>0</v>
      </c>
    </row>
    <row r="60" spans="2:27" s="2" customFormat="1" ht="20" customHeight="1" x14ac:dyDescent="0.2">
      <c r="B60" s="219" t="s">
        <v>250</v>
      </c>
      <c r="C60" s="219" t="s">
        <v>20</v>
      </c>
      <c r="E60" s="221" t="s">
        <v>1497</v>
      </c>
      <c r="F60" s="222"/>
      <c r="H60" s="23" t="s">
        <v>210</v>
      </c>
      <c r="I60" s="8" t="str">
        <f>IF(ISBLANK(input_cluster_az1_host4_mgmt_ip),"Value Missing",input_cluster_az1_host4_mgmt_ip)</f>
        <v>Value Missing</v>
      </c>
      <c r="K60" s="4" t="s">
        <v>976</v>
      </c>
      <c r="L60" s="8" t="str">
        <f>IF(ISBLANK(input_smtp_server),"Value Missing",input_smtp_server)</f>
        <v>Value Missing</v>
      </c>
      <c r="Q60" s="28" t="s">
        <v>1671</v>
      </c>
      <c r="R60" s="8" t="str">
        <f>IF(ISBLANK(input_wld_vrms_mgmt_ip),"Value Missing",input_wld_vrms_mgmt_ip)</f>
        <v>Value Missing</v>
      </c>
      <c r="T60" s="4" t="s">
        <v>1533</v>
      </c>
      <c r="U60" s="8" t="str">
        <f>IF(ISBLANK(input_wld_vrms_root_password),"Value Missing",input_wld_vrms_root_password)</f>
        <v>Value Missing</v>
      </c>
      <c r="V60" s="3"/>
      <c r="Z60" s="95" t="s">
        <v>1689</v>
      </c>
      <c r="AA60" s="8" cm="1">
        <f t="array" ref="AA60">SUM(IF('Management Domain Sizing'!C44:C67="Isolated Workload Domain",1,0))</f>
        <v>0</v>
      </c>
    </row>
    <row r="61" spans="2:27" s="2" customFormat="1" ht="20" customHeight="1" x14ac:dyDescent="0.2">
      <c r="B61" s="4" t="s">
        <v>1373</v>
      </c>
      <c r="C61" s="8" t="str">
        <f>IF(ISBLANK(input_vcf_installer_fqdn),"Value Missing",input_vcf_installer_fqdn)</f>
        <v>Value Missing</v>
      </c>
      <c r="E61" s="219" t="s">
        <v>250</v>
      </c>
      <c r="F61" s="220" t="s">
        <v>20</v>
      </c>
      <c r="H61" s="23" t="s">
        <v>212</v>
      </c>
      <c r="I61" s="8" t="str">
        <f>IF(ISBLANK(input_cluster_az1_host5_mgmt_ip),"Value Missing",input_cluster_az1_host5_mgmt_ip)</f>
        <v>Value Missing</v>
      </c>
      <c r="K61" s="4" t="s">
        <v>978</v>
      </c>
      <c r="L61" s="8" t="str">
        <f>IF(ISBLANK(input_smtp_server_port),"Value Missing",input_smtp_server_port)</f>
        <v>Value Missing</v>
      </c>
      <c r="N61" s="623" t="s">
        <v>1515</v>
      </c>
      <c r="O61" s="624"/>
      <c r="Q61" s="28" t="s">
        <v>1674</v>
      </c>
      <c r="R61" s="8" t="str">
        <f>IF(ISBLANK(input_wld_vrms_vrms_ip),"Value Missing",input_wld_vrms_vrms_ip)</f>
        <v>Value Missing</v>
      </c>
      <c r="T61" s="4" t="s">
        <v>1537</v>
      </c>
      <c r="U61" s="8" t="str">
        <f>IF(ISBLANK(input_wld_vrms_admin_password),"Value Missing",input_wld_vrms_admin_password)</f>
        <v>Value Missing</v>
      </c>
      <c r="V61" s="3"/>
      <c r="Z61" s="225" t="s">
        <v>1691</v>
      </c>
      <c r="AA61" s="8" t="str">
        <f>IF(AND(OR(vcf_granular_option_chosen="Full Instance",vcf_granular_option_chosen="Additional VCF Instance"),(wld_domain_result="Excluded")),"Included","Excluded")</f>
        <v>Excluded</v>
      </c>
    </row>
    <row r="62" spans="2:27" s="2" customFormat="1" ht="20" customHeight="1" x14ac:dyDescent="0.2">
      <c r="B62" s="4" t="s">
        <v>1377</v>
      </c>
      <c r="C62" s="8" t="str">
        <f>IF(ISBLANK(input_sddc_mgr_fqdn),"Value Missing",input_sddc_mgr_fqdn)</f>
        <v>Value Missing</v>
      </c>
      <c r="E62" s="28" t="s">
        <v>1374</v>
      </c>
      <c r="F62" s="8" t="str">
        <f>(CONCATENATE('Value Reference Tables'!F110,".",(IF(ISBLANK(Arkham!C$11),"Value Missing",Arkham!C$11))))</f>
        <v>Value Missing.Value Missing</v>
      </c>
      <c r="H62" s="23" t="s">
        <v>214</v>
      </c>
      <c r="I62" s="8" t="str">
        <f>IF(ISBLANK(input_cluster_az1_host6_mgmt_ip),"Value Missing",input_cluster_az1_host6_mgmt_ip)</f>
        <v>Value Missing</v>
      </c>
      <c r="N62" s="219" t="s">
        <v>250</v>
      </c>
      <c r="O62" s="220" t="s">
        <v>20</v>
      </c>
      <c r="Q62" s="28" t="s">
        <v>1677</v>
      </c>
      <c r="R62" s="8" t="str">
        <f>IF(ISBLANK(input_wld_srm_ip),"Value Missing",input_wld_srm_ip)</f>
        <v>Value Missing</v>
      </c>
      <c r="T62" s="4" t="s">
        <v>1541</v>
      </c>
      <c r="U62" s="8" t="str">
        <f>IF(ISBLANK(input_wld_vrms_site_name),"Value Missing",input_wld_vrms_site_name)</f>
        <v>Value Missing</v>
      </c>
      <c r="V62" s="3"/>
    </row>
    <row r="63" spans="2:27" s="2" customFormat="1" ht="20" customHeight="1" x14ac:dyDescent="0.2">
      <c r="B63" s="4" t="s">
        <v>1374</v>
      </c>
      <c r="C63" s="8" t="str">
        <f>IF(ISBLANK(input_mgmt_vc_fqdn),"Value Missing",input_mgmt_vc_fqdn)</f>
        <v>Value Missing</v>
      </c>
      <c r="E63" s="28" t="s">
        <v>267</v>
      </c>
      <c r="F63" s="8" t="str">
        <f>IF(ISBLANK(input_wld_witness_fqdn),"Value Missing",input_wld_witness_fqdn)</f>
        <v>Value Missing</v>
      </c>
      <c r="H63" s="23" t="s">
        <v>216</v>
      </c>
      <c r="I63" s="8" t="str">
        <f>IF(ISBLANK(input_cluster_az1_host7_mgmt_ip),"Value Missing",input_cluster_az1_host7_mgmt_ip)</f>
        <v>Value Missing</v>
      </c>
      <c r="K63" s="623" t="s">
        <v>1524</v>
      </c>
      <c r="L63" s="624"/>
      <c r="N63" s="4" t="s">
        <v>1521</v>
      </c>
      <c r="O63" s="8" t="str">
        <f>IF(ISBLANK(input_wld_sddc_domain),"Value Missing",input_wld_sddc_domain)</f>
        <v>Value Missing</v>
      </c>
      <c r="T63" s="4" t="s">
        <v>1545</v>
      </c>
      <c r="U63" s="8" t="str">
        <f>IF(ISBLANK(input_wld_vrms_admin_email),"Value Missing",input_wld_vrms_admin_email)</f>
        <v>Value Missing</v>
      </c>
    </row>
    <row r="64" spans="2:27" s="2" customFormat="1" ht="20" customHeight="1" x14ac:dyDescent="0.2">
      <c r="B64" s="4" t="s">
        <v>1378</v>
      </c>
      <c r="C64" s="8" t="str">
        <f>IF(ISBLANK(input_mgmt_nsxt_vip_fqdn),"Value Missing",input_mgmt_nsxt_vip_fqdn)</f>
        <v>Value Missing</v>
      </c>
      <c r="H64" s="23" t="s">
        <v>218</v>
      </c>
      <c r="I64" s="8" t="str">
        <f>IF(ISBLANK(input_cluster_az1_host8_mgmt_ip),"Value Missing",input_cluster_az1_host8_mgmt_ip)</f>
        <v>Value Missing</v>
      </c>
      <c r="K64" s="219" t="s">
        <v>250</v>
      </c>
      <c r="L64" s="220" t="s">
        <v>20</v>
      </c>
      <c r="N64" s="4" t="s">
        <v>1527</v>
      </c>
      <c r="O64" s="8" t="str">
        <f>IF(ISBLANK(input_wld_cl01_cluster_sddc_id),"Value Missing",input_wld_cl01_cluster_sddc_id)</f>
        <v>Value Missing</v>
      </c>
      <c r="Q64" s="623" t="s">
        <v>1704</v>
      </c>
      <c r="R64" s="624"/>
      <c r="T64" s="4" t="s">
        <v>1550</v>
      </c>
      <c r="U64" s="8" t="str">
        <f>IF(ISBLANK(input_wld_vrms_pg),"Value Missing",input_wld_vrms_pg)</f>
        <v>Value Missing</v>
      </c>
    </row>
    <row r="65" spans="2:27" s="2" customFormat="1" ht="20" customHeight="1" x14ac:dyDescent="0.2">
      <c r="B65" s="4" t="s">
        <v>1382</v>
      </c>
      <c r="C65" s="8" t="str">
        <f>IF(ISBLANK(input_mgmt_nsxt_mgra_fqdn),"Value Missing",input_mgmt_nsxt_mgra_fqdn)</f>
        <v>Value Missing</v>
      </c>
      <c r="E65" s="221" t="s">
        <v>1514</v>
      </c>
      <c r="F65" s="222"/>
      <c r="H65" s="23" t="s">
        <v>220</v>
      </c>
      <c r="I65" s="8" t="str">
        <f>IF(ISBLANK(input_cluster_az1_host9_mgmt_ip),"Value Missing",input_cluster_az1_host9_mgmt_ip)</f>
        <v>Value Missing</v>
      </c>
      <c r="K65" s="4" t="s">
        <v>1531</v>
      </c>
      <c r="L65" s="8" t="str">
        <f>IF(ISBLANK(input_parent_dns_zone),"Value Missing",input_parent_dns_zone)</f>
        <v>Value Missing</v>
      </c>
      <c r="N65" s="4" t="s">
        <v>1532</v>
      </c>
      <c r="O65" s="8" t="str">
        <f>IF(ISBLANK(input_wld_cl01_vds01_name),"Value Missing",input_wld_cl01_vds01_name)</f>
        <v>Value Missing</v>
      </c>
      <c r="Q65" s="220" t="s">
        <v>250</v>
      </c>
      <c r="R65" s="220" t="s">
        <v>20</v>
      </c>
      <c r="T65" s="4" t="s">
        <v>1553</v>
      </c>
      <c r="U65" s="8" t="str">
        <f>IF(ISBLANK(input_wld_vrms_p12_password),"Value Missing",input_wld_vrms_p12_password)</f>
        <v>Value Missing</v>
      </c>
      <c r="V65" s="3"/>
    </row>
    <row r="66" spans="2:27" s="2" customFormat="1" ht="20" customHeight="1" x14ac:dyDescent="0.2">
      <c r="B66" s="4" t="s">
        <v>1386</v>
      </c>
      <c r="C66" s="8" t="str">
        <f>IF(ISBLANK(input_mgmt_nsxt_mgrb_fqdn),"Value Missing",input_mgmt_nsxt_mgrb_fqdn)</f>
        <v>Value Missing</v>
      </c>
      <c r="E66" s="219" t="s">
        <v>250</v>
      </c>
      <c r="F66" s="220" t="s">
        <v>20</v>
      </c>
      <c r="H66" s="23" t="s">
        <v>222</v>
      </c>
      <c r="I66" s="8" t="str">
        <f>IF(ISBLANK(input_cluster_az1_host10_mgmt_ip),"Value Missing",input_cluster_az1_host10_mgmt_ip)</f>
        <v>Value Missing</v>
      </c>
      <c r="K66" s="4" t="s">
        <v>1536</v>
      </c>
      <c r="L66" s="8" t="str">
        <f>IF(ISBLANK(input_child_dns_zone),"Value Missing",input_child_dns_zone)</f>
        <v>Value Missing</v>
      </c>
      <c r="N66" s="4" t="s">
        <v>1380</v>
      </c>
      <c r="O66" s="8" t="str">
        <f>IF(ISBLANK(input_wld_ec_name),"Value Missing",input_wld_ec_name)</f>
        <v>Value Missing</v>
      </c>
      <c r="Q66" s="28" t="s">
        <v>1043</v>
      </c>
      <c r="R66" s="8" t="str">
        <f>IF(ISBLANK(input_mgmt_vrms_hostname),"Value Missing",input_mgmt_vrms_hostname)</f>
        <v>Value Missing</v>
      </c>
      <c r="T66" s="4" t="s">
        <v>1559</v>
      </c>
      <c r="U66" s="8" t="str">
        <f>IF(ISBLANK(input_wld_srm_vm_folder),"Value Missing",input_wld_srm_vm_folder)</f>
        <v>Value Missing</v>
      </c>
      <c r="V66" s="3"/>
      <c r="Z66" s="9"/>
      <c r="AA66" s="9"/>
    </row>
    <row r="67" spans="2:27" s="2" customFormat="1" ht="20" customHeight="1" x14ac:dyDescent="0.2">
      <c r="B67" s="4" t="s">
        <v>1389</v>
      </c>
      <c r="C67" s="8" t="str">
        <f>IF(ISBLANK(input_mgmt_nsxt_mgrc_fqdn),"Value Missing",input_mgmt_nsxt_mgrc_fqdn)</f>
        <v>Value Missing</v>
      </c>
      <c r="E67" s="4" t="s">
        <v>1520</v>
      </c>
      <c r="F67" s="8" t="str">
        <f>IF(ISBLANK(input_wld_cl01_cluster),"Value Missing",input_wld_cl01_cluster)</f>
        <v>Value Missing</v>
      </c>
      <c r="H67" s="23" t="s">
        <v>224</v>
      </c>
      <c r="I67" s="8" t="str">
        <f>IF(ISBLANK(input_cluster_az1_host11_mgmt_ip),"Value Missing",input_cluster_az1_host11_mgmt_ip)</f>
        <v>Value Missing</v>
      </c>
      <c r="K67" s="4" t="s">
        <v>1539</v>
      </c>
      <c r="L67" s="8" t="str">
        <f>IF(ISBLANK(input_witness_dns_zone),"Value Missing",input_witness_dns_zone)</f>
        <v>Value Missing</v>
      </c>
      <c r="N67" s="4" t="s">
        <v>1540</v>
      </c>
      <c r="O67" s="8" t="str">
        <f>IF(ISBLANK('Configure Workload Domain'!D40),"Value Missing",'Configure Workload Domain'!D40)</f>
        <v>Large</v>
      </c>
      <c r="Q67" s="28" t="s">
        <v>1711</v>
      </c>
      <c r="R67" s="8" t="str">
        <f>IF(ISBLANK(input_vvs_mgmt_dr_vlr_hostname),"Value Missing",input_vvs_mgmt_dr_vlr_hostname)</f>
        <v>Value Missing</v>
      </c>
      <c r="T67" s="4" t="s">
        <v>1564</v>
      </c>
      <c r="U67" s="8" t="str">
        <f>IF(ISBLANK(input_wld_srm_root_password),"Value Missing",input_wld_srm_root_password)</f>
        <v>Value Missing</v>
      </c>
      <c r="V67" s="3"/>
    </row>
    <row r="68" spans="2:27" s="2" customFormat="1" ht="20" customHeight="1" x14ac:dyDescent="0.2">
      <c r="B68" s="4" t="s">
        <v>1392</v>
      </c>
      <c r="C68" s="8" t="str">
        <f>IF(ISBLANK(input_mgmt_nsxt_gm_vip_fqdn),"Value Missing",input_mgmt_nsxt_gm_vip_fqdn)</f>
        <v>Value Missing</v>
      </c>
      <c r="E68" s="4" t="s">
        <v>1523</v>
      </c>
      <c r="F68" s="8" t="str">
        <f>IF(ISBLANK(input_wld_cl01_evc_mode),"Value Missing",input_wld_cl01_evc_mode)</f>
        <v>Value Missing</v>
      </c>
      <c r="H68" s="23" t="s">
        <v>226</v>
      </c>
      <c r="I68" s="8" t="str">
        <f>IF(ISBLANK(input_cluster_az1_host12_mgmt_ip),"Value Missing",input_cluster_az1_host12_mgmt_ip)</f>
        <v>Value Missing</v>
      </c>
      <c r="L68" s="8"/>
      <c r="N68" s="4" t="s">
        <v>1544</v>
      </c>
      <c r="O68" s="8" t="str">
        <f>IF(ISBLANK(input_wld_tier0_name),"Value Missing",input_wld_tier0_name)</f>
        <v>Value Missing</v>
      </c>
      <c r="T68" s="4" t="s">
        <v>1568</v>
      </c>
      <c r="U68" s="8" t="str">
        <f>IF(ISBLANK(input_wld_srm_admin_password),"Value Missing",input_wld_srm_admin_password)</f>
        <v>Value Missing</v>
      </c>
    </row>
    <row r="69" spans="2:27" s="2" customFormat="1" ht="20" customHeight="1" x14ac:dyDescent="0.2">
      <c r="B69" s="4" t="s">
        <v>1396</v>
      </c>
      <c r="C69" s="8" t="str">
        <f>IF(ISBLANK(input_mgmt_nsxt_global_mgra_fqdn),"Value Missing",input_mgmt_nsxt_global_mgra_fqdn)</f>
        <v>Value Missing</v>
      </c>
      <c r="H69" s="23" t="s">
        <v>228</v>
      </c>
      <c r="I69" s="8" t="str">
        <f>IF(ISBLANK(input_cluster_az1_host13_mgmt_ip),"Value Missing",input_cluster_az1_host13_mgmt_ip)</f>
        <v>Value Missing</v>
      </c>
      <c r="K69" s="623" t="s">
        <v>1643</v>
      </c>
      <c r="L69" s="624"/>
      <c r="N69" s="4" t="s">
        <v>1549</v>
      </c>
      <c r="O69" s="8"/>
      <c r="Q69" s="623" t="s">
        <v>1715</v>
      </c>
      <c r="R69" s="624"/>
      <c r="T69" s="4" t="s">
        <v>1571</v>
      </c>
      <c r="U69" s="8" t="str">
        <f>IF(ISBLANK(input_wld_srm_database_password),"Value Missing",input_wld_srm_database_password)</f>
        <v>Value Missing</v>
      </c>
    </row>
    <row r="70" spans="2:27" s="2" customFormat="1" ht="20" customHeight="1" x14ac:dyDescent="0.2">
      <c r="B70" s="4" t="s">
        <v>1399</v>
      </c>
      <c r="C70" s="8" t="str">
        <f>IF(ISBLANK(input_mgmt_nsxt_global_mgrb_fqdn),"Value Missing",input_mgmt_nsxt_global_mgrb_fqdn)</f>
        <v>Value Missing</v>
      </c>
      <c r="E70" s="623" t="s">
        <v>1530</v>
      </c>
      <c r="F70" s="625"/>
      <c r="H70" s="23" t="s">
        <v>230</v>
      </c>
      <c r="I70" s="8" t="str">
        <f>IF(ISBLANK(input_cluster_az1_host14_mgmt_ip),"Value Missing",input_cluster_az1_host14_mgmt_ip)</f>
        <v>Value Missing</v>
      </c>
      <c r="K70" s="219" t="s">
        <v>250</v>
      </c>
      <c r="L70" s="220" t="s">
        <v>20</v>
      </c>
      <c r="N70" s="4" t="s">
        <v>1426</v>
      </c>
      <c r="O70" s="8" t="str">
        <f t="array" ref="O70">IF(ISBLANK(input_wld_avilb_cluster_name),"Value Missing",input_wld_avilb_cluster_name)</f>
        <v>Value Missing</v>
      </c>
      <c r="Q70" s="220" t="s">
        <v>250</v>
      </c>
      <c r="R70" s="220" t="s">
        <v>20</v>
      </c>
      <c r="T70" s="4" t="s">
        <v>1576</v>
      </c>
      <c r="U70" s="8" t="str">
        <f>IF(ISBLANK(input_wld_srm_site_name),"Value Missing",input_wld_srm_site_name)</f>
        <v>Value Missing</v>
      </c>
      <c r="V70" s="3"/>
    </row>
    <row r="71" spans="2:27" s="2" customFormat="1" ht="20" customHeight="1" x14ac:dyDescent="0.2">
      <c r="B71" s="4" t="s">
        <v>1402</v>
      </c>
      <c r="C71" s="8" t="str">
        <f>IF(ISBLANK(input_mgmt_nsxt_global_mgrc_fqdn),"Value Missing",input_mgmt_nsxt_global_mgrc_fqdn)</f>
        <v>Value Missing</v>
      </c>
      <c r="E71" s="219" t="s">
        <v>250</v>
      </c>
      <c r="F71" s="219" t="s">
        <v>1535</v>
      </c>
      <c r="H71" s="23" t="s">
        <v>232</v>
      </c>
      <c r="I71" s="8" t="str">
        <f>IF(ISBLANK(input_cluster_az1_host15_mgmt_ip),"Value Missing",input_cluster_az1_host15_mgmt_ip)</f>
        <v>Value Missing</v>
      </c>
      <c r="K71" s="4" t="s">
        <v>1650</v>
      </c>
      <c r="L71" s="8" t="s">
        <v>1485</v>
      </c>
      <c r="N71" s="4" t="s">
        <v>1563</v>
      </c>
      <c r="O71" s="8" t="str">
        <f>IF(ISBLANK(input_wld_avilb_cluster_version),"Value Missing",input_wld_avilb_cluster_version)</f>
        <v>Value Missing</v>
      </c>
      <c r="Q71" s="28" t="s">
        <v>1043</v>
      </c>
      <c r="R71" s="8" t="str">
        <f>IF(ISBLANK(input_wld_vrms_hostname),"Value Missing",input_wld_vrms_hostname)</f>
        <v>Value Missing</v>
      </c>
      <c r="T71" s="4" t="s">
        <v>1581</v>
      </c>
      <c r="U71" s="8" t="str">
        <f>IF(ISBLANK(input_wld_srm_admin_email),"Value Missing",input_wld_srm_admin_email)</f>
        <v>Value Missing</v>
      </c>
      <c r="V71" s="3"/>
    </row>
    <row r="72" spans="2:27" s="2" customFormat="1" ht="20" customHeight="1" x14ac:dyDescent="0.2">
      <c r="B72" s="4" t="s">
        <v>1481</v>
      </c>
      <c r="C72" s="8" t="str">
        <f>IF(ISBLANK(input_mgmt_az1_en1_fqdn),"Value Missing",input_mgmt_az1_en1_fqdn)</f>
        <v>Value Missing</v>
      </c>
      <c r="E72" s="4" t="s">
        <v>1538</v>
      </c>
      <c r="F72" s="8" t="str">
        <f>IF(ISBLANK(wld_cl01_vds_profile_chosen),"Value Missing",wld_cl01_vds_profile_chosen)</f>
        <v>NSX Traffic Separation</v>
      </c>
      <c r="H72" s="23" t="s">
        <v>234</v>
      </c>
      <c r="I72" s="8" t="str">
        <f>IF(ISBLANK(input_cluster_az1_host16_mgmt_ip),"Value Missing",input_cluster_az1_host16_mgmt_ip)</f>
        <v>Value Missing</v>
      </c>
      <c r="K72" s="4" t="s">
        <v>1654</v>
      </c>
      <c r="L72" s="8" t="s">
        <v>1485</v>
      </c>
      <c r="N72" s="4" t="s">
        <v>1394</v>
      </c>
      <c r="O72" s="8" t="str">
        <f>IF(ISBLANK(input_wld_nsxt_global_mgr_vmca_signed_thumbprint),"Value Missing",input_wld_nsxt_global_mgr_vmca_signed_thumbprint)</f>
        <v>Value Missing</v>
      </c>
      <c r="Q72" s="28" t="s">
        <v>1711</v>
      </c>
      <c r="R72" s="8" t="s">
        <v>3690</v>
      </c>
      <c r="T72" s="4" t="s">
        <v>1585</v>
      </c>
      <c r="U72" s="8" t="str">
        <f>IF(ISBLANK(input_wld_srm_p12_password),"Value Missing",input_wld_srm_p12_password)</f>
        <v>Value Missing</v>
      </c>
      <c r="V72" s="3"/>
    </row>
    <row r="73" spans="2:27" s="2" customFormat="1" ht="20" customHeight="1" x14ac:dyDescent="0.2">
      <c r="B73" s="4" t="s">
        <v>1487</v>
      </c>
      <c r="C73" s="8" t="str">
        <f>IF(ISBLANK(input_mgmt_az1_en2_fqdn),"Value Missing",input_mgmt_az1_en2_fqdn)</f>
        <v>Value Missing</v>
      </c>
      <c r="E73" s="219" t="s">
        <v>728</v>
      </c>
      <c r="F73" s="219" t="s">
        <v>20</v>
      </c>
      <c r="H73" s="23" t="s">
        <v>239</v>
      </c>
      <c r="I73" s="8" t="str">
        <f>IF(ISBLANK(input_cluster_az1_pool_name),"Value Missing",input_cluster_az1_pool_name)</f>
        <v>Value Missing</v>
      </c>
      <c r="K73" s="4" t="s">
        <v>1660</v>
      </c>
      <c r="L73" s="8" t="s">
        <v>418</v>
      </c>
      <c r="N73" s="4" t="s">
        <v>1398</v>
      </c>
      <c r="O73" s="8" t="str">
        <f>IF(ISBLANK(input_wld_nsxt_global_mgr_cluster_id),"Value Missing",input_wld_nsxt_global_mgr_cluster_id)</f>
        <v>Value Missing</v>
      </c>
      <c r="T73" s="4" t="s">
        <v>1588</v>
      </c>
      <c r="U73" s="8" t="str">
        <f>input_wld_srm_vm_size</f>
        <v>Standard</v>
      </c>
      <c r="V73" s="3"/>
    </row>
    <row r="74" spans="2:27" s="2" customFormat="1" ht="20" customHeight="1" x14ac:dyDescent="0.2">
      <c r="B74" s="4" t="s">
        <v>1405</v>
      </c>
      <c r="C74" s="8" t="str">
        <f>IF(ISBLANK(input_mgmt_avilb_fqdn),"Value Missing",input_mgmt_avilb_fqdn)</f>
        <v>Value Missing</v>
      </c>
      <c r="E74" s="4" t="s">
        <v>1547</v>
      </c>
      <c r="F74" s="8" t="str">
        <f>IF(ISBLANK(input_wld_cl01_vds01_name),"Value Missing",input_wld_cl01_vds01_name)</f>
        <v>Value Missing</v>
      </c>
      <c r="H74" s="219" t="s">
        <v>1548</v>
      </c>
      <c r="I74" s="220" t="s">
        <v>20</v>
      </c>
      <c r="K74" s="4" t="s">
        <v>1669</v>
      </c>
      <c r="L74" s="8" t="s">
        <v>418</v>
      </c>
      <c r="N74" s="4" t="s">
        <v>1401</v>
      </c>
      <c r="O74" s="8" t="str">
        <f>IF(ISBLANK(input_wld_nsxt_global_mgr_anti_affinity_rule_name),"Value Missing",input_wld_nsxt_global_mgr_anti_affinity_rule_name)</f>
        <v>Value Missing</v>
      </c>
      <c r="Q74" s="623" t="s">
        <v>1724</v>
      </c>
      <c r="R74" s="624"/>
      <c r="T74" s="4" t="s">
        <v>1626</v>
      </c>
      <c r="U74" s="8" t="str">
        <f>IF(ISBLANK(input_wld_srm_recovery_vcenter_fqdn),"Value Missing",input_wld_srm_recovery_vcenter_fqdn)</f>
        <v>Value Missing</v>
      </c>
    </row>
    <row r="75" spans="2:27" s="2" customFormat="1" ht="20" customHeight="1" x14ac:dyDescent="0.2">
      <c r="B75" s="4" t="s">
        <v>1472</v>
      </c>
      <c r="C75" s="8" t="str">
        <f>IF(ISBLANK(input_flt_vidb_vip_fqdn),"Value Missing",input_flt_vidb_vip_fqdn)</f>
        <v>Value Missing</v>
      </c>
      <c r="E75" s="223" t="s">
        <v>1552</v>
      </c>
      <c r="F75" s="8" t="str">
        <f>IF(ISBLANK(input_wld_cl01_vds01_pnics),"Value Missing",input_wld_cl01_vds01_pnics)</f>
        <v>Value Missing</v>
      </c>
      <c r="H75" s="23" t="s">
        <v>204</v>
      </c>
      <c r="I75" s="8" t="str">
        <f>IF(ISBLANK(input_cluster_az1_host1_fqdn),"Value Missing",input_cluster_az1_host1_fqdn)</f>
        <v>Value Missing</v>
      </c>
      <c r="N75" s="4" t="s">
        <v>1404</v>
      </c>
      <c r="O75" s="8" t="str">
        <f>IF(ISBLANK(input_wld_nsxt_global_mgr_certificate_id),"Value Missing",input_wld_nsxt_global_mgr_certificate_id)</f>
        <v>Value Missing</v>
      </c>
      <c r="Q75" s="220" t="s">
        <v>250</v>
      </c>
      <c r="R75" s="220" t="s">
        <v>20</v>
      </c>
      <c r="T75" s="4" t="s">
        <v>1629</v>
      </c>
      <c r="U75" s="8" t="str">
        <f>IF(ISBLANK(input_wld_srm_recovery_vcenter_username),"Value Missing",input_wld_srm_recovery_vcenter_username)</f>
        <v>Value Missing</v>
      </c>
    </row>
    <row r="76" spans="2:27" s="2" customFormat="1" ht="20" customHeight="1" x14ac:dyDescent="0.2">
      <c r="B76" s="4" t="s">
        <v>3158</v>
      </c>
      <c r="C76" s="66" t="str">
        <f>IF(ISBLANK(input_flt_lc_fqdn),"Value Missing",input_flt_lc_fqdn)</f>
        <v>Value Missing</v>
      </c>
      <c r="E76" s="4" t="s">
        <v>1555</v>
      </c>
      <c r="F76" s="8" t="str">
        <f>IF(ISBLANK(input_wld_cl01_vds01_uplink_count),"Value Missing",input_wld_cl01_vds01_uplink_count)</f>
        <v>Value Missing</v>
      </c>
      <c r="H76" s="23" t="s">
        <v>206</v>
      </c>
      <c r="I76" s="8" t="str">
        <f>IF(ISBLANK(input_cluster_az1_host2_fqdn),"Value Missing",input_cluster_az1_host2_fqdn)</f>
        <v>Value Missing</v>
      </c>
      <c r="K76" s="623" t="s">
        <v>1694</v>
      </c>
      <c r="L76" s="624"/>
      <c r="N76" s="4" t="s">
        <v>1583</v>
      </c>
      <c r="O76" s="8" t="str">
        <f>IF(ISBLANK(input_wld_az1_rtep_ip_pool_name),"Value Missing",input_wld_az1_rtep_ip_pool_name)</f>
        <v>Value Missing</v>
      </c>
      <c r="Q76" s="28" t="s">
        <v>1711</v>
      </c>
      <c r="R76" s="8" t="str">
        <f>(CONCATENATE(vvs_mgmt_dr_vlr_hostname,".",child_dns_zone))</f>
        <v>Value Missing.Value Missing</v>
      </c>
      <c r="T76" s="4" t="s">
        <v>1631</v>
      </c>
      <c r="U76" s="8" t="str">
        <f>IF(ISBLANK(input_wld_srm_recovery_vcenter_password),"Value Missing",input_wld_srm_recovery_vcenter_password)</f>
        <v>Value Missing</v>
      </c>
      <c r="V76" s="3"/>
    </row>
    <row r="77" spans="2:27" s="2" customFormat="1" ht="20" customHeight="1" x14ac:dyDescent="0.2">
      <c r="B77" s="4" t="s">
        <v>3156</v>
      </c>
      <c r="C77" s="66" t="str">
        <f>IF(ISBLANK(input_flt_sr_fqdn),"Value Missing",input_flt_sr_fqdn)</f>
        <v>Value Missing</v>
      </c>
      <c r="E77" s="4" t="s">
        <v>1558</v>
      </c>
      <c r="F77" s="8" t="str">
        <f t="array" ref="F77">IF(ISBLANK(input_wld_cl01_vds01_mtu),"Value Missing",input_wld_cl01_vds01_mtu)</f>
        <v>Value Missing</v>
      </c>
      <c r="H77" s="23" t="s">
        <v>208</v>
      </c>
      <c r="I77" s="8" t="str">
        <f>IF(ISBLANK(input_cluster_az1_host3_fqdn),"Value Missing",input_cluster_az1_host3_fqdn)</f>
        <v>Value Missing</v>
      </c>
      <c r="K77" s="219" t="s">
        <v>250</v>
      </c>
      <c r="L77" s="220" t="s">
        <v>20</v>
      </c>
      <c r="N77" s="4" t="s">
        <v>1407</v>
      </c>
      <c r="O77" s="8" t="str">
        <f>IF(ISBLANK(input_wld_nsxt_federation_global_manager_name),"Value Missing",input_wld_nsxt_federation_global_manager_name)</f>
        <v>Value Missing</v>
      </c>
      <c r="Q77" s="9"/>
      <c r="R77" s="9"/>
      <c r="T77" s="4" t="s">
        <v>1656</v>
      </c>
      <c r="U77" s="8" t="str">
        <f>IF(ISBLANK(input_wld_vrms_recovery_replication_cidr),"Value Missing",input_wld_vrms_recovery_replication_cidr)</f>
        <v>Value Missing</v>
      </c>
      <c r="V77" s="3"/>
    </row>
    <row r="78" spans="2:27" s="2" customFormat="1" ht="20" customHeight="1" x14ac:dyDescent="0.2">
      <c r="B78" s="4" t="s">
        <v>3157</v>
      </c>
      <c r="C78" s="66" t="str">
        <f>IF(ISBLANK(input_flt_ic_fqdn),"Value Missing",input_flt_ic_fqdn)</f>
        <v>Value Missing</v>
      </c>
      <c r="E78" s="4" t="s">
        <v>1562</v>
      </c>
      <c r="F78" s="8" t="str">
        <f>IF(wld_cl01_vds_profile_chosen&lt;&gt;"Custom","Route Based on Physicial Nic Load","Value Missing")</f>
        <v>Route Based on Physicial Nic Load</v>
      </c>
      <c r="H78" s="23" t="s">
        <v>210</v>
      </c>
      <c r="I78" s="8" t="str">
        <f>IF(ISBLANK(input_cluster_az1_host4_fqdn),"Value Missing",input_cluster_az1_host4_fqdn)</f>
        <v>Value Missing</v>
      </c>
      <c r="K78" s="4" t="s">
        <v>1650</v>
      </c>
      <c r="L78" s="8" t="str">
        <f>IF(ISBLANK(input_administrator_vsphere_local_password),"Value Missing",input_administrator_vsphere_local_password)</f>
        <v>Value Missing</v>
      </c>
      <c r="N78" s="4" t="s">
        <v>1410</v>
      </c>
      <c r="O78" s="8" t="str">
        <f>IF(ISBLANK(input_wld_nsxt_federation_location_name),"Value Missing",input_wld_nsxt_federation_location_name)</f>
        <v>Value Missing</v>
      </c>
      <c r="Q78" s="623" t="s">
        <v>1734</v>
      </c>
      <c r="R78" s="624"/>
      <c r="T78" s="4" t="s">
        <v>1663</v>
      </c>
      <c r="U78" s="8" t="str">
        <f>IF(ISBLANK(input_wld_srm_sso_domain_membership),"Value Missing",input_wld_srm_sso_domain_membership)</f>
        <v>Value Missing</v>
      </c>
      <c r="V78" s="3"/>
    </row>
    <row r="79" spans="2:27" s="2" customFormat="1" ht="20" customHeight="1" x14ac:dyDescent="0.2">
      <c r="B79" s="4" t="s">
        <v>3159</v>
      </c>
      <c r="C79" s="8" t="str">
        <f>IF(ISBLANK(input_flt_fc_fqdn),"Value Missing",input_flt_fc_fqdn)</f>
        <v>Value Missing</v>
      </c>
      <c r="E79" s="4" t="s">
        <v>1566</v>
      </c>
      <c r="F79" s="8" t="str">
        <f>IF(wld_cl01_vds_profile_chosen="Default",CONCATENATE("Management ","vMotion ",IF(wld_principal_storage_chosen="NFSv3","NFS ",IF(wld_principal_storage_chosen="VMFS on Fibre Channel (FC)","","vSAN ")),"NSX-Overlay"),
IF(wld_cl01_vds_profile_chosen="Storage Traffic Separation","Management, vMotion, NSX-Overlay",
IF(wld_cl01_vds_profile_chosen="NSX Traffic Separation",CONCATENATE("Management ","vMotion ",IF(wld_principal_storage_chosen="NFSv3","NFS",IF(wld_principal_storage_chosen="VMFS on Fibre Channel (FC)","","vSAN"))),
IF(wld_cl01_vds_profile_chosen="Storage Traffic and NSX Traffic Separation","Management, vMotion",
IF(wld_cl01_vds_profile_chosen="vSAN Max Storage Traffic Separation","Management, vMotion, vSAN Storage Client, NSX-Overlay",
IF(wld_cl01_vds_profile_chosen="vSAN Max Storage Traffic and NSX Traffic Separation","Management, vMotion, vSAN Storage Client","Value Missing"))))))</f>
        <v>Management vMotion vSAN</v>
      </c>
      <c r="H79" s="23" t="s">
        <v>212</v>
      </c>
      <c r="I79" s="8" t="str">
        <f>IF(ISBLANK(input_cluster_az1_host5_fqdn),"Value Missing",input_cluster_az1_host5_fqdn)</f>
        <v>Value Missing</v>
      </c>
      <c r="K79" s="4" t="s">
        <v>1654</v>
      </c>
      <c r="L79" s="8" t="str">
        <f>IF(ISBLANK(input_administrator_vsphere_local_password),"Value Missing",input_administrator_vsphere_local_password)</f>
        <v>Value Missing</v>
      </c>
      <c r="N79" s="4" t="s">
        <v>1595</v>
      </c>
      <c r="O79" s="8" t="str">
        <f>IF(ISBLANK(input_wld_nsxt_lm_fingerprint),"Value Missing",input_wld_nsxt_lm_fingerprint)</f>
        <v>Value Missing</v>
      </c>
      <c r="Q79" s="220" t="s">
        <v>250</v>
      </c>
      <c r="R79" s="220" t="s">
        <v>20</v>
      </c>
      <c r="T79" s="9"/>
      <c r="U79" s="9"/>
      <c r="V79" s="3"/>
      <c r="Z79" s="9"/>
      <c r="AA79" s="9"/>
    </row>
    <row r="80" spans="2:27" s="2" customFormat="1" ht="20" customHeight="1" x14ac:dyDescent="0.2">
      <c r="E80" s="4" t="s">
        <v>2990</v>
      </c>
      <c r="F80" s="8" t="str">
        <f>IF(ISBLANK(input_wld_cl01_vds01_lag_name),"Value Missing",input_wld_cl01_vds01_lag_name)</f>
        <v>Value Missing</v>
      </c>
      <c r="H80" s="23" t="s">
        <v>214</v>
      </c>
      <c r="I80" s="8" t="str">
        <f>IF(ISBLANK(input_cluster_az1_host6_fqdn),"Value Missing",input_cluster_az1_host6_fqdn)</f>
        <v>Value Missing</v>
      </c>
      <c r="K80" s="4" t="s">
        <v>1660</v>
      </c>
      <c r="L80" s="8" t="str">
        <f>IF(ISBLANK(input_nsxt_lm_admin_password),"Value Missing",input_nsxt_lm_admin_password)</f>
        <v>Value Missing</v>
      </c>
      <c r="N80" s="4" t="s">
        <v>1598</v>
      </c>
      <c r="O80" s="8" t="str">
        <f>IF(ISBLANK(input_wld_nsxt_gm_fingerprint),"Value Missing",input_wld_nsxt_gm_fingerprint)</f>
        <v>Value Missing</v>
      </c>
      <c r="Q80" s="28" t="s">
        <v>1043</v>
      </c>
      <c r="R80" s="8" t="str">
        <f>(CONCATENATE(wld_srm_hostname,".",child_dns_zone))</f>
        <v>§.Value Missing</v>
      </c>
      <c r="T80" s="621" t="s">
        <v>1826</v>
      </c>
      <c r="U80" s="622"/>
      <c r="V80" s="3"/>
    </row>
    <row r="81" spans="2:27" s="2" customFormat="1" ht="20" customHeight="1" x14ac:dyDescent="0.2">
      <c r="B81" s="221" t="s">
        <v>1543</v>
      </c>
      <c r="C81" s="222"/>
      <c r="E81" s="219" t="s">
        <v>767</v>
      </c>
      <c r="F81" s="219" t="s">
        <v>20</v>
      </c>
      <c r="H81" s="23" t="s">
        <v>216</v>
      </c>
      <c r="I81" s="8" t="str">
        <f>IF(ISBLANK(input_cluster_az1_host7_fqdn),"Value Missing",input_cluster_az1_host7_fqdn)</f>
        <v>Value Missing</v>
      </c>
      <c r="N81" s="4" t="s">
        <v>1416</v>
      </c>
      <c r="O81" s="8" t="str">
        <f>IF(ISBLANK(input_wld_nsxt_xreg_t1_name),"Value Missing",input_wld_nsxt_xreg_t1_name)</f>
        <v>Value Missing</v>
      </c>
      <c r="Q81" s="28" t="s">
        <v>1711</v>
      </c>
      <c r="R81" s="8" t="str">
        <f>(CONCATENATE(wld_srm_hostname,".",child_dns_zone))</f>
        <v>§.Value Missing</v>
      </c>
      <c r="T81" s="220" t="s">
        <v>250</v>
      </c>
      <c r="U81" s="220" t="s">
        <v>20</v>
      </c>
      <c r="V81" s="3"/>
    </row>
    <row r="82" spans="2:27" s="2" customFormat="1" ht="20" customHeight="1" x14ac:dyDescent="0.2">
      <c r="B82" s="219" t="s">
        <v>250</v>
      </c>
      <c r="C82" s="219" t="s">
        <v>20</v>
      </c>
      <c r="E82" s="4" t="s">
        <v>1574</v>
      </c>
      <c r="F82" s="8" t="str">
        <f>IF(ISBLANK(input_wld_cl01_vds02_name),"Value Missing",input_wld_cl01_vds02_name)</f>
        <v>Value Missing</v>
      </c>
      <c r="H82" s="23" t="s">
        <v>218</v>
      </c>
      <c r="I82" s="8" t="str">
        <f>IF(ISBLANK(input_cluster_az1_host8_fqdn),"Value Missing",input_cluster_az1_host8_fqdn)</f>
        <v>Value Missing</v>
      </c>
      <c r="K82" s="623" t="s">
        <v>1789</v>
      </c>
      <c r="L82" s="624"/>
      <c r="N82" s="4" t="s">
        <v>1420</v>
      </c>
      <c r="O82" s="8" t="str">
        <f>IF(ISBLANK(input_wld_existing_active_nsx_gm),"Value Missing",input_wld_existing_active_nsx_gm)</f>
        <v>Value Missing</v>
      </c>
      <c r="Q82" s="201"/>
      <c r="T82" s="43" t="s">
        <v>1827</v>
      </c>
      <c r="U82" s="8" t="str">
        <f>IF(ISBLANK(input_mgmt_rwr_vc_fqdn),"Value Missing",input_mgmt_rwr_vc_fqdn)</f>
        <v>Value Missing</v>
      </c>
      <c r="V82" s="3"/>
    </row>
    <row r="83" spans="2:27" s="2" customFormat="1" ht="20" customHeight="1" x14ac:dyDescent="0.2">
      <c r="B83" s="28" t="s">
        <v>1374</v>
      </c>
      <c r="C83" s="8" t="str">
        <f>(CONCATENATE('Value Reference Tables'!C178,".",(IF(ISBLANK(Arkham!C$11),"Value Missing",Arkham!C$11))))</f>
        <v>Value Missing.Value Missing</v>
      </c>
      <c r="E83" s="223" t="s">
        <v>1579</v>
      </c>
      <c r="F83" s="8" t="str">
        <f>IF(input_wld_cl01_vds02_pnics="","Value Missing",input_wld_cl01_vds02_pnics)</f>
        <v>Value Missing</v>
      </c>
      <c r="H83" s="23" t="s">
        <v>220</v>
      </c>
      <c r="I83" s="8" t="str">
        <f>IF(ISBLANK(input_cluster_az1_host9_fqdn),"Value Missing",input_cluster_az1_host9_fqdn)</f>
        <v>Value Missing</v>
      </c>
      <c r="K83" s="4" t="s">
        <v>1791</v>
      </c>
      <c r="L83" s="8" t="str">
        <f>IF(ISBLANK(input_mgmt_witness_zone_vc_fqdn),"Value Missing",input_mgmt_witness_zone_vc_fqdn)</f>
        <v>Value Missing</v>
      </c>
      <c r="N83" s="4" t="s">
        <v>1423</v>
      </c>
      <c r="O83" s="8" t="str">
        <f>IF(ISBLANK(input_wld_existing_cross_instance_t0_name),"Value Missing",input_wld_existing_cross_instance_t0_name)</f>
        <v>Value Missing</v>
      </c>
      <c r="Q83" s="9"/>
      <c r="R83" s="9"/>
      <c r="T83" s="43" t="s">
        <v>1829</v>
      </c>
      <c r="U83" s="8" t="str">
        <f>IF(ISBLANK(input_wld_rwr_vc_fqdn),"Value Missing",input_wld_rwr_vc_fqdn)</f>
        <v>Value Missing</v>
      </c>
      <c r="V83" s="3"/>
    </row>
    <row r="84" spans="2:27" s="2" customFormat="1" ht="20" customHeight="1" x14ac:dyDescent="0.2">
      <c r="B84" s="28" t="s">
        <v>267</v>
      </c>
      <c r="C84" s="8" t="str">
        <f>IF(ISBLANK(input_mgmt_witness_fqdn),"Value Missing",input_mgmt_witness_fqdn)</f>
        <v>Value Missing</v>
      </c>
      <c r="E84" s="4" t="s">
        <v>1582</v>
      </c>
      <c r="F84" s="8" t="str">
        <f t="array" ref="F84">IF(ISBLANK(input_wld_cl01_vds02_uplink_count),"Value Missing",input_wld_cl01_vds02_uplink_count)</f>
        <v>Value Missing</v>
      </c>
      <c r="H84" s="23" t="s">
        <v>222</v>
      </c>
      <c r="I84" s="8" t="str">
        <f>IF(ISBLANK(input_cluster_az1_host10_fqdn),"Value Missing",input_cluster_az1_host10_fqdn)</f>
        <v>Value Missing</v>
      </c>
      <c r="K84" s="4" t="s">
        <v>1793</v>
      </c>
      <c r="L84" s="8" t="str">
        <f>IF(ISBLANK(input_mgmt_witness_zone_vc_fqdn),"Value Missing",input_mgmt_witness_zone_vc_fqdn)</f>
        <v>Value Missing</v>
      </c>
      <c r="N84" s="4" t="s">
        <v>1191</v>
      </c>
      <c r="O84" s="8"/>
      <c r="Q84" s="9"/>
      <c r="R84" s="9"/>
      <c r="T84" s="43" t="s">
        <v>1830</v>
      </c>
      <c r="U84" s="8" t="str">
        <f>IF(ISBLANK(input_wld_vlr_hostname),"Value Missing",input_wld_vlr_hostname)</f>
        <v>Value Missing</v>
      </c>
      <c r="V84" s="3"/>
      <c r="Z84" s="9"/>
      <c r="AA84" s="9"/>
    </row>
    <row r="85" spans="2:27" s="2" customFormat="1" ht="20" customHeight="1" x14ac:dyDescent="0.2">
      <c r="E85" s="4" t="s">
        <v>1586</v>
      </c>
      <c r="F85" s="8" t="str">
        <f>IF(input_wld_cl01_vds02_mtu="","Value Missing",input_wld_cl01_vds02_mtu)</f>
        <v>Value Missing</v>
      </c>
      <c r="H85" s="23" t="s">
        <v>224</v>
      </c>
      <c r="I85" s="8" t="str">
        <f>IF(ISBLANK(input_cluster_az1_host11_fqdn),"Value Missing",input_cluster_az1_host11_fqdn)</f>
        <v>Value Missing</v>
      </c>
      <c r="K85" s="4" t="s">
        <v>1795</v>
      </c>
      <c r="L85" s="8" t="str">
        <f>IF(ISBLANK(input_mgmt_witness_zone_vc_fqdn),"Value Missing",input_mgmt_witness_zone_vc_fqdn)</f>
        <v>Value Missing</v>
      </c>
      <c r="N85" s="4" t="s">
        <v>1570</v>
      </c>
      <c r="O85" s="8" t="str">
        <f>IF(ISBLANK(input_wld_datacenter),"Value Missing",input_wld_datacenter)</f>
        <v>Value Missing</v>
      </c>
      <c r="Q85" s="9"/>
      <c r="R85" s="9"/>
      <c r="T85" s="43" t="s">
        <v>1831</v>
      </c>
      <c r="U85" s="8" t="str">
        <f>CONCATENATE(wld_vlr_hostname,".",rwr_child_dns_zone)</f>
        <v>Value Missing.Value Missing</v>
      </c>
      <c r="V85" s="3"/>
    </row>
    <row r="86" spans="2:27" s="2" customFormat="1" ht="20" customHeight="1" x14ac:dyDescent="0.2">
      <c r="B86" s="623" t="s">
        <v>1561</v>
      </c>
      <c r="C86" s="624"/>
      <c r="E86" s="4" t="s">
        <v>1590</v>
      </c>
      <c r="F86" s="8" t="str">
        <f>IF(wld_cl01_vds_profile_chosen="Default","Value Missing",IF(wld_cl01_vds_profile_chosen&lt;&gt;"Custom","Route Based on Physical Nic Load","Value Missing"))</f>
        <v>Route Based on Physical Nic Load</v>
      </c>
      <c r="H86" s="23" t="s">
        <v>226</v>
      </c>
      <c r="I86" s="8" t="str">
        <f>IF(ISBLANK(input_cluster_az1_host12_fqdn),"Value Missing",input_cluster_az1_host12_fqdn)</f>
        <v>Value Missing</v>
      </c>
      <c r="K86" s="4" t="s">
        <v>1798</v>
      </c>
      <c r="L86" s="8" t="str">
        <f>IF(ISBLANK(input_mgmt_witnessaz_mgmt_mtu),"Value Missing",input_mgmt_witnessaz_mgmt_mtu)</f>
        <v>Value Missing</v>
      </c>
      <c r="N86" s="4" t="s">
        <v>1625</v>
      </c>
      <c r="O86" s="8" t="str">
        <f>CONCATENATE(wld_sddc_domain,"-",wld_vc_hostname,"-",wld_cl01_cluster,"-vds01-management")</f>
        <v>Value Missing-Value Missing-Value Missing-vds01-management</v>
      </c>
      <c r="T86" s="43" t="s">
        <v>1832</v>
      </c>
      <c r="U86" s="8" t="str">
        <f t="array" ref="U86">IF(ISBLANK(input_wld_rwr_cl02_cluster),"Value Missing",input_wld_rwr_cl02_cluster)</f>
        <v>Value Missing</v>
      </c>
      <c r="V86" s="3"/>
    </row>
    <row r="87" spans="2:27" s="2" customFormat="1" ht="20" customHeight="1" x14ac:dyDescent="0.2">
      <c r="B87" s="219" t="s">
        <v>250</v>
      </c>
      <c r="C87" s="219" t="s">
        <v>20</v>
      </c>
      <c r="E87" s="4" t="s">
        <v>1594</v>
      </c>
      <c r="F87" s="8" t="str">
        <f>IF(wld_cl01_vds_profile_chosen="Default","Value Missing",
IF(wld_cl01_vds_profile_chosen="Storage Traffic Separation",IF(wld_principal_storage_chosen="NFSv3","NFS","vSAN"),
IF(wld_cl01_vds_profile_chosen="NSX Traffic Separation","NSX-Overlay",
IF(wld_cl01_vds_profile_chosen="Storage Traffic and NSX Traffic Separation",IF(wld_principal_storage_chosen="NFSv3","NFS","vSAN"),
IF(wld_cl01_vds_profile_chosen="Storage Traffic and NSX Traffic Separation","Management, vMotion",
IF(wld_cl01_vds_profile_chosen="vSAN Max Storage Traffic Separation","vSAN",
IF(wld_cl01_vds_profile_chosen="vSAN Max Storage Traffic and NSX Traffic Separation","vSAN","Value Missing")))))))</f>
        <v>NSX-Overlay</v>
      </c>
      <c r="H87" s="23" t="s">
        <v>228</v>
      </c>
      <c r="I87" s="8" t="str">
        <f>IF(ISBLANK(input_cluster_az1_host13_fqdn),"Value Missing",input_cluster_az1_host13_fqdn)</f>
        <v>Value Missing</v>
      </c>
      <c r="K87" s="4" t="s">
        <v>1801</v>
      </c>
      <c r="L87" s="8" t="str">
        <f>IF(ISBLANK(input_mgmt_witnessaz_mgmt_vlan),"Value Missing",input_mgmt_witnessaz_mgmt_vlan)</f>
        <v>Value Missing</v>
      </c>
      <c r="Q87" s="9"/>
      <c r="R87" s="9"/>
      <c r="T87" s="43" t="s">
        <v>1834</v>
      </c>
      <c r="U87" s="8" t="str">
        <f>IF(ISBLANK(input_wld_rwr_cl02_vds01),"Value Missing",input_wld_rwr_cl02_vds01)</f>
        <v>Value Missing</v>
      </c>
      <c r="V87" s="3"/>
    </row>
    <row r="88" spans="2:27" s="2" customFormat="1" ht="20" customHeight="1" x14ac:dyDescent="0.2">
      <c r="B88" s="4" t="s">
        <v>1570</v>
      </c>
      <c r="C88" s="8" t="str">
        <f>IF(ISBLANK(input_mgmt_datacenter),"Value Missing",input_mgmt_datacenter)</f>
        <v>Value Missing</v>
      </c>
      <c r="E88" s="4" t="s">
        <v>2990</v>
      </c>
      <c r="F88" s="8" t="str" cm="1">
        <f t="array" ref="F88">IF(ISBLANK(input_wld_cl01_vds02_lag_name),"Value Missing",input_wld_cl01_vds02_lag_name)</f>
        <v>Value Missing</v>
      </c>
      <c r="H88" s="23" t="s">
        <v>230</v>
      </c>
      <c r="I88" s="8" t="str">
        <f>IF(ISBLANK(input_cluster_az1_host14_fqdn),"Value Missing",input_cluster_az1_host14_fqdn)</f>
        <v>Value Missing</v>
      </c>
      <c r="K88" s="4" t="s">
        <v>1804</v>
      </c>
      <c r="L88" s="8"/>
      <c r="N88" s="623" t="s">
        <v>1630</v>
      </c>
      <c r="O88" s="624"/>
      <c r="Q88" s="9"/>
      <c r="R88" s="9"/>
      <c r="T88" s="43"/>
      <c r="U88" s="8" t="str">
        <f>IF(ISBLANK(input_rwr_sso_domain_name),"Value Missing",input_rwr_sso_domain_name)</f>
        <v>Value Missing</v>
      </c>
      <c r="V88" s="3"/>
    </row>
    <row r="89" spans="2:27" s="2" customFormat="1" ht="20" customHeight="1" x14ac:dyDescent="0.2">
      <c r="B89" s="4" t="s">
        <v>1573</v>
      </c>
      <c r="C89" s="8" t="str">
        <f>IF(ISBLANK(input_mgmt_cl01_cluster),"Value Missing",input_mgmt_cl01_cluster)</f>
        <v>Value Missing</v>
      </c>
      <c r="E89" s="219" t="s">
        <v>770</v>
      </c>
      <c r="F89" s="219" t="s">
        <v>20</v>
      </c>
      <c r="H89" s="23" t="s">
        <v>232</v>
      </c>
      <c r="I89" s="8" t="str">
        <f>IF(ISBLANK(input_cluster_az1_host15_fqdn),"Value Missing",input_cluster_az1_host15_fqdn)</f>
        <v>Value Missing</v>
      </c>
      <c r="K89" s="4" t="s">
        <v>3104</v>
      </c>
      <c r="L89" s="8" t="str">
        <f>IF(mgmt_witnessaz_mgmt_cidr="Value Missing",mgmt_witnessaz_mgmt_cidr,(LEFT(mgmt_witnessaz_mgmt_cidr,(FIND("/",mgmt_witnessaz_mgmt_cidr)-1))))</f>
        <v>Value Missing</v>
      </c>
      <c r="N89" s="219" t="s">
        <v>250</v>
      </c>
      <c r="O89" s="220" t="s">
        <v>20</v>
      </c>
      <c r="Q89" s="9"/>
      <c r="R89" s="9"/>
      <c r="T89" s="9"/>
      <c r="U89" s="8" t="str">
        <f>IF(ISBLANK(input_wld_vlr_replication_user),"Value Missing",input_wld_vlr_replication_user)</f>
        <v>Value Missing</v>
      </c>
      <c r="V89" s="3"/>
    </row>
    <row r="90" spans="2:27" s="2" customFormat="1" ht="20" customHeight="1" x14ac:dyDescent="0.2">
      <c r="B90" s="8" t="s">
        <v>1602</v>
      </c>
      <c r="C90" s="8" t="str">
        <f>IF(ISBLANK(input_mgmt_sso_domain),"Value Missing",input_mgmt_sso_domain)</f>
        <v>Value Missing</v>
      </c>
      <c r="E90" s="4" t="s">
        <v>1603</v>
      </c>
      <c r="F90" s="8" t="str">
        <f>IF(ISBLANK(input_wld_cl01_vds03_name),"Value Missing",input_wld_cl01_vds03_name)</f>
        <v>Value Missing</v>
      </c>
      <c r="H90" s="23" t="s">
        <v>234</v>
      </c>
      <c r="I90" s="8" t="str">
        <f>IF(ISBLANK(input_cluster_az1_host16_fqdn),"Value Missing",input_cluster_az1_host16_fqdn)</f>
        <v>Value Missing</v>
      </c>
      <c r="K90" s="4" t="s">
        <v>3105</v>
      </c>
      <c r="L90" s="8" t="str">
        <f>IF(mgmt_witnessaz_mgmt_cidr="Value Missing",mgmt_witnessaz_mgmt_cidr,VLOOKUP(INT(RIGHT(mgmt_witnessaz_mgmt_cidr,LEN(mgmt_witnessaz_mgmt_cidr)-FIND("/",mgmt_witnessaz_mgmt_cidr))),table_cidr_to_mask,2,FALSE))</f>
        <v>Value Missing</v>
      </c>
      <c r="N90" s="4" t="s">
        <v>1077</v>
      </c>
      <c r="O90" s="8" t="str">
        <f>IF(ISBLANK(input_vvs_dr_ntp1_server),"Value Missing",input_vvs_dr_ntp1_server)</f>
        <v>Value Missing</v>
      </c>
      <c r="Q90" s="9"/>
      <c r="R90" s="9"/>
      <c r="T90" s="9"/>
      <c r="U90" s="8" t="str">
        <f>IF(ISBLANK(input_rwr_child_dns_zone),"Value Missing",input_rwr_child_dns_zone)</f>
        <v>Value Missing</v>
      </c>
      <c r="V90" s="3"/>
    </row>
    <row r="91" spans="2:27" s="2" customFormat="1" ht="20" customHeight="1" x14ac:dyDescent="0.2">
      <c r="B91" s="8" t="s">
        <v>1606</v>
      </c>
      <c r="C91" s="8" t="str">
        <f>IF(ISBLANK(input_mgmt_sso_domain_username),"Value Missing",input_mgmt_sso_domain_username)</f>
        <v>Value Missing</v>
      </c>
      <c r="E91" s="4" t="s">
        <v>1607</v>
      </c>
      <c r="F91" s="8" t="str">
        <f>IF(input_wld_cl01_vds03_mtu="","Value Missing",input_wld_cl01_vds03_mtu)</f>
        <v>Value Missing</v>
      </c>
      <c r="H91" s="23" t="s">
        <v>253</v>
      </c>
      <c r="I91" s="8" t="str">
        <f>cluster_principal_storage_chosen</f>
        <v>vSAN Compute Cluster</v>
      </c>
      <c r="K91" s="4" t="s">
        <v>1811</v>
      </c>
      <c r="L91" s="8" t="str">
        <f>IF(ISBLANK(input_mgmt_witness_ip),"Value Missing",input_mgmt_witness_ip)</f>
        <v>Value Missing</v>
      </c>
      <c r="N91" s="4" t="s">
        <v>1640</v>
      </c>
      <c r="O91" s="8" t="str">
        <f>IF(ISBLANK(input_vvs_dr_dns1_ip),"Value Missing",input_vvs_dr_dns1_ip)</f>
        <v>Value Missing</v>
      </c>
      <c r="Q91" s="9"/>
      <c r="R91" s="9"/>
      <c r="T91" s="9"/>
      <c r="U91" s="8" t="str">
        <f>IF(ISBLANK(input_rwr_vlr_replication_password),"Value Missing",input_rwr_vlr_replication_password)</f>
        <v>Value Missing</v>
      </c>
      <c r="V91" s="3"/>
    </row>
    <row r="92" spans="2:27" s="2" customFormat="1" ht="20" customHeight="1" x14ac:dyDescent="0.2">
      <c r="B92" s="4" t="s">
        <v>1611</v>
      </c>
      <c r="C92" s="8" t="str">
        <f>IF(ISBLANK(input_vcf_instance_name),"Value Missing",input_vcf_instance_name)</f>
        <v>Value Missing</v>
      </c>
      <c r="E92" s="4" t="s">
        <v>1612</v>
      </c>
      <c r="F92" s="8" t="str">
        <f>IF(input_wld_cl01_vds03_pnics="","Value Missing",input_wld_cl01_vds03_pnics)</f>
        <v>Value Missing</v>
      </c>
      <c r="H92" s="23" t="s">
        <v>47</v>
      </c>
      <c r="I92" s="8" t="str">
        <f>IF(ISBLANK(input_cluster_esx_root_username),"Value Missing",input_cluster_esx_root_username)</f>
        <v>Value Missing</v>
      </c>
      <c r="K92" s="4" t="s">
        <v>1813</v>
      </c>
      <c r="L92" s="8" t="str">
        <f>IF(ISBLANK(input_mgmt_witnessaz_mgmt_cidr),"Value Missing",input_mgmt_witnessaz_mgmt_cidr)</f>
        <v>Value Missing</v>
      </c>
      <c r="N92" s="4" t="s">
        <v>1644</v>
      </c>
      <c r="O92" s="8" t="str">
        <f>IF(ISBLANK(input_vvs_dr_dns2_ip),"Value Missing",input_vvs_dr_dns2_ip)</f>
        <v>Value Missing</v>
      </c>
      <c r="Q92" s="9"/>
      <c r="R92" s="9"/>
      <c r="T92" s="9"/>
      <c r="U92" s="8" t="str">
        <f>IF(ISBLANK(input_rwr_vrms_pg),"Value Missing",input_rwr_vrms_pg)</f>
        <v>Value Missing</v>
      </c>
      <c r="V92" s="3"/>
    </row>
    <row r="93" spans="2:27" s="2" customFormat="1" ht="20" customHeight="1" x14ac:dyDescent="0.2">
      <c r="E93" s="4" t="s">
        <v>1614</v>
      </c>
      <c r="F93" s="8" t="str">
        <f t="array" ref="F93">IF(ISBLANK(input_wld_cl01_vds03_uplink_count),"Value Missing",input_wld_cl01_vds03_uplink_count)</f>
        <v>Value Missing</v>
      </c>
      <c r="H93" s="23" t="s">
        <v>30</v>
      </c>
      <c r="I93" s="8" t="str">
        <f>IF(ISBLANK(input_cluster_esx_root_password),"Value Missing",input_cluster_esx_root_password)</f>
        <v>Value Missing</v>
      </c>
      <c r="K93" s="4" t="s">
        <v>1815</v>
      </c>
      <c r="L93" s="8" t="str">
        <f>IF(ISBLANK(input_mgmt_witnessaz_mgmt_gateway_ip),"Value Missing",input_mgmt_witnessaz_mgmt_gateway_ip)</f>
        <v>Value Missing</v>
      </c>
      <c r="N93" s="4" t="s">
        <v>1647</v>
      </c>
      <c r="O93" s="8" t="str">
        <f>IF(ISBLANK(input_vvs_dr_parent_dns_zone),"Value Missing",input_vvs_dr_parent_dns_zone)</f>
        <v>Value Missing</v>
      </c>
      <c r="Q93" s="9"/>
      <c r="R93" s="9"/>
      <c r="T93" s="9"/>
      <c r="U93" s="8" t="str">
        <f>IF(ISBLANK(input_wld_rwr_recovery_site_vc_fqdn),"Value Missing",input_wld_rwr_recovery_site_vc_fqdn)</f>
        <v>Value Missing</v>
      </c>
      <c r="V93" s="3"/>
    </row>
    <row r="94" spans="2:27" s="2" customFormat="1" ht="20" customHeight="1" x14ac:dyDescent="0.2">
      <c r="B94" s="623" t="s">
        <v>1617</v>
      </c>
      <c r="C94" s="624"/>
      <c r="E94" s="4" t="s">
        <v>1618</v>
      </c>
      <c r="F94" s="8" t="str">
        <f>IF(wld_cl01_vds_profile_chosen&lt;&gt;"Storage Traffic and NSX Traffic Separation","Value Missing","Route Based on Physical Nic Load")</f>
        <v>Value Missing</v>
      </c>
      <c r="H94" s="23" t="s">
        <v>1635</v>
      </c>
      <c r="I94" s="8" t="str">
        <f>IF(ISBLANK(input_cluster_name),"Value Missing",input_cluster_name)</f>
        <v>Value Missing</v>
      </c>
      <c r="K94" s="4" t="s">
        <v>1817</v>
      </c>
      <c r="L94" s="8" t="str">
        <f>IF(ISBLANK(input_sftp_server),"Value Missing",input_sftp_server)</f>
        <v>Value Missing</v>
      </c>
      <c r="N94" s="4" t="s">
        <v>1651</v>
      </c>
      <c r="O94" s="8" t="str">
        <f>IF(ISBLANK(input_vvs_dr_flt_fleet_manager_fqdn),"Value Missing",input_vvs_dr_flt_fleet_manager_fqdn)</f>
        <v>Value Missing</v>
      </c>
      <c r="Q94" s="9"/>
      <c r="R94" s="9"/>
      <c r="T94" s="9"/>
      <c r="U94" s="8" t="str">
        <f>IF(ISBLANK(input_rwr_datacenter),"Value Missing",input_rwr_datacenter)</f>
        <v>Value Missing</v>
      </c>
      <c r="V94" s="3"/>
    </row>
    <row r="95" spans="2:27" s="2" customFormat="1" ht="20" customHeight="1" x14ac:dyDescent="0.2">
      <c r="B95" s="219" t="s">
        <v>250</v>
      </c>
      <c r="C95" s="219" t="s">
        <v>1535</v>
      </c>
      <c r="E95" s="4" t="s">
        <v>1622</v>
      </c>
      <c r="F95" s="8" t="str">
        <f>IF(wld_cl01_vds_profile_chosen="Default","Value Missing",IF(wld_cl01_vds_profile_chosen="Storage Traffic Separation","Value Missing",IF(wld_cl01_vds_profile_chosen="NSX Traffic Separation","Value Missing",IF(OR(wld_cl01_vds_profile_chosen="Storage Traffic and NSX Traffic Separation",wld_cl01_vds_profile_chosen="vSAN Max Storage Traffic and NSX Traffic Separation"),"NSX-Overlay","Value Missing"))))</f>
        <v>Value Missing</v>
      </c>
      <c r="H95" s="23" t="s">
        <v>1639</v>
      </c>
      <c r="I95" s="8" t="str">
        <f>IF(ISBLANK(input_cluster_image_name),"Value Missing",input_cluster_image_name)</f>
        <v>Value Missing</v>
      </c>
      <c r="L95" s="9"/>
      <c r="N95" s="4" t="s">
        <v>1655</v>
      </c>
      <c r="O95" s="8" t="str">
        <f>IF(ISBLANK(input_vvs_dr_flt_ops_nodea_fqdn),"Value Missing",input_vvs_dr_flt_ops_nodea_fqdn)</f>
        <v>Value Missing</v>
      </c>
      <c r="Q95" s="9"/>
      <c r="R95" s="9"/>
      <c r="T95" s="9"/>
      <c r="U95" s="8" t="str">
        <f>IF(ISBLANK(input_wld_rwr_recoverysite_fd),"Value Missing",input_wld_rwr_recoverysite_fd)</f>
        <v>Value Missing</v>
      </c>
      <c r="V95" s="3"/>
    </row>
    <row r="96" spans="2:27" s="2" customFormat="1" ht="20" customHeight="1" x14ac:dyDescent="0.2">
      <c r="B96" s="4" t="s">
        <v>1624</v>
      </c>
      <c r="C96" s="8" t="str">
        <f>IF(ISBLANK(mgmt_cl01_vds_profile_chosen),"Value Missing",mgmt_cl01_vds_profile_chosen)</f>
        <v>Storage Traffic and NSX Traffic Separation</v>
      </c>
      <c r="E96" s="4" t="s">
        <v>2990</v>
      </c>
      <c r="F96" s="2" t="str" cm="1">
        <f t="array" ref="F96">IF(ISBLANK(input_wld_cl01_vds03_lag_name),"Value Missing",input_wld_cl01_vds03_lag_name)</f>
        <v>Value Missing</v>
      </c>
      <c r="H96" s="30" t="s">
        <v>949</v>
      </c>
      <c r="I96" s="8" t="str">
        <f>IF(ISBLANK(input_cluster_storage_cluster_name),"Value Missing",input_cluster_storage_cluster_name)</f>
        <v>Value Missing</v>
      </c>
      <c r="K96" s="623" t="s">
        <v>1820</v>
      </c>
      <c r="L96" s="624"/>
      <c r="N96" s="4" t="s">
        <v>1661</v>
      </c>
      <c r="O96" s="8" t="str">
        <f t="array" ref="O96">IF(ISBLANK(input_vvs_dr_flt_ops_nodeb_fqdn),"Value Missing",input_vvs_dr_flt_ops_nodeb_fqdn)</f>
        <v>Value Missing</v>
      </c>
      <c r="Q96" s="9"/>
      <c r="R96" s="9"/>
      <c r="T96" s="4" t="s">
        <v>1837</v>
      </c>
      <c r="U96" s="8"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c r="V96" s="3"/>
    </row>
    <row r="97" spans="2:27" s="2" customFormat="1" ht="20" customHeight="1" x14ac:dyDescent="0.2">
      <c r="B97" s="219" t="s">
        <v>728</v>
      </c>
      <c r="C97" s="219" t="s">
        <v>20</v>
      </c>
      <c r="E97" s="9"/>
      <c r="F97" s="9"/>
      <c r="H97" s="30" t="s">
        <v>268</v>
      </c>
      <c r="I97" s="8" t="str">
        <f>IF(ISBLANK(input_cluster_vsan_datastore),"Value Missing",input_cluster_vsan_datastore)</f>
        <v>Value Missing</v>
      </c>
      <c r="K97" s="219" t="s">
        <v>250</v>
      </c>
      <c r="L97" s="220" t="s">
        <v>20</v>
      </c>
      <c r="N97" s="4" t="s">
        <v>1666</v>
      </c>
      <c r="O97" s="8" t="str">
        <f t="array" ref="O97">IF(ISBLANK(input_vvs_dr_flt_ops_nodec_fqdn),"Value Missing",input_vvs_dr_flt_ops_nodec_fqdn)</f>
        <v>Value Missing</v>
      </c>
      <c r="Q97" s="9"/>
      <c r="R97" s="9"/>
      <c r="T97" s="3"/>
      <c r="U97" s="8" t="str">
        <f>IF(ISBLANK(input_wld_rwr_az1_vrms_gateway_ip),"Value Missing",input_wld_rwr_az1_vrms_gateway_ip)</f>
        <v>Value Missing</v>
      </c>
      <c r="V97" s="3"/>
    </row>
    <row r="98" spans="2:27" s="2" customFormat="1" ht="20" customHeight="1" x14ac:dyDescent="0.2">
      <c r="B98" s="4" t="s">
        <v>1547</v>
      </c>
      <c r="C98" s="8" t="str">
        <f>IF(ISBLANK(input_mgmt_cl01_vds01_name),"Value Missing",input_mgmt_cl01_vds01_name)</f>
        <v>Value Missing</v>
      </c>
      <c r="E98" s="623" t="s">
        <v>1627</v>
      </c>
      <c r="F98" s="625"/>
      <c r="H98" s="30" t="s">
        <v>1659</v>
      </c>
      <c r="I98" s="8" t="str">
        <f>IF(ISBLANK(cluster_vsan_ftt_chosen),"Value Missing",cluster_vsan_ftt_chosen)</f>
        <v>1</v>
      </c>
      <c r="K98" s="4" t="s">
        <v>632</v>
      </c>
      <c r="L98" s="8" t="str">
        <f>IF(ISBLANK(input_flt_logs_vip_fqdn),"Value Missing",input_flt_logs_vip_fqdn)</f>
        <v>Value Missing</v>
      </c>
      <c r="N98" s="4" t="s">
        <v>1670</v>
      </c>
      <c r="O98" s="8" t="str">
        <f>IF(ISBLANK(input_vvs_dr_flt_logs_nodea_fqdn),"Value Missing",input_vvs_dr_flt_logs_nodea_fqdn)</f>
        <v>Value Missing</v>
      </c>
      <c r="Q98" s="9"/>
      <c r="R98" s="9"/>
      <c r="T98" s="3"/>
      <c r="U98" s="8" t="str">
        <f>IF(ISBLANK(input_wld_rwr_recovery_site_az1_vrms_cidr),"Value Missing",input_wld_rwr_recovery_site_az1_vrms_cidr)</f>
        <v>Value Missing</v>
      </c>
      <c r="V98" s="3"/>
    </row>
    <row r="99" spans="2:27" s="2" customFormat="1" ht="20" customHeight="1" x14ac:dyDescent="0.2">
      <c r="B99" s="4" t="s">
        <v>1633</v>
      </c>
      <c r="C99" s="8" t="str">
        <f>IF(ISBLANK(input_mgmt_cl01_vds01_uplink1),"Value Missing",input_mgmt_cl01_vds01_uplink1)</f>
        <v>Value Missing</v>
      </c>
      <c r="E99" s="219" t="s">
        <v>250</v>
      </c>
      <c r="F99" s="220" t="s">
        <v>1535</v>
      </c>
      <c r="H99" s="30" t="s">
        <v>715</v>
      </c>
      <c r="I99" s="8" t="str">
        <f>IF(ISBLANK(cluster_vsan_dedupe_compression_chosen),"Value Missing",cluster_vsan_dedupe_compression_chosen)</f>
        <v>Unselected</v>
      </c>
      <c r="K99" s="4" t="s">
        <v>272</v>
      </c>
      <c r="L99" s="8" t="str">
        <f>IF(ISBLANK(input_flt_logs_vip_ip),"Value Missing",input_flt_logs_vip_ip)</f>
        <v>Value Missing</v>
      </c>
      <c r="N99" s="4" t="s">
        <v>1673</v>
      </c>
      <c r="O99" s="8" t="str">
        <f>IF(ISBLANK(input_vvs_dr_flt_logs_nodeb_fqdn),"Value Missing",input_vvs_dr_flt_logs_nodeb_fqdn)</f>
        <v>Value Missing</v>
      </c>
      <c r="Q99" s="9"/>
      <c r="R99" s="9"/>
      <c r="T99" s="3"/>
      <c r="U99" s="8" t="str">
        <f>IF(ISBLANK(input_wld_rwr_az1_vrms_gateway_mask),"Value Missing",input_wld_rwr_az1_vrms_gateway_mask)</f>
        <v>Value Missing</v>
      </c>
      <c r="V99" s="3"/>
    </row>
    <row r="100" spans="2:27" s="2" customFormat="1" ht="20" customHeight="1" x14ac:dyDescent="0.2">
      <c r="B100" s="4" t="s">
        <v>1637</v>
      </c>
      <c r="C100" s="8" t="str">
        <f>IF(ISBLANK(input_mgmt_cl01_vds01_uplink2),"Value Missing",input_mgmt_cl01_vds01_uplink2)</f>
        <v>Value Missing</v>
      </c>
      <c r="E100" s="4" t="s">
        <v>1634</v>
      </c>
      <c r="F100" s="8" t="str">
        <f>IF(ISBLANK(input_wld_cl01_vsan_datastore),"Value Missing",input_wld_cl01_vsan_datastore)</f>
        <v>Value Missing</v>
      </c>
      <c r="H100" s="30" t="s">
        <v>3209</v>
      </c>
      <c r="I100" s="8" t="str">
        <f>IF(ISBLANK(input_cluster_vsan_dit_rekey_default_interval),"Value Missing",input_cluster_vsan_dit_rekey_default_interval)</f>
        <v>3 Days</v>
      </c>
      <c r="K100" s="30" t="s">
        <v>189</v>
      </c>
      <c r="L100" s="8" t="str">
        <f>IF(ISBLANK(input_flt_logs_admin_password),"Value Missing",input_flt_logs_admin_password)</f>
        <v>Value Missing</v>
      </c>
      <c r="N100" s="4" t="s">
        <v>1676</v>
      </c>
      <c r="O100" s="8" t="str">
        <f>IF(ISBLANK(input_vvs_dr_flt_logs_nodec_fqdn),"Value Missing",input_vvs_dr_flt_logs_nodec_fqdn)</f>
        <v>Value Missing</v>
      </c>
      <c r="Q100" s="9"/>
      <c r="R100" s="9"/>
      <c r="T100" s="3"/>
      <c r="U100" s="8" t="str">
        <f>IF(ISBLANK(input_mgmt_rwr_recovery_site_az1_mgmt_cidr),"Value Missing",input_mgmt_rwr_recovery_site_az1_mgmt_cidr)</f>
        <v>Value Missing</v>
      </c>
      <c r="V100" s="3"/>
    </row>
    <row r="101" spans="2:27" s="2" customFormat="1" ht="20" customHeight="1" x14ac:dyDescent="0.2">
      <c r="B101" s="4" t="s">
        <v>1555</v>
      </c>
      <c r="C101" s="8" t="str">
        <f>IF(ISBLANK(input_mgmt_cl01_vds01_uplink_count),"Value Missing",input_mgmt_cl01_vds01_uplink_count)</f>
        <v>Value Missing</v>
      </c>
      <c r="E101" s="4" t="s">
        <v>1638</v>
      </c>
      <c r="F101" s="8">
        <f>IF(ISBLANK(wld_cl01_vsan_ftt_chosen),"Value Missing",IF(AND(wld_multirack_result="Included",wld_cl01_vsan_ftt_chosen=1,wld_principal_storage_chosen="vSAN-ESA"),"1 failure - RAID 5 (Erasure Coding)",IF(AND(wld_multirack_result="Included",wld_cl01_vsan_ftt_chosen=2,wld_principal_storage_chosen="vSAN-ESA"),"1 failure - RAID 6 (Erasure Coding)",wld_cl01_vsan_ftt_chosen)))</f>
        <v>1</v>
      </c>
      <c r="H101" s="30" t="s">
        <v>3210</v>
      </c>
      <c r="I101" s="8" t="str">
        <f>IF(ISBLANK(input_cluster_vsan_dit_rekey_custom_interval),"Value Missing",input_cluster_vsan_dit_rekey_custom_interval)</f>
        <v>Value Missing</v>
      </c>
      <c r="K101" s="30" t="s">
        <v>629</v>
      </c>
      <c r="L101" s="8" t="str">
        <f>IF(ISBLANK(input_flt_logs_admin_username),"Value Missing",input_flt_logs_admin_username)</f>
        <v>Value Missing</v>
      </c>
      <c r="N101" s="4" t="s">
        <v>1679</v>
      </c>
      <c r="O101" s="8" t="str">
        <f>IF(ISBLANK(input_vvs_dr_flt_net_nodea_fqdn),"Value Missing",input_vvs_dr_flt_net_nodea_fqdn)</f>
        <v>Value Missing</v>
      </c>
      <c r="Q101" s="9"/>
      <c r="R101" s="9"/>
      <c r="T101" s="9" t="s">
        <v>1842</v>
      </c>
      <c r="U101" s="8" t="str">
        <f>IF(ISBLANK(input_wld_rwr_vcfops_vlsr_username),"Value Missing",input_wld_rwr_vcfops_vlsr_username)</f>
        <v>Value Missing</v>
      </c>
      <c r="V101" s="3"/>
    </row>
    <row r="102" spans="2:27" s="2" customFormat="1" ht="20" customHeight="1" x14ac:dyDescent="0.2">
      <c r="B102" s="4" t="s">
        <v>1558</v>
      </c>
      <c r="C102" s="8" t="str">
        <f>IF(ISBLANK(input_mgmt_cl01_vds01_mtu),"Value Missing",input_mgmt_cl01_vds01_mtu)</f>
        <v>Value Missing</v>
      </c>
      <c r="E102" s="4" t="s">
        <v>715</v>
      </c>
      <c r="F102" s="8" t="str">
        <f>IF(ISBLANK('Deploy Workload Domain'!D226),"Value Missing",'Deploy Workload Domain'!D226)</f>
        <v>Unselected</v>
      </c>
      <c r="H102" s="30" t="s">
        <v>716</v>
      </c>
      <c r="I102" s="8" t="str">
        <f>IF(ISBLANK(input_cluster_vmfs_datastore_name),"Value Missing",input_cluster_vmfs_datastore_name)</f>
        <v>Value Missing</v>
      </c>
      <c r="K102" s="4" t="s">
        <v>630</v>
      </c>
      <c r="L102" s="8" t="str">
        <f>IF(ISBLANK(flt_logs_node_size_chosen),"Value Missing",flt_logs_node_size_chosen)</f>
        <v>Medium</v>
      </c>
      <c r="N102" s="4" t="s">
        <v>1683</v>
      </c>
      <c r="O102" s="8" t="str">
        <f>IF(ISBLANK(input_vvs_dr_flt_net_nodeb_fqdn),"Value Missing",input_vvs_dr_flt_net_nodeb_fqdn)</f>
        <v>Value Missing</v>
      </c>
      <c r="T102" s="9"/>
      <c r="U102" s="8" t="str">
        <f>IF(ISBLANK(input_wld_rwr_vcfops_vr_username),"Value Missing",input_wld_rwr_vcfops_vr_username)</f>
        <v>Value Missing</v>
      </c>
      <c r="V102" s="3"/>
    </row>
    <row r="103" spans="2:27" s="2" customFormat="1" ht="20" customHeight="1" x14ac:dyDescent="0.2">
      <c r="B103" s="4" t="s">
        <v>2990</v>
      </c>
      <c r="C103" s="8" t="str">
        <f>IF(ISBLANK(input_mgmt_cl01_vds01_lag_name),"Value Missing",input_mgmt_cl01_vds01_lag_name)</f>
        <v>Value Missing</v>
      </c>
      <c r="E103" s="4" t="s">
        <v>716</v>
      </c>
      <c r="F103" s="8" t="str">
        <f>IF(ISBLANK(input_wld_cl01_vmfs_datastore_name),"Value Missing",input_wld_cl01_vmfs_datastore_name)</f>
        <v>Value Missing</v>
      </c>
      <c r="H103" s="30" t="s">
        <v>717</v>
      </c>
      <c r="I103" s="8" t="str">
        <f>IF(ISBLANK(input_cluster_nfs_datastore_name),"Value Missing",input_cluster_nfs_datastore_name)</f>
        <v>Value Missing</v>
      </c>
      <c r="K103" s="4" t="s">
        <v>1848</v>
      </c>
      <c r="L103" s="8" t="str">
        <f>IF(ISBLANK(input_flt_logs_vip_ip),"Value Missing",input_flt_logs_vip_ip)</f>
        <v>Value Missing</v>
      </c>
      <c r="N103" s="4" t="s">
        <v>1687</v>
      </c>
      <c r="O103" s="8" t="str">
        <f>IF(ISBLANK(input_vvs_dr_flt_net_nodec_fqdn),"Value Missing",input_vvs_dr_flt_net_nodec_fqdn)</f>
        <v>Value Missing</v>
      </c>
      <c r="T103" s="9"/>
      <c r="U103" s="9"/>
      <c r="V103" s="3"/>
    </row>
    <row r="104" spans="2:27" s="2" customFormat="1" ht="20" customHeight="1" x14ac:dyDescent="0.2">
      <c r="B104" s="219" t="s">
        <v>767</v>
      </c>
      <c r="C104" s="219" t="s">
        <v>20</v>
      </c>
      <c r="E104" s="30" t="s">
        <v>717</v>
      </c>
      <c r="F104" s="8" t="str">
        <f>IF(ISBLANK(input_wld_cl01_nfs_datastore_name),"Value Missing",input_wld_cl01_nfs_datastore_name)</f>
        <v>Value Missing</v>
      </c>
      <c r="H104" s="30" t="s">
        <v>718</v>
      </c>
      <c r="I104" s="8" t="str">
        <f>IF(ISBLANK(input_cluster_nfs_share_path),"Value Missing",input_cluster_nfs_share_path)</f>
        <v>Value Missing</v>
      </c>
      <c r="K104" s="9"/>
      <c r="L104" s="9"/>
      <c r="N104" s="4" t="s">
        <v>1690</v>
      </c>
      <c r="O104" s="8" t="str">
        <f>IF(ISBLANK(input_vvs_dr_flt_auto_fqdn),"Value Missing",input_vvs_dr_flt_auto_fqdn)</f>
        <v>Value Missing</v>
      </c>
      <c r="T104" s="9"/>
      <c r="U104" s="9"/>
      <c r="V104" s="3"/>
    </row>
    <row r="105" spans="2:27" s="2" customFormat="1" ht="20" customHeight="1" x14ac:dyDescent="0.2">
      <c r="B105" s="4" t="s">
        <v>1574</v>
      </c>
      <c r="C105" s="8" t="str">
        <f>IF(ISBLANK(input_mgmt_cl01_vds02_name),"Value Missing",input_mgmt_cl01_vds02_name)</f>
        <v>Value Missing</v>
      </c>
      <c r="E105" s="30" t="s">
        <v>718</v>
      </c>
      <c r="F105" s="8" t="str">
        <f>IF(ISBLANK(input_wld_cl01_nfs_share_path),"Value Missing",input_wld_cl01_nfs_share_path)</f>
        <v>Value Missing</v>
      </c>
      <c r="H105" s="30" t="s">
        <v>719</v>
      </c>
      <c r="I105" s="8" t="str">
        <f>IF(ISBLANK(input_cluster_nfs_server_address),"Value Missing",input_cluster_nfs_server_address)</f>
        <v>Value Missing</v>
      </c>
      <c r="K105" s="217" t="s">
        <v>1854</v>
      </c>
      <c r="L105" s="217"/>
      <c r="N105" s="4" t="s">
        <v>693</v>
      </c>
      <c r="O105" s="8" t="str">
        <f>IF(ISBLANK(input_vvs_dr_mgmt_vc_fqdn),"Value Missing",input_vvs_dr_mgmt_vc_fqdn)</f>
        <v>Value Missing</v>
      </c>
      <c r="T105" s="9"/>
      <c r="U105" s="9"/>
      <c r="V105" s="3"/>
    </row>
    <row r="106" spans="2:27" s="2" customFormat="1" ht="20" customHeight="1" x14ac:dyDescent="0.2">
      <c r="B106" s="4" t="s">
        <v>1658</v>
      </c>
      <c r="C106" s="8" t="str">
        <f>IF(ISBLANK(input_mgmt_cl01_vds02_uplink1),"Value Missing",input_mgmt_cl01_vds02_uplink1)</f>
        <v>Value Missing</v>
      </c>
      <c r="E106" s="30" t="s">
        <v>719</v>
      </c>
      <c r="F106" s="8" t="str">
        <f>IF(ISBLANK(input_wld_cl01_nfs_server_address),"Value Missing",input_wld_cl01_nfs_server_address)</f>
        <v>Value Missing</v>
      </c>
      <c r="H106" s="23" t="s">
        <v>723</v>
      </c>
      <c r="I106" s="8" t="str">
        <f>IF(ISBLANK(cluster_vds_profile_chosen),"Value Missing",cluster_vds_profile_chosen)</f>
        <v>Storage Traffic and NSX Traffic Separation</v>
      </c>
      <c r="K106" s="219" t="s">
        <v>250</v>
      </c>
      <c r="L106" s="220" t="s">
        <v>20</v>
      </c>
      <c r="N106" s="4" t="s">
        <v>1695</v>
      </c>
      <c r="O106" s="8" t="str">
        <f>IF(ISBLANK(input_vvs_dr_mgmt_cl01_cluster),"Value Missing",input_vvs_dr_mgmt_cl01_cluster)</f>
        <v>Value Missing</v>
      </c>
      <c r="T106" s="9"/>
      <c r="U106" s="9"/>
      <c r="V106" s="3"/>
    </row>
    <row r="107" spans="2:27" s="2" customFormat="1" ht="20" customHeight="1" x14ac:dyDescent="0.2">
      <c r="B107" s="4" t="s">
        <v>1665</v>
      </c>
      <c r="C107" s="8" t="str">
        <f>IF(ISBLANK(input_mgmt_cl01_vds02_uplink2),"Value Missing",input_mgmt_cl01_vds02_uplink2)</f>
        <v>Value Missing</v>
      </c>
      <c r="H107" s="23" t="s">
        <v>725</v>
      </c>
      <c r="I107" s="8"/>
      <c r="K107" s="4" t="s">
        <v>635</v>
      </c>
      <c r="L107" s="8" t="str">
        <f>IF(ISBLANK(input_flt_net_nodea_fqdn),"Value Missing",input_flt_net_nodea_fqdn)</f>
        <v>Value Missing</v>
      </c>
      <c r="N107" s="4" t="s">
        <v>1698</v>
      </c>
      <c r="O107" s="8" t="str">
        <f>IF(ISBLANK(input_vvs_mgmt_dr_vlr_fqdn),"Value Missing",input_vvs_mgmt_dr_vlr_fqdn)</f>
        <v>Value Missing</v>
      </c>
      <c r="T107" s="9"/>
      <c r="U107" s="9"/>
      <c r="V107" s="3"/>
    </row>
    <row r="108" spans="2:27" s="2" customFormat="1" ht="20" customHeight="1" x14ac:dyDescent="0.2">
      <c r="B108" s="8" t="s">
        <v>1582</v>
      </c>
      <c r="C108" s="8" t="str">
        <f>IF(ISBLANK(input_mgmt_cl01_vds02_uplink_count),"Value Missing",input_mgmt_cl01_vds02_uplink_count)</f>
        <v>Value Missing</v>
      </c>
      <c r="E108" s="623" t="s">
        <v>1668</v>
      </c>
      <c r="F108" s="625"/>
      <c r="H108" s="23" t="s">
        <v>728</v>
      </c>
      <c r="I108" s="8" t="str">
        <f>IF(ISBLANK(input_cluster_vds01_name),"Value Missing",input_cluster_vds01_name)</f>
        <v>Value Missing</v>
      </c>
      <c r="K108" s="4" t="s">
        <v>1868</v>
      </c>
      <c r="L108" s="8" t="str">
        <f>IF(ISBLANK(input_flt_net_prxy_fqdn),"Value Missing",input_flt_net_prxy_fqdn)</f>
        <v>Value Missing</v>
      </c>
      <c r="N108" s="4" t="s">
        <v>1701</v>
      </c>
      <c r="O108" s="8" t="str">
        <f>IF(ISBLANK(input_vvs_dr_sso_domain),"Value Missing",input_vvs_dr_sso_domain)</f>
        <v>Value Missing</v>
      </c>
      <c r="T108" s="9"/>
      <c r="U108" s="9"/>
      <c r="V108" s="3"/>
    </row>
    <row r="109" spans="2:27" s="2" customFormat="1" ht="20" customHeight="1" x14ac:dyDescent="0.2">
      <c r="B109" s="4" t="s">
        <v>1586</v>
      </c>
      <c r="C109" s="8" t="str">
        <f>IF(ISBLANK(input_mgmt_cl01_vds02_mtu),"Value Missing",input_mgmt_cl01_vds02_mtu)</f>
        <v>Value Missing</v>
      </c>
      <c r="E109" s="219" t="s">
        <v>250</v>
      </c>
      <c r="F109" s="220" t="s">
        <v>20</v>
      </c>
      <c r="H109" s="23" t="s">
        <v>155</v>
      </c>
      <c r="I109" s="8" t="str">
        <f>IF(ISBLANK(input_cluster_vds01_mtu),"Value Missing",input_cluster_vds01_mtu)</f>
        <v>Value Missing</v>
      </c>
      <c r="K109" s="4" t="s">
        <v>636</v>
      </c>
      <c r="L109" s="8" t="str">
        <f>IF(ISBLANK(input_flt_net_nodea_ip),"Value Missing",input_flt_net_nodea_ip)</f>
        <v>Value Missing</v>
      </c>
      <c r="N109" s="4" t="s">
        <v>1703</v>
      </c>
      <c r="O109" s="8" t="str">
        <f>IF(vvs_dr_flt_fleet_manager_fqdn="Value Missing",vvs_dr_flt_fleet_manager_fqdn,LEFT(vvs_dr_flt_fleet_manager_fqdn,FIND(".",vvs_dr_flt_fleet_manager_fqdn)-1))</f>
        <v>Value Missing</v>
      </c>
      <c r="Q109" s="9"/>
      <c r="T109" s="9"/>
      <c r="U109" s="9"/>
      <c r="V109" s="3"/>
    </row>
    <row r="110" spans="2:27" s="2" customFormat="1" ht="20" customHeight="1" x14ac:dyDescent="0.2">
      <c r="B110" s="4" t="s">
        <v>2990</v>
      </c>
      <c r="C110" s="8" t="str">
        <f>IF(ISBLANK(input_mgmt_cl01_vds02_lag_name),"Value Missing",input_mgmt_cl01_vds02_lag_name)</f>
        <v>Value Missing</v>
      </c>
      <c r="E110" s="28" t="s">
        <v>1374</v>
      </c>
      <c r="F110" s="8" t="str">
        <f>IF(ISBLANK(input_wld_witness_zone_vc_fqdn),"Value Missing",input_wld_witness_zone_vc_fqdn)</f>
        <v>Value Missing</v>
      </c>
      <c r="H110" s="4" t="s">
        <v>325</v>
      </c>
      <c r="I110" s="8" t="str">
        <f>IF(ISBLANK(input_cluster_az1_host_overlay_network_profile_name),"Value Missing",input_cluster_az1_host_overlay_network_profile_name)</f>
        <v>Value Missing</v>
      </c>
      <c r="K110" s="4" t="s">
        <v>1873</v>
      </c>
      <c r="L110" s="8" t="str">
        <f>IF(ISBLANK(input_flt_net_prxy_ip),"Value Missing",input_flt_net_prxy_ip)</f>
        <v>Value Missing</v>
      </c>
      <c r="N110" s="4" t="s">
        <v>1706</v>
      </c>
      <c r="O110" s="8" t="str">
        <f>IF(vvs_dr_flt_ops_nodea_fqdn="Value Missing",vvs_dr_flt_ops_nodea_fqdn,LEFT(vvs_dr_flt_ops_nodea_fqdn,FIND(".",vvs_dr_flt_ops_nodea_fqdn)-1))</f>
        <v>Value Missing</v>
      </c>
      <c r="Q110" s="9"/>
      <c r="T110" s="9"/>
      <c r="U110" s="9"/>
      <c r="V110" s="3"/>
      <c r="Z110" s="9"/>
      <c r="AA110" s="9"/>
    </row>
    <row r="111" spans="2:27" s="2" customFormat="1" ht="20" customHeight="1" x14ac:dyDescent="0.2">
      <c r="B111" s="219" t="s">
        <v>770</v>
      </c>
      <c r="C111" s="219" t="s">
        <v>20</v>
      </c>
      <c r="E111" s="28" t="s">
        <v>267</v>
      </c>
      <c r="F111" s="8" t="str">
        <f>IF(ISBLANK(input_wld_witness_hostname),"Value Missing",input_wld_witness_hostname)</f>
        <v>Value Missing</v>
      </c>
      <c r="H111" s="30" t="s">
        <v>729</v>
      </c>
      <c r="I111" s="8" t="str">
        <f>IF(ISBLANK(input_cluster_vds01_uplink_count),"Value Missing",input_cluster_vds01_uplink_count)</f>
        <v>Value Missing</v>
      </c>
      <c r="K111" s="4" t="s">
        <v>1874</v>
      </c>
      <c r="L111" s="8" t="str">
        <f>IF(flt_net_nodea_fqdn="Value Missing",flt_net_nodea_fqdn,LEFT(flt_net_nodea_fqdn,FIND(".",flt_net_nodea_fqdn)-1))</f>
        <v>Value Missing</v>
      </c>
      <c r="N111" s="4" t="s">
        <v>1707</v>
      </c>
      <c r="O111" s="8" t="str">
        <f>IF(vvs_dr_flt_ops_nodeb_fqdn="Value Missing",vvs_dr_flt_ops_nodeb_fqdn,LEFT(vvs_dr_flt_ops_nodeb_fqdn,FIND(".",vvs_dr_flt_ops_nodeb_fqdn)-1))</f>
        <v>Value Missing</v>
      </c>
      <c r="Q111" s="9"/>
      <c r="T111" s="9"/>
      <c r="U111" s="9"/>
      <c r="V111" s="3"/>
    </row>
    <row r="112" spans="2:27" s="2" customFormat="1" ht="20" customHeight="1" x14ac:dyDescent="0.2">
      <c r="B112" s="4" t="s">
        <v>1603</v>
      </c>
      <c r="C112" s="8" t="str">
        <f>IF(ISBLANK(input_mgmt_cl01_vds03_name),"Value Missing",input_mgmt_cl01_vds03_name)</f>
        <v>Value Missing</v>
      </c>
      <c r="H112" s="23" t="s">
        <v>730</v>
      </c>
      <c r="I112" s="8" t="str">
        <f>IF(ISBLANK(input_cluster_vds01_pnics),"Value Missing",input_cluster_vds01_pnics)</f>
        <v>Value Missing</v>
      </c>
      <c r="K112" s="4" t="s">
        <v>1878</v>
      </c>
      <c r="L112" s="8" t="str">
        <f>IF(flt_net_prxy_fqdn="Value Missing",flt_net_prxy_fqdn,LEFT(flt_net_prxy_fqdn,FIND(".",flt_net_prxy_fqdn)-1))</f>
        <v>Value Missing</v>
      </c>
      <c r="N112" s="4" t="s">
        <v>1710</v>
      </c>
      <c r="O112" s="8" t="str">
        <f>IF(vvs_dr_flt_ops_nodec_fqdn="Value Missing",vvs_dr_flt_ops_nodec_fqdn,LEFT(vvs_dr_flt_ops_nodec_fqdn,FIND(".",vvs_dr_flt_ops_nodec_fqdn)-1))</f>
        <v>Value Missing</v>
      </c>
      <c r="Q112" s="9"/>
      <c r="T112" s="9"/>
      <c r="U112" s="9"/>
      <c r="V112" s="3"/>
    </row>
    <row r="113" spans="2:22" s="2" customFormat="1" ht="20" customHeight="1" x14ac:dyDescent="0.2">
      <c r="B113" s="4" t="s">
        <v>1682</v>
      </c>
      <c r="C113" s="8" t="str">
        <f>IF(ISBLANK(input_mgmt_cl01_vds03_uplink1),"Value Missing",input_mgmt_cl01_vds03_uplink1)</f>
        <v>Value Missing</v>
      </c>
      <c r="E113" s="623" t="s">
        <v>1686</v>
      </c>
      <c r="F113" s="625"/>
      <c r="H113" s="23" t="s">
        <v>732</v>
      </c>
      <c r="I113" s="8" t="str">
        <f>IF(cluster_vds_profile_chosen="Default",CONCATENATE("Management ", "vMotion ",IF(cluster_principal_storage_chosen="NFSv3","NFS ",IF(cluster_principal_storage_chosen="VMFS on Fibre Channel (FC)","","vSAN ")),"NSX-Overlay"),
IF(cluster_vds_profile_chosen="Storage Traffic Separation","Management, vMotion, NSX-Overlay",
IF(cluster_vds_profile_chosen="NSX Traffic Separation","Management, vMotion, vSan",
IF(cluster_vds_profile_chosen="Storage Traffic and NSX Traffic Separation","Management, vMotion",
IF(cluster_vds_profile_chosen="vSAN Max Storage Traffic Separation","Management, vMotion, vSAN Storage Client, NSX-Overlay",
IF(cluster_vds_profile_chosen="vSAN Max Storage Traffic and NSX Traffic Separation","Management, vMotion, vSAN Storage Client","Value Missing"))))))</f>
        <v>Management, vMotion</v>
      </c>
      <c r="K113" s="4" t="s">
        <v>189</v>
      </c>
      <c r="L113" s="8" t="str">
        <f>IF(ISBLANK(input_flt_net_admin_password),"Value Missing",input_flt_net_admin_password)</f>
        <v>Value Missing</v>
      </c>
      <c r="N113" s="4" t="s">
        <v>1712</v>
      </c>
      <c r="O113" s="8" t="str">
        <f>IF(vvs_dr_flt_logs_nodea_fqdn="Value Missing",vvs_dr_flt_logs_nodea_fqdn,LEFT(vvs_dr_flt_logs_nodea_fqdn,FIND(".",vvs_dr_flt_logs_nodea_fqdn)-1))</f>
        <v>Value Missing</v>
      </c>
      <c r="Q113" s="9"/>
      <c r="T113" s="9"/>
      <c r="U113" s="9"/>
      <c r="V113" s="3"/>
    </row>
    <row r="114" spans="2:22" s="2" customFormat="1" ht="20" customHeight="1" x14ac:dyDescent="0.2">
      <c r="B114" s="4" t="s">
        <v>1685</v>
      </c>
      <c r="C114" s="8" t="str">
        <f>IF(ISBLANK(input_mgmt_cl01_vds03_uplink2),"Value Missing",input_mgmt_cl01_vds03_uplink2)</f>
        <v>Value Missing</v>
      </c>
      <c r="E114" s="219" t="s">
        <v>250</v>
      </c>
      <c r="F114" s="220" t="s">
        <v>20</v>
      </c>
      <c r="H114" s="23" t="s">
        <v>2990</v>
      </c>
      <c r="I114" s="8" t="str">
        <f>IF(ISBLANK(input_cluster_vds01_lag_name),"Value Missing",input_cluster_vds01_lag_name)</f>
        <v>Value Missing</v>
      </c>
      <c r="K114" s="4" t="s">
        <v>3639</v>
      </c>
      <c r="L114" s="43" t="str">
        <f>IF(ISBLANK(input_flt_net_nodea_pg),"Value Missing",input_flt_net_nodea_pg)</f>
        <v>Value Missing</v>
      </c>
      <c r="N114" s="4" t="s">
        <v>1714</v>
      </c>
      <c r="O114" s="8" t="str">
        <f>IF(vvs_dr_flt_logs_nodeb_fqdn="Value Missing",vvs_dr_flt_logs_nodeb_fqdn,LEFT(vvs_dr_flt_logs_nodeb_fqdn,FIND(".",vvs_dr_flt_logs_nodeb_fqdn)-1))</f>
        <v>Value Missing</v>
      </c>
      <c r="Q114" s="9"/>
      <c r="T114" s="9"/>
      <c r="U114" s="9"/>
      <c r="V114" s="3"/>
    </row>
    <row r="115" spans="2:22" s="2" customFormat="1" ht="20" customHeight="1" x14ac:dyDescent="0.2">
      <c r="B115" s="4" t="s">
        <v>1614</v>
      </c>
      <c r="C115" s="8" t="str">
        <f>IF(ISBLANK(input_mgmt_cl01_vds03_uplink_count),"Value Missing",input_mgmt_cl01_vds03_uplink_count)</f>
        <v>Value Missing</v>
      </c>
      <c r="E115" s="4" t="s">
        <v>1692</v>
      </c>
      <c r="F115" s="8" t="str">
        <f>IF(ISBLANK(input_wld_az2_host1_sddc_id),"Value Missing",input_wld_az2_host1_sddc_id)</f>
        <v>Value Missing</v>
      </c>
      <c r="H115" s="23" t="s">
        <v>767</v>
      </c>
      <c r="I115" s="8" t="str">
        <f>IF(ISBLANK(input_cluster_vds02_name),"Value Missing",input_cluster_vds02_name)</f>
        <v>Value Missing</v>
      </c>
      <c r="K115" s="4" t="s">
        <v>3691</v>
      </c>
      <c r="L115" s="8" t="str">
        <f>IF(ISBLANK(input_flt_net_prxy_pg),"Value Missing",input_flt_net_prxy_pg)</f>
        <v>Value Missing</v>
      </c>
      <c r="N115" s="4" t="s">
        <v>1716</v>
      </c>
      <c r="O115" s="8" t="str">
        <f>IF(vvs_dr_flt_logs_nodec_fqdn="Value Missing",vvs_dr_flt_logs_nodec_fqdn,LEFT(vvs_dr_flt_logs_nodec_fqdn,FIND(".",vvs_dr_flt_logs_nodec_fqdn)-1))</f>
        <v>Value Missing</v>
      </c>
      <c r="Q115" s="9"/>
      <c r="T115" s="9"/>
      <c r="U115" s="9"/>
      <c r="V115" s="3"/>
    </row>
    <row r="116" spans="2:22" s="2" customFormat="1" ht="20" customHeight="1" x14ac:dyDescent="0.2">
      <c r="B116" s="4" t="s">
        <v>1607</v>
      </c>
      <c r="C116" s="8" t="str">
        <f>IF(ISBLANK(input_mgmt_cl01_vds03_mtu),"Value Missing",input_mgmt_cl01_vds03_mtu)</f>
        <v>Value Missing</v>
      </c>
      <c r="E116" s="4" t="s">
        <v>1693</v>
      </c>
      <c r="F116" s="8" t="str">
        <f>IF(ISBLANK(input_wld_az2_host2_sddc_id),"Value Missing",input_wld_az2_host2_sddc_id)</f>
        <v>Value Missing</v>
      </c>
      <c r="H116" s="23" t="s">
        <v>155</v>
      </c>
      <c r="I116" s="8" t="str">
        <f>IF(ISBLANK(input_cluster_vds02_mtu),"Value Missing",input_cluster_vds02_mtu)</f>
        <v>Value Missing</v>
      </c>
      <c r="K116" s="4" t="s">
        <v>3694</v>
      </c>
      <c r="L116" s="43" t="str">
        <f>IF(ISBLANK(input_flt_net_nodea_gateway_cidr),"Value Missing",input_flt_net_nodea_gateway_cidr)</f>
        <v>Value Missing</v>
      </c>
      <c r="N116" s="4" t="s">
        <v>1717</v>
      </c>
      <c r="O116" s="8" t="str">
        <f>IF(vvs_dr_flt_net_nodea_fqdn="Value Missing",vvs_dr_flt_net_nodea_fqdn,LEFT(vvs_dr_flt_net_nodea_fqdn,FIND(".",vvs_dr_flt_net_nodea_fqdn)-1))</f>
        <v>Value Missing</v>
      </c>
      <c r="Q116" s="9"/>
      <c r="T116" s="9"/>
      <c r="U116" s="9"/>
      <c r="V116" s="3"/>
    </row>
    <row r="117" spans="2:22" s="2" customFormat="1" ht="20" customHeight="1" x14ac:dyDescent="0.2">
      <c r="B117" s="4" t="s">
        <v>2990</v>
      </c>
      <c r="C117" s="8" t="str" cm="1">
        <f t="array" ref="C117">IF(ISBLANK(input_mgmt_cl01_vds03_lag_name),"Value Missing",input_mgmt_cl01_vds03_lag_name)</f>
        <v>Value Missing</v>
      </c>
      <c r="E117" s="4" t="s">
        <v>1697</v>
      </c>
      <c r="F117" s="8" t="str">
        <f>IF(ISBLANK(input_wld_az2_host3_sddc_id),"Value Missing",input_wld_az2_host3_sddc_id)</f>
        <v>Value Missing</v>
      </c>
      <c r="H117" s="30" t="s">
        <v>729</v>
      </c>
      <c r="I117" s="8" t="str">
        <f>IF(ISBLANK(input_cluster_vds02_uplink_count),"Value Missing",input_cluster_vds02_uplink_count)</f>
        <v>Value Missing</v>
      </c>
      <c r="K117" s="4" t="s">
        <v>3695</v>
      </c>
      <c r="L117" s="43" t="str">
        <f>IF(ISBLANK(input_flt_net_prxy_gateway_cidr),"Value Missing",input_flt_net_prxy_gateway_cidr)</f>
        <v>Value Missing</v>
      </c>
      <c r="N117" s="4" t="s">
        <v>1719</v>
      </c>
      <c r="O117" s="8" t="str">
        <f>IF(vvs_dr_flt_net_nodeb_fqdn="Value Missing",vvs_dr_flt_net_nodeb_fqdn,LEFT(vvs_dr_flt_net_nodeb_fqdn,FIND(".",vvs_dr_flt_net_nodeb_fqdn)-1))</f>
        <v>Value Missing</v>
      </c>
      <c r="Q117" s="9"/>
      <c r="T117" s="9"/>
      <c r="U117" s="9"/>
      <c r="V117" s="3"/>
    </row>
    <row r="118" spans="2:22" s="2" customFormat="1" ht="20" customHeight="1" x14ac:dyDescent="0.2">
      <c r="B118" s="6"/>
      <c r="E118" s="4" t="s">
        <v>1700</v>
      </c>
      <c r="F118" s="8" t="str">
        <f>IF(ISBLANK(input_wld_az2_host4_sddc_id),"Value Missing",input_wld_az2_host4_sddc_id)</f>
        <v>Value Missing</v>
      </c>
      <c r="H118" s="23" t="s">
        <v>730</v>
      </c>
      <c r="I118" s="8" t="str">
        <f>IF(ISBLANK(input_cluster_vds02_pnics),"Value Missing",input_cluster_vds02_pnics)</f>
        <v>Value Missing</v>
      </c>
      <c r="K118" s="9"/>
      <c r="L118" s="9"/>
      <c r="N118" s="4" t="s">
        <v>1721</v>
      </c>
      <c r="O118" s="8" t="str">
        <f>IF(vvs_dr_flt_net_nodec_fqdn="Value Missing",vvs_dr_flt_net_nodec_fqdn,LEFT(vvs_dr_flt_net_nodec_fqdn,FIND(".",vvs_dr_flt_net_nodec_fqdn)-1))</f>
        <v>Value Missing</v>
      </c>
      <c r="Q118" s="9"/>
      <c r="T118" s="9"/>
      <c r="U118" s="9"/>
      <c r="V118" s="3"/>
    </row>
    <row r="119" spans="2:22" s="2" customFormat="1" ht="20" customHeight="1" x14ac:dyDescent="0.2">
      <c r="B119" s="219" t="s">
        <v>1696</v>
      </c>
      <c r="C119" s="219" t="s">
        <v>20</v>
      </c>
      <c r="E119" s="4" t="s">
        <v>1702</v>
      </c>
      <c r="F119" s="8" t="str">
        <f>IF(ISBLANK(input_wld_cl01_cluster_sddc_id),"Value Missing",input_wld_cl01_cluster_sddc_id)</f>
        <v>Value Missing</v>
      </c>
      <c r="H119" s="23" t="s">
        <v>732</v>
      </c>
      <c r="I119" s="8" t="str">
        <f>IF(cluster_vds_profile_chosen="Default","",
IF(cluster_vds_profile_chosen="Storage Traffic Separation",IF(cluster_principal_storage_chosen="NFSv3","NFS","vSAN"),
IF(cluster_vds_profile_chosen="NSX Traffic Separation","NSX-Overlay",
IF(cluster_vds_profile_chosen="Storage Traffic and NSX Traffic Separation",IF(cluster_principal_storage_chosen="NFSv3","NFS","vSAN"),
IF(cluster_vds_profile_chosen="Storage Traffic and NSX Traffic Separation","Management, vMotion",
IF(cluster_vds_profile_chosen="vSAN Max Storage Traffic Separation","vSAN",
IF(cluster_vds_profile_chosen="vSAN Max Storage Traffic and NSX Traffic Separation","vSAN","")))))))</f>
        <v>vSAN</v>
      </c>
      <c r="K119" s="217" t="s">
        <v>1906</v>
      </c>
      <c r="L119" s="217"/>
      <c r="N119" s="4" t="s">
        <v>1723</v>
      </c>
      <c r="O119" s="8" t="str">
        <f>IF(ISBLANK(input_vvs_dr_mgmt_cl01_datastore),"Value Missing",input_vvs_dr_mgmt_cl01_datastore)</f>
        <v>Value Missing</v>
      </c>
      <c r="Q119" s="9"/>
      <c r="T119" s="9"/>
      <c r="U119" s="9"/>
      <c r="V119" s="3"/>
    </row>
    <row r="120" spans="2:22" s="2" customFormat="1" ht="20" customHeight="1" x14ac:dyDescent="0.2">
      <c r="B120" s="23" t="s">
        <v>1699</v>
      </c>
      <c r="C120" s="8" t="str">
        <f>IF(ISBLANK(mgmt_nsx_operation_mode_chosen),"Value Missing",mgmt_nsx_operation_mode_chosen)</f>
        <v>Enhanced Datapath Standard</v>
      </c>
      <c r="E120" s="4"/>
      <c r="F120" s="8" t="str">
        <f>IF(ISBLANK(input_wld_az2_host_overlay_network_profile_name),"Value Missing",input_wld_az2_host_overlay_network_profile_name)</f>
        <v>Value Missing</v>
      </c>
      <c r="H120" s="23" t="s">
        <v>2990</v>
      </c>
      <c r="I120" s="8" t="str" cm="1">
        <f t="array" ref="I120">IF(ISBLANK(input_cluster_vds02_lag_name),"Value Missing",input_cluster_vds02_lag_name)</f>
        <v>Value Missing</v>
      </c>
      <c r="K120" s="219" t="s">
        <v>250</v>
      </c>
      <c r="L120" s="220" t="s">
        <v>20</v>
      </c>
      <c r="N120" s="4" t="s">
        <v>1726</v>
      </c>
      <c r="O120" s="8" t="str">
        <f>IF(ISBLANK(input_mgmt_srm_net_rp),"Value Missing",input_mgmt_srm_net_rp)</f>
        <v>Value Missing</v>
      </c>
      <c r="Q120" s="9"/>
      <c r="T120" s="9"/>
      <c r="U120" s="9"/>
      <c r="V120" s="3"/>
    </row>
    <row r="121" spans="2:22" s="2" customFormat="1" ht="20" customHeight="1" x14ac:dyDescent="0.2">
      <c r="B121" s="6"/>
      <c r="E121" s="9"/>
      <c r="F121" s="9"/>
      <c r="H121" s="23" t="s">
        <v>770</v>
      </c>
      <c r="I121" s="8" t="str">
        <f>IF(ISBLANK(input_cluster_vds03_name),"Value Missing",input_cluster_vds03_name)</f>
        <v>Value Missing</v>
      </c>
      <c r="K121" s="4" t="s">
        <v>527</v>
      </c>
      <c r="L121" s="8" t="str">
        <f>IF(ISBLANK(vcf_automation_type_chosen),"Value Missing",vcf_automation_type_chosen)</f>
        <v>New</v>
      </c>
      <c r="N121" s="4" t="s">
        <v>1727</v>
      </c>
      <c r="O121" s="8" t="str">
        <f>IF(ISBLANK(input_mgmt_srm_logs_rp),"Value Missing",input_mgmt_srm_logs_rp)</f>
        <v>Value Missing</v>
      </c>
      <c r="Q121" s="9"/>
      <c r="T121" s="9"/>
      <c r="U121" s="9"/>
      <c r="V121" s="3"/>
    </row>
    <row r="122" spans="2:22" s="2" customFormat="1" ht="20" customHeight="1" x14ac:dyDescent="0.2">
      <c r="B122" s="623" t="s">
        <v>1705</v>
      </c>
      <c r="C122" s="624"/>
      <c r="E122" s="623" t="s">
        <v>1709</v>
      </c>
      <c r="F122" s="625"/>
      <c r="H122" s="23" t="s">
        <v>155</v>
      </c>
      <c r="I122" s="8" t="str">
        <f>IF(ISBLANK(input_cluster_vds03_mtu),"Value Missing",input_cluster_vds03_mtu)</f>
        <v>Value Missing</v>
      </c>
      <c r="K122" s="4" t="s">
        <v>186</v>
      </c>
      <c r="L122" s="8" t="str">
        <f>IF(ISBLANK(input_vcf_automation_version),"Value Missing",input_vcf_automation_version)</f>
        <v>Value Missing</v>
      </c>
      <c r="N122" s="4" t="s">
        <v>1729</v>
      </c>
      <c r="O122" s="8" t="str">
        <f>IF(ISBLANK(input_mgmt_srm_recovery_pg),"Value Missing",input_mgmt_srm_recovery_pg)</f>
        <v>Value Missing</v>
      </c>
      <c r="Q122" s="9"/>
      <c r="T122" s="9"/>
      <c r="U122" s="9"/>
      <c r="V122" s="3"/>
    </row>
    <row r="123" spans="2:22" s="2" customFormat="1" ht="20" customHeight="1" x14ac:dyDescent="0.2">
      <c r="B123" s="219" t="s">
        <v>250</v>
      </c>
      <c r="C123" s="219" t="s">
        <v>1535</v>
      </c>
      <c r="E123" s="219" t="s">
        <v>250</v>
      </c>
      <c r="F123" s="220" t="s">
        <v>20</v>
      </c>
      <c r="H123" s="30" t="s">
        <v>729</v>
      </c>
      <c r="I123" s="8" t="str">
        <f>IF(ISBLANK(input_cluster_vds03_uplink_count),"Value Missing",input_cluster_vds03_uplink_count)</f>
        <v>Value Missing</v>
      </c>
      <c r="K123" s="4" t="s">
        <v>520</v>
      </c>
      <c r="L123" s="8" t="str">
        <f>IF(ISBLANK(vcf_automation_size_chosen),"Value Missing",vcf_automation_size_chosen)</f>
        <v>Medium</v>
      </c>
      <c r="N123" s="4" t="s">
        <v>1731</v>
      </c>
      <c r="O123" s="8" t="str">
        <f>IF(ISBLANK(input_mgmt_srm_recovery_gateway),"Value Missing",input_mgmt_srm_recovery_gateway)</f>
        <v>Value Missing</v>
      </c>
      <c r="Q123" s="9"/>
      <c r="T123" s="9"/>
      <c r="U123" s="9"/>
      <c r="V123" s="3"/>
    </row>
    <row r="124" spans="2:22" s="2" customFormat="1" ht="20" customHeight="1" x14ac:dyDescent="0.2">
      <c r="B124" s="4" t="s">
        <v>1708</v>
      </c>
      <c r="C124" s="8" t="str">
        <f>IF(ISBLANK(mgmt_principal_storage_chosen),"Value Missing",mgmt_principal_storage_chosen)</f>
        <v>vSAN-ESA</v>
      </c>
      <c r="E124" s="4" t="s">
        <v>268</v>
      </c>
      <c r="F124" s="8" t="str">
        <f>IF(ISBLANK(input_wld_witness_vsan_datastore),"Value Missing",input_wld_witness_vsan_datastore)</f>
        <v>Value Missing</v>
      </c>
      <c r="H124" s="23" t="s">
        <v>730</v>
      </c>
      <c r="I124" s="8" t="str">
        <f>IF(ISBLANK(input_cluster_vds03_pnics),"Value Missing",input_cluster_vds03_pnics)</f>
        <v>Value Missing</v>
      </c>
      <c r="K124" s="4" t="s">
        <v>531</v>
      </c>
      <c r="L124" s="8" t="str">
        <f>IF(ISBLANK(vcf_automation_cert_type_chosen),"Value Missing",vcf_automation_cert_type_chosen)</f>
        <v>Generate Certificate</v>
      </c>
      <c r="N124" s="4" t="s">
        <v>1733</v>
      </c>
      <c r="O124" s="8" t="str">
        <f>IF(ISBLANK(input_mgmt_srm_recovery_mask),"Value Missing",input_mgmt_srm_recovery_mask)</f>
        <v>Value Missing</v>
      </c>
      <c r="Q124" s="9"/>
      <c r="R124" s="9"/>
      <c r="T124" s="9"/>
      <c r="U124" s="9"/>
      <c r="V124" s="3"/>
    </row>
    <row r="125" spans="2:22" s="2" customFormat="1" ht="20" customHeight="1" x14ac:dyDescent="0.2">
      <c r="B125" s="4" t="s">
        <v>268</v>
      </c>
      <c r="C125" s="8" t="str">
        <f>IF(ISBLANK(input_mgmt_cl01_vsan_datastore),"Value Missing",input_mgmt_cl01_vsan_datastore)</f>
        <v>Value Missing</v>
      </c>
      <c r="E125" s="4" t="s">
        <v>200</v>
      </c>
      <c r="F125" s="8" t="str">
        <f>IF(ISBLANK(input_wld_witness_cluster),"Value Missing",input_wld_witness_cluster)</f>
        <v>Value Missing</v>
      </c>
      <c r="H125" s="23" t="s">
        <v>732</v>
      </c>
      <c r="I125" s="8" t="str">
        <f>IF(cluster_vds_profile_chosen="Default","",
IF(cluster_vds_profile_chosen="Storage Traffic Separation","",
IF(cluster_vds_profile_chosen="NSX Traffic Separation","",
IF(cluster_vds_profile_chosen="Storage Traffic and NSX Traffic Separation","Overlay",
IF(cluster_vds_profile_chosen="vSan Max Storage Traffic and NSX Traffic Separation","Overlay","")))))</f>
        <v>Overlay</v>
      </c>
      <c r="K125" s="4" t="s">
        <v>533</v>
      </c>
      <c r="L125" s="8" t="str">
        <f>IF(ISBLANK(input_vcf_automation_cert_alias),"Value Missing",input_vcf_automation_cert_alias)</f>
        <v>Value Missing</v>
      </c>
      <c r="N125" s="4" t="s">
        <v>1737</v>
      </c>
      <c r="O125" s="8"/>
      <c r="Q125" s="9"/>
      <c r="R125" s="9"/>
      <c r="T125" s="9"/>
      <c r="U125" s="9"/>
      <c r="V125" s="3"/>
    </row>
    <row r="126" spans="2:22" s="2" customFormat="1" ht="20" customHeight="1" x14ac:dyDescent="0.2">
      <c r="B126" s="4" t="s">
        <v>1713</v>
      </c>
      <c r="C126" s="8">
        <f>IF(ISBLANK(mgmt_cl01_vsan_ftt_chosen),"Value Missing",mgmt_cl01_vsan_ftt_chosen)</f>
        <v>1</v>
      </c>
      <c r="E126" s="4" t="s">
        <v>267</v>
      </c>
      <c r="F126" s="8" t="str">
        <f>IF(ISBLANK(input_wld_witness_vm_folder),"Value Missing",input_wld_witness_vm_folder)</f>
        <v>Value Missing</v>
      </c>
      <c r="H126" s="23" t="s">
        <v>2990</v>
      </c>
      <c r="I126" s="8" t="str" cm="1">
        <f t="array" ref="I126">IF(ISBLANK(input_cluster_vds03_lag_name),"Value Missing",input_cluster_vds03_lag_name)</f>
        <v>Value Missing</v>
      </c>
      <c r="K126" s="4" t="s">
        <v>534</v>
      </c>
      <c r="L126" s="8" t="str">
        <f>IF(ISBLANK(input_vcf_automation_cert_file),"Value Missing",input_vcf_automation_cert_file)</f>
        <v>Value Missing</v>
      </c>
      <c r="N126" s="4" t="s">
        <v>1740</v>
      </c>
      <c r="O126" s="8" t="str">
        <f>IF(ISBLANK(input_vvs_dr_vr_username),"Value Missing",input_vvs_dr_vr_username)</f>
        <v>Value Missing</v>
      </c>
      <c r="Q126" s="9"/>
      <c r="R126" s="9"/>
      <c r="T126" s="9"/>
      <c r="U126" s="9"/>
      <c r="V126" s="3"/>
    </row>
    <row r="127" spans="2:22" s="2" customFormat="1" ht="20" customHeight="1" x14ac:dyDescent="0.2">
      <c r="B127" s="4" t="s">
        <v>715</v>
      </c>
      <c r="C127" s="8" t="str">
        <f>IF(ISBLANK(mgmt_cl01_vsan_dedupe_compression_chosen),"Value Missing",mgmt_cl01_vsan_dedupe_compression_chosen)</f>
        <v>Unselected</v>
      </c>
      <c r="E127" s="4" t="s">
        <v>1718</v>
      </c>
      <c r="F127" s="8" t="str">
        <f>IF(ISBLANK(input_wld_witness_dns1_ip),"Value Missing",input_wld_witness_dns1_ip)</f>
        <v>Value Missing</v>
      </c>
      <c r="H127" s="219" t="s">
        <v>1725</v>
      </c>
      <c r="I127" s="219"/>
      <c r="K127" s="4" t="s">
        <v>535</v>
      </c>
      <c r="L127" s="8" t="str">
        <f>IF(ISBLANK(input_vcf_automation_cert_common_name),"Value Missing",input_vcf_automation_cert_common_name)</f>
        <v>Value Missing</v>
      </c>
      <c r="N127" s="4" t="s">
        <v>1742</v>
      </c>
      <c r="O127" s="8" t="str">
        <f>IF(ISBLANK(input_vvs_dr_vr_password),"Value Missing",input_vvs_dr_vr_password)</f>
        <v>Value Missing</v>
      </c>
      <c r="Q127" s="9"/>
      <c r="R127" s="9"/>
      <c r="T127" s="9"/>
      <c r="U127" s="9"/>
      <c r="V127" s="3"/>
    </row>
    <row r="128" spans="2:22" s="2" customFormat="1" ht="20" customHeight="1" x14ac:dyDescent="0.2">
      <c r="B128" s="30" t="s">
        <v>718</v>
      </c>
      <c r="C128" s="8" t="str">
        <f>IF(ISBLANK(input_mgmt_cl01_nfs_share),"Value Missing",input_mgmt_cl01_nfs_share)</f>
        <v>Value Missing</v>
      </c>
      <c r="E128" s="4" t="s">
        <v>1718</v>
      </c>
      <c r="F128" s="8" t="str">
        <f>IF(ISBLANK(input_wld_witness_dns2_ip),"Value Missing",input_wld_witness_dns2_ip)</f>
        <v>Value Missing</v>
      </c>
      <c r="H128" s="30" t="s">
        <v>178</v>
      </c>
      <c r="I128" s="8" t="str">
        <f>IF(ISBLANK(input_cluster_az1_mgmt_pg),"Value Missing",input_cluster_az1_mgmt_pg)</f>
        <v>Value Missing</v>
      </c>
      <c r="K128" s="4" t="s">
        <v>536</v>
      </c>
      <c r="L128" s="8" t="str">
        <f>IF(ISBLANK(input_vcf_automation_cert_organisation),"Value Missing",input_vcf_automation_cert_organisation)</f>
        <v>Value Missing</v>
      </c>
      <c r="Q128" s="9"/>
      <c r="R128" s="9"/>
      <c r="T128" s="9"/>
      <c r="U128" s="9"/>
      <c r="V128" s="3"/>
    </row>
    <row r="129" spans="2:27" s="2" customFormat="1" ht="20" customHeight="1" x14ac:dyDescent="0.2">
      <c r="B129" s="30" t="s">
        <v>719</v>
      </c>
      <c r="C129" s="8" t="str">
        <f>IF(ISBLANK(input_mgmt_cl01_nfs_server_ip),"Value Missing",input_mgmt_cl01_nfs_server_ip)</f>
        <v>Value Missing</v>
      </c>
      <c r="E129" s="4" t="s">
        <v>1722</v>
      </c>
      <c r="F129" s="8" t="str">
        <f>IF(ISBLANK(sample_wld_witness_ntp1_server),"Value Missing",sample_wld_witness_ntp1_server)</f>
        <v>ntp0.lax.rainpole.io</v>
      </c>
      <c r="H129" s="30" t="s">
        <v>736</v>
      </c>
      <c r="I129" s="8" t="str">
        <f>IF(ISBLANK(cluster_az1_mgmt_lbt_chosen),"Value Missing",cluster_az1_mgmt_lbt_chosen)</f>
        <v>Route Based on Physical NIC Load</v>
      </c>
      <c r="K129" s="4" t="s">
        <v>537</v>
      </c>
      <c r="L129" s="8" t="str">
        <f>IF(ISBLANK(input_vcf_automation_ou_cert),"Value Missing",input_vcf_automation_ou_cert)</f>
        <v>Value Missing</v>
      </c>
      <c r="Q129" s="9"/>
      <c r="R129" s="9"/>
      <c r="T129" s="9"/>
      <c r="U129" s="9"/>
      <c r="V129" s="3"/>
    </row>
    <row r="130" spans="2:27" s="2" customFormat="1" ht="20" customHeight="1" x14ac:dyDescent="0.2">
      <c r="B130" s="30" t="s">
        <v>1720</v>
      </c>
      <c r="C130" s="8" t="str">
        <f>IF(ISBLANK(mgmt_cl01_nfs_server_bound_to_vmknic_chosen),"Value Missing",mgmt_cl01_nfs_server_bound_to_vmknic_chosen)</f>
        <v>Selected</v>
      </c>
      <c r="E130" s="4" t="s">
        <v>1722</v>
      </c>
      <c r="F130" s="8" t="str">
        <f>IF(ISBLANK(sample_wld_witness_ntp2_server),"Value Missing",sample_wld_witness_ntp2_server)</f>
        <v>ntp1.lax.rainpole.io</v>
      </c>
      <c r="H130" s="30" t="s">
        <v>738</v>
      </c>
      <c r="I130" s="8" t="str">
        <f>IF(ISBLANK(cluster_az1_mgmt_uplink1_chosen),"Value Missing",cluster_az1_mgmt_uplink1_chosen)</f>
        <v>Active</v>
      </c>
      <c r="K130" s="4" t="s">
        <v>538</v>
      </c>
      <c r="L130" s="8" t="str">
        <f>IF(ISBLANK(input_vcf_automation_cert_country_code),"Value Missing",input_vcf_automation_cert_country_code)</f>
        <v>Value Missing</v>
      </c>
      <c r="Q130" s="9"/>
      <c r="R130" s="9"/>
      <c r="T130" s="9"/>
      <c r="U130" s="9"/>
      <c r="V130" s="3"/>
    </row>
    <row r="131" spans="2:27" s="2" customFormat="1" ht="20" customHeight="1" x14ac:dyDescent="0.2">
      <c r="E131" s="9"/>
      <c r="F131" s="9"/>
      <c r="H131" s="30" t="s">
        <v>740</v>
      </c>
      <c r="I131" s="8" t="str">
        <f>IF(ISBLANK(cluster_az1_mgmt_uplink2_chosen),"Value Missing",cluster_az1_mgmt_uplink2_chosen)</f>
        <v>Active</v>
      </c>
      <c r="K131" s="4" t="s">
        <v>539</v>
      </c>
      <c r="L131" s="8" t="str">
        <f>IF(ISBLANK(input_vcf_automation_cert_locality),"Value Missing",input_vcf_automation_cert_locality)</f>
        <v>Value Missing</v>
      </c>
      <c r="R131" s="9" t="s">
        <v>1838</v>
      </c>
      <c r="T131" s="9"/>
      <c r="U131" s="9"/>
      <c r="V131" s="3"/>
    </row>
    <row r="132" spans="2:27" s="2" customFormat="1" ht="20" customHeight="1" x14ac:dyDescent="0.2">
      <c r="B132" s="221" t="s">
        <v>14</v>
      </c>
      <c r="C132" s="222"/>
      <c r="E132" s="623" t="s">
        <v>1728</v>
      </c>
      <c r="F132" s="625"/>
      <c r="H132" s="219" t="s">
        <v>1736</v>
      </c>
      <c r="I132" s="219"/>
      <c r="K132" s="4" t="s">
        <v>540</v>
      </c>
      <c r="L132" s="8" t="str">
        <f>IF(ISBLANK(input_vcf_automation_cert_state),"Value Missing",input_vcf_automation_cert_state)</f>
        <v>Value Missing</v>
      </c>
      <c r="R132" s="9" t="s">
        <v>1839</v>
      </c>
      <c r="T132" s="9"/>
      <c r="U132" s="9"/>
      <c r="V132" s="3"/>
    </row>
    <row r="133" spans="2:27" s="2" customFormat="1" ht="20" customHeight="1" x14ac:dyDescent="0.2">
      <c r="B133" s="219" t="s">
        <v>250</v>
      </c>
      <c r="C133" s="219" t="s">
        <v>1535</v>
      </c>
      <c r="E133" s="219" t="s">
        <v>250</v>
      </c>
      <c r="F133" s="220" t="s">
        <v>20</v>
      </c>
      <c r="H133" s="30" t="s">
        <v>178</v>
      </c>
      <c r="I133" s="8" t="str">
        <f>IF(ISBLANK(input_cluster_az1_mgmt_vm_pg),"Value Missing",input_cluster_az1_mgmt_vm_pg)</f>
        <v>Value Missing</v>
      </c>
      <c r="K133" s="4" t="s">
        <v>541</v>
      </c>
      <c r="L133" s="8" t="str">
        <f>IF(ISBLANK(vcf_automation_cert_key_length_chosen),"Value Missing",vcf_automation_cert_key_length_chosen)</f>
        <v>4096</v>
      </c>
      <c r="N133" s="4" t="s">
        <v>3648</v>
      </c>
      <c r="O133" s="8" t="str">
        <f>IF(ISBLANK(input_mgmt_vsan_dit_rekey_custom_interval),"Value Missing",input_mgmt_vsan_dit_rekey_custom_interval)</f>
        <v>Value Missing</v>
      </c>
      <c r="R133" s="9" t="s">
        <v>1841</v>
      </c>
      <c r="T133" s="9"/>
      <c r="U133" s="9"/>
      <c r="V133" s="3"/>
    </row>
    <row r="134" spans="2:27" s="2" customFormat="1" ht="20" customHeight="1" x14ac:dyDescent="0.2">
      <c r="B134" s="4" t="s">
        <v>1730</v>
      </c>
      <c r="C134" s="8" t="str">
        <f>IF(ISBLANK(mgmt_ec_formfactor_chosen),"Value Missing",mgmt_ec_formfactor_chosen)</f>
        <v>Medium</v>
      </c>
      <c r="E134" s="28" t="s">
        <v>1374</v>
      </c>
      <c r="F134" s="8" t="str">
        <f>IF(ISBLANK(input_wld_witness_zone_vc_ip),"Value Missing",input_wld_witness_zone_vc_ip)</f>
        <v>Value Missing</v>
      </c>
      <c r="H134" s="30" t="s">
        <v>736</v>
      </c>
      <c r="I134" s="8" t="str">
        <f>IF(ISBLANK(cluster_az1_mgmt_vm_lbt_chosen),"Value Missing",cluster_az1_mgmt_vm_lbt_chosen)</f>
        <v>Route Based on Physical NIC Load</v>
      </c>
      <c r="K134" s="4" t="s">
        <v>543</v>
      </c>
      <c r="L134" s="8" t="str">
        <f>IF(ISBLANK(input_vcf_automation_vip_fqdn),"Value Missing",input_vcf_automation_vip_fqdn)</f>
        <v>Value Missing</v>
      </c>
      <c r="N134" s="4" t="s">
        <v>3649</v>
      </c>
      <c r="O134" s="8" t="str">
        <f>IF(ISBLANK(input_mgmt_vsan_dit_rekey_default_interval),"Value Missing",input_mgmt_vsan_dit_rekey_default_interval)</f>
        <v>12 hours</v>
      </c>
      <c r="R134" s="9"/>
      <c r="T134" s="9"/>
      <c r="U134" s="9"/>
      <c r="V134" s="3"/>
    </row>
    <row r="135" spans="2:27" s="2" customFormat="1" ht="20" customHeight="1" x14ac:dyDescent="0.2">
      <c r="B135" s="4" t="s">
        <v>1732</v>
      </c>
      <c r="C135" s="8" t="str">
        <f>IF(ISBLANK(input_mgmt_ec_mtu),"Value Missing",input_mgmt_ec_mtu)</f>
        <v>Value Missing</v>
      </c>
      <c r="E135" s="28" t="s">
        <v>267</v>
      </c>
      <c r="F135" s="8" t="str">
        <f>IF(ISBLANK(input_wld_witness_ip),"Value Missing",input_wld_witness_ip)</f>
        <v>Value Missing</v>
      </c>
      <c r="H135" s="30" t="s">
        <v>738</v>
      </c>
      <c r="I135" s="8" t="str">
        <f>IF(ISBLANK(cluster_az1_mgmt_vm_uplink1_chosen),"Value Missing",cluster_az1_mgmt_vm_uplink1_chosen)</f>
        <v>Active</v>
      </c>
      <c r="K135" s="4" t="s">
        <v>3134</v>
      </c>
      <c r="L135" s="8" t="str">
        <f>IF(ISBLANK(input_vcf_automation_sr_fqdn),"Value Missing",input_vcf_automation_sr_fqdn)</f>
        <v>Value Missing</v>
      </c>
      <c r="N135" s="23" t="s">
        <v>3650</v>
      </c>
      <c r="O135" s="8" t="str">
        <f>IF(ISBLANK(input_wld_cl01_vsan_dit_rekey_custom_interval),"Value Missing",input_wld_cl01_vsan_dit_rekey_custom_interval)</f>
        <v>Value Missing</v>
      </c>
      <c r="Q135" s="9"/>
      <c r="R135" s="9"/>
      <c r="T135" s="9"/>
      <c r="U135" s="9"/>
      <c r="V135" s="3"/>
    </row>
    <row r="136" spans="2:27" s="2" customFormat="1" ht="20" customHeight="1" x14ac:dyDescent="0.2">
      <c r="B136" s="4" t="s">
        <v>1735</v>
      </c>
      <c r="C136" s="8" t="str">
        <f>IF(ISBLANK(input_mgmt_ec_rp_name),"Value Missing",input_mgmt_ec_rp_name)</f>
        <v>Value Missing</v>
      </c>
      <c r="E136" s="28" t="s">
        <v>1739</v>
      </c>
      <c r="F136" s="8" t="str">
        <f>IF(ISBLANK(input_wld_witness_ip),"Value Missing",input_wld_witness_ip)</f>
        <v>Value Missing</v>
      </c>
      <c r="H136" s="30" t="s">
        <v>740</v>
      </c>
      <c r="I136" s="8" t="str">
        <f>IF(ISBLANK(cluster_az1_mgmt_vm_uplink2_chosen),"Value Missing",cluster_az1_mgmt_vm_uplink2_chosen)</f>
        <v>Active</v>
      </c>
      <c r="K136" s="23" t="s">
        <v>3336</v>
      </c>
      <c r="L136" s="8" t="str">
        <f>IF(ISBLANK(input_vcf_automation_vip_ip),"Value Missing",input_vcf_automation_vip_ip)</f>
        <v>Value Missing</v>
      </c>
      <c r="N136" s="23" t="s">
        <v>3651</v>
      </c>
      <c r="O136" s="8" t="str">
        <f>IF(ISBLANK(input_wld_cl01_vsan_dit_rekey_default_interval),"Value Missing",input_wld_cl01_vsan_dit_rekey_default_interval)</f>
        <v>1 Day</v>
      </c>
      <c r="Q136" s="9"/>
      <c r="R136" s="9"/>
      <c r="T136" s="9"/>
      <c r="U136" s="9"/>
      <c r="V136" s="3"/>
    </row>
    <row r="137" spans="2:27" s="2" customFormat="1" ht="20" customHeight="1" x14ac:dyDescent="0.2">
      <c r="B137" s="4" t="s">
        <v>1738</v>
      </c>
      <c r="C137" s="8" t="str">
        <f>IF(ISBLANK(mgmt_ec01_host_group_affinity_rule_chosen),"Value Missing",mgmt_ec01_host_group_affinity_rule_chosen)</f>
        <v>No</v>
      </c>
      <c r="E137" s="28" t="s">
        <v>1374</v>
      </c>
      <c r="F137" s="8" t="str">
        <f>IF(ISBLANK(input_wld_witness_zone_vc_fqdn),"Value Missing",input_wld_witness_zone_vc_fqdn)</f>
        <v>Value Missing</v>
      </c>
      <c r="H137" s="219" t="s">
        <v>1383</v>
      </c>
      <c r="I137" s="219"/>
      <c r="K137" s="30" t="s">
        <v>3337</v>
      </c>
      <c r="L137" s="8" t="str" cm="1">
        <f t="array" ref="L137">IF(ISBLANK(input_vcf_automation_sr_ip),"Value Missing",input_vcf_automation_sr_ip)</f>
        <v>Value Missing</v>
      </c>
      <c r="N137" s="8"/>
      <c r="O137" s="8"/>
      <c r="Q137" s="9"/>
      <c r="R137" s="9"/>
      <c r="T137" s="9"/>
      <c r="U137" s="9"/>
      <c r="V137" s="3"/>
    </row>
    <row r="138" spans="2:27" s="2" customFormat="1" ht="20" customHeight="1" x14ac:dyDescent="0.2">
      <c r="B138" s="4" t="s">
        <v>1741</v>
      </c>
      <c r="C138" s="8" t="str">
        <f t="array" ref="C138">IF(ISBLANK(input_mgmt_ec01_en01_host_group_affinity_rule_name),"Value Missing",input_mgmt_ec01_en01_host_group_affinity_rule_name)</f>
        <v>Value Missing</v>
      </c>
      <c r="E138" s="28" t="s">
        <v>1743</v>
      </c>
      <c r="F138" s="8" t="str">
        <f>IF(ISBLANK(input_wld_witnessaz_mgmt_cidr),"Value Missing",input_wld_witnessaz_mgmt_cidr)</f>
        <v>Value Missing</v>
      </c>
      <c r="H138" s="30" t="s">
        <v>178</v>
      </c>
      <c r="I138" s="8" t="str">
        <f>IF(ISBLANK(input_cluster_az1_vmotion_pg),"Value Missing",input_cluster_az1_vmotion_pg)</f>
        <v>Value Missing</v>
      </c>
      <c r="K138" s="30" t="s">
        <v>579</v>
      </c>
      <c r="L138" s="8" t="str">
        <f>IF(ISBLANK(input_vcf_automation_nodea_ip),"Value Missing",input_vcf_automation_nodea_ip)</f>
        <v>Value Missing</v>
      </c>
      <c r="Q138" s="9"/>
      <c r="R138" s="9"/>
      <c r="T138" s="9"/>
      <c r="U138" s="9"/>
      <c r="V138" s="3"/>
      <c r="X138" s="9"/>
    </row>
    <row r="139" spans="2:27" s="2" customFormat="1" ht="20" customHeight="1" x14ac:dyDescent="0.2">
      <c r="B139" s="4" t="s">
        <v>1741</v>
      </c>
      <c r="C139" s="8" t="str">
        <f t="array" ref="C139">IF(ISBLANK(input_mgmt_ec01_en02_host_group_affinity_rule_name),"Value Missing",input_mgmt_ec01_en02_host_group_affinity_rule_name)</f>
        <v>Value Missing</v>
      </c>
      <c r="E139" s="28" t="s">
        <v>3101</v>
      </c>
      <c r="F139" s="8" t="str">
        <f>IF(ISBLANK(input_wld_witnessaz_mgmt_gateway_ip),"Value Missing",input_wld_witnessaz_mgmt_gateway_ip)</f>
        <v>Value Missing</v>
      </c>
      <c r="H139" s="30" t="s">
        <v>736</v>
      </c>
      <c r="I139" s="8" t="str">
        <f>IF(ISBLANK(cluster_az1_vmotion_lbt_chosen),"Value Missing",cluster_az1_vmotion_lbt_chosen)</f>
        <v>Route Based on Physical NIC Load</v>
      </c>
      <c r="K139" s="30" t="s">
        <v>580</v>
      </c>
      <c r="L139" s="8" t="str">
        <f>IF(ISBLANK(input_vcf_automation_nodeb_ip),"Value Missing",input_vcf_automation_nodeb_ip)</f>
        <v>Value Missing</v>
      </c>
      <c r="Q139" s="9"/>
      <c r="R139" s="9"/>
      <c r="T139" s="9"/>
      <c r="U139" s="9"/>
      <c r="V139" s="3"/>
    </row>
    <row r="140" spans="2:27" s="2" customFormat="1" ht="20" customHeight="1" x14ac:dyDescent="0.2">
      <c r="B140" s="4" t="s">
        <v>3671</v>
      </c>
      <c r="C140" s="8" t="str">
        <f>IF(ISBLANK(mgmt_ec01_use_host_overlay_chosen),"Value Missing",mgmt_ec01_use_host_overlay_chosen)</f>
        <v xml:space="preserve">Unselected </v>
      </c>
      <c r="E140" s="28" t="s">
        <v>3102</v>
      </c>
      <c r="F140" s="8" t="str">
        <f>IF(wld_witnessaz_mgmt_cidr="Value Missing",wld_witnessaz_mgmt_cidr,(LEFT(wld_witnessaz_mgmt_cidr,(FIND("/",wld_witnessaz_mgmt_cidr)-1))))</f>
        <v>Value Missing</v>
      </c>
      <c r="H140" s="30" t="s">
        <v>738</v>
      </c>
      <c r="I140" s="8" t="str">
        <f>IF(ISBLANK(cluster_az1_vmotion_uplink1_chosen),"Value Missing",cluster_az1_vmotion_uplink1_chosen)</f>
        <v>Active</v>
      </c>
      <c r="K140" s="30" t="s">
        <v>581</v>
      </c>
      <c r="L140" s="8" t="str">
        <f>IF(ISBLANK(input_vcf_automation_nodec_ip),"Value Missing",input_vcf_automation_nodec_ip)</f>
        <v>Value Missing</v>
      </c>
      <c r="Q140" s="9"/>
      <c r="R140" s="9"/>
      <c r="T140" s="9"/>
      <c r="U140" s="9"/>
      <c r="V140" s="3"/>
    </row>
    <row r="141" spans="2:27" s="2" customFormat="1" ht="20" customHeight="1" x14ac:dyDescent="0.2">
      <c r="B141" s="4" t="s">
        <v>1744</v>
      </c>
      <c r="C141" s="8" t="str">
        <f>IF(mgmt_dpg_reuse_chosen="Use a separate dedicated network","Included","Excluded")</f>
        <v>Included</v>
      </c>
      <c r="E141" s="28" t="s">
        <v>3103</v>
      </c>
      <c r="F141" s="8" t="str">
        <f>IF(wld_witnessaz_mgmt_cidr="Value Missing",wld_witnessaz_mgmt_cidr,VLOOKUP(INT(RIGHT(wld_witnessaz_mgmt_cidr,LEN(wld_witnessaz_mgmt_cidr)-FIND("/",wld_witnessaz_mgmt_cidr))),table_cidr_to_mask,2,FALSE))</f>
        <v>Value Missing</v>
      </c>
      <c r="H141" s="30" t="s">
        <v>740</v>
      </c>
      <c r="I141" s="8" t="str">
        <f>IF(ISBLANK(cluster_az1_vmotion_uplink2_chosen),"Value Missing",cluster_az1_vmotion_uplink2_chosen)</f>
        <v>Active</v>
      </c>
      <c r="K141" s="30" t="s">
        <v>582</v>
      </c>
      <c r="L141" s="8" t="str">
        <f>IF(ISBLANK(input_vcf_automation_noded_ip),"Value Missing",input_vcf_automation_noded_ip)</f>
        <v>Value Missing</v>
      </c>
      <c r="Q141" s="9"/>
      <c r="R141" s="9"/>
      <c r="T141" s="9"/>
      <c r="U141" s="9"/>
      <c r="V141" s="3"/>
      <c r="Z141" s="9"/>
      <c r="AA141" s="9"/>
    </row>
    <row r="142" spans="2:27" s="2" customFormat="1" ht="20" customHeight="1" x14ac:dyDescent="0.2">
      <c r="B142" s="4" t="s">
        <v>1745</v>
      </c>
      <c r="C142" s="8" t="str">
        <f>mgmt_gateway_routing_type_chosen</f>
        <v>BGP</v>
      </c>
      <c r="E142" s="28" t="s">
        <v>1746</v>
      </c>
      <c r="F142" s="8" t="str">
        <f>IF(ISBLANK(input_xreg_vrops_collector_ip),"Value Missing",input_xreg_vrops_collector_ip)</f>
        <v>Value Missing</v>
      </c>
      <c r="H142" s="219" t="s">
        <v>254</v>
      </c>
      <c r="I142" s="219"/>
      <c r="K142" s="30" t="s">
        <v>3161</v>
      </c>
      <c r="L142" s="8" t="str">
        <f>IF(ISBLANK(input_vcf_automation_nodee_ip),"Value Missing",input_vcf_automation_nodee_ip)</f>
        <v>Value Missing</v>
      </c>
      <c r="Q142" s="9"/>
      <c r="R142" s="9"/>
      <c r="T142" s="9"/>
      <c r="U142" s="9"/>
      <c r="V142" s="3"/>
      <c r="Z142" s="9"/>
      <c r="AA142" s="9"/>
    </row>
    <row r="143" spans="2:27" s="2" customFormat="1" ht="20" customHeight="1" x14ac:dyDescent="0.2">
      <c r="B143" s="4" t="s">
        <v>1748</v>
      </c>
      <c r="C143" s="8" t="str">
        <f>mgmt_az1_en1_ip_allocation_chosen</f>
        <v>Static</v>
      </c>
      <c r="E143" s="28" t="s">
        <v>1749</v>
      </c>
      <c r="F143" s="8" t="str">
        <f>IF(ISBLANK(mgmt_vcfops_appliance_size_chosen),"Value Missing",mgmt_vcfops_appliance_size_chosen)</f>
        <v>Medium</v>
      </c>
      <c r="H143" s="30" t="s">
        <v>178</v>
      </c>
      <c r="I143" s="8" t="str">
        <f>IF(ISBLANK(input_cluster_az1_principal_storage_pg),"Value Missing",input_cluster_az1_principal_storage_pg)</f>
        <v>Value Missing</v>
      </c>
      <c r="K143" s="30" t="s">
        <v>3162</v>
      </c>
      <c r="L143" s="8" t="str">
        <f>IF(ISBLANK(input_vcf_automation_nodeef_ip),"Value Missing",input_vcf_automation_nodeef_ip)</f>
        <v>Value Missing</v>
      </c>
      <c r="Q143" s="9"/>
      <c r="R143" s="9"/>
      <c r="T143" s="9"/>
      <c r="U143" s="9"/>
      <c r="V143" s="3"/>
      <c r="Z143" s="9"/>
      <c r="AA143" s="9"/>
    </row>
    <row r="144" spans="2:27" s="2" customFormat="1" ht="20" customHeight="1" x14ac:dyDescent="0.2">
      <c r="B144" s="4" t="s">
        <v>1750</v>
      </c>
      <c r="C144" s="8" t="str">
        <f>IF(ISBLANK(mgmt_az1_en1_edge_overlay_network_ip_allocation_chosen),"Value Missing",mgmt_az1_en1_edge_overlay_network_ip_allocation_chosen)</f>
        <v>IP Pool</v>
      </c>
      <c r="E144" s="9"/>
      <c r="F144" s="9"/>
      <c r="H144" s="30" t="s">
        <v>736</v>
      </c>
      <c r="I144" s="8" t="str">
        <f>IF(ISBLANK(cluster_az1_principal_storage_lbt_chosen),"Value Missing",cluster_az1_principal_storage_lbt_chosen)</f>
        <v>Route Based on Physical NIC Load</v>
      </c>
      <c r="K144" s="4" t="s">
        <v>548</v>
      </c>
      <c r="L144" s="8" t="str">
        <f>IF(ISBLANK(input_vcf_automation_folder),"Value Missing",input_vcf_automation_folder)</f>
        <v>Value Missing</v>
      </c>
      <c r="Q144" s="9"/>
      <c r="R144" s="9"/>
      <c r="T144" s="9"/>
      <c r="U144" s="9"/>
      <c r="V144" s="3"/>
      <c r="Z144" s="9"/>
      <c r="AA144" s="9"/>
    </row>
    <row r="145" spans="2:31" s="2" customFormat="1" ht="20" customHeight="1" x14ac:dyDescent="0.2">
      <c r="B145" s="4" t="s">
        <v>1751</v>
      </c>
      <c r="C145" s="8" t="str">
        <f>IF(ISBLANK(mgmt_az1_en1_edge_overlay_network_ip_allocation_chosen),"Value Missing",mgmt_az1_en1_edge_overlay_network_ip_allocation_chosen)</f>
        <v>IP Pool</v>
      </c>
      <c r="E145" s="217" t="s">
        <v>1752</v>
      </c>
      <c r="F145" s="217"/>
      <c r="H145" s="30" t="s">
        <v>738</v>
      </c>
      <c r="I145" s="8" t="str">
        <f>IF(ISBLANK(cluster_az1_principal_storage_uplink1_chosen),"Value Missing",cluster_az1_principal_storage_uplink1_chosen)</f>
        <v>Active</v>
      </c>
      <c r="K145" s="4" t="s">
        <v>550</v>
      </c>
      <c r="L145" s="8" t="str">
        <f>IF(ISBLANK(input_vcf_automation_resource_pool),"Value Missing",input_vcf_automation_resource_pool)</f>
        <v>Value Missing</v>
      </c>
      <c r="Q145" s="9"/>
      <c r="R145" s="9"/>
      <c r="T145" s="9"/>
      <c r="U145" s="9"/>
      <c r="V145" s="3"/>
      <c r="Z145" s="9"/>
      <c r="AA145" s="9"/>
    </row>
    <row r="146" spans="2:31" s="2" customFormat="1" ht="20" customHeight="1" x14ac:dyDescent="0.2">
      <c r="B146" s="4" t="s">
        <v>1753</v>
      </c>
      <c r="C146" s="8" t="str">
        <f>mgmt_az1_ec01_password_creation_chosen</f>
        <v>Selected</v>
      </c>
      <c r="E146" s="219" t="s">
        <v>250</v>
      </c>
      <c r="F146" s="220" t="s">
        <v>1021</v>
      </c>
      <c r="H146" s="30" t="s">
        <v>740</v>
      </c>
      <c r="I146" s="8" t="str">
        <f>IF(ISBLANK(cluster_az1_principal_storage_uplink2_chosen),"Value Missing",cluster_az1_principal_storage_uplink2_chosen)</f>
        <v>Active</v>
      </c>
      <c r="K146" s="4" t="s">
        <v>1907</v>
      </c>
      <c r="L146" s="8" t="str">
        <f>IF(ISBLANK(input_vcf_automation_mask),"Value Missing",input_vcf_automation_mask)</f>
        <v>Value Missing</v>
      </c>
      <c r="Q146" s="9"/>
      <c r="R146" s="9"/>
      <c r="T146" s="9"/>
      <c r="U146" s="9"/>
      <c r="V146" s="3"/>
      <c r="X146" s="9"/>
      <c r="Z146" s="9"/>
      <c r="AA146" s="9"/>
    </row>
    <row r="147" spans="2:31" s="2" customFormat="1" ht="20" customHeight="1" x14ac:dyDescent="0.2">
      <c r="B147" s="4" t="s">
        <v>1754</v>
      </c>
      <c r="C147" s="8" t="str">
        <f>IF(ISBLANK(wld_az1_ec01_password_creation_chosen),"Value Missing",wld_az1_ec01_password_creation_chosen)</f>
        <v>Selected</v>
      </c>
      <c r="E147" s="4" t="s">
        <v>3389</v>
      </c>
      <c r="F147" s="8" t="str">
        <f>IF(ISBLANK(input_wld_sso_domain_name),"Value Missing",input_wld_sso_domain_name)</f>
        <v>Value Missing</v>
      </c>
      <c r="H147" s="219" t="s">
        <v>1759</v>
      </c>
      <c r="I147" s="219"/>
      <c r="K147" s="4" t="s">
        <v>1836</v>
      </c>
      <c r="L147" s="8" t="str">
        <f>IF(ISBLANK(input_vcf_automation_gateway_ip),"Value Missing",input_vcf_automation_gateway_ip)</f>
        <v>Value Missing</v>
      </c>
      <c r="Q147" s="9"/>
      <c r="R147" s="9"/>
      <c r="T147" s="9"/>
      <c r="U147" s="9"/>
      <c r="V147" s="3"/>
      <c r="X147" s="9"/>
      <c r="Z147" s="9"/>
      <c r="AA147" s="9"/>
    </row>
    <row r="148" spans="2:31" s="2" customFormat="1" ht="20" customHeight="1" x14ac:dyDescent="0.2">
      <c r="B148" s="4" t="s">
        <v>3508</v>
      </c>
      <c r="C148" s="8" t="str">
        <f>IF(ISBLANK(input_mgmt_az1_dtgw_gateway_cidr),"Value Missing",input_mgmt_az1_dtgw_gateway_cidr)</f>
        <v>Value Missing</v>
      </c>
      <c r="E148" s="4" t="s">
        <v>3390</v>
      </c>
      <c r="F148" s="8" t="str">
        <f>IF(ISBLANK(input_wld_administrator_vsphere_local_password),"Value Missing",input_wld_administrator_vsphere_local_password)</f>
        <v>Value Missing</v>
      </c>
      <c r="H148" s="30" t="s">
        <v>178</v>
      </c>
      <c r="I148" s="8" t="str">
        <f>IF(ISBLANK(input_cluster_az1_vsan_storage_client_pg),"Value Missing",input_cluster_az1_vsan_storage_client_pg)</f>
        <v>Value Missing</v>
      </c>
      <c r="K148" s="4" t="s">
        <v>1908</v>
      </c>
      <c r="L148" s="8" t="str">
        <f>IF(ISBLANK(input_vcf_automation_portgroup),"Value Missing",input_vcf_automation_portgroup)</f>
        <v>Value Missing</v>
      </c>
      <c r="Q148" s="9"/>
      <c r="R148" s="9"/>
      <c r="T148" s="9"/>
      <c r="U148" s="9"/>
      <c r="V148" s="3"/>
      <c r="X148" s="9"/>
      <c r="Z148" s="9"/>
      <c r="AA148" s="9"/>
    </row>
    <row r="149" spans="2:31" s="2" customFormat="1" ht="20" customHeight="1" x14ac:dyDescent="0.2">
      <c r="E149" s="4" t="s">
        <v>1755</v>
      </c>
      <c r="F149" s="8" t="str">
        <f>(CONCATENATE("administrator@",input_wld_sso_domain_name))</f>
        <v>administrator@</v>
      </c>
      <c r="H149" s="30" t="s">
        <v>736</v>
      </c>
      <c r="I149" s="8" t="str">
        <f>IF(ISBLANK(cluster_az1_vsan_storage_client_lbt_chosen),"Value Missing",cluster_az1_vsan_storage_client_lbt_chosen)</f>
        <v>Route Based on Physical NIC Load</v>
      </c>
      <c r="K149" s="23" t="s">
        <v>627</v>
      </c>
      <c r="L149" s="8" t="str">
        <f>IF(ISBLANK(input_vcf_automation_admin_password_alias),"Value Missing",input_vcf_automation_admin_password_alias)</f>
        <v>Value Missing</v>
      </c>
      <c r="Q149" s="9"/>
      <c r="R149" s="9"/>
      <c r="T149" s="9"/>
      <c r="U149" s="9"/>
      <c r="V149" s="3"/>
      <c r="X149" s="9"/>
      <c r="Z149" s="9"/>
      <c r="AA149" s="9"/>
    </row>
    <row r="150" spans="2:31" s="2" customFormat="1" ht="20" customHeight="1" x14ac:dyDescent="0.2">
      <c r="B150" s="221" t="s">
        <v>1756</v>
      </c>
      <c r="C150" s="222"/>
      <c r="E150" s="28" t="s">
        <v>1757</v>
      </c>
      <c r="F150" s="8" t="str">
        <f>IF(ISBLANK(input_wld_cl01_image_name),"Value Missing",input_wld_cl01_image_name)</f>
        <v>Value Missing</v>
      </c>
      <c r="H150" s="30" t="s">
        <v>738</v>
      </c>
      <c r="I150" s="8" t="str">
        <f>IF(ISBLANK(cluster_az1_vsan_storage_client_uplink1),"Value Missing",cluster_az1_vsan_storage_client_uplink1)</f>
        <v>Active</v>
      </c>
      <c r="K150" s="30" t="s">
        <v>189</v>
      </c>
      <c r="L150" s="8" t="str">
        <f>IF(ISBLANK(input_vcf_automation_admin_password),"Value Missing",input_vcf_automation_admin_password)</f>
        <v>Value Missing</v>
      </c>
      <c r="Q150" s="9"/>
      <c r="R150" s="9"/>
      <c r="T150" s="9"/>
      <c r="U150" s="9"/>
      <c r="V150" s="3"/>
      <c r="X150" s="9"/>
      <c r="Z150" s="9"/>
      <c r="AA150" s="9"/>
    </row>
    <row r="151" spans="2:31" s="2" customFormat="1" ht="20" customHeight="1" x14ac:dyDescent="0.2">
      <c r="B151" s="219" t="s">
        <v>250</v>
      </c>
      <c r="C151" s="219" t="s">
        <v>20</v>
      </c>
      <c r="E151" s="4" t="s">
        <v>1758</v>
      </c>
      <c r="F151" s="8" t="str">
        <f>wld_centralized_connectivity_chosen</f>
        <v>Distributed Connectivity</v>
      </c>
      <c r="H151" s="30" t="s">
        <v>740</v>
      </c>
      <c r="I151" s="8" t="str">
        <f>IF(ISBLANK(cluster_az1_vsan_storage_client_uplink2),"Value Missing",cluster_az1_vsan_storage_client_uplink2)</f>
        <v>Active</v>
      </c>
      <c r="K151" s="30" t="s">
        <v>628</v>
      </c>
      <c r="L151" s="8" t="str">
        <f>IF(ISBLANK(input_vcf_automation_admin_password_description),"Value Missing",input_vcf_automation_admin_password_description)</f>
        <v>Value Missing</v>
      </c>
      <c r="Q151" s="9"/>
      <c r="R151" s="9"/>
      <c r="T151" s="9"/>
      <c r="U151" s="9"/>
      <c r="V151" s="3"/>
      <c r="X151" s="9"/>
      <c r="Z151" s="9"/>
      <c r="AA151" s="9"/>
    </row>
    <row r="152" spans="2:31" s="2" customFormat="1" ht="20" customHeight="1" x14ac:dyDescent="0.2">
      <c r="B152" s="4" t="s">
        <v>1781</v>
      </c>
      <c r="C152" s="8" t="str">
        <f>flt_vidb_identity_provider_chosen</f>
        <v>AD/LDAP</v>
      </c>
      <c r="E152" s="4" t="s">
        <v>683</v>
      </c>
      <c r="F152" s="8" t="str">
        <f>IF(ISBLANK(input_wld_nsxt_lm_audit_password),"Value Missing",input_wld_nsxt_lm_audit_password)</f>
        <v>Value Missing</v>
      </c>
      <c r="H152" s="219" t="s">
        <v>1766</v>
      </c>
      <c r="I152" s="219"/>
      <c r="K152" s="30" t="s">
        <v>629</v>
      </c>
      <c r="L152" s="8" t="str">
        <f>IF(ISBLANK(input_vcf_automation_admin_username),"Value Missing",input_vcf_automation_admin_username)</f>
        <v>Value Missing</v>
      </c>
      <c r="Q152" s="9"/>
      <c r="R152" s="9"/>
      <c r="T152" s="9"/>
      <c r="U152" s="9"/>
      <c r="V152" s="3"/>
      <c r="X152" s="9"/>
      <c r="Z152" s="9"/>
      <c r="AA152" s="9"/>
    </row>
    <row r="153" spans="2:31" s="2" customFormat="1" ht="20" customHeight="1" x14ac:dyDescent="0.2">
      <c r="B153" s="4" t="s">
        <v>1783</v>
      </c>
      <c r="C153" s="8" t="str">
        <f>IF(ISBLANK(input_flt_vidb_directory_name),"Value Missing",input_flt_vidb_directory_name)</f>
        <v>Value Missing</v>
      </c>
      <c r="E153" s="4" t="s">
        <v>1760</v>
      </c>
      <c r="F153" s="8" t="str">
        <f>IF(ISBLANK(input_wld_nsxt_lm_admin_password),"Value Missing",input_wld_nsxt_lm_admin_password)</f>
        <v>Value Missing</v>
      </c>
      <c r="H153" s="4" t="s">
        <v>746</v>
      </c>
      <c r="I153" s="8" t="str">
        <f>cluster_nsx_default_operation_mode_chosen</f>
        <v>Selected</v>
      </c>
      <c r="K153" s="4" t="s">
        <v>1909</v>
      </c>
      <c r="L153" s="8" t="str">
        <f>IF(ISBLANK(input_vcf_automation_root_password_alias),"Value Missing",input_vcf_automation_root_password_alias)</f>
        <v>Value Missing</v>
      </c>
      <c r="Q153" s="9"/>
      <c r="R153" s="9"/>
      <c r="T153" s="9"/>
      <c r="U153" s="9"/>
      <c r="V153" s="3"/>
      <c r="X153" s="9"/>
      <c r="Z153" s="9"/>
      <c r="AA153" s="9"/>
    </row>
    <row r="154" spans="2:31" s="2" customFormat="1" ht="20" customHeight="1" x14ac:dyDescent="0.2">
      <c r="B154" s="4" t="s">
        <v>1785</v>
      </c>
      <c r="C154" s="8" t="str">
        <f>flt_vidb_server_location_chosen</f>
        <v>Selected</v>
      </c>
      <c r="E154" s="4" t="s">
        <v>1761</v>
      </c>
      <c r="F154" s="8" t="str">
        <f>wld_nsx_ha_mode_chosen</f>
        <v>High-Availability</v>
      </c>
      <c r="H154" s="4" t="s">
        <v>521</v>
      </c>
      <c r="I154" s="8" t="str">
        <f>cluster_nsx_operation_mode_chosen</f>
        <v>Standard</v>
      </c>
      <c r="K154" s="4" t="s">
        <v>30</v>
      </c>
      <c r="L154" s="8" t="str">
        <f>IF(ISBLANK(input_vcf_automation_root_password),"Value Missing",input_vcf_automation_root_password)</f>
        <v>Value Missing</v>
      </c>
      <c r="Q154" s="9"/>
      <c r="R154" s="9"/>
      <c r="T154" s="9"/>
      <c r="U154" s="9"/>
      <c r="V154" s="3"/>
      <c r="X154" s="9"/>
      <c r="Z154" s="9"/>
      <c r="AA154" s="9"/>
    </row>
    <row r="155" spans="2:31" s="2" customFormat="1" ht="20" customHeight="1" x14ac:dyDescent="0.2">
      <c r="B155" s="4" t="s">
        <v>1787</v>
      </c>
      <c r="C155" s="8" t="str">
        <f>flt_vidb_global_catalog_chosen</f>
        <v>Unselected</v>
      </c>
      <c r="E155" s="4" t="s">
        <v>1763</v>
      </c>
      <c r="F155" s="8"/>
      <c r="H155" s="219" t="s">
        <v>749</v>
      </c>
      <c r="I155" s="219"/>
      <c r="K155" s="4" t="s">
        <v>1910</v>
      </c>
      <c r="L155" s="8" t="str">
        <f>IF(ISBLANK(input_vcf_automation_root_password_description),"Value Missing",input_vcf_automation_root_password_description)</f>
        <v>Value Missing</v>
      </c>
      <c r="Q155" s="9"/>
      <c r="R155" s="9"/>
      <c r="T155" s="9"/>
      <c r="U155" s="9"/>
      <c r="V155" s="3"/>
      <c r="X155" s="9"/>
      <c r="Z155" s="9"/>
      <c r="AA155" s="9"/>
    </row>
    <row r="156" spans="2:31" s="2" customFormat="1" ht="20" customHeight="1" x14ac:dyDescent="0.2">
      <c r="B156" s="4" t="s">
        <v>1790</v>
      </c>
      <c r="C156" s="8" t="str">
        <f>flt_vidb_encrypted_connection_chosen</f>
        <v>Unselected</v>
      </c>
      <c r="E156" s="4" t="s">
        <v>1765</v>
      </c>
      <c r="F156" s="8" t="str">
        <f>IF(ISBLANK(input_wld_ec_rp_name),"Value Missing",input_wld_ec_rp_name)</f>
        <v>Value Missing</v>
      </c>
      <c r="H156" s="4" t="s">
        <v>750</v>
      </c>
      <c r="I156" s="8" t="str">
        <f>IF(ISBLANK(input_cluster_host_overlay_transportzone),"Value Missing",input_cluster_host_overlay_transportzone)</f>
        <v>Value Missing</v>
      </c>
      <c r="K156" s="4" t="s">
        <v>28</v>
      </c>
      <c r="L156" s="8" t="str">
        <f>IF(ISBLANK(input_vcf_automation_root_username),"Value Missing",input_vcf_automation_root_username)</f>
        <v>Value Missing</v>
      </c>
      <c r="Q156" s="9"/>
      <c r="R156" s="9"/>
      <c r="T156" s="9"/>
      <c r="U156" s="9"/>
      <c r="V156" s="3"/>
      <c r="X156" s="9"/>
      <c r="Z156" s="9"/>
      <c r="AA156" s="9"/>
    </row>
    <row r="157" spans="2:31" s="2" customFormat="1" ht="20" customHeight="1" x14ac:dyDescent="0.2">
      <c r="B157" s="4" t="s">
        <v>1792</v>
      </c>
      <c r="C157" s="8" t="str">
        <f>IF(ISBLANK(input_flt_vidb_encrypted_cert),"Value Missing",input_flt_vidb_encrypted_cert)</f>
        <v>Value Missing</v>
      </c>
      <c r="E157" s="4" t="s">
        <v>1768</v>
      </c>
      <c r="F157" s="8" t="str">
        <f>IF(ISBLANK(wld_ec01_host_group_affinity_rule_chosen),"Value Missing",wld_ec01_host_group_affinity_rule_chosen)</f>
        <v>No</v>
      </c>
      <c r="H157" s="4" t="s">
        <v>85</v>
      </c>
      <c r="I157" s="8" t="str">
        <f>IF(ISBLANK(input_cluster_az1_host_overlay_vlan),"Value Missing",input_cluster_az1_host_overlay_vlan)</f>
        <v>Value Missing</v>
      </c>
      <c r="K157" s="30" t="s">
        <v>571</v>
      </c>
      <c r="L157" s="8" t="str">
        <f>IF(ISBLANK(vcf_automation_lb_type_chosen),"Value Missing",vcf_automation_lb_type_chosen)</f>
        <v>Internal Load Balancer</v>
      </c>
      <c r="Q157" s="9"/>
      <c r="R157" s="9"/>
      <c r="T157" s="9"/>
      <c r="U157" s="9"/>
      <c r="V157" s="3"/>
      <c r="X157" s="9"/>
      <c r="Z157" s="9"/>
      <c r="AA157" s="9"/>
      <c r="AE157" s="6"/>
    </row>
    <row r="158" spans="2:31" s="2" customFormat="1" ht="20" customHeight="1" x14ac:dyDescent="0.2">
      <c r="B158" s="4" t="s">
        <v>1794</v>
      </c>
      <c r="C158" s="8" t="str">
        <f>IF(ISBLANK(input_flt_vidb_primary_domain_controller),"Value Missing",input_flt_vidb_primary_domain_controller)</f>
        <v>Value Missing</v>
      </c>
      <c r="E158" s="4" t="s">
        <v>1769</v>
      </c>
      <c r="F158" s="8" t="str">
        <f>IF(ISBLANK(input_wld_ec01_en01_host_group_affinity_rule_name),"Value Missing",input_wld_ec01_en01_host_group_affinity_rule_name)</f>
        <v>Value Missing</v>
      </c>
      <c r="H158" s="4" t="s">
        <v>751</v>
      </c>
      <c r="I158" s="8" t="str">
        <f>IF(ISBLANK(cluster_host_overlay_addressing_chosen),"Value Missing",cluster_host_overlay_addressing_chosen)</f>
        <v>Static IP Pool</v>
      </c>
      <c r="K158" s="30" t="s">
        <v>523</v>
      </c>
      <c r="L158" s="8" t="str">
        <f>IF(ISBLANK(vcf_automation_node_prefix_chosen),"Value Missing",vcf_automation_node_prefix_chosen)</f>
        <v>flt-auto</v>
      </c>
      <c r="Q158" s="9"/>
      <c r="R158" s="9"/>
      <c r="T158" s="9"/>
      <c r="U158" s="9"/>
      <c r="V158" s="3"/>
      <c r="X158" s="9"/>
      <c r="Z158" s="9"/>
      <c r="AA158" s="9"/>
    </row>
    <row r="159" spans="2:31" s="2" customFormat="1" ht="20" customHeight="1" x14ac:dyDescent="0.2">
      <c r="B159" s="4" t="s">
        <v>1796</v>
      </c>
      <c r="C159" s="8" t="str">
        <f>IF(ISBLANK(input_flt_vidb_primary_domain_controller_port),"Value Missing",input_flt_vidb_primary_domain_controller_port)</f>
        <v>Value Missing</v>
      </c>
      <c r="E159" s="23" t="s">
        <v>1770</v>
      </c>
      <c r="F159" s="8" t="str">
        <f>IF(ISBLANK(input_wld_ec01_en02_host_group_affinity_rule_name),"Value Missing",input_wld_ec01_en02_host_group_affinity_rule_name)</f>
        <v>Value Missing</v>
      </c>
      <c r="H159" s="4" t="s">
        <v>752</v>
      </c>
      <c r="I159" s="8" t="str">
        <f>IF(ISBLANK(cluster_az1_host_overlay_new_pool_chosen),"Value Missing",cluster_az1_host_overlay_new_pool_chosen)</f>
        <v>Re-use an existing Pool</v>
      </c>
      <c r="K159" s="30" t="s">
        <v>575</v>
      </c>
      <c r="L159" s="8" t="str">
        <f>IF(ISBLANK(vcf_automation_internal_cidr_chosen),"Value Missing",vcf_automation_internal_cidr_chosen)</f>
        <v>240.0.0.0/15</v>
      </c>
      <c r="Q159" s="9"/>
      <c r="R159" s="9"/>
      <c r="T159" s="9"/>
      <c r="U159" s="9"/>
      <c r="V159" s="3"/>
      <c r="W159" s="9"/>
      <c r="X159" s="9"/>
      <c r="Z159" s="9"/>
      <c r="AA159" s="9"/>
    </row>
    <row r="160" spans="2:31" s="2" customFormat="1" ht="20" customHeight="1" x14ac:dyDescent="0.2">
      <c r="B160" s="4" t="s">
        <v>1799</v>
      </c>
      <c r="C160" s="8" t="str">
        <f>IF(ISBLANK(input_flt_vidb_secondary_domain_controller),"Value Missing",input_flt_vidb_secondary_domain_controller)</f>
        <v>Value Missing</v>
      </c>
      <c r="E160" s="4" t="s">
        <v>1771</v>
      </c>
      <c r="F160" s="8" t="str">
        <f>IF(ISBLANK(wld_ec01_use_host_overlay_chosen),"Value Missing",wld_ec01_use_host_overlay_chosen)</f>
        <v xml:space="preserve">Unselected </v>
      </c>
      <c r="H160" s="4" t="s">
        <v>753</v>
      </c>
      <c r="I160" s="8" t="str">
        <f>IF(ISBLANK(input_cluster_az1_host_overlay_network_pool_name),"Value Missing",input_cluster_az1_host_overlay_network_pool_name)</f>
        <v>Value Missing</v>
      </c>
      <c r="K160" s="30" t="s">
        <v>577</v>
      </c>
      <c r="L160" s="8" t="str">
        <f>IF(ISBLANK(input_vcf_automation_additional_vips),"Value Missing",input_vcf_automation_additional_vips)</f>
        <v>Value Missing</v>
      </c>
      <c r="N160" s="9"/>
      <c r="O160" s="9"/>
      <c r="Q160" s="9"/>
      <c r="R160" s="9"/>
      <c r="T160" s="9"/>
      <c r="U160" s="9"/>
      <c r="V160" s="3"/>
      <c r="W160" s="9"/>
      <c r="X160" s="9"/>
      <c r="Z160" s="9"/>
      <c r="AA160" s="9"/>
    </row>
    <row r="161" spans="2:30" s="2" customFormat="1" ht="20" customHeight="1" x14ac:dyDescent="0.2">
      <c r="B161" s="4" t="s">
        <v>1802</v>
      </c>
      <c r="C161" s="8" t="str">
        <f>IF(ISBLANK(input_flt_vidb_secondary_domain_controller_port),"Value Missing",input_flt_vidb_secondary_domain_controller_port)</f>
        <v>Value Missing</v>
      </c>
      <c r="E161" s="4" t="s">
        <v>1772</v>
      </c>
      <c r="F161" s="8" t="str">
        <f>wld_gateway_routing_type_chosen</f>
        <v>BGP</v>
      </c>
      <c r="H161" s="4" t="s">
        <v>953</v>
      </c>
      <c r="I161" s="8" t="str">
        <f>IF(ISBLANK(input_cluster_az1_host_overlay_network_pool_description),"Value Missing",input_cluster_az1_host_overlay_network_pool_description)</f>
        <v>Value Missing</v>
      </c>
      <c r="K161" s="30" t="s">
        <v>3335</v>
      </c>
      <c r="L161" s="8" t="str">
        <f>IF(ISBLANK(input_vcf_automation_runtime_cidr),"Value Missing",input_vcf_automation_runtime_cidr)</f>
        <v>Value Missing</v>
      </c>
      <c r="M161" s="9"/>
      <c r="N161" s="9"/>
      <c r="O161" s="9"/>
      <c r="P161" s="9"/>
      <c r="Q161" s="9"/>
      <c r="R161" s="9"/>
      <c r="T161" s="9"/>
      <c r="U161" s="9"/>
      <c r="V161" s="3"/>
      <c r="W161" s="9"/>
      <c r="X161" s="9"/>
      <c r="Z161" s="9"/>
      <c r="AA161" s="9"/>
    </row>
    <row r="162" spans="2:30" s="2" customFormat="1" ht="20" customHeight="1" x14ac:dyDescent="0.2">
      <c r="B162" s="4" t="s">
        <v>1805</v>
      </c>
      <c r="C162" s="8" t="str">
        <f>flt_vidb_directory_search_chosen</f>
        <v>sAMAccountName</v>
      </c>
      <c r="E162" s="219" t="s">
        <v>1773</v>
      </c>
      <c r="F162" s="219" t="s">
        <v>20</v>
      </c>
      <c r="H162" s="4" t="s">
        <v>447</v>
      </c>
      <c r="I162" s="8" t="str">
        <f>IF(ISBLANK(input_cluster_az1_host_overlay_cidr),"Value Missing",input_cluster_az1_host_overlay_cidr)</f>
        <v>Value Missing</v>
      </c>
      <c r="K162" s="30" t="s">
        <v>3126</v>
      </c>
      <c r="L162" s="8" t="e">
        <f>IF(ISBLANK(input_vcf_automation_node_pool_start_ip),"Value Missing",input_vcf_automation_node_pool_start_ip)</f>
        <v>#NAME?</v>
      </c>
      <c r="N162" s="9"/>
      <c r="O162" s="9"/>
      <c r="P162" s="9"/>
      <c r="Q162" s="9"/>
      <c r="R162" s="9"/>
      <c r="T162" s="9"/>
      <c r="U162" s="9"/>
      <c r="V162" s="9"/>
      <c r="W162" s="9"/>
      <c r="X162" s="9"/>
      <c r="Y162" s="9"/>
    </row>
    <row r="163" spans="2:30" s="2" customFormat="1" ht="20" customHeight="1" x14ac:dyDescent="0.2">
      <c r="B163" s="4" t="s">
        <v>1808</v>
      </c>
      <c r="C163" s="8" t="str">
        <f>IF(ISBLANK(input_flt_vidb_base_dn),"Value Missing",input_flt_vidb_base_dn)</f>
        <v>Value Missing</v>
      </c>
      <c r="E163" s="23" t="s">
        <v>746</v>
      </c>
      <c r="F163" s="8" t="str">
        <f>wld_nsx_default_operation_mode_chosen</f>
        <v>Selected</v>
      </c>
      <c r="H163" s="4" t="s">
        <v>244</v>
      </c>
      <c r="I163" s="8" t="str">
        <f>IF(ISBLANK(input_cluster_az1_host_overlay_pool_start_ip),"Value Missing",input_cluster_az1_host_overlay_pool_start_ip)</f>
        <v>Value Missing</v>
      </c>
      <c r="K163" s="30" t="s">
        <v>3127</v>
      </c>
      <c r="L163" s="8" t="e">
        <f>IF(ISBLANK(input_vcf_automation_node_pool_end_ip),"Value Missing",input_vcf_automation_node_pool_end_ip)</f>
        <v>#NAME?</v>
      </c>
      <c r="N163" s="9"/>
      <c r="O163" s="9"/>
      <c r="P163" s="9"/>
      <c r="Q163" s="9"/>
      <c r="R163" s="9"/>
      <c r="T163" s="9"/>
      <c r="U163" s="9"/>
      <c r="V163" s="9"/>
      <c r="X163" s="9"/>
      <c r="Y163" s="9"/>
    </row>
    <row r="164" spans="2:30" s="2" customFormat="1" ht="20" customHeight="1" x14ac:dyDescent="0.2">
      <c r="B164" s="4" t="s">
        <v>1809</v>
      </c>
      <c r="C164" s="8" t="str">
        <f>IF(ISBLANK(input_flt_vidb_bind_username),"Value Missing",input_flt_vidb_bind_username)</f>
        <v>Value Missing</v>
      </c>
      <c r="E164" s="23" t="s">
        <v>1774</v>
      </c>
      <c r="F164" s="8" t="str">
        <f>IF(ISBLANK(mgmt_nsx_operation_mode_chosen),"Value Missing",mgmt_nsx_operation_mode_chosen)</f>
        <v>Enhanced Datapath Standard</v>
      </c>
      <c r="H164" s="4" t="s">
        <v>245</v>
      </c>
      <c r="I164" s="8" t="str">
        <f>IF(ISBLANK(input_cluster_az1_host_overlay_pool_end_ip),"Value Missing",input_cluster_az1_host_overlay_pool_end_ip)</f>
        <v>Value Missing</v>
      </c>
      <c r="K164" s="30" t="s">
        <v>3709</v>
      </c>
      <c r="L164" s="8" t="str">
        <f>IF(ISBLANK(input_vcf_automation_gateway_cidr),"Value Missing",input_vcf_automation_gateway_cidr)</f>
        <v>Value Missing</v>
      </c>
      <c r="M164" s="9"/>
      <c r="N164" s="9"/>
      <c r="O164" s="9"/>
      <c r="P164" s="9"/>
      <c r="Q164" s="9"/>
      <c r="R164" s="9"/>
      <c r="T164" s="9"/>
      <c r="U164" s="9"/>
      <c r="V164" s="9"/>
      <c r="X164" s="9"/>
      <c r="Y164" s="9"/>
    </row>
    <row r="165" spans="2:30" s="2" customFormat="1" ht="20" customHeight="1" x14ac:dyDescent="0.2">
      <c r="B165" s="4" t="s">
        <v>1810</v>
      </c>
      <c r="C165" s="8" t="str">
        <f>IF(ISBLANK(input_flt_vidb_bind_password),"Value Missing",input_flt_vidb_bind_password)</f>
        <v>Value Missing</v>
      </c>
      <c r="E165" s="23" t="s">
        <v>1775</v>
      </c>
      <c r="F165" s="8" t="str">
        <f>wld_domain_password_creation_chosen</f>
        <v>Selected</v>
      </c>
      <c r="H165" s="4" t="s">
        <v>448</v>
      </c>
      <c r="I165" s="8" t="str">
        <f>IF(ISBLANK(input_cluster_az1_host_overlay_gateway_ip),"Value Missing",input_cluster_az1_host_overlay_gateway_ip)</f>
        <v>Value Missing</v>
      </c>
      <c r="K165" s="30" t="s">
        <v>3710</v>
      </c>
      <c r="L165" s="8" t="str">
        <f>IF(ISBLANK(input_vcf_automation_dpg),"Value Missing",input_vcf_automation_dpg)</f>
        <v>Value Missing</v>
      </c>
      <c r="M165" s="9"/>
      <c r="N165" s="9"/>
      <c r="O165" s="9"/>
      <c r="P165" s="9"/>
      <c r="Q165" s="9"/>
      <c r="R165" s="9"/>
      <c r="T165" s="9"/>
      <c r="U165" s="9"/>
      <c r="V165" s="9"/>
      <c r="X165" s="9"/>
      <c r="Y165" s="9"/>
    </row>
    <row r="166" spans="2:30" s="2" customFormat="1" ht="20" customHeight="1" x14ac:dyDescent="0.2">
      <c r="B166" s="4" t="s">
        <v>1812</v>
      </c>
      <c r="C166" s="8" t="str">
        <f>IF(ISBLANK(input_flt_vidb_user_name),"Value Missing",input_flt_vidb_user_name)</f>
        <v>Value Missing</v>
      </c>
      <c r="E166" s="23" t="s">
        <v>1776</v>
      </c>
      <c r="F166" s="8" t="str">
        <f>wld_az1_en1_edge_overlay_network_ip_allocation_chosen</f>
        <v>IP Pool</v>
      </c>
      <c r="H166" s="4" t="s">
        <v>750</v>
      </c>
      <c r="I166" s="8" t="str">
        <f>IF(ISBLANK(input_cluster_nsx_vlan_transport_zone_name),"Value Missing",input_cluster_nsx_vlan_transport_zone_name)</f>
        <v>Value Missing</v>
      </c>
      <c r="K166" s="30" t="s">
        <v>3711</v>
      </c>
      <c r="L166" s="8" t="str">
        <f>IF(ISBLANK(input_vcf_automation_runtime_ips),"Value Missing",input_vcf_automation_runtime_ips)</f>
        <v>Value Missing</v>
      </c>
      <c r="M166" s="9"/>
      <c r="O166" s="9"/>
      <c r="P166" s="9"/>
      <c r="Q166" s="9"/>
      <c r="R166" s="9"/>
      <c r="T166" s="9"/>
      <c r="U166" s="9"/>
      <c r="V166" s="3"/>
      <c r="W166" s="9"/>
      <c r="X166" s="9"/>
      <c r="Z166" s="9"/>
      <c r="AA166" s="9"/>
    </row>
    <row r="167" spans="2:30" s="2" customFormat="1" ht="20" customHeight="1" x14ac:dyDescent="0.2">
      <c r="B167" s="4" t="s">
        <v>1814</v>
      </c>
      <c r="C167" s="8" t="str">
        <f>IF(ISBLANK(input_flt_vidb_first_name),"Value Missing",input_flt_vidb_first_name)</f>
        <v>Value Missing</v>
      </c>
      <c r="E167" s="23" t="s">
        <v>1777</v>
      </c>
      <c r="F167" s="8" t="str">
        <f>wld_az1_en1_ip_allocation_chosen</f>
        <v>Static</v>
      </c>
      <c r="H167" s="4" t="s">
        <v>758</v>
      </c>
      <c r="I167" s="8" t="str">
        <f>IF(ISBLANK(input_cluster_az1_nsx_uplink_count),"Value Missing",input_cluster_az1_nsx_uplink_count)</f>
        <v>Value Missing</v>
      </c>
      <c r="K167" s="9"/>
      <c r="L167" s="9"/>
      <c r="M167" s="9"/>
      <c r="O167" s="9"/>
      <c r="P167" s="9"/>
      <c r="Q167" s="9"/>
      <c r="R167" s="9"/>
      <c r="T167" s="9"/>
      <c r="U167" s="9"/>
      <c r="V167" s="3"/>
      <c r="W167" s="9"/>
      <c r="X167" s="9"/>
      <c r="Z167" s="9"/>
      <c r="AA167" s="9"/>
    </row>
    <row r="168" spans="2:30" s="2" customFormat="1" ht="20" customHeight="1" x14ac:dyDescent="0.2">
      <c r="B168" s="4" t="s">
        <v>1816</v>
      </c>
      <c r="C168" s="8" t="str">
        <f>IF(ISBLANK(input_flt_vidb_last_name),"Value Missing",input_flt_vidb_last_name)</f>
        <v>Value Missing</v>
      </c>
      <c r="E168" s="23" t="s">
        <v>1778</v>
      </c>
      <c r="F168" s="8"/>
      <c r="H168" s="4" t="s">
        <v>759</v>
      </c>
      <c r="I168" s="8" t="str">
        <f>IF(ISBLANK(input_cluster_az1_nsx_uplink1),"Value Missing",input_cluster_az1_nsx_uplink1)</f>
        <v>Value Missing</v>
      </c>
      <c r="K168" s="9"/>
      <c r="L168" s="9"/>
      <c r="M168" s="9"/>
      <c r="O168" s="9"/>
      <c r="P168" s="9"/>
      <c r="Q168" s="9"/>
      <c r="R168" s="9"/>
      <c r="T168" s="9"/>
      <c r="U168" s="9"/>
      <c r="V168" s="3"/>
      <c r="W168" s="9"/>
      <c r="X168" s="9"/>
      <c r="Z168" s="9"/>
      <c r="AA168" s="9"/>
    </row>
    <row r="169" spans="2:30" s="2" customFormat="1" ht="20" customHeight="1" x14ac:dyDescent="0.2">
      <c r="B169" s="4" t="s">
        <v>1818</v>
      </c>
      <c r="C169" s="8" t="str">
        <f>IF(ISBLANK(input_flt_vidb_distinguished_name),"Value Missing",input_flt_vidb_distinguished_name)</f>
        <v>Value Missing</v>
      </c>
      <c r="E169" s="23" t="s">
        <v>1779</v>
      </c>
      <c r="F169" s="8" t="str">
        <f>wld_az1_en2_ip_allocation_chosen</f>
        <v>Static</v>
      </c>
      <c r="H169" s="4" t="s">
        <v>760</v>
      </c>
      <c r="I169" s="8" t="str">
        <f>IF(ISBLANK(input_cluster_az1_nsx_uplink2),"Value Missing",input_cluster_az1_nsx_uplink2)</f>
        <v>Value Missing</v>
      </c>
      <c r="K169" s="9"/>
      <c r="L169" s="9"/>
      <c r="M169" s="9"/>
      <c r="O169" s="9"/>
      <c r="P169" s="9"/>
      <c r="Q169" s="9"/>
      <c r="R169" s="9"/>
      <c r="T169" s="9"/>
      <c r="U169" s="9"/>
      <c r="V169" s="3"/>
      <c r="W169" s="9"/>
      <c r="X169" s="9"/>
      <c r="Z169" s="9"/>
      <c r="AA169" s="9"/>
    </row>
    <row r="170" spans="2:30" s="2" customFormat="1" ht="20" customHeight="1" x14ac:dyDescent="0.2">
      <c r="B170" s="4" t="s">
        <v>1819</v>
      </c>
      <c r="C170" s="8" t="str">
        <f>IF(ISBLANK(input_flt_vidb_employeeID),"Value Missing",input_flt_vidb_employeeID)</f>
        <v>Value Missing</v>
      </c>
      <c r="E170" s="23" t="s">
        <v>1780</v>
      </c>
      <c r="F170" s="8" t="s">
        <v>1780</v>
      </c>
      <c r="H170" s="23" t="s">
        <v>761</v>
      </c>
      <c r="I170" s="8" t="str">
        <f>IF(ISBLANK(input_cluster_az1_host_overlay_uplink_profile_name),"Value Missing",input_cluster_az1_host_overlay_uplink_profile_name)</f>
        <v>Value Missing</v>
      </c>
      <c r="K170" s="9"/>
      <c r="M170" s="9"/>
      <c r="O170" s="9"/>
      <c r="P170" s="9"/>
      <c r="Q170" s="9"/>
      <c r="R170" s="9"/>
      <c r="T170" s="9"/>
      <c r="U170" s="9"/>
      <c r="V170" s="3"/>
      <c r="W170" s="9"/>
      <c r="X170" s="9"/>
      <c r="Y170" s="9"/>
      <c r="Z170" s="9"/>
      <c r="AA170" s="9"/>
    </row>
    <row r="171" spans="2:30" s="2" customFormat="1" ht="20" customHeight="1" x14ac:dyDescent="0.2">
      <c r="B171" s="4" t="s">
        <v>1821</v>
      </c>
      <c r="C171" s="8" t="str">
        <f>IF(ISBLANK(input_flt_vidb_mail),"Value Missing",input_flt_vidb_mail)</f>
        <v>Value Missing</v>
      </c>
      <c r="E171" s="23" t="s">
        <v>1782</v>
      </c>
      <c r="F171" s="8" t="str">
        <f>IF(ISBLANK(wld_az1_host_overlay_new_pool_chosen),"Value Missing",wld_az1_host_overlay_new_pool_chosen)</f>
        <v>Create New Static IP Pool</v>
      </c>
      <c r="H171" s="4" t="s">
        <v>736</v>
      </c>
      <c r="I171" s="8" t="str">
        <f>IF(ISBLANK(cluster_az1_nsx_lbt_chosen),"Value Missing",cluster_az1_nsx_lbt_chosen)</f>
        <v>Load Balance Source</v>
      </c>
      <c r="K171" s="9"/>
      <c r="M171" s="9"/>
      <c r="O171" s="9"/>
      <c r="P171" s="9"/>
      <c r="Q171" s="9"/>
      <c r="R171" s="9"/>
      <c r="T171" s="9"/>
      <c r="U171" s="9"/>
      <c r="V171" s="3"/>
      <c r="W171" s="9"/>
      <c r="X171" s="9"/>
      <c r="Y171" s="9"/>
      <c r="Z171" s="9"/>
      <c r="AA171" s="9"/>
    </row>
    <row r="172" spans="2:30" s="2" customFormat="1" ht="20" customHeight="1" x14ac:dyDescent="0.2">
      <c r="B172" s="4" t="s">
        <v>1822</v>
      </c>
      <c r="C172" s="8" t="str">
        <f>IF(ISBLANK(input_flt_vidb_user_principal_name),"Value Missing",input_flt_vidb_user_principal_name)</f>
        <v>Value Missing</v>
      </c>
      <c r="E172" s="23" t="s">
        <v>1784</v>
      </c>
      <c r="F172" s="8" t="str">
        <f>wld_nsx_default_operation_mode_chosen</f>
        <v>Selected</v>
      </c>
      <c r="H172" s="4" t="s">
        <v>1797</v>
      </c>
      <c r="I172" s="8" t="str">
        <f>IF(ISBLANK(input_cluster_az1_nsx_uplink1_active),"Value Missing",input_cluster_az1_nsx_uplink1_active)</f>
        <v>Value Missing</v>
      </c>
      <c r="K172" s="9"/>
      <c r="L172" s="9"/>
      <c r="M172" s="9"/>
      <c r="O172" s="9"/>
      <c r="P172" s="9"/>
      <c r="Q172" s="9"/>
      <c r="R172" s="9"/>
      <c r="T172" s="9"/>
      <c r="U172" s="9"/>
      <c r="V172" s="3"/>
      <c r="W172" s="9"/>
      <c r="X172" s="9"/>
      <c r="Y172" s="9"/>
      <c r="Z172" s="9"/>
      <c r="AA172" s="9"/>
    </row>
    <row r="173" spans="2:30" s="2" customFormat="1" ht="20" customHeight="1" x14ac:dyDescent="0.2">
      <c r="B173" s="4" t="s">
        <v>1823</v>
      </c>
      <c r="C173" s="8" t="str">
        <f>IF(ISBLANK(input_flt_vidb_group_base_dn),"Value Missing",input_flt_vidb_group_base_dn)</f>
        <v>Value Missing</v>
      </c>
      <c r="E173" s="23" t="s">
        <v>1786</v>
      </c>
      <c r="F173" s="8"/>
      <c r="H173" s="4" t="s">
        <v>956</v>
      </c>
      <c r="I173" s="8" t="str">
        <f>IF(ISBLANK(input_cluster_az1_nsx_uplink2_active),"Value Missing",input_cluster_az1_nsx_uplink2_active)</f>
        <v>Value Missing</v>
      </c>
      <c r="K173" s="9"/>
      <c r="L173" s="9"/>
      <c r="M173" s="9"/>
      <c r="O173" s="9"/>
      <c r="P173" s="9"/>
      <c r="Q173" s="9"/>
      <c r="R173" s="9"/>
      <c r="T173" s="9"/>
      <c r="U173" s="9"/>
      <c r="V173" s="3"/>
      <c r="W173" s="9"/>
      <c r="X173" s="9"/>
      <c r="Y173" s="9"/>
      <c r="Z173" s="9"/>
      <c r="AA173" s="9"/>
    </row>
    <row r="174" spans="2:30" s="2" customFormat="1" ht="20" customHeight="1" x14ac:dyDescent="0.2">
      <c r="B174" s="4" t="s">
        <v>1824</v>
      </c>
      <c r="C174" s="8" t="str">
        <f>IF(ISBLANK(input_flt_vidb_user_base_dn),"Value Missing",input_flt_vidb_user_base_dn)</f>
        <v>Value Missing</v>
      </c>
      <c r="E174" s="23" t="s">
        <v>1788</v>
      </c>
      <c r="F174" s="8" t="str">
        <f>wld_cl01_vds_copy_profile_chosen</f>
        <v>Selected</v>
      </c>
      <c r="K174" s="9"/>
      <c r="L174" s="9"/>
      <c r="M174" s="9"/>
      <c r="O174" s="9"/>
      <c r="P174" s="9"/>
      <c r="Q174" s="9"/>
      <c r="R174" s="9"/>
      <c r="T174" s="9"/>
      <c r="U174" s="9"/>
      <c r="V174" s="3"/>
      <c r="W174" s="9"/>
      <c r="X174" s="9"/>
      <c r="Y174" s="9"/>
      <c r="Z174" s="9"/>
      <c r="AA174" s="9"/>
      <c r="AD174" s="9"/>
    </row>
    <row r="175" spans="2:30" s="2" customFormat="1" ht="20" customHeight="1" x14ac:dyDescent="0.2">
      <c r="B175" s="9"/>
      <c r="C175" s="9"/>
      <c r="E175" s="23" t="s">
        <v>758</v>
      </c>
      <c r="F175" s="8" t="str">
        <f>IF(ISBLANK(input_wld_cl01_az1_nsx_uplink_count),"Value Missing",input_wld_cl01_az1_nsx_uplink_count)</f>
        <v>Value Missing</v>
      </c>
      <c r="H175" s="217" t="s">
        <v>1807</v>
      </c>
      <c r="I175" s="217"/>
      <c r="K175" s="9"/>
      <c r="L175" s="9"/>
      <c r="M175" s="9"/>
      <c r="O175" s="9"/>
      <c r="P175" s="9"/>
      <c r="Q175" s="9"/>
      <c r="R175" s="9"/>
      <c r="T175" s="9"/>
      <c r="U175" s="9"/>
      <c r="V175" s="3"/>
      <c r="W175" s="9"/>
      <c r="X175" s="9"/>
      <c r="Y175" s="9"/>
      <c r="Z175" s="9"/>
      <c r="AA175" s="9"/>
      <c r="AD175" s="9"/>
    </row>
    <row r="176" spans="2:30" s="2" customFormat="1" ht="20" customHeight="1" x14ac:dyDescent="0.2">
      <c r="B176" s="623" t="s">
        <v>1825</v>
      </c>
      <c r="C176" s="624"/>
      <c r="D176" s="9"/>
      <c r="E176" s="23" t="s">
        <v>755</v>
      </c>
      <c r="F176" s="8" t="str">
        <f>IF(ISBLANK(input_wld_nsx_vlan_transport_zone_name),"Value Missing",input_wld_nsx_vlan_transport_zone_name)</f>
        <v>Value Missing</v>
      </c>
      <c r="H176" s="219" t="s">
        <v>250</v>
      </c>
      <c r="I176" s="220" t="s">
        <v>20</v>
      </c>
      <c r="K176" s="9"/>
      <c r="L176" s="9"/>
      <c r="M176" s="9"/>
      <c r="O176" s="9"/>
      <c r="P176" s="9"/>
      <c r="Q176" s="9"/>
      <c r="R176" s="9"/>
      <c r="T176" s="9"/>
      <c r="U176" s="9"/>
      <c r="V176" s="3"/>
      <c r="W176" s="9"/>
      <c r="X176" s="9"/>
      <c r="Y176" s="9"/>
      <c r="Z176" s="9"/>
      <c r="AA176" s="9"/>
      <c r="AD176" s="9"/>
    </row>
    <row r="177" spans="2:31" s="2" customFormat="1" ht="20" customHeight="1" x14ac:dyDescent="0.2">
      <c r="B177" s="219" t="s">
        <v>250</v>
      </c>
      <c r="C177" s="220" t="s">
        <v>20</v>
      </c>
      <c r="D177" s="9"/>
      <c r="E177" s="4" t="s">
        <v>764</v>
      </c>
      <c r="F177" s="8" t="str">
        <f>IF(ISBLANK(wld_az1_nsx_uplink1_active_chosen),"Value Missing",wld_az1_nsx_uplink1_active_chosen)</f>
        <v>Selected</v>
      </c>
      <c r="H177" s="4" t="s">
        <v>654</v>
      </c>
      <c r="I177" s="8" t="str">
        <f>wld_bf_vcenter_type_chosen</f>
        <v>Specify an external vCenter</v>
      </c>
      <c r="K177" s="9"/>
      <c r="L177" s="9"/>
      <c r="M177" s="9"/>
      <c r="O177" s="9"/>
      <c r="P177" s="9"/>
      <c r="Q177" s="9"/>
      <c r="R177" s="9"/>
      <c r="T177" s="9"/>
      <c r="U177" s="9"/>
      <c r="V177" s="3"/>
      <c r="W177" s="9"/>
      <c r="X177" s="9"/>
      <c r="Y177" s="9"/>
      <c r="Z177" s="9"/>
      <c r="AA177" s="9"/>
      <c r="AD177" s="9"/>
      <c r="AE177" s="9"/>
    </row>
    <row r="178" spans="2:31" s="2" customFormat="1" ht="20" customHeight="1" x14ac:dyDescent="0.2">
      <c r="B178" s="28" t="s">
        <v>1374</v>
      </c>
      <c r="C178" s="8" t="str">
        <f>IF(ISBLANK(input_mgmt_witness_zone_vc_fqdn),"Value Missing",input_mgmt_witness_zone_vc_fqdn)</f>
        <v>Value Missing</v>
      </c>
      <c r="D178" s="9"/>
      <c r="E178" s="4" t="s">
        <v>765</v>
      </c>
      <c r="F178" s="8" t="str">
        <f>IF(ISBLANK(wld_az1_nsx_uplink2_active_chosen),"Value Missing",wld_az1_nsx_uplink2_active_chosen)</f>
        <v>Selected</v>
      </c>
      <c r="H178" s="4" t="s">
        <v>656</v>
      </c>
      <c r="I178" s="8" t="str">
        <f>IF(ISBLANK(input_wld_bf_vc_fqdn),"Value Missing",input_wld_bf_vc_fqdn)</f>
        <v>Value Missing</v>
      </c>
      <c r="K178" s="9"/>
      <c r="L178" s="9"/>
      <c r="M178" s="9"/>
      <c r="O178" s="9"/>
      <c r="P178" s="9"/>
      <c r="Q178" s="9"/>
      <c r="R178" s="9"/>
      <c r="T178" s="9"/>
      <c r="U178" s="9"/>
      <c r="V178" s="3"/>
      <c r="W178" s="9"/>
      <c r="X178" s="9"/>
      <c r="Y178" s="9"/>
      <c r="Z178" s="9"/>
      <c r="AA178" s="9"/>
      <c r="AD178" s="9"/>
      <c r="AE178" s="9"/>
    </row>
    <row r="179" spans="2:31" s="2" customFormat="1" ht="20" customHeight="1" x14ac:dyDescent="0.2">
      <c r="B179" s="28" t="s">
        <v>267</v>
      </c>
      <c r="C179" s="8" t="str">
        <f>IF(ISBLANK(input_mgmt_witness_hostname),"Value Missing",input_mgmt_witness_hostname)</f>
        <v>Value Missing</v>
      </c>
      <c r="D179" s="9"/>
      <c r="E179" s="37" t="s">
        <v>1800</v>
      </c>
      <c r="F179" s="8" t="str">
        <f>IF(ISBLANK(input_wld_nsxt_en_admin_password),"Value Missing",input_wld_nsxt_en_admin_password)</f>
        <v>Value Missing</v>
      </c>
      <c r="H179" s="4" t="s">
        <v>657</v>
      </c>
      <c r="I179" s="8" t="str">
        <f>IF(ISBLANK(input_wld_bf_vc_root_password),"Value Missing",input_wld_bf_vc_root_password)</f>
        <v>Value Missing</v>
      </c>
      <c r="K179" s="9"/>
      <c r="L179" s="9"/>
      <c r="M179" s="9"/>
      <c r="O179" s="9"/>
      <c r="P179" s="9"/>
      <c r="Q179" s="9"/>
      <c r="R179" s="9"/>
      <c r="T179" s="9"/>
      <c r="U179" s="9"/>
      <c r="V179" s="3"/>
      <c r="W179" s="9"/>
      <c r="X179" s="9"/>
      <c r="Y179" s="9"/>
      <c r="Z179" s="9"/>
      <c r="AA179" s="9"/>
      <c r="AD179" s="9"/>
      <c r="AE179" s="9"/>
    </row>
    <row r="180" spans="2:31" s="2" customFormat="1" ht="20" customHeight="1" x14ac:dyDescent="0.2">
      <c r="D180" s="9"/>
      <c r="E180" s="268" t="s">
        <v>1803</v>
      </c>
      <c r="F180" s="8" t="str">
        <f>IF(ISBLANK(input_wld_nsxt_en_root_password),"Value Missing",input_wld_nsxt_en_root_password)</f>
        <v>Value Missing</v>
      </c>
      <c r="H180" s="4" t="s">
        <v>658</v>
      </c>
      <c r="I180" s="8" t="str">
        <f>IF(ISBLANK(input_wld_bf_vc_sso_username),"Value Missing",input_wld_bf_vc_sso_username)</f>
        <v>Value Missing</v>
      </c>
      <c r="K180" s="9"/>
      <c r="L180" s="9"/>
      <c r="M180" s="9"/>
      <c r="O180" s="9"/>
      <c r="P180" s="9"/>
      <c r="Q180" s="9"/>
      <c r="R180" s="9"/>
      <c r="T180" s="9"/>
      <c r="U180" s="9"/>
      <c r="V180" s="3"/>
      <c r="W180" s="9"/>
      <c r="X180" s="9"/>
      <c r="Y180" s="9"/>
      <c r="Z180" s="9"/>
      <c r="AA180" s="9"/>
      <c r="AD180" s="9"/>
      <c r="AE180" s="9"/>
    </row>
    <row r="181" spans="2:31" s="2" customFormat="1" ht="20" customHeight="1" x14ac:dyDescent="0.2">
      <c r="B181" s="623" t="s">
        <v>1828</v>
      </c>
      <c r="C181" s="624"/>
      <c r="D181" s="9"/>
      <c r="E181" s="268" t="s">
        <v>1806</v>
      </c>
      <c r="F181" s="8" t="str">
        <f>IF(ISBLANK(input_wld_ec_mtu),"Value Missing",input_wld_ec_mtu)</f>
        <v>Value Missing</v>
      </c>
      <c r="H181" s="4" t="s">
        <v>659</v>
      </c>
      <c r="I181" s="8" t="str">
        <f>IF(ISBLANK(input_wld_bf_vc_sso_password),"Value Missing",input_wld_bf_vc_sso_password)</f>
        <v>Value Missing</v>
      </c>
      <c r="K181" s="9"/>
      <c r="L181" s="9"/>
      <c r="M181" s="9"/>
      <c r="O181" s="9"/>
      <c r="P181" s="9"/>
      <c r="Q181" s="9"/>
      <c r="R181" s="9"/>
      <c r="T181" s="9"/>
      <c r="U181" s="9"/>
      <c r="V181" s="9"/>
      <c r="W181" s="9"/>
      <c r="X181" s="9"/>
      <c r="Y181" s="9"/>
      <c r="Z181" s="9"/>
      <c r="AA181" s="9"/>
      <c r="AD181" s="9"/>
      <c r="AE181" s="9"/>
    </row>
    <row r="182" spans="2:31" s="2" customFormat="1" ht="20" customHeight="1" x14ac:dyDescent="0.2">
      <c r="B182" s="219" t="s">
        <v>250</v>
      </c>
      <c r="C182" s="220" t="s">
        <v>20</v>
      </c>
      <c r="D182" s="9"/>
      <c r="E182" s="23" t="s">
        <v>697</v>
      </c>
      <c r="F182" s="8" t="str">
        <f>IF(ISBLANK(input_wld_cl01_cluster_zn_name),"Value Missing",input_wld_cl01_cluster_zn_name)</f>
        <v>Value Missing</v>
      </c>
      <c r="H182" s="4" t="s">
        <v>660</v>
      </c>
      <c r="I182" s="8" t="str">
        <f>IF(ISBLANK(wld_bf_nsx_existing_chosen),"Value Missing",wld_bf_nsx_existing_chosen)</f>
        <v>Selected</v>
      </c>
      <c r="J182" s="9"/>
      <c r="K182" s="9"/>
      <c r="L182" s="9"/>
      <c r="M182" s="9"/>
      <c r="O182" s="9"/>
      <c r="P182" s="9"/>
      <c r="Q182" s="9"/>
      <c r="R182" s="9"/>
      <c r="T182" s="9"/>
      <c r="U182" s="9"/>
      <c r="V182" s="9"/>
      <c r="W182" s="9"/>
      <c r="X182" s="9"/>
      <c r="Y182" s="9"/>
      <c r="Z182" s="9"/>
      <c r="AA182" s="9"/>
      <c r="AD182" s="9"/>
      <c r="AE182" s="9"/>
    </row>
    <row r="183" spans="2:31" ht="20" customHeight="1" x14ac:dyDescent="0.2">
      <c r="B183" s="4" t="s">
        <v>1692</v>
      </c>
      <c r="C183" s="8" t="str">
        <f>IF(ISBLANK(input_mgmt_az2_host1_sddc_id),"Value Missing",input_mgmt_az2_host1_sddc_id)</f>
        <v>Value Missing</v>
      </c>
      <c r="E183" s="23" t="s">
        <v>778</v>
      </c>
      <c r="F183" s="8" t="str">
        <f>IF(ISBLANK(input_wld_cl01_supervisor_control_plane_ip_range),"Value Missing",input_wld_cl01_supervisor_control_plane_ip_range)</f>
        <v>Value Missing</v>
      </c>
      <c r="H183" s="23" t="s">
        <v>663</v>
      </c>
      <c r="I183" s="8" t="str">
        <f>IF(ISBLANK(wld_bf_nsx_join_manager_chosen),"Value Missing",wld_bf_nsx_join_manager_chosen)</f>
        <v>Create new NSX Manager Instance</v>
      </c>
      <c r="N183" s="2"/>
      <c r="AB183" s="2"/>
    </row>
    <row r="184" spans="2:31" ht="20" customHeight="1" x14ac:dyDescent="0.2">
      <c r="B184" s="4" t="s">
        <v>1693</v>
      </c>
      <c r="C184" s="8" t="str">
        <f>IF(ISBLANK(input_mgmt_az2_host2_sddc_id),"Value Missing",input_mgmt_az2_host2_sddc_id)</f>
        <v>Value Missing</v>
      </c>
      <c r="E184" s="23" t="s">
        <v>786</v>
      </c>
      <c r="F184" s="8" t="str">
        <f>IF(ISBLANK(input_wld_cl01_supervisor_dns),"Value Missing",input_wld_cl01_supervisor_dns)</f>
        <v>Value Missing</v>
      </c>
      <c r="H184" s="23" t="s">
        <v>665</v>
      </c>
      <c r="I184" s="8" t="str">
        <f>IF(ISBLANK(wld_bf_nsx_ha_mode_chosen),"Value Missing",wld_bf_nsx_ha_mode_chosen)</f>
        <v>NSX Management Cluster</v>
      </c>
      <c r="N184" s="2"/>
      <c r="AB184" s="2"/>
    </row>
    <row r="185" spans="2:31" ht="20" customHeight="1" x14ac:dyDescent="0.2">
      <c r="B185" s="4" t="s">
        <v>1697</v>
      </c>
      <c r="C185" s="8" t="str">
        <f>IF(ISBLANK(input_mgmt_az2_host3_sddc_id),"Value Missing",input_mgmt_az2_host3_sddc_id)</f>
        <v>Value Missing</v>
      </c>
      <c r="E185" s="23" t="s">
        <v>775</v>
      </c>
      <c r="F185" s="8" t="str">
        <f>IF(ISBLANK(input_wld_cl01_supervisor_name),"Value Missing",input_wld_cl01_supervisor_name)</f>
        <v>Value Missing</v>
      </c>
      <c r="H185" s="23" t="s">
        <v>667</v>
      </c>
      <c r="I185" s="8" t="str">
        <f>IF(ISBLANK(wld_bf_nsx_appliance_size_chosen),"Value Missing",wld_bf_nsx_appliance_size_chosen)</f>
        <v>Medium</v>
      </c>
      <c r="N185" s="2"/>
      <c r="AB185" s="2"/>
    </row>
    <row r="186" spans="2:31" ht="20" customHeight="1" x14ac:dyDescent="0.2">
      <c r="B186" s="4" t="s">
        <v>1700</v>
      </c>
      <c r="C186" s="8" t="str">
        <f>IF(ISBLANK(input_mgmt_az2_host4_sddc_id),"Value Missing",input_mgmt_az2_host4_sddc_id)</f>
        <v>Value Missing</v>
      </c>
      <c r="E186" s="23" t="s">
        <v>780</v>
      </c>
      <c r="F186" s="8" t="str">
        <f>IF(ISBLANK(input_wld_cl01_supervisor_nsx_project),"Value Missing",input_wld_cl01_supervisor_nsx_project)</f>
        <v>Value Missing</v>
      </c>
      <c r="H186" s="23" t="s">
        <v>668</v>
      </c>
      <c r="I186" s="8" t="str">
        <f>IF(ISBLANK(input_wld_bf_nsxt_mgra_fqdn),"Value Missing",input_wld_bf_nsxt_mgra_fqdn)</f>
        <v>Value Missing</v>
      </c>
      <c r="N186" s="2"/>
      <c r="AB186" s="2"/>
    </row>
    <row r="187" spans="2:31" ht="20" customHeight="1" x14ac:dyDescent="0.2">
      <c r="B187" s="4" t="s">
        <v>339</v>
      </c>
      <c r="C187" s="8" t="str">
        <f>IF(ISBLANK(input_mgmt_cl01_cluster_sddc_id),"Value Missing",input_mgmt_cl01_cluster_sddc_id)</f>
        <v>Value Missing</v>
      </c>
      <c r="E187" s="23" t="s">
        <v>787</v>
      </c>
      <c r="F187" s="8" t="str">
        <f>IF(ISBLANK(input_wld_cl01_supervisor_ntp),"Value Missing",input_wld_cl01_supervisor_ntp)</f>
        <v>Value Missing</v>
      </c>
      <c r="H187" s="23" t="s">
        <v>670</v>
      </c>
      <c r="I187" s="8" t="str">
        <f>IF(ISBLANK(input_wld_bf_nsxt_mgrb_fqdn),"Value Missing",input_wld_bf_nsxt_mgrb_fqdn)</f>
        <v>Value Missing</v>
      </c>
      <c r="N187" s="2"/>
      <c r="AB187" s="2"/>
    </row>
    <row r="188" spans="2:31" ht="20" customHeight="1" x14ac:dyDescent="0.2">
      <c r="B188" s="4" t="s">
        <v>1191</v>
      </c>
      <c r="C188" s="8" t="str">
        <f>IF(ISBLANK(input_mgmt_az2_host_overlay_network_pool_name),"Value Missing",input_mgmt_az2_host_overlay_network_pool_name)</f>
        <v>Value Missing</v>
      </c>
      <c r="E188" s="23" t="s">
        <v>785</v>
      </c>
      <c r="F188" s="8" t="str" cm="1">
        <f t="array" ref="F188">IF(ISBLANK(input_wld_cl01_supervisor_ext_ip_block_gateway_cidr),"Value Missing",input_wld_cl01_supervisor_ext_ip_block_gateway_cidr)</f>
        <v>Value Missing</v>
      </c>
      <c r="H188" s="23" t="s">
        <v>672</v>
      </c>
      <c r="I188" s="8" t="str">
        <f>IF(ISBLANK(input_wld_bf_nsxt_mgrc_fqdn),"Value Missing",input_wld_bf_nsxt_mgrc_fqdn)</f>
        <v>Value Missing</v>
      </c>
      <c r="J188" s="2"/>
      <c r="AB188" s="2"/>
    </row>
    <row r="189" spans="2:31" ht="20" customHeight="1" x14ac:dyDescent="0.2">
      <c r="B189" s="2"/>
      <c r="C189" s="2"/>
      <c r="E189" s="23" t="s">
        <v>755</v>
      </c>
      <c r="F189" s="8" t="str" cm="1">
        <f t="array" ref="F189">IF(ISBLANK(input_wld_cl01_supervisor_ext_ip_block_vlan),"Value Missing",input_wld_cl01_supervisor_ext_ip_block_vlan)</f>
        <v>Value Missing</v>
      </c>
      <c r="H189" s="23" t="s">
        <v>674</v>
      </c>
      <c r="I189" s="8" t="str">
        <f>IF(ISBLANK(input_wld_bf_nsxt_vip_fqdn),"Value Missing",input_wld_bf_nsxt_vip_fqdn)</f>
        <v>Value Missing</v>
      </c>
      <c r="J189" s="2"/>
    </row>
    <row r="190" spans="2:31" ht="20" customHeight="1" x14ac:dyDescent="0.2">
      <c r="B190" s="623" t="s">
        <v>1835</v>
      </c>
      <c r="C190" s="624"/>
      <c r="E190" s="23" t="s">
        <v>783</v>
      </c>
      <c r="F190" s="8" t="str">
        <f>IF(ISBLANK(input_wld_cl01_supervisor_private_transit_gateway_cidr),"Value Missing",input_wld_cl01_supervisor_private_transit_gateway_cidr)</f>
        <v>Value Missing</v>
      </c>
      <c r="H190" s="4" t="s">
        <v>676</v>
      </c>
      <c r="I190" s="8" t="str">
        <f>IF(ISBLANK(wld_bf_nsxt_enable_edge_sync_chosen),"Value Missing",wld_bf_nsxt_enable_edge_sync_chosen)</f>
        <v>Selected</v>
      </c>
      <c r="J190" s="2"/>
      <c r="AE190" s="2"/>
    </row>
    <row r="191" spans="2:31" ht="20" customHeight="1" x14ac:dyDescent="0.2">
      <c r="B191" s="219" t="s">
        <v>250</v>
      </c>
      <c r="C191" s="220" t="s">
        <v>20</v>
      </c>
      <c r="D191" s="2"/>
      <c r="E191" s="23" t="s">
        <v>776</v>
      </c>
      <c r="F191" s="8" t="str">
        <f>IF(ISBLANK(input_wld_cl01_supervisor_service_cidr),"Value Missing",input_wld_cl01_supervisor_service_cidr)</f>
        <v>Value Missing</v>
      </c>
      <c r="H191" s="23" t="s">
        <v>678</v>
      </c>
      <c r="I191" s="8" t="str">
        <f>IF(ISBLANK(wld_bf_nsxt_enable_edge_sync_chosen),"Value Missing",wld_bf_nsxt_configure_overlay_on_mgmt_pg_chosen)</f>
        <v>Selected</v>
      </c>
      <c r="J191" s="2"/>
    </row>
    <row r="192" spans="2:31" ht="20" customHeight="1" x14ac:dyDescent="0.2">
      <c r="B192" s="4" t="s">
        <v>553</v>
      </c>
      <c r="C192" s="8" t="str">
        <f>IF(ISBLANK(input_mgmt_sddc_domain),"Value Missing",input_mgmt_sddc_domain)</f>
        <v>Value Missing</v>
      </c>
      <c r="D192" s="2"/>
      <c r="E192" s="23" t="s">
        <v>777</v>
      </c>
      <c r="F192" s="8" t="str">
        <f>IF(ISBLANK(wld_cl01_supervisor_use_mgmt_vmk_chosen),"Value Missing",wld_cl01_supervisor_use_mgmt_vmk_chosen)</f>
        <v>Unselected</v>
      </c>
      <c r="H192" s="23" t="s">
        <v>680</v>
      </c>
      <c r="I192" s="8" t="str">
        <f>IF(ISBLANK(wld_bf_nsx_create_passwords_chosen),"Value Missing",wld_bf_nsx_create_passwords_chosen)</f>
        <v>Unselected</v>
      </c>
      <c r="J192" s="2"/>
    </row>
    <row r="193" spans="2:32" ht="20" customHeight="1" x14ac:dyDescent="0.2">
      <c r="B193" s="4" t="s">
        <v>268</v>
      </c>
      <c r="C193" s="8" t="str">
        <f>IF(ISBLANK(input_mgmt_witness_vsan_datastore),"Value Missing",input_mgmt_witness_vsan_datastore)</f>
        <v>Value Missing</v>
      </c>
      <c r="D193" s="2"/>
      <c r="E193" s="23" t="s">
        <v>781</v>
      </c>
      <c r="F193" s="8" t="str">
        <f>IF(ISBLANK(input_wld_cl01_supervisor_vpc_profile),"Value Missing",input_wld_cl01_supervisor_vpc_profile)</f>
        <v>Value Missing</v>
      </c>
      <c r="H193" s="4" t="s">
        <v>681</v>
      </c>
      <c r="I193" s="8" t="str">
        <f>IF(ISBLANK(input_wld_bf_nsxt_admin_password),"Value Missing",input_wld_bf_nsxt_admin_password)</f>
        <v>Value Missing</v>
      </c>
      <c r="J193" s="2"/>
    </row>
    <row r="194" spans="2:32" ht="20" customHeight="1" x14ac:dyDescent="0.2">
      <c r="B194" s="4" t="s">
        <v>200</v>
      </c>
      <c r="C194" s="8" t="str">
        <f>IF(ISBLANK(input_mgmt_witness_cluster),"Value Missing",input_mgmt_witness_cluster)</f>
        <v>Value Missing</v>
      </c>
      <c r="D194" s="2"/>
      <c r="E194" s="37" t="s">
        <v>1806</v>
      </c>
      <c r="F194" s="8" t="str">
        <f>IF(ISBLANK(input_wld_ec_mtu),"Value Missing",input_wld_ec_mtu)</f>
        <v>Value Missing</v>
      </c>
      <c r="H194" s="4" t="s">
        <v>682</v>
      </c>
      <c r="I194" s="8" t="str">
        <f>IF(ISBLANK(input_wld_bf_nsxt_root_password),"Value Missing",input_wld_bf_nsxt_root_password)</f>
        <v>Value Missing</v>
      </c>
      <c r="J194" s="2"/>
    </row>
    <row r="195" spans="2:32" ht="20" customHeight="1" x14ac:dyDescent="0.2">
      <c r="B195" s="4" t="s">
        <v>267</v>
      </c>
      <c r="C195" s="8" t="str">
        <f>IF(ISBLANK(input_mgmt_witness_vm_folder),"Value Missing",input_mgmt_witness_vm_folder)</f>
        <v>Value Missing</v>
      </c>
      <c r="D195" s="2"/>
      <c r="E195" s="37" t="s">
        <v>1800</v>
      </c>
      <c r="F195" s="8" t="str">
        <f>IF(ISBLANK(input_wld_nsxt_en_admin_password),"Value Missing",input_wld_nsxt_en_admin_password)</f>
        <v>Value Missing</v>
      </c>
      <c r="H195" s="4" t="s">
        <v>683</v>
      </c>
      <c r="I195" s="8" t="str">
        <f>IF(ISBLANK(input_wld_bf_nsxt_audit_password),"Value Missing",input_wld_bf_nsxt_audit_password)</f>
        <v>Value Missing</v>
      </c>
      <c r="J195" s="2"/>
    </row>
    <row r="196" spans="2:32" ht="20" customHeight="1" x14ac:dyDescent="0.2">
      <c r="E196" s="268" t="s">
        <v>1803</v>
      </c>
      <c r="F196" s="8" t="str">
        <f>IF(ISBLANK(input_wld_nsxt_en_root_password),"Value Missing",input_wld_nsxt_en_root_password)</f>
        <v>Value Missing</v>
      </c>
      <c r="H196" s="23" t="s">
        <v>652</v>
      </c>
      <c r="I196" s="8" t="str">
        <f>IF(ISBLANK(input_wld_bf_sddc_domain),"Value Missing",input_wld_bf_sddc_domain)</f>
        <v>Value Missing</v>
      </c>
      <c r="J196" s="2"/>
      <c r="AF196" s="2"/>
    </row>
    <row r="197" spans="2:32" ht="20" customHeight="1" x14ac:dyDescent="0.2">
      <c r="B197" s="623" t="s">
        <v>1840</v>
      </c>
      <c r="C197" s="624"/>
      <c r="J197" s="2"/>
    </row>
    <row r="198" spans="2:32" ht="20" customHeight="1" x14ac:dyDescent="0.2">
      <c r="B198" s="219" t="s">
        <v>250</v>
      </c>
      <c r="C198" s="220" t="s">
        <v>20</v>
      </c>
      <c r="E198" s="217" t="s">
        <v>3329</v>
      </c>
      <c r="F198" s="217"/>
      <c r="H198" s="217" t="s">
        <v>1833</v>
      </c>
      <c r="I198" s="217"/>
      <c r="J198" s="2"/>
    </row>
    <row r="199" spans="2:32" ht="20" customHeight="1" x14ac:dyDescent="0.2">
      <c r="B199" s="28" t="s">
        <v>1374</v>
      </c>
      <c r="C199" s="8" t="str">
        <f>IF(ISBLANK(input_mgmt_witness_zone_vc_ip),"Value Missing",input_mgmt_witness_zone_vc_ip)</f>
        <v>Value Missing</v>
      </c>
      <c r="E199" s="4" t="s">
        <v>3294</v>
      </c>
      <c r="F199" s="8" t="str" cm="1">
        <f t="array" ref="F199">IF(ISBLANK(input_wld_vpc_ext_ip_blocks_name),"Value Missing",input_wld_vpc_ext_ip_blocks_name)</f>
        <v>Value Missing</v>
      </c>
      <c r="H199" s="219" t="s">
        <v>250</v>
      </c>
      <c r="I199" s="220" t="s">
        <v>20</v>
      </c>
      <c r="J199" s="2"/>
    </row>
    <row r="200" spans="2:32" ht="20" customHeight="1" x14ac:dyDescent="0.2">
      <c r="B200" s="28" t="s">
        <v>1843</v>
      </c>
      <c r="C200" s="8" t="str">
        <f>IF(ISBLANK(input_mgmt_witness_ip),"Value Missing",input_mgmt_witness_ip)</f>
        <v>Value Missing</v>
      </c>
      <c r="E200" s="4" t="s">
        <v>3253</v>
      </c>
      <c r="F200" s="8" t="str" cm="1">
        <f t="array" ref="F200">IF(ISBLANK(input_wld_vpc_ext_ip_blocks_visability),"Value Missing",input_wld_vpc_ext_ip_blocks_visability)</f>
        <v>Value Missing</v>
      </c>
      <c r="H200" s="30" t="s">
        <v>85</v>
      </c>
      <c r="I200" s="8" t="str">
        <f>IF(ISBLANK(input_cluster_az2_mgmt_vlan),"Value Missing",input_cluster_az2_mgmt_vlan)</f>
        <v>Value Missing</v>
      </c>
      <c r="J200" s="2"/>
    </row>
    <row r="201" spans="2:32" ht="20" customHeight="1" x14ac:dyDescent="0.2">
      <c r="B201" s="4" t="s">
        <v>1718</v>
      </c>
      <c r="C201" s="8" t="str">
        <f>IF(ISBLANK(input_mgmt_witness_dns1_ip),"Value Missing",input_mgmt_witness_dns1_ip)</f>
        <v>Value Missing</v>
      </c>
      <c r="E201" s="4" t="s">
        <v>170</v>
      </c>
      <c r="F201" s="8" t="str" cm="1">
        <f t="array" ref="F201">IF(ISBLANK(input_wld_vpc_ext_ip_blocks_cidr),"Value Missing",input_wld_vpc_ext_ip_blocks_cidr)</f>
        <v>Value Missing</v>
      </c>
      <c r="H201" s="30" t="s">
        <v>180</v>
      </c>
      <c r="I201" s="8" t="str">
        <f>IF(ISBLANK(input_cluster_az2_mgmt_gateway_ip),"Value Missing",input_cluster_az2_mgmt_gateway_ip)</f>
        <v>Value Missing</v>
      </c>
      <c r="J201" s="2"/>
    </row>
    <row r="202" spans="2:32" ht="20" customHeight="1" x14ac:dyDescent="0.2">
      <c r="B202" s="4" t="s">
        <v>1718</v>
      </c>
      <c r="C202" s="8" t="str">
        <f>IF(ISBLANK(input_mgmt_witness_dns2_ip),"Value Missing",input_mgmt_witness_dns2_ip)</f>
        <v>Value Missing</v>
      </c>
      <c r="E202" s="4" t="s">
        <v>3255</v>
      </c>
      <c r="F202" s="8" t="str" cm="1">
        <f t="array" ref="F202">IF(ISBLANK(input_wld_vpc_ext_ip_blocks_excluded_ips),"Value Missing",input_wld_vpc_ext_ip_blocks_excluded_ips)</f>
        <v>Value Missing</v>
      </c>
      <c r="H202" s="30" t="s">
        <v>181</v>
      </c>
      <c r="I202" s="8" t="str">
        <f>IF(ISBLANK(input_cluster_az2_mgmt_cidr),"Value Missing",input_cluster_az2_mgmt_cidr)</f>
        <v>Value Missing</v>
      </c>
      <c r="J202" s="2"/>
    </row>
    <row r="203" spans="2:32" ht="20" customHeight="1" x14ac:dyDescent="0.2">
      <c r="B203" s="4" t="s">
        <v>1722</v>
      </c>
      <c r="C203" s="8" t="str">
        <f>IF(ISBLANK(sample_mgmt_witness_ntp1_server),"Value Missing",sample_mgmt_witness_ntp1_server)</f>
        <v>ntp0.sfo.rainpole.io</v>
      </c>
      <c r="E203" s="4" t="s">
        <v>3256</v>
      </c>
      <c r="F203" s="8" t="str" cm="1">
        <f t="array" ref="F203">IF(ISBLANK(input_wld_vpc_ext_ip_blocks_reserved),"Value Missing",input_wld_vpc_ext_ip_blocks_reserved)</f>
        <v>Value Missing</v>
      </c>
      <c r="H203" s="30" t="s">
        <v>155</v>
      </c>
      <c r="I203" s="8" t="str">
        <f>IF(ISBLANK(input_cluster_az2_mgmt_mtu),"Value Missing",input_cluster_az2_mgmt_mtu)</f>
        <v>Value Missing</v>
      </c>
      <c r="J203" s="2"/>
    </row>
    <row r="204" spans="2:32" ht="20" customHeight="1" x14ac:dyDescent="0.2">
      <c r="B204" s="4" t="s">
        <v>1722</v>
      </c>
      <c r="C204" s="8" t="str">
        <f>IF(ISBLANK(sample_mgmt_witness_ntp2_server),"Value Missing",sample_mgmt_witness_ntp2_server)</f>
        <v>ntp1.sfo.rainpole.io</v>
      </c>
      <c r="E204" s="4" t="s">
        <v>3295</v>
      </c>
      <c r="F204" s="8" t="str" cm="1">
        <f t="array" ref="F204">IF(ISBLANK(input_wld_vpc_priv_ip_blocks_name),"Value Missing",input_wld_vpc_priv_ip_blocks_name)</f>
        <v>Value Missing</v>
      </c>
      <c r="H204" s="30" t="s">
        <v>204</v>
      </c>
      <c r="I204" s="8" t="str">
        <f>IF(ISBLANK(input_cluster_az2_host1_mgmt_ip),"Value Missing",input_cluster_az2_host1_mgmt_ip)</f>
        <v>Value Missing</v>
      </c>
      <c r="J204" s="2"/>
    </row>
    <row r="205" spans="2:32" ht="20" customHeight="1" x14ac:dyDescent="0.2">
      <c r="B205" s="32"/>
      <c r="E205" s="4" t="s">
        <v>3253</v>
      </c>
      <c r="F205" s="8" t="str" cm="1">
        <f t="array" ref="F205">IF(ISBLANK(input_wld_vpc_priv_ip_blocks_visability),"Value Missing",input_wld_vpc_priv_ip_blocks_visability)</f>
        <v>Value Missing</v>
      </c>
      <c r="H205" s="30" t="s">
        <v>206</v>
      </c>
      <c r="I205" s="8" t="str">
        <f>IF(ISBLANK(input_cluster_az2_host2_mgmt_ip),"Value Missing",input_cluster_az2_host2_mgmt_ip)</f>
        <v>Value Missing</v>
      </c>
      <c r="J205" s="2"/>
    </row>
    <row r="206" spans="2:32" ht="20" customHeight="1" x14ac:dyDescent="0.2">
      <c r="B206" s="217" t="s">
        <v>1844</v>
      </c>
      <c r="C206" s="217"/>
      <c r="E206" s="4" t="s">
        <v>172</v>
      </c>
      <c r="F206" s="8" t="str">
        <f>IF(ISBLANK(input_wld_vpc_transit_gateway_ip_blocks_cidr),"Value Missing",input_wld_vpc_transit_gateway_ip_blocks_cidr)</f>
        <v>Value Missing</v>
      </c>
      <c r="H206" s="30" t="s">
        <v>208</v>
      </c>
      <c r="I206" s="8" t="str">
        <f>IF(ISBLANK(input_cluster_az2_host3_mgmt_ip),"Value Missing",input_cluster_az2_host3_mgmt_ip)</f>
        <v>Value Missing</v>
      </c>
      <c r="J206" s="2"/>
    </row>
    <row r="207" spans="2:32" ht="20" customHeight="1" x14ac:dyDescent="0.2">
      <c r="B207" s="219" t="s">
        <v>250</v>
      </c>
      <c r="C207" s="220" t="s">
        <v>20</v>
      </c>
      <c r="E207" s="4" t="s">
        <v>3255</v>
      </c>
      <c r="F207" s="8" t="str" cm="1">
        <f t="array" ref="F207">IF(ISBLANK(input_wld_vpc_priv_ip_blocks_excluded_ips),"Value Missing",input_wld_vpc_priv_ip_blocks_excluded_ips)</f>
        <v>Value Missing</v>
      </c>
      <c r="H207" s="30" t="s">
        <v>210</v>
      </c>
      <c r="I207" s="8" t="str">
        <f>IF(ISBLANK(input_cluster_az2_host4_mgmt_ip),"Value Missing",input_cluster_az2_host4_mgmt_ip)</f>
        <v>Value Missing</v>
      </c>
      <c r="J207" s="2"/>
    </row>
    <row r="208" spans="2:32" ht="20" customHeight="1" x14ac:dyDescent="0.2">
      <c r="B208" s="28" t="s">
        <v>1845</v>
      </c>
      <c r="C208" s="8" t="str">
        <f>IF(ISBLANK(input_wld_esx_root_username),"Value Missing",input_wld_esx_root_username)</f>
        <v>Value Missing</v>
      </c>
      <c r="E208" s="4" t="s">
        <v>3256</v>
      </c>
      <c r="F208" s="8" t="str" cm="1">
        <f t="array" ref="F208">IF(ISBLANK(input_wld_vpc_priv_ip_blocks_reserved),"Value Missing",input_wld_vpc_priv_ip_blocks_reserved)</f>
        <v>Value Missing</v>
      </c>
      <c r="H208" s="30" t="s">
        <v>212</v>
      </c>
      <c r="I208" s="8" t="str">
        <f>IF(ISBLANK(input_cluster_az2_host5_mgmt_ip),"Value Missing",input_cluster_az2_host5_mgmt_ip)</f>
        <v>Value Missing</v>
      </c>
      <c r="J208" s="2"/>
    </row>
    <row r="209" spans="2:10" ht="20" customHeight="1" x14ac:dyDescent="0.2">
      <c r="B209" s="28" t="s">
        <v>1846</v>
      </c>
      <c r="C209" s="8" t="str">
        <f>IF(ISBLANK(input_wld_esx_root_password),"Value Missing",input_wld_esx_root_password)</f>
        <v>Value Missing</v>
      </c>
      <c r="E209" s="4" t="s">
        <v>200</v>
      </c>
      <c r="F209" s="8" t="str" cm="1">
        <f t="array" ref="F209">IF(ISBLANK(input_wld_vpc_vna_cluster_name),"Value Missing",input_wld_vpc_vna_cluster_name)</f>
        <v>Value Missing</v>
      </c>
      <c r="H209" s="30" t="s">
        <v>214</v>
      </c>
      <c r="I209" s="8" t="str">
        <f>IF(ISBLANK(input_cluster_az2_host6_mgmt_ip),"Value Missing",input_cluster_az2_host6_mgmt_ip)</f>
        <v>Value Missing</v>
      </c>
      <c r="J209" s="2"/>
    </row>
    <row r="210" spans="2:10" ht="20" customHeight="1" x14ac:dyDescent="0.2">
      <c r="B210" s="28" t="s">
        <v>695</v>
      </c>
      <c r="C210" s="8" t="str">
        <f>IF(ISBLANK(input_wld_vcenter_root_password),"Value Missing",input_wld_vcenter_root_password)</f>
        <v>Value Missing</v>
      </c>
      <c r="E210" s="4" t="s">
        <v>3284</v>
      </c>
      <c r="F210" s="8" t="str">
        <f>IF(ISBLANK(input_wld_vnaa_fqdn),"Value Missing",input_wld_vnaa_fqdn)</f>
        <v>Value Missing</v>
      </c>
      <c r="H210" s="30" t="s">
        <v>216</v>
      </c>
      <c r="I210" s="8" t="str">
        <f>IF(ISBLANK(input_cluster_az2_host7_mgmt_ip),"Value Missing",input_cluster_az2_host7_mgmt_ip)</f>
        <v>Value Missing</v>
      </c>
      <c r="J210" s="2"/>
    </row>
    <row r="211" spans="2:10" ht="20" customHeight="1" x14ac:dyDescent="0.2">
      <c r="B211" s="28" t="s">
        <v>1849</v>
      </c>
      <c r="C211" s="8" t="str">
        <f>IF(ISBLANK(input_xreg_vra_admin_password),"Value Missing",input_xreg_vra_admin_password)</f>
        <v>Value Missing</v>
      </c>
      <c r="E211" s="4" t="s">
        <v>3284</v>
      </c>
      <c r="F211" s="8" t="str">
        <f>IF(ISBLANK(input_wld_vnab_fqdn),"Value Missing",input_wld_vnab_fqdn)</f>
        <v>Value Missing</v>
      </c>
      <c r="H211" s="30" t="s">
        <v>218</v>
      </c>
      <c r="I211" s="8" t="str">
        <f>IF(ISBLANK(input_cluster_az2_host8_mgmt_ip),"Value Missing",input_cluster_az2_host8_mgmt_ip)</f>
        <v>Value Missing</v>
      </c>
      <c r="J211" s="2"/>
    </row>
    <row r="212" spans="2:10" ht="20" customHeight="1" x14ac:dyDescent="0.2">
      <c r="B212" s="28" t="s">
        <v>1851</v>
      </c>
      <c r="C212" s="8" t="str">
        <f>IF(ISBLANK(input_xreg_vrops_admin_password),"Value Missing",input_xreg_vrops_admin_password)</f>
        <v>Value Missing</v>
      </c>
      <c r="D212" s="2"/>
      <c r="E212" s="4" t="s">
        <v>3287</v>
      </c>
      <c r="F212" s="8" t="str" cm="1">
        <f t="array" ref="F212">IF(ISBLANK(input_wld_vnaa_cidr),"Value Missing",input_wld_vnaa_cidr)</f>
        <v>Value Missing</v>
      </c>
      <c r="H212" s="30" t="s">
        <v>220</v>
      </c>
      <c r="I212" s="8" t="str">
        <f>IF(ISBLANK(input_cluster_az2_host9_mgmt_ip),"Value Missing",input_cluster_az2_host9_mgmt_ip)</f>
        <v>Value Missing</v>
      </c>
      <c r="J212" s="2"/>
    </row>
    <row r="213" spans="2:10" ht="20" customHeight="1" x14ac:dyDescent="0.2">
      <c r="B213" s="28" t="s">
        <v>1852</v>
      </c>
      <c r="C213" s="8" t="str">
        <f>IF(ISBLANK(input_xreg_vrops_root_password),"Value Missing",input_xreg_vrops_root_password)</f>
        <v>Value Missing</v>
      </c>
      <c r="D213" s="2"/>
      <c r="E213" s="4" t="s">
        <v>3287</v>
      </c>
      <c r="F213" s="8" t="str" cm="1">
        <f t="array" ref="F213">IF(ISBLANK(input_wld_vnab_cidr),"Value Missing",input_wld_vnab_cidr)</f>
        <v>Value Missing</v>
      </c>
      <c r="H213" s="30" t="s">
        <v>222</v>
      </c>
      <c r="I213" s="8" t="str">
        <f>IF(ISBLANK(input_cluster_az2_host10_mgmt_ip),"Value Missing",input_cluster_az2_host10_mgmt_ip)</f>
        <v>Value Missing</v>
      </c>
      <c r="J213" s="2"/>
    </row>
    <row r="214" spans="2:10" ht="20" customHeight="1" x14ac:dyDescent="0.2">
      <c r="B214" s="28" t="s">
        <v>1853</v>
      </c>
      <c r="C214" s="8" t="str">
        <f>IF(ISBLANK(input_vcfms_system_password),"Value Missing",input_vcfms_system_password)</f>
        <v>Value Missing</v>
      </c>
      <c r="D214" s="2"/>
      <c r="E214" s="4" t="s">
        <v>97</v>
      </c>
      <c r="F214" s="8" t="str" cm="1">
        <f t="array" ref="F214">IF(ISBLANK(input_wld_vna_rp_name),"Value Missing",input_wld_vna_rp_name)</f>
        <v>Value Missing</v>
      </c>
      <c r="H214" s="30" t="s">
        <v>224</v>
      </c>
      <c r="I214" s="8" t="str">
        <f>IF(ISBLANK(input_cluster_az2_host11_mgmt_ip),"Value Missing",input_cluster_az2_host11_mgmt_ip)</f>
        <v>Value Missing</v>
      </c>
      <c r="J214" s="2"/>
    </row>
    <row r="215" spans="2:10" ht="20" customHeight="1" x14ac:dyDescent="0.2">
      <c r="B215" s="28" t="s">
        <v>1855</v>
      </c>
      <c r="C215" s="8" t="str">
        <f>IF(ISBLANK(input_wld_administrator_vsphere_local_password),"Value Missing",input_wld_administrator_vsphere_local_password)</f>
        <v>Value Missing</v>
      </c>
      <c r="D215" s="2"/>
      <c r="E215" s="4" t="s">
        <v>85</v>
      </c>
      <c r="F215" s="8" t="str">
        <f>IF(ISBLANK(input_wld_az1_dtgw_vlan),"Value Missing",input_wld_az1_dtgw_vlan)</f>
        <v>Value Missing</v>
      </c>
      <c r="H215" s="30" t="s">
        <v>226</v>
      </c>
      <c r="I215" s="8" t="str">
        <f>IF(ISBLANK(input_cluster_az2_host12_mgmt_ip),"Value Missing",input_cluster_az2_host12_mgmt_ip)</f>
        <v>Value Missing</v>
      </c>
      <c r="J215" s="2"/>
    </row>
    <row r="216" spans="2:10" ht="20" customHeight="1" x14ac:dyDescent="0.2">
      <c r="B216" s="28" t="s">
        <v>1857</v>
      </c>
      <c r="C216" s="8" t="str">
        <f>IF(ISBLANK(input_mgmt_nsxt_en_admin_password),"Value Missing",input_mgmt_nsxt_en_admin_password)</f>
        <v>Value Missing</v>
      </c>
      <c r="D216" s="2"/>
      <c r="E216" s="4" t="s">
        <v>86</v>
      </c>
      <c r="F216" s="8" t="str">
        <f>IF(ISBLANK(input_wld_az1_dtgw_gateway_cidr),"Value Missing",input_wld_az1_dtgw_gateway_cidr)</f>
        <v>Value Missing</v>
      </c>
      <c r="H216" s="30" t="s">
        <v>228</v>
      </c>
      <c r="I216" s="8" t="str">
        <f>IF(ISBLANK(input_cluster_az2_host13_mgmt_ip),"Value Missing",input_cluster_az2_host13_mgmt_ip)</f>
        <v>Value Missing</v>
      </c>
      <c r="J216" s="2"/>
    </row>
    <row r="217" spans="2:10" ht="20" customHeight="1" x14ac:dyDescent="0.2">
      <c r="B217" s="28" t="s">
        <v>1859</v>
      </c>
      <c r="C217" s="8" t="str">
        <f>IF(ISBLANK(input_mgmt_nsxt_en_root_password),"Value Missing",input_mgmt_nsxt_en_root_password)</f>
        <v>Value Missing</v>
      </c>
      <c r="H217" s="30" t="s">
        <v>230</v>
      </c>
      <c r="I217" s="8" t="str">
        <f>IF(ISBLANK(input_cluster_az2_host14_mgmt_ip),"Value Missing",input_cluster_az2_host14_mgmt_ip)</f>
        <v>Value Missing</v>
      </c>
      <c r="J217" s="2"/>
    </row>
    <row r="218" spans="2:10" ht="20" customHeight="1" x14ac:dyDescent="0.2">
      <c r="B218" s="28" t="s">
        <v>1864</v>
      </c>
      <c r="C218" s="8" t="str">
        <f>IF(ISBLANK(input_mgmt_az1_en1_eth0_uplink0),"Value Missing",input_mgmt_az1_en1_eth0_uplink0)</f>
        <v>Value Missing</v>
      </c>
      <c r="E218" s="217" t="s">
        <v>3330</v>
      </c>
      <c r="F218" s="217"/>
      <c r="H218" s="30" t="s">
        <v>232</v>
      </c>
      <c r="I218" s="8" t="str">
        <f>IF(ISBLANK(input_cluster_az2_host15_mgmt_ip),"Value Missing",input_cluster_az2_host15_mgmt_ip)</f>
        <v>Value Missing</v>
      </c>
      <c r="J218" s="2"/>
    </row>
    <row r="219" spans="2:10" ht="20" customHeight="1" x14ac:dyDescent="0.2">
      <c r="B219" s="28" t="s">
        <v>1865</v>
      </c>
      <c r="C219" s="8" t="str">
        <f>IF(ISBLANK(input_mgmt_az1_en1_eth0_uplink1),"Value Missing",input_mgmt_az1_en1_eth0_uplink1)</f>
        <v>Value Missing</v>
      </c>
      <c r="E219" s="4" t="s">
        <v>3302</v>
      </c>
      <c r="F219" s="8" t="str">
        <f>IF(ISBLANK(input_wld_supvr_name),"Value Missing",input_wld_supvr_name)</f>
        <v>Value Missing</v>
      </c>
      <c r="H219" s="30" t="s">
        <v>234</v>
      </c>
      <c r="I219" s="8" t="str">
        <f>IF(ISBLANK(input_cluster_az2_host16_mgmt_ip),"Value Missing",input_cluster_az2_host16_mgmt_ip)</f>
        <v>Value Missing</v>
      </c>
      <c r="J219" s="2"/>
    </row>
    <row r="220" spans="2:10" ht="20" customHeight="1" x14ac:dyDescent="0.2">
      <c r="B220" s="28" t="s">
        <v>1866</v>
      </c>
      <c r="C220" s="8" t="str">
        <f>IF(ISBLANK(input_mgmt_az1_en1_eth1_uplink0),"Value Missing",input_mgmt_az1_en1_eth1_uplink0)</f>
        <v>Value Missing</v>
      </c>
      <c r="E220" s="4" t="s">
        <v>3305</v>
      </c>
      <c r="F220" s="8" t="str" cm="1">
        <f t="array" ref="F220">IF(ISBLANK(input_wld_supvr_zone_name),"Value Missing",input_wld_supvr_zone_name)</f>
        <v>Value Missing</v>
      </c>
      <c r="H220" s="30" t="s">
        <v>239</v>
      </c>
      <c r="I220" s="8" t="str">
        <f>IF(ISBLANK(input_cluster_az2_pool_name),"Value Missing",input_cluster_az2_pool_name)</f>
        <v>Value Missing</v>
      </c>
      <c r="J220" s="2"/>
    </row>
    <row r="221" spans="2:10" ht="20" customHeight="1" x14ac:dyDescent="0.2">
      <c r="B221" s="28" t="s">
        <v>1867</v>
      </c>
      <c r="C221" s="8" t="str">
        <f>IF(ISBLANK(input_mgmt_az1_en1_eth1_uplink1),"Value Missing",input_mgmt_az1_en1_eth1_uplink1)</f>
        <v>Value Missing</v>
      </c>
      <c r="E221" s="4" t="s">
        <v>3306</v>
      </c>
      <c r="F221" s="8" t="str">
        <f>IF(ISBLANK(input_wld_supvr_cp_storage_policy),"Value Missing",input_wld_supvr_cp_storage_policy)</f>
        <v>Value Missing</v>
      </c>
      <c r="H221" s="568" t="s">
        <v>240</v>
      </c>
      <c r="I221" s="570"/>
      <c r="J221" s="2"/>
    </row>
    <row r="222" spans="2:10" ht="20" customHeight="1" x14ac:dyDescent="0.2">
      <c r="B222" s="28" t="s">
        <v>1869</v>
      </c>
      <c r="C222" s="8" t="str">
        <f>IF(ISBLANK(input_mgmt_az1_en2_eth0_uplink0),"Value Missing",input_mgmt_az1_en2_eth0_uplink0)</f>
        <v>Value Missing</v>
      </c>
      <c r="E222" s="4" t="s">
        <v>3307</v>
      </c>
      <c r="F222" s="8" t="str">
        <f>IF(ISBLANK(input_wld_supvr_ed_storage_policy),"Value Missing",input_wld_supvr_ed_storage_policy)</f>
        <v>Value Missing</v>
      </c>
      <c r="H222" s="30" t="s">
        <v>1847</v>
      </c>
      <c r="I222" s="8" t="str">
        <f>IF(ISBLANK(input_cluster_az2_vmotion_vlan),"Value Missing",input_cluster_az2_vmotion_vlan)</f>
        <v>Value Missing</v>
      </c>
      <c r="J222" s="2"/>
    </row>
    <row r="223" spans="2:10" ht="20" customHeight="1" x14ac:dyDescent="0.2">
      <c r="B223" s="28" t="s">
        <v>1870</v>
      </c>
      <c r="C223" s="8" t="str">
        <f>IF(ISBLANK(input_mgmt_az1_en2_eth0_uplink1),"Value Missing",input_mgmt_az1_en2_eth0_uplink1)</f>
        <v>Value Missing</v>
      </c>
      <c r="E223" s="4" t="s">
        <v>3308</v>
      </c>
      <c r="F223" s="8" t="str">
        <f>IF(ISBLANK(input_wld_supvr_ic_storage_policy),"Value Missing",input_wld_supvr_ic_storage_policy)</f>
        <v>Value Missing</v>
      </c>
      <c r="H223" s="30" t="s">
        <v>155</v>
      </c>
      <c r="I223" s="8" t="str">
        <f>IF(ISBLANK(input_cluster_az2_vmotion_mtu),"Value Missing",input_cluster_az2_vmotion_mtu)</f>
        <v>Value Missing</v>
      </c>
      <c r="J223" s="2"/>
    </row>
    <row r="224" spans="2:10" ht="20" customHeight="1" x14ac:dyDescent="0.2">
      <c r="B224" s="28" t="s">
        <v>1871</v>
      </c>
      <c r="C224" s="8" t="str">
        <f>IF(ISBLANK(input_mgmt_az1_en2_eth1_uplink0),"Value Missing",input_mgmt_az1_en2_eth1_uplink0)</f>
        <v>Value Missing</v>
      </c>
      <c r="E224" s="4" t="s">
        <v>3311</v>
      </c>
      <c r="F224" s="8" t="str">
        <f>IF(ISBLANK(input_wld_supvr_ip_address_range),"Value Missing",input_wld_supvr_ip_address_range)</f>
        <v>Value Missing</v>
      </c>
      <c r="H224" s="30" t="s">
        <v>1850</v>
      </c>
      <c r="I224" s="8" t="str">
        <f>IF(ISBLANK(input_cluster_az2_vmotion_network),"Value Missing",input_cluster_az2_vmotion_network)</f>
        <v>Value Missing</v>
      </c>
      <c r="J224" s="2"/>
    </row>
    <row r="225" spans="2:10" ht="20" customHeight="1" x14ac:dyDescent="0.2">
      <c r="B225" s="28" t="s">
        <v>1872</v>
      </c>
      <c r="C225" s="8" t="str">
        <f>IF(ISBLANK(input_mgmt_az1_en2_eth1_uplink1),"Value Missing",input_mgmt_az1_en2_eth1_uplink1)</f>
        <v>Value Missing</v>
      </c>
      <c r="E225" s="4" t="s">
        <v>555</v>
      </c>
      <c r="F225" s="8" t="str">
        <f>IF(ISBLANK(input_wld_supvr_mgmt_dns_server),"Value Missing",input_wld_supvr_mgmt_dns_server)</f>
        <v>Value Missing</v>
      </c>
      <c r="H225" s="30" t="s">
        <v>242</v>
      </c>
      <c r="I225" s="8" t="str">
        <f>IF(ISBLANK(input_cluster_az2_vmotion_mask),"Value Missing",input_cluster_az2_vmotion_mask)</f>
        <v>Value Missing</v>
      </c>
      <c r="J225" s="2"/>
    </row>
    <row r="226" spans="2:10" ht="20" customHeight="1" x14ac:dyDescent="0.2">
      <c r="B226" s="28" t="s">
        <v>1875</v>
      </c>
      <c r="C226" s="8" t="str">
        <f>IF(ISBLANK(input_wld_az1_en1_eth0_uplink0),"Value Missing",input_wld_az1_en1_eth0_uplink0)</f>
        <v>Value Missing</v>
      </c>
      <c r="E226" s="4" t="s">
        <v>3312</v>
      </c>
      <c r="F226" s="8" t="str">
        <f>IF(ISBLANK(input_wld_supvr_mgmt_dns_zones),"Value Missing",input_wld_supvr_mgmt_dns_zones)</f>
        <v>Value Missing</v>
      </c>
      <c r="H226" s="4" t="s">
        <v>447</v>
      </c>
      <c r="I226" s="8" t="str">
        <f>IF(OR(cluster_az2_vmotion_network="Value Missing",cluster_az2_vmotion_mask="Value Missing"),"Value Missing",(CONCATENATE(cluster_az2_vmotion_network,"/",VLOOKUP(cluster_az2_vmotion_mask,table_mask_to_cidr,2,FALSE))))</f>
        <v>Value Missing</v>
      </c>
      <c r="J226" s="2"/>
    </row>
    <row r="227" spans="2:10" ht="20" customHeight="1" x14ac:dyDescent="0.2">
      <c r="B227" s="28" t="s">
        <v>1876</v>
      </c>
      <c r="C227" s="8" t="str">
        <f>IF(ISBLANK(input_wld_az1_en1_eth0_uplink1),"Value Missing",input_wld_az1_en1_eth0_uplink1)</f>
        <v>Value Missing</v>
      </c>
      <c r="E227" s="4" t="s">
        <v>3313</v>
      </c>
      <c r="F227" s="8" t="str">
        <f>IF(ISBLANK(input_wld_supvr_mgmt_ntp_server),"Value Missing",input_wld_supvr_mgmt_ntp_server)</f>
        <v>Value Missing</v>
      </c>
      <c r="H227" s="30" t="s">
        <v>243</v>
      </c>
      <c r="I227" s="8" t="str">
        <f>IF(ISBLANK(input_cluster_az2_vmotion_gateway_ip),"Value Missing",input_cluster_az2_vmotion_gateway_ip)</f>
        <v>Value Missing</v>
      </c>
      <c r="J227" s="2"/>
    </row>
    <row r="228" spans="2:10" ht="20" customHeight="1" x14ac:dyDescent="0.2">
      <c r="B228" s="28" t="s">
        <v>1877</v>
      </c>
      <c r="C228" s="8" t="str">
        <f>IF(ISBLANK(input_wld_az1_en1_eth1_uplink0),"Value Missing",input_wld_az1_en1_eth1_uplink0)</f>
        <v>Value Missing</v>
      </c>
      <c r="E228" s="4" t="s">
        <v>780</v>
      </c>
      <c r="F228" s="8" t="str">
        <f>IF(ISBLANK(input_wld_supvr_nsx_project),"Value Missing",input_wld_supvr_nsx_project)</f>
        <v>Value Missing</v>
      </c>
      <c r="H228" s="30" t="s">
        <v>244</v>
      </c>
      <c r="I228" s="8" t="str">
        <f>IF(ISBLANK(input_cluster_az2_vmotion_pool_start_ip),"Value Missing",input_cluster_az2_vmotion_pool_start_ip)</f>
        <v>Value Missing</v>
      </c>
      <c r="J228" s="2"/>
    </row>
    <row r="229" spans="2:10" ht="20" customHeight="1" x14ac:dyDescent="0.2">
      <c r="B229" s="28" t="s">
        <v>1879</v>
      </c>
      <c r="C229" s="8" t="str">
        <f>IF(ISBLANK(input_wld_az1_en1_eth1_uplink1),"Value Missing",input_wld_az1_en1_eth1_uplink1)</f>
        <v>Value Missing</v>
      </c>
      <c r="E229" s="4" t="s">
        <v>781</v>
      </c>
      <c r="F229" s="8" t="str">
        <f>IF(ISBLANK(input_wld_supvr_vpc_connectivity_profile),"Value Missing",input_wld_supvr_vpc_connectivity_profile)</f>
        <v>Value Missing</v>
      </c>
      <c r="H229" s="30" t="s">
        <v>245</v>
      </c>
      <c r="I229" s="8" t="str">
        <f>IF(ISBLANK(input_cluster_az2_vmotion_pool_end_ip),"Value Missing",input_cluster_az2_vmotion_pool_end_ip)</f>
        <v>Value Missing</v>
      </c>
    </row>
    <row r="230" spans="2:10" ht="20" customHeight="1" x14ac:dyDescent="0.2">
      <c r="B230" s="28" t="s">
        <v>1880</v>
      </c>
      <c r="C230" s="8" t="str">
        <f>IF(ISBLANK(input_wld_az1_en2_eth0_uplink0),"Value Missing",input_wld_az1_en2_eth0_uplink0)</f>
        <v>Value Missing</v>
      </c>
      <c r="E230" s="4" t="s">
        <v>3315</v>
      </c>
      <c r="F230" s="8" t="str">
        <f>IF(ISBLANK(input_wld_supvr_vpc_ext_ip_blocks_name),"Value Missing",input_wld_supvr_vpc_ext_ip_blocks_name)</f>
        <v>Value Missing</v>
      </c>
      <c r="H230" s="568" t="s">
        <v>1856</v>
      </c>
      <c r="I230" s="570"/>
    </row>
    <row r="231" spans="2:10" ht="20" customHeight="1" x14ac:dyDescent="0.2">
      <c r="B231" s="28" t="s">
        <v>1881</v>
      </c>
      <c r="C231" s="8" t="str">
        <f>IF(ISBLANK(input_wld_az1_en2_eth0_uplink1),"Value Missing",input_wld_az1_en2_eth0_uplink1)</f>
        <v>Value Missing</v>
      </c>
      <c r="E231" s="4" t="s">
        <v>3316</v>
      </c>
      <c r="F231" s="8" t="str">
        <f>IF(ISBLANK(input_wld_supvr_vpc_priv_ip_blocks_name),"Value Missing",input_wld_supvr_vpc_priv_ip_blocks_name)</f>
        <v>Value Missing</v>
      </c>
      <c r="H231" s="30" t="s">
        <v>1858</v>
      </c>
      <c r="I231" s="8" t="str">
        <f>IF(ISBLANK(input_cluster_az2_principal_storage_vlan),"Value Missing",input_cluster_az2_principal_storage_vlan)</f>
        <v>Value Missing</v>
      </c>
    </row>
    <row r="232" spans="2:10" ht="20" customHeight="1" x14ac:dyDescent="0.2">
      <c r="B232" s="28" t="s">
        <v>1882</v>
      </c>
      <c r="C232" s="8" t="str">
        <f>IF(ISBLANK(input_wld_az1_en2_eth1_uplink0),"Value Missing",input_wld_az1_en2_eth1_uplink0)</f>
        <v>Value Missing</v>
      </c>
      <c r="E232" s="4" t="s">
        <v>3317</v>
      </c>
      <c r="F232" s="8" t="str">
        <f>IF(ISBLANK(input_wld_supvr_vpc_priv_cidr),"Value Missing",input_wld_supvr_vpc_priv_cidr)</f>
        <v>Value Missing</v>
      </c>
      <c r="H232" s="30" t="s">
        <v>155</v>
      </c>
      <c r="I232" s="8" t="str">
        <f>IF(ISBLANK(input_cluster_az2_principal_storage_mtu),"Value Missing",input_cluster_az2_principal_storage_mtu)</f>
        <v>Value Missing</v>
      </c>
    </row>
    <row r="233" spans="2:10" ht="20" customHeight="1" x14ac:dyDescent="0.2">
      <c r="B233" s="28" t="s">
        <v>1883</v>
      </c>
      <c r="C233" s="8" t="str">
        <f>IF(ISBLANK(input_wld_az1_en2_eth1_uplink1),"Value Missing",input_wld_az1_en2_eth1_uplink1)</f>
        <v>Value Missing</v>
      </c>
      <c r="E233" s="4" t="s">
        <v>776</v>
      </c>
      <c r="F233" s="8" t="str">
        <f>IF(ISBLANK(input_wld_supvr_vpc_service_cidr),"Value Missing",input_wld_supvr_vpc_service_cidr)</f>
        <v>Value Missing</v>
      </c>
      <c r="H233" s="30" t="s">
        <v>1860</v>
      </c>
      <c r="I233" s="8" t="str">
        <f>IF(ISBLANK(input_cluster_az2_principal_storage_network),"Value Missing",input_cluster_az2_principal_storage_network)</f>
        <v>Value Missing</v>
      </c>
      <c r="J233" s="2"/>
    </row>
    <row r="234" spans="2:10" ht="20" customHeight="1" x14ac:dyDescent="0.2">
      <c r="E234" s="4" t="s">
        <v>3318</v>
      </c>
      <c r="F234" s="8" t="str">
        <f>IF(ISBLANK(input_wld_supvr_wld_dns_server),"Value Missing",input_wld_supvr_wld_dns_server)</f>
        <v>Value Missing</v>
      </c>
      <c r="H234" s="30" t="s">
        <v>242</v>
      </c>
      <c r="I234" s="8" t="str">
        <f>IF(ISBLANK(input_cluster_az2_principal_storage_mask),"Value Missing",input_cluster_az2_principal_storage_mask)</f>
        <v>Value Missing</v>
      </c>
    </row>
    <row r="235" spans="2:10" ht="20" customHeight="1" x14ac:dyDescent="0.2">
      <c r="B235" s="217" t="s">
        <v>3328</v>
      </c>
      <c r="C235" s="217"/>
      <c r="E235" s="4" t="s">
        <v>3319</v>
      </c>
      <c r="F235" s="8" t="str">
        <f>IF(ISBLANK(input_wld_supvr_wld_ntp_server),"Value Missing",input_wld_supvr_wld_ntp_server)</f>
        <v>Value Missing</v>
      </c>
      <c r="H235" s="30" t="s">
        <v>181</v>
      </c>
      <c r="I235" s="8" t="str">
        <f>IF(OR(cluster_az2_principal_storage_network="Value Missing",cluster_az2_principal_storage_mask="Value Missing"),"Value Missing",(CONCATENATE(cluster_az2_principal_storage_network,"/",VLOOKUP(cluster_az2_principal_storage_mask,table_mask_to_cidr,2,FALSE))))</f>
        <v>Value Missing</v>
      </c>
    </row>
    <row r="236" spans="2:10" ht="20" customHeight="1" x14ac:dyDescent="0.2">
      <c r="B236" s="4" t="s">
        <v>3294</v>
      </c>
      <c r="C236" s="8" t="str">
        <f>IF(ISBLANK(input_mgmt_vpc_ext_ip_blocks_name),"Value Missing",input_mgmt_vpc_ext_ip_blocks_name)</f>
        <v>Value Missing</v>
      </c>
      <c r="E236" s="4" t="s">
        <v>3323</v>
      </c>
      <c r="F236" s="8" t="str">
        <f>IF(ISBLANK(input_wld_supvr_api_server_fqdn),"Value Missing",input_wld_supvr_api_server_fqdn)</f>
        <v>Value Missing</v>
      </c>
      <c r="H236" s="30" t="s">
        <v>243</v>
      </c>
      <c r="I236" s="8" t="str">
        <f>IF(ISBLANK(input_cluster_az2_principal_storage_gateway_ip),"Value Missing",input_cluster_az2_principal_storage_gateway_ip)</f>
        <v>Value Missing</v>
      </c>
    </row>
    <row r="237" spans="2:10" ht="20" customHeight="1" x14ac:dyDescent="0.2">
      <c r="B237" s="4" t="s">
        <v>3253</v>
      </c>
      <c r="C237" s="8" t="str">
        <f>IF(ISBLANK(input_mgmt_vpc_ext_ip_blocks_visability),"Value Missing",input_mgmt_vpc_ext_ip_blocks_visability)</f>
        <v>Value Missing</v>
      </c>
      <c r="H237" s="30" t="s">
        <v>244</v>
      </c>
      <c r="I237" s="8" t="str">
        <f>IF(ISBLANK(input_cluster_az2_principal_storage_pool_start_ip),"Value Missing",input_cluster_az2_principal_storage_pool_start_ip)</f>
        <v>Value Missing</v>
      </c>
    </row>
    <row r="238" spans="2:10" ht="20" customHeight="1" x14ac:dyDescent="0.2">
      <c r="B238" s="4" t="s">
        <v>170</v>
      </c>
      <c r="C238" s="8" t="str">
        <f>IF(ISBLANK(input_mgmt_vpc_ext_ip_blocks_cidr),"Value Missing",input_mgmt_vpc_ext_ip_blocks_cidr)</f>
        <v>Value Missing</v>
      </c>
      <c r="E238" s="217" t="s">
        <v>3364</v>
      </c>
      <c r="F238" s="217"/>
      <c r="H238" s="30" t="s">
        <v>245</v>
      </c>
      <c r="I238" s="8" t="str">
        <f>IF(ISBLANK(input_cluster_az2_principal_storage_pool_end_ip),"Value Missing",input_cluster_az2_principal_storage_pool_end_ip)</f>
        <v>Value Missing</v>
      </c>
    </row>
    <row r="239" spans="2:10" ht="20" customHeight="1" x14ac:dyDescent="0.2">
      <c r="B239" s="4" t="s">
        <v>3255</v>
      </c>
      <c r="C239" s="8" t="str">
        <f>IF(ISBLANK(input_mgmt_vpc_ext_ip_blocks_excluded_ips),"Value Missing",input_mgmt_vpc_ext_ip_blocks_excluded_ips)</f>
        <v>Value Missing</v>
      </c>
      <c r="E239" s="4" t="s">
        <v>3219</v>
      </c>
      <c r="F239" s="8" t="str">
        <f>IF(ISBLANK(input_flt_def_sddc_mgr_fqdn),"Value Missing",input_flt_def_sddc_mgr_fqdn)</f>
        <v>Value Missing</v>
      </c>
      <c r="H239" s="568" t="s">
        <v>1861</v>
      </c>
      <c r="I239" s="570"/>
    </row>
    <row r="240" spans="2:10" ht="20" customHeight="1" x14ac:dyDescent="0.2">
      <c r="B240" s="4" t="s">
        <v>3256</v>
      </c>
      <c r="C240" s="8" t="str">
        <f>IF(ISBLANK(input_mgmt_vpc_ext_ip_blocks_reserved),"Value Missing",input_mgmt_vpc_ext_ip_blocks_reserved)</f>
        <v>Value Missing</v>
      </c>
      <c r="E240" s="4" t="s">
        <v>3220</v>
      </c>
      <c r="F240" s="8" t="str">
        <f>IF(ISBLANK(input_flt_def_administrator_vsphere_local_username),"Value Missing",input_flt_def_administrator_vsphere_local_username)</f>
        <v>Value Missing</v>
      </c>
      <c r="H240" s="30" t="s">
        <v>1862</v>
      </c>
      <c r="I240" s="8" t="str">
        <f>IF(ISBLANK(input_cluster_az2_secondary_storage_vlan),"Value Missing",input_cluster_az2_secondary_storage_vlan)</f>
        <v>Value Missing</v>
      </c>
    </row>
    <row r="241" spans="2:9" ht="20" customHeight="1" x14ac:dyDescent="0.2">
      <c r="B241" s="4" t="s">
        <v>3295</v>
      </c>
      <c r="C241" s="8" t="str">
        <f>IF(ISBLANK(input_mgmt_vpc_priv_ip_blocks_name),"Value Missing",input_mgmt_vpc_priv_ip_blocks_name)</f>
        <v>Value Missing</v>
      </c>
      <c r="E241" s="4" t="s">
        <v>3221</v>
      </c>
      <c r="F241" s="8" t="str">
        <f>IF(ISBLANK(input_flt_def_administrator_vsphere_local_password),"Value Missing",input_flt_def_administrator_vsphere_local_password)</f>
        <v>Value Missing</v>
      </c>
      <c r="H241" s="30" t="s">
        <v>155</v>
      </c>
      <c r="I241" s="8" t="str">
        <f>IF(ISBLANK(input_cluster_az2_secondary_storage_mtu),"Value Missing",input_cluster_az2_secondary_storage_mtu)</f>
        <v>Value Missing</v>
      </c>
    </row>
    <row r="242" spans="2:9" ht="20" customHeight="1" x14ac:dyDescent="0.2">
      <c r="B242" s="4" t="s">
        <v>3253</v>
      </c>
      <c r="C242" s="8" t="str">
        <f>IF(ISBLANK(input_mgmt_vpc_priv_ip_blocks_visability),"Value Missing",input_mgmt_vpc_priv_ip_blocks_visability)</f>
        <v>Value Missing</v>
      </c>
      <c r="E242" s="4" t="s">
        <v>3224</v>
      </c>
      <c r="F242" s="8" t="str">
        <f>IF(ISBLANK(input_flt_def_vcf_operations_az1_vcf_mgmt_pg),"Value Missing",input_flt_def_vcf_operations_az1_vcf_mgmt_pg)</f>
        <v>Value Missing</v>
      </c>
      <c r="H242" s="30" t="s">
        <v>1863</v>
      </c>
      <c r="I242" s="8" t="str">
        <f>IF(ISBLANK(input_cluster_az2_secondary_storage_network),"Value Missing",input_cluster_az2_secondary_storage_network)</f>
        <v>Value Missing</v>
      </c>
    </row>
    <row r="243" spans="2:9" ht="20" customHeight="1" x14ac:dyDescent="0.2">
      <c r="B243" s="4" t="s">
        <v>172</v>
      </c>
      <c r="C243" s="8" t="str">
        <f>IF(ISBLANK(input_mgmt_vpc_transit_gateway_ip_blocks_cidr),"Value Missing",input_mgmt_vpc_transit_gateway_ip_blocks_cidr)</f>
        <v>Value Missing</v>
      </c>
      <c r="E243" s="4" t="s">
        <v>3225</v>
      </c>
      <c r="F243" s="8" t="str">
        <f>IF(ISBLANK(input_flt_def_vcf_operations_az1_vcf_mgmt_gateway_cidr),"Value Missing",input_flt_def_vcf_operations_az1_vcf_mgmt_gateway_cidr)</f>
        <v>Value Missing</v>
      </c>
      <c r="H243" s="30" t="s">
        <v>242</v>
      </c>
      <c r="I243" s="8" t="str">
        <f>IF(ISBLANK(input_cluster_az2_secondary_storage_mask),"Value Missing",input_cluster_az2_secondary_storage_mask)</f>
        <v>Value Missing</v>
      </c>
    </row>
    <row r="244" spans="2:9" ht="20" customHeight="1" x14ac:dyDescent="0.2">
      <c r="B244" s="4" t="s">
        <v>3255</v>
      </c>
      <c r="C244" s="8" t="str">
        <f>IF(ISBLANK(input_mgmt_vpc_priv_ip_blocks_excluded_ips),"Value Missing",input_mgmt_vpc_priv_ip_blocks_excluded_ips)</f>
        <v>Value Missing</v>
      </c>
      <c r="E244" s="4" t="s">
        <v>3126</v>
      </c>
      <c r="F244" s="8" t="str">
        <f>IF(ISBLANK(input_flt_def_auto_node_pool_start_ip),"Value Missing",input_flt_def_auto_node_pool_start_ip)</f>
        <v>Value Missing</v>
      </c>
      <c r="H244" s="30" t="s">
        <v>243</v>
      </c>
      <c r="I244" s="8" t="str">
        <f>IF(ISBLANK(input_cluster_az2_secondary_storage_gateway_ip),"Value Missing",input_cluster_az2_secondary_storage_gateway_ip)</f>
        <v>Value Missing</v>
      </c>
    </row>
    <row r="245" spans="2:9" ht="20" customHeight="1" x14ac:dyDescent="0.2">
      <c r="B245" s="4" t="s">
        <v>3256</v>
      </c>
      <c r="C245" s="8" t="str">
        <f>IF(ISBLANK(input_mgmt_vpc_priv_ip_blocks_reserved),"Value Missing",input_mgmt_vpc_priv_ip_blocks_reserved)</f>
        <v>Value Missing</v>
      </c>
      <c r="E245" s="4" t="s">
        <v>3127</v>
      </c>
      <c r="F245" s="8" t="str">
        <f>IF(ISBLANK(input_flt_def_auto_node_pool_end_ip),"Value Missing",input_flt_def_auto_node_pool_end_ip)</f>
        <v>Value Missing</v>
      </c>
      <c r="H245" s="30" t="s">
        <v>244</v>
      </c>
      <c r="I245" s="8" t="str">
        <f>IF(ISBLANK(input_cluster_az2_secondary_storage_pool_start_ip),"Value Missing",input_cluster_az2_secondary_storage_pool_start_ip)</f>
        <v>Value Missing</v>
      </c>
    </row>
    <row r="246" spans="2:9" ht="20" customHeight="1" x14ac:dyDescent="0.2">
      <c r="B246" s="4" t="s">
        <v>200</v>
      </c>
      <c r="C246" s="8" t="str">
        <f>IF(ISBLANK(input_mgmt_vpc_vna_cluster_name),"Value Missing",input_mgmt_vpc_vna_cluster_name)</f>
        <v>Value Missing</v>
      </c>
      <c r="E246" s="4" t="s">
        <v>3164</v>
      </c>
      <c r="F246" s="8" t="str">
        <f>IF(ISBLANK(input_flt_def_vcf_operations_nodea_fqdn),"Value Missing",input_flt_def_vcf_operations_nodea_fqdn)</f>
        <v>Value Missing</v>
      </c>
      <c r="H246" s="30" t="s">
        <v>245</v>
      </c>
      <c r="I246" s="8" t="str">
        <f>IF(ISBLANK(input_cluster_az2_secondary_storage_pool_end_ip),"Value Missing",input_cluster_az2_secondary_storage_pool_end_ip)</f>
        <v>Value Missing</v>
      </c>
    </row>
    <row r="247" spans="2:9" ht="20" customHeight="1" x14ac:dyDescent="0.2">
      <c r="B247" s="4" t="s">
        <v>3284</v>
      </c>
      <c r="C247" s="8" t="str">
        <f>IF(ISBLANK(input_mgmt_vnaa_fqdn),"Value Missing",input_mgmt_vnaa_fqdn)</f>
        <v>Value Missing</v>
      </c>
      <c r="E247" s="4" t="s">
        <v>3169</v>
      </c>
      <c r="F247" s="8" t="str">
        <f>IF(ISBLANK(input_flt_def_vcf_operations_nodeb_fqdn),"Value Missing",input_flt_def_vcf_operations_nodeb_fqdn)</f>
        <v>Value Missing</v>
      </c>
      <c r="H247" s="568" t="s">
        <v>686</v>
      </c>
      <c r="I247" s="570"/>
    </row>
    <row r="248" spans="2:9" ht="20" customHeight="1" x14ac:dyDescent="0.2">
      <c r="B248" s="4" t="s">
        <v>3284</v>
      </c>
      <c r="C248" s="8" t="str">
        <f>IF(ISBLANK(input_mgmt_vnab_fqdn),"Value Missing",input_mgmt_vnab_fqdn)</f>
        <v>Value Missing</v>
      </c>
      <c r="E248" s="4" t="s">
        <v>3170</v>
      </c>
      <c r="F248" s="8" t="str">
        <f>IF(ISBLANK(input_flt_def_vcf_operations_nodec_fqdn),"Value Missing",input_flt_def_vcf_operations_nodec_fqdn)</f>
        <v>Value Missing</v>
      </c>
      <c r="H248" s="4" t="s">
        <v>85</v>
      </c>
      <c r="I248" s="8" t="str">
        <f>IF(ISBLANK(input_cluster_az2_storage_cluster_vlan),"Value Missing",input_cluster_az2_storage_cluster_vlan)</f>
        <v>Value Missing</v>
      </c>
    </row>
    <row r="249" spans="2:9" ht="20" customHeight="1" x14ac:dyDescent="0.2">
      <c r="B249" s="4" t="s">
        <v>3287</v>
      </c>
      <c r="C249" s="8" t="str">
        <f>IF(ISBLANK(input_mgmt_vnaa_cidr),"Value Missing",input_mgmt_vnaa_cidr)</f>
        <v>Value Missing</v>
      </c>
      <c r="E249" s="4" t="s">
        <v>2829</v>
      </c>
      <c r="F249" s="8" t="str">
        <f>IF(ISBLANK(input_flt_def_vcf_operations_virtual_fqdn),"Value Missing",input_flt_def_vcf_operations_virtual_fqdn)</f>
        <v>Value Missing</v>
      </c>
      <c r="H249" s="4" t="s">
        <v>155</v>
      </c>
      <c r="I249" s="8" t="str">
        <f>IF(ISBLANK(input_cluster_az2_storage_cluster_mtu),"Value Missing",input_cluster_az2_storage_cluster_mtu)</f>
        <v>Value Missing</v>
      </c>
    </row>
    <row r="250" spans="2:9" ht="20" customHeight="1" x14ac:dyDescent="0.2">
      <c r="B250" s="4" t="s">
        <v>3287</v>
      </c>
      <c r="C250" s="8" t="str">
        <f>IF(ISBLANK(input_mgmt_vnab_cidr),"Value Missing",input_mgmt_vnab_cidr)</f>
        <v>Value Missing</v>
      </c>
      <c r="E250" s="4" t="s">
        <v>3365</v>
      </c>
      <c r="F250" s="8" t="str">
        <f>IF(ISBLANK(input_flt_def_vcf_operations_proxy_fqdn),"Value Missing",input_flt_def_vcf_operations_proxy_fqdn)</f>
        <v>Value Missing</v>
      </c>
      <c r="H250" s="4" t="s">
        <v>241</v>
      </c>
      <c r="I250" s="8" t="str">
        <f>IF(ISBLANK(input_cluster_az2_storage_cluster_network),"Value Missing",input_cluster_az2_storage_cluster_network)</f>
        <v>Value Missing</v>
      </c>
    </row>
    <row r="251" spans="2:9" ht="20" customHeight="1" x14ac:dyDescent="0.2">
      <c r="B251" s="4" t="s">
        <v>823</v>
      </c>
      <c r="C251" s="8" t="str">
        <f>IF(ISBLANK(input_mgmt_vna_rp_name),"Value Missing",input_mgmt_vna_rp_name)</f>
        <v>Value Missing</v>
      </c>
      <c r="E251" s="4" t="s">
        <v>3366</v>
      </c>
      <c r="F251" s="8" t="str">
        <f>IF(ISBLANK(input_flt_def_vcf_operations_lc_fqdn),"Value Missing",input_flt_def_vcf_operations_lc_fqdn)</f>
        <v>Value Missing</v>
      </c>
      <c r="H251" s="4" t="s">
        <v>274</v>
      </c>
      <c r="I251" s="8" t="str">
        <f>IF(ISBLANK(input_cluster_az2_storage_cluster_mask),"Value Missing",input_cluster_az2_storage_cluster_mask)</f>
        <v>Value Missing</v>
      </c>
    </row>
    <row r="252" spans="2:9" ht="20" customHeight="1" x14ac:dyDescent="0.2">
      <c r="E252" s="4" t="s">
        <v>3367</v>
      </c>
      <c r="F252" s="8" t="str">
        <f>IF(ISBLANK(input_flt_def_vra_virtual_fqdn),"Value Missing",input_flt_def_vra_virtual_fqdn)</f>
        <v>Value Missing</v>
      </c>
      <c r="H252" s="4" t="s">
        <v>447</v>
      </c>
      <c r="I252" s="8" t="str">
        <f>IF(OR(cluster_az2_storage_cluster_network="Value Missing",cluster_az2_storage_cluster_mask="Value Missing"),"Value Missing",(CONCATENATE(cluster_az2_storage_cluster_network,"/",VLOOKUP(cluster_az2_storage_cluster_mask,table_mask_to_cidr,2,FALSE))))</f>
        <v>Value Missing</v>
      </c>
    </row>
    <row r="253" spans="2:9" ht="20" customHeight="1" x14ac:dyDescent="0.2">
      <c r="B253" s="217" t="s">
        <v>3324</v>
      </c>
      <c r="C253" s="217"/>
      <c r="E253" s="4" t="s">
        <v>3368</v>
      </c>
      <c r="F253" s="8" t="str">
        <f>IF(ISBLANK(input_flt_def_auto_sr_fqdn),"Value Missing",input_flt_def_auto_sr_fqdn)</f>
        <v>Value Missing</v>
      </c>
      <c r="H253" s="4" t="s">
        <v>180</v>
      </c>
      <c r="I253" s="8" t="str">
        <f>IF(ISBLANK(input_cluster_az2_storage_cluster_gateway_ip),"Value Missing",input_cluster_az2_storage_cluster_gateway_ip)</f>
        <v>Value Missing</v>
      </c>
    </row>
    <row r="254" spans="2:9" ht="20" customHeight="1" x14ac:dyDescent="0.2">
      <c r="B254" s="4" t="s">
        <v>3302</v>
      </c>
      <c r="C254" s="8" t="str">
        <f>IF(ISBLANK(input_mgmt_supvr_name),"Value Missing",input_mgmt_supvr_name)</f>
        <v>Value Missing</v>
      </c>
      <c r="E254" s="4" t="s">
        <v>3343</v>
      </c>
      <c r="F254" s="8" t="str">
        <f>IF(ISBLANK(input_flt_def_vcf_operations_nodea_ip),"Value Missing",input_flt_def_vcf_operations_nodea_ip)</f>
        <v>Value Missing</v>
      </c>
      <c r="H254" s="23" t="s">
        <v>244</v>
      </c>
      <c r="I254" s="8" t="str">
        <f>IF(ISBLANK(input_cluster_az2_storage_cluster_pool_start_ip),"Value Missing",input_cluster_az2_storage_cluster_pool_start_ip)</f>
        <v>Value Missing</v>
      </c>
    </row>
    <row r="255" spans="2:9" ht="20" customHeight="1" x14ac:dyDescent="0.2">
      <c r="B255" s="4" t="s">
        <v>3305</v>
      </c>
      <c r="C255" s="8" t="str">
        <f>IF(ISBLANK(input_mgmt_supvr_zone_name),"Value Missing",input_mgmt_supvr_zone_name)</f>
        <v>Value Missing</v>
      </c>
      <c r="E255" s="4" t="s">
        <v>3344</v>
      </c>
      <c r="F255" s="8" t="str">
        <f>IF(ISBLANK(input_flt_def_vcf_operations_nodeb_ip),"Value Missing",input_flt_def_vcf_operations_nodeb_ip)</f>
        <v>Value Missing</v>
      </c>
      <c r="H255" s="23" t="s">
        <v>245</v>
      </c>
      <c r="I255" s="8" t="str">
        <f>IF(ISBLANK(input_cluster_az2_storage_cluster_pool_end_ip),"Value Missing",input_cluster_az2_storage_cluster_pool_end_ip)</f>
        <v>Value Missing</v>
      </c>
    </row>
    <row r="256" spans="2:9" ht="20" customHeight="1" x14ac:dyDescent="0.2">
      <c r="B256" s="4" t="s">
        <v>3306</v>
      </c>
      <c r="C256" s="8" t="str">
        <f>IF(ISBLANK(input_mgmt_supvr_cp_storage_policy),"Value Missing",input_mgmt_supvr_cp_storage_policy)</f>
        <v>Value Missing</v>
      </c>
      <c r="E256" s="4" t="s">
        <v>3345</v>
      </c>
      <c r="F256" s="8" t="str">
        <f>IF(ISBLANK(input_flt_def_vcf_operations_nodec_ip),"Value Missing",input_flt_def_vcf_operations_nodec_ip)</f>
        <v>Value Missing</v>
      </c>
      <c r="H256" s="30" t="s">
        <v>253</v>
      </c>
      <c r="I256" s="8"/>
    </row>
    <row r="257" spans="2:9" ht="20" customHeight="1" x14ac:dyDescent="0.2">
      <c r="B257" s="4" t="s">
        <v>3307</v>
      </c>
      <c r="C257" s="8" t="str">
        <f>IF(ISBLANK(input_mgmt_supvr_ed_storage_policy),"Value Missing",input_mgmt_supvr_ed_storage_policy)</f>
        <v>Value Missing</v>
      </c>
      <c r="E257" s="4" t="s">
        <v>3346</v>
      </c>
      <c r="F257" s="8" t="str">
        <f>IF(ISBLANK(input_flt_def_vcf_operations_virtual_ip),"Value Missing",input_flt_def_vcf_operations_virtual_ip)</f>
        <v>Value Missing</v>
      </c>
      <c r="H257" s="30" t="s">
        <v>255</v>
      </c>
      <c r="I257" s="8"/>
    </row>
    <row r="258" spans="2:9" ht="20" customHeight="1" x14ac:dyDescent="0.2">
      <c r="B258" s="4" t="s">
        <v>3308</v>
      </c>
      <c r="C258" s="8" t="str">
        <f>IF(ISBLANK(input_mgmt_supvr_ic_storage_policy),"Value Missing",input_mgmt_supvr_ic_storage_policy)</f>
        <v>Value Missing</v>
      </c>
      <c r="E258" s="4" t="s">
        <v>3340</v>
      </c>
      <c r="F258" s="8" t="str">
        <f>IF(ISBLANK(input_flt_def_vcf_operations_proxy_ip),"Value Missing",input_flt_def_vcf_operations_proxy_ip)</f>
        <v>Value Missing</v>
      </c>
      <c r="H258" s="30" t="s">
        <v>257</v>
      </c>
      <c r="I258" s="8"/>
    </row>
    <row r="259" spans="2:9" ht="20" customHeight="1" x14ac:dyDescent="0.2">
      <c r="B259" s="4" t="s">
        <v>3311</v>
      </c>
      <c r="C259" s="8" t="str">
        <f>IF(ISBLANK(input_mgmt_supvr_ip_address_range),"Value Missing",input_mgmt_supvr_ip_address_range)</f>
        <v>Value Missing</v>
      </c>
      <c r="E259" s="4" t="s">
        <v>3341</v>
      </c>
      <c r="F259" s="8" t="str">
        <f>IF(ISBLANK(input_flt_def_vcf_operations_lc_ip),"Value Missing",input_flt_def_vcf_operations_lc_ip)</f>
        <v>Value Missing</v>
      </c>
      <c r="H259" s="30" t="s">
        <v>1884</v>
      </c>
      <c r="I259" s="8" t="str">
        <f>IF(ISBLANK(input_cluster_witnessaz_mgmt_vlan),"Value Missing",input_cluster_witnessaz_mgmt_vlan)</f>
        <v>Value Missing</v>
      </c>
    </row>
    <row r="260" spans="2:9" ht="20" customHeight="1" x14ac:dyDescent="0.2">
      <c r="B260" s="4" t="s">
        <v>555</v>
      </c>
      <c r="C260" s="8" t="str">
        <f>IF(ISBLANK(input_mgmt_supvr_mgmt_dns_server),"Value Missing",input_mgmt_supvr_mgmt_dns_server)</f>
        <v>Value Missing</v>
      </c>
      <c r="E260" s="4" t="s">
        <v>3342</v>
      </c>
      <c r="F260" s="8" t="str">
        <f>IF(ISBLANK(input_flt_def_vra_virtual_ip),"Value Missing",input_flt_def_vra_virtual_ip)</f>
        <v>Value Missing</v>
      </c>
      <c r="H260" s="30" t="s">
        <v>1885</v>
      </c>
      <c r="I260" s="8" t="str">
        <f>IF(ISBLANK(input_cluster_witnessaz_mgmt_gateway_ip),"Value Missing",input_cluster_witnessaz_mgmt_gateway_ip)</f>
        <v>Value Missing</v>
      </c>
    </row>
    <row r="261" spans="2:9" ht="20" customHeight="1" x14ac:dyDescent="0.2">
      <c r="B261" s="4" t="s">
        <v>3312</v>
      </c>
      <c r="C261" s="8" t="str">
        <f>IF(ISBLANK(input_mgmt_supvr_mgmt_dns_zones),"Value Missing",input_mgmt_supvr_mgmt_dns_zones)</f>
        <v>Value Missing</v>
      </c>
      <c r="E261" s="4" t="s">
        <v>3356</v>
      </c>
      <c r="F261" s="8" t="str">
        <f>IF(ISBLANK(input_flt_def_auto_sr_ip),"Value Missing",input_flt_def_auto_sr_ip)</f>
        <v>Value Missing</v>
      </c>
      <c r="H261" s="30" t="s">
        <v>1886</v>
      </c>
      <c r="I261" s="8" t="str">
        <f>IF(ISBLANK(input_cluster_witnessaz_mgmt_cidr),"Value Missing",input_cluster_witnessaz_mgmt_cidr)</f>
        <v>Value Missing</v>
      </c>
    </row>
    <row r="262" spans="2:9" ht="20" customHeight="1" x14ac:dyDescent="0.2">
      <c r="B262" s="4" t="s">
        <v>3313</v>
      </c>
      <c r="C262" s="8" t="str">
        <f>IF(ISBLANK(input_mgmt_supvr_mgmt_ntp_server),"Value Missing",input_mgmt_supvr_mgmt_ntp_server)</f>
        <v>Value Missing</v>
      </c>
      <c r="E262" s="4" t="s">
        <v>3549</v>
      </c>
      <c r="F262" s="8" t="str">
        <f>IF(ISBLANK(input_flt_def_vcf_operations_admin_password),"Value Missing",input_flt_def_vcf_operations_admin_password)</f>
        <v>Value Missing</v>
      </c>
      <c r="H262" s="30" t="s">
        <v>1887</v>
      </c>
      <c r="I262" s="8" t="str">
        <f>IF(ISBLANK(input_cluster_witnessaz_mgmt_mtu),"Value Missing",input_cluster_witnessaz_mgmt_mtu)</f>
        <v>Value Missing</v>
      </c>
    </row>
    <row r="263" spans="2:9" ht="20" customHeight="1" x14ac:dyDescent="0.2">
      <c r="B263" s="4" t="s">
        <v>780</v>
      </c>
      <c r="C263" s="8" t="str">
        <f>IF(ISBLANK(input_mgmt_supvr_nsx_project),"Value Missing",input_mgmt_supvr_nsx_project)</f>
        <v>Value Missing</v>
      </c>
      <c r="E263" s="4" t="s">
        <v>3551</v>
      </c>
      <c r="F263" s="8" t="str">
        <f>IF(ISBLANK(input_flt_def_vcf_operations_root_password),"Value Missing",input_flt_def_vcf_operations_root_password)</f>
        <v>Value Missing</v>
      </c>
      <c r="H263" s="30" t="s">
        <v>262</v>
      </c>
      <c r="I263" s="8" t="str">
        <f>IF(ISBLANK(input_cluster_witness_zone_vc_fqdn),"Value Missing",input_cluster_witness_zone_vc_fqdn)</f>
        <v>Value Missing</v>
      </c>
    </row>
    <row r="264" spans="2:9" ht="20" customHeight="1" x14ac:dyDescent="0.2">
      <c r="B264" s="4" t="s">
        <v>781</v>
      </c>
      <c r="C264" s="8" t="str">
        <f>IF(ISBLANK(input_mgmt_supvr_vpc_connectivity_profile),"Value Missing",input_mgmt_supvr_vpc_connectivity_profile)</f>
        <v>Value Missing</v>
      </c>
      <c r="E264" s="4" t="s">
        <v>3702</v>
      </c>
      <c r="F264" s="8" t="str">
        <f>IF(ISBLANK(input_flt_def_vcf_operations_replica_root_password),"Value Missing",input_flt_def_vcf_operations_replica_root_password)</f>
        <v>Value Missing</v>
      </c>
      <c r="H264" s="30" t="s">
        <v>265</v>
      </c>
      <c r="I264" s="8" t="str">
        <f t="array" ref="I264">IF(ISBLANK(input_cluster_witness_hostname),"Value Missing",input_cluster_witness_hostname)</f>
        <v>Value Missing</v>
      </c>
    </row>
    <row r="265" spans="2:9" ht="20" customHeight="1" x14ac:dyDescent="0.2">
      <c r="B265" s="4" t="s">
        <v>3315</v>
      </c>
      <c r="C265" s="8" t="str">
        <f>IF(ISBLANK(input_mgmt_supvr_vpc_ext_ip_blocks_name),"Value Missing",input_mgmt_supvr_vpc_ext_ip_blocks_name)</f>
        <v>Value Missing</v>
      </c>
      <c r="E265" s="4" t="s">
        <v>3703</v>
      </c>
      <c r="F265" s="8" t="str" cm="1">
        <f t="array" ref="F265">IF(ISBLANK(input_flt_def_vcf_operations_data_root_password),"Value Missing",input_flt_def_vcf_operations_data_root_password)</f>
        <v>Value Missing</v>
      </c>
      <c r="H265" s="30" t="s">
        <v>266</v>
      </c>
      <c r="I265" s="8" t="str">
        <f>IF(ISBLANK(input_cluster_witness_cluster),"Value Missing",input_cluster_witness_cluster)</f>
        <v>Value Missing</v>
      </c>
    </row>
    <row r="266" spans="2:9" ht="20" customHeight="1" x14ac:dyDescent="0.2">
      <c r="B266" s="4" t="s">
        <v>3316</v>
      </c>
      <c r="C266" s="8" t="str">
        <f>IF(ISBLANK(input_mgmt_supvr_vpc_priv_ip_blocks_name),"Value Missing",input_mgmt_supvr_vpc_priv_ip_blocks_name)</f>
        <v>Value Missing</v>
      </c>
      <c r="E266" s="4" t="s">
        <v>3550</v>
      </c>
      <c r="F266" s="8" t="str">
        <f>IF(ISBLANK(input_flt_def_vcf_operations_proxy_root_password),"Value Missing",input_flt_def_vcf_operations_proxy_root_password)</f>
        <v>Value Missing</v>
      </c>
      <c r="H266" s="30" t="s">
        <v>267</v>
      </c>
      <c r="I266" s="8" t="str">
        <f>IF(ISBLANK(input_cluster_witness_vm_folder),"Value Missing",input_cluster_witness_vm_folder)</f>
        <v>Value Missing</v>
      </c>
    </row>
    <row r="267" spans="2:9" ht="20" customHeight="1" x14ac:dyDescent="0.2">
      <c r="B267" s="4" t="s">
        <v>3317</v>
      </c>
      <c r="C267" s="8" t="str">
        <f>IF(ISBLANK(input_mgmt_supvr_vpc_priv_cidr),"Value Missing",input_mgmt_supvr_vpc_priv_cidr)</f>
        <v>Value Missing</v>
      </c>
      <c r="E267" s="4" t="s">
        <v>3552</v>
      </c>
      <c r="F267" s="8" t="str">
        <f>IF(ISBLANK(input_flt_def_auto_admin_password),"Value Missing",input_flt_def_auto_admin_password)</f>
        <v>Value Missing</v>
      </c>
      <c r="H267" s="30" t="s">
        <v>268</v>
      </c>
      <c r="I267" s="8" t="str">
        <f>IF(ISBLANK(input_cluster_witness_vsan_datastore),"Value Missing",input_cluster_witness_vsan_datastore)</f>
        <v>Value Missing</v>
      </c>
    </row>
    <row r="268" spans="2:9" ht="20" customHeight="1" x14ac:dyDescent="0.2">
      <c r="B268" s="4" t="s">
        <v>776</v>
      </c>
      <c r="C268" s="8" t="str">
        <f>IF(ISBLANK(input_mgmt_supvr_vpc_service_cidr),"Value Missing",input_mgmt_supvr_vpc_service_cidr)</f>
        <v>Value Missing</v>
      </c>
      <c r="E268" s="4" t="s">
        <v>3553</v>
      </c>
      <c r="F268" s="8" t="str">
        <f>IF(ISBLANK(input_flt_def_vcf_operations_proxy_az1_vcf_mgmt_gateway_cidr),"Value Missing",input_flt_def_vcf_operations_proxy_az1_vcf_mgmt_gateway_cidr)</f>
        <v>Value Missing</v>
      </c>
      <c r="H268" s="30" t="s">
        <v>269</v>
      </c>
      <c r="I268" s="8" t="str">
        <f>IF(ISBLANK(input_cluster_witness_mgmt_pg),"Value Missing",input_cluster_witness_mgmt_pg)</f>
        <v>Value Missing</v>
      </c>
    </row>
    <row r="269" spans="2:9" ht="20" customHeight="1" x14ac:dyDescent="0.2">
      <c r="B269" s="4" t="s">
        <v>3318</v>
      </c>
      <c r="C269" s="8" t="str">
        <f>IF(ISBLANK(input_mgmt_supvr_wld_dns_server),"Value Missing",input_mgmt_supvr_wld_dns_server)</f>
        <v>Value Missing</v>
      </c>
      <c r="E269" s="4" t="s">
        <v>3554</v>
      </c>
      <c r="F269" s="8" t="str">
        <f>IF(ISBLANK(input_flt_def_vcf_operations_proxy_az1_vcf_mgmt_pg),"Value Missing",input_flt_def_vcf_operations_proxy_az1_vcf_mgmt_pg)</f>
        <v>Value Missing</v>
      </c>
      <c r="H269" s="30" t="s">
        <v>270</v>
      </c>
      <c r="I269" s="8"/>
    </row>
    <row r="270" spans="2:9" ht="20" customHeight="1" x14ac:dyDescent="0.2">
      <c r="B270" s="4" t="s">
        <v>3319</v>
      </c>
      <c r="C270" s="8" t="str">
        <f>IF(ISBLANK(input_mgmt_supvr_wld_ntp_server),"Value Missing",input_mgmt_supvr_wld_ntp_server)</f>
        <v>Value Missing</v>
      </c>
      <c r="E270" s="4" t="s">
        <v>523</v>
      </c>
      <c r="F270" s="8" t="str">
        <f>IF(ISBLANK(input_flt_def_auto_node_prefix),"Value Missing",input_flt_def_auto_node_prefix)</f>
        <v>Value Missing</v>
      </c>
      <c r="H270" s="30" t="s">
        <v>272</v>
      </c>
      <c r="I270" s="8"/>
    </row>
    <row r="271" spans="2:9" ht="20" customHeight="1" x14ac:dyDescent="0.2">
      <c r="B271" s="4" t="s">
        <v>3323</v>
      </c>
      <c r="C271" s="8" t="str">
        <f>IF(ISBLANK(input_mgmt_supvr_api_server_fqdn),"Value Missing",input_mgmt_supvr_api_server_fqdn)</f>
        <v>Value Missing</v>
      </c>
      <c r="E271" s="4" t="s">
        <v>3570</v>
      </c>
      <c r="F271" s="8" t="str">
        <f>IF(ISBLANK(input_flt_def_auto_cluster_cidr),"Value Missing",input_flt_def_auto_cluster_cidr)</f>
        <v>250.0.0.0/15</v>
      </c>
      <c r="H271" s="30" t="s">
        <v>274</v>
      </c>
      <c r="I271" s="8" t="str">
        <f>IF(cluster_witnessaz_mgmt_cidr="Value Missing","Value Missing",VLOOKUP(INT(RIGHT(cluster_witnessaz_mgmt_cidr,LEN(cluster_witnessaz_mgmt_cidr)-FIND("/",cluster_witnessaz_mgmt_cidr))),table_cidr_to_mask,2,FALSE))</f>
        <v>Value Missing</v>
      </c>
    </row>
    <row r="272" spans="2:9" ht="20" customHeight="1" x14ac:dyDescent="0.2">
      <c r="H272" s="30" t="s">
        <v>276</v>
      </c>
      <c r="I272" s="8" t="str">
        <f>IF(ISBLANK(input_cluster_witness_ip),"Value Missing",input_cluster_witness_ip)</f>
        <v>Value Missing</v>
      </c>
    </row>
    <row r="273" spans="2:9" ht="20" customHeight="1" x14ac:dyDescent="0.2">
      <c r="E273" s="371" t="s">
        <v>3489</v>
      </c>
      <c r="F273" s="372"/>
      <c r="H273" s="30" t="s">
        <v>3673</v>
      </c>
      <c r="I273" s="8" t="str">
        <f>IF(ISBLANK(input_cluster_witnessaz_mask),"Value Missing",input_cluster_witnessaz_mask)</f>
        <v>Value Missing</v>
      </c>
    </row>
    <row r="274" spans="2:9" ht="20" customHeight="1" x14ac:dyDescent="0.2">
      <c r="F274" s="8" t="str">
        <f>IF(ISBLANK(input_cr_wld_pnr_fqdn),"Value Missing",input_cr_wld_pnr_fqdn)</f>
        <v>Value Missing</v>
      </c>
      <c r="H274" s="30" t="s">
        <v>277</v>
      </c>
      <c r="I274" s="8" t="str">
        <f>IF(ISBLANK(input_cluster_witness_dns1_ip),"Value Missing",input_cluster_witness_dns1_ip)</f>
        <v>Value Missing</v>
      </c>
    </row>
    <row r="275" spans="2:9" ht="20" customHeight="1" x14ac:dyDescent="0.2">
      <c r="F275" s="8" t="str">
        <f>IF(ISBLANK(input_cr_wld_pnr_ip),"Value Missing",input_cr_wld_pnr_ip)</f>
        <v>Value Missing</v>
      </c>
      <c r="H275" s="30" t="s">
        <v>279</v>
      </c>
      <c r="I275" s="8" t="str">
        <f t="array" ref="I275">IF(ISBLANK(input_cluster_witness_dns2_ip),"Value Missing",input_cluster_witness_dns2_ip)</f>
        <v>Value Missing</v>
      </c>
    </row>
    <row r="276" spans="2:9" ht="20" customHeight="1" x14ac:dyDescent="0.2">
      <c r="B276" s="4" t="s">
        <v>85</v>
      </c>
      <c r="C276" s="8" t="str">
        <f>IF(ISBLANK(input_mgmt_az1_dtgw_vlan),"Value Missing",input_mgmt_az1_dtgw_vlan)</f>
        <v>Value Missing</v>
      </c>
      <c r="F276" s="8" t="str">
        <f>IF(ISBLANK(input_cr_mgmt_protect_vc_fqdn),"Value Missing",input_cr_mgmt_protect_vc_fqdn)</f>
        <v>Value Missing</v>
      </c>
      <c r="H276" s="30" t="s">
        <v>281</v>
      </c>
      <c r="I276" s="8" t="str">
        <f>IF(ISBLANK(input_cluster_witness_ntp1_server),"Value Missing",input_cluster_witness_ntp1_server)</f>
        <v>Value Missing</v>
      </c>
    </row>
    <row r="277" spans="2:9" ht="20" customHeight="1" x14ac:dyDescent="0.2">
      <c r="B277" s="4" t="s">
        <v>3676</v>
      </c>
      <c r="C277" s="8" t="str">
        <f>IF(ISBLANK(input_mgmt_az1_vcf_mgmt_gateway_ipv6_cidr),"Value Missing",input_mgmt_az1_vcf_mgmt_gateway_ipv6_cidr)</f>
        <v>Value Missing</v>
      </c>
      <c r="F277" s="8" t="str">
        <f>IF(ISBLANK(input_cr_mgmt_protect_vc_domain),"Value Missing",input_cr_mgmt_protect_vc_domain)</f>
        <v>Value Missing</v>
      </c>
      <c r="H277" s="30" t="s">
        <v>282</v>
      </c>
      <c r="I277" s="8" t="str">
        <f>IF(ISBLANK(input_cluster_witness_ntp2_server),"Value Missing",input_cluster_witness_ntp2_server)</f>
        <v>Value Missing</v>
      </c>
    </row>
    <row r="278" spans="2:9" ht="20" customHeight="1" x14ac:dyDescent="0.2">
      <c r="B278" s="4" t="s">
        <v>242</v>
      </c>
      <c r="C278" s="8" t="str">
        <f>IF(ISBLANK(input_mgmt_az1_vrms_mask),"Value Missing",input_mgmt_az1_vrms_mask)</f>
        <v>Value Missing</v>
      </c>
      <c r="F278" s="8" t="str">
        <f>IF(ISBLANK(input_cr_wld_vrms_pg),"Value Missing",input_cr_wld_vrms_pg)</f>
        <v>Value Missing</v>
      </c>
      <c r="H278" s="30" t="s">
        <v>262</v>
      </c>
      <c r="I278" s="8" t="str">
        <f>IF(ISBLANK(input_cluster_vc_fqdn),"Value Missing",input_cluster_vc_fqdn)</f>
        <v>Value Missing</v>
      </c>
    </row>
    <row r="279" spans="2:9" ht="20" customHeight="1" x14ac:dyDescent="0.2">
      <c r="B279" s="4" t="s">
        <v>468</v>
      </c>
      <c r="C279" s="8" t="str">
        <f>IF(ISBLANK(input_mgmt_cross_instance_linked_t0_name),"Value Missing",input_mgmt_cross_instance_linked_t0_name)</f>
        <v>Value Missing</v>
      </c>
      <c r="F279" s="8" t="str">
        <f>IF(ISBLANK(input_cr_console_cloud),"Value Missing",input_cr_console_cloud)</f>
        <v>Value Missing</v>
      </c>
      <c r="H279" s="30" t="s">
        <v>284</v>
      </c>
      <c r="I279" s="8" t="str">
        <f>IF(ISBLANK(input_cluster_datacenter),"Value Missing",input_cluster_datacenter)</f>
        <v>Value Missing</v>
      </c>
    </row>
    <row r="280" spans="2:9" ht="20" customHeight="1" x14ac:dyDescent="0.2">
      <c r="B280" s="4" t="s">
        <v>3677</v>
      </c>
      <c r="C280" s="8" t="str">
        <f>IF(ISBLANK(input_mgmt_depot_activation_code),"Value Missing",input_mgmt_depot_activation_code)</f>
        <v>Value Missing</v>
      </c>
      <c r="F280" s="8" t="str">
        <f>IF(ISBLANK(input_cr_clean_room),"Value Missing",input_cr_clean_room)</f>
        <v>Value Missing</v>
      </c>
      <c r="H280" s="30" t="s">
        <v>39</v>
      </c>
      <c r="I280" s="8" t="str">
        <f>IF(ISBLANK(input_cluster_witness_fqdn),"Value Missing",input_cluster_witness_fqdn)</f>
        <v>Value Missing</v>
      </c>
    </row>
    <row r="281" spans="2:9" ht="20" customHeight="1" x14ac:dyDescent="0.2">
      <c r="B281" s="23" t="s">
        <v>750</v>
      </c>
      <c r="C281" s="8" t="str">
        <f>IF(ISBLANK(input_mgmt_host_overlay_transportzone),"Value Missing",input_mgmt_host_overlay_transportzone)</f>
        <v>Value Missing</v>
      </c>
      <c r="F281" s="8" t="str">
        <f>IF(ISBLANK(input_cr_wld_protect_vc_replication_user),"Value Missing",input_cr_wld_protect_vc_replication_user)</f>
        <v>Value Missing</v>
      </c>
      <c r="H281" s="30" t="s">
        <v>325</v>
      </c>
      <c r="I281" s="8" t="str">
        <f>IF(ISBLANK(input_cluster_az2_host_overlay_network_profile_name),"Value Missing",input_cluster_az2_host_overlay_network_profile_name)</f>
        <v>Value Missing</v>
      </c>
    </row>
    <row r="282" spans="2:9" ht="20" customHeight="1" x14ac:dyDescent="0.2">
      <c r="B282" s="4" t="s">
        <v>2460</v>
      </c>
      <c r="C282" s="8" t="str">
        <f>IF(ISBLANK(input_mgmt_srm_logs_pg),"Value Missing",input_mgmt_srm_logs_pg)</f>
        <v>Value Missing</v>
      </c>
      <c r="H282" s="30" t="s">
        <v>328</v>
      </c>
      <c r="I282" s="8" t="str">
        <f>IF(ISBLANK(input_cluster_az2_host_overlay_network_pool_name),"Value Missing",input_cluster_az2_host_overlay_network_pool_name)</f>
        <v>Value Missing</v>
      </c>
    </row>
    <row r="283" spans="2:9" ht="20" customHeight="1" x14ac:dyDescent="0.2">
      <c r="B283" s="4" t="s">
        <v>2460</v>
      </c>
      <c r="C283" s="8" t="str">
        <f>IF(ISBLANK(input_mgmt_srm_net_pg),"Value Missing",input_mgmt_srm_net_pg)</f>
        <v>Value Missing</v>
      </c>
      <c r="H283" s="30" t="s">
        <v>329</v>
      </c>
      <c r="I283" s="8" t="str">
        <f>IF(ISBLANK(input_cluster_az2_host_overlay_uplink_profile_name),"Value Missing",input_cluster_az2_host_overlay_uplink_profile_name)</f>
        <v>Value Missing</v>
      </c>
    </row>
    <row r="284" spans="2:9" ht="20" customHeight="1" x14ac:dyDescent="0.2">
      <c r="B284" s="4" t="s">
        <v>2248</v>
      </c>
      <c r="C284" s="8" t="str">
        <f>IF(ISBLANK(input_vvs_dr_mgmt_az1_mgmt_vm_pg),"Value Missing",input_vvs_dr_mgmt_az1_mgmt_vm_pg)</f>
        <v>Value Missing</v>
      </c>
      <c r="H284" s="30" t="s">
        <v>1888</v>
      </c>
      <c r="I284" s="8" t="str">
        <f>IF(ISBLANK(input_cluster_az2_host_overlay_vlan),"Value Missing",input_cluster_az2_host_overlay_vlan)</f>
        <v>Value Missing</v>
      </c>
    </row>
    <row r="285" spans="2:9" ht="20" customHeight="1" x14ac:dyDescent="0.2">
      <c r="H285" s="30" t="s">
        <v>181</v>
      </c>
      <c r="I285" s="8" t="str">
        <f>IF(ISBLANK(input_cluster_az2_host_overlay_cidr),"Value Missing",input_cluster_az2_host_overlay_cidr)</f>
        <v>Value Missing</v>
      </c>
    </row>
    <row r="286" spans="2:9" ht="20" customHeight="1" x14ac:dyDescent="0.2">
      <c r="H286" s="30" t="s">
        <v>243</v>
      </c>
      <c r="I286" s="8" t="str">
        <f>IF(ISBLANK(input_cluster_az2_host_overlay_gateway_ip),"Value Missing",input_cluster_az2_host_overlay_gateway_ip)</f>
        <v>Value Missing</v>
      </c>
    </row>
    <row r="287" spans="2:9" ht="20" customHeight="1" x14ac:dyDescent="0.2">
      <c r="B287" s="4" t="s">
        <v>3678</v>
      </c>
      <c r="C287" s="8" t="str">
        <f>IF(ISBLANK(input_wld_day2_vnaa_fqdn),"Value Missing",input_wld_day2_vnaa_fqdn)</f>
        <v>Value Missing</v>
      </c>
      <c r="H287" s="30" t="s">
        <v>3674</v>
      </c>
      <c r="I287" s="8" t="str">
        <f>IF(ISBLANK(input_cluster_az2_host_overlay_gateway_mtu),"Value Missing",input_cluster_az2_host_overlay_gateway_mtu)</f>
        <v>Value Missing</v>
      </c>
    </row>
    <row r="288" spans="2:9" ht="20" customHeight="1" x14ac:dyDescent="0.2">
      <c r="B288" s="4" t="s">
        <v>3678</v>
      </c>
      <c r="C288" s="8" t="str">
        <f>IF(ISBLANK(input_wld_day2_vnab_fqdn),"Value Missing",input_wld_day2_vnab_fqdn)</f>
        <v>Value Missing</v>
      </c>
      <c r="H288" s="30" t="s">
        <v>244</v>
      </c>
      <c r="I288" s="8" t="str">
        <f>IF(ISBLANK(input_cluster_az2_host_overlay_pool_start_ip),"Value Missing",input_cluster_az2_host_overlay_pool_start_ip)</f>
        <v>Value Missing</v>
      </c>
    </row>
    <row r="289" spans="2:9" ht="20" customHeight="1" x14ac:dyDescent="0.2">
      <c r="B289" s="4" t="s">
        <v>3679</v>
      </c>
      <c r="C289" s="8" t="str">
        <f>IF(OR(mgmt_domain_existing_vcf_operations_chosen="Selected",mgmt_domain_existing_vcenter_chosen="Selected"),"Selected","Unselected")</f>
        <v>Unselected</v>
      </c>
      <c r="H289" s="30" t="s">
        <v>245</v>
      </c>
      <c r="I289" s="8" t="str">
        <f>IF(ISBLANK(input_cluster_az2_host_overlay_pool_end_ip),"Value Missing",input_cluster_az2_host_overlay_pool_end_ip)</f>
        <v>Value Missing</v>
      </c>
    </row>
    <row r="290" spans="2:9" ht="20" customHeight="1" x14ac:dyDescent="0.2">
      <c r="H290" s="30" t="s">
        <v>339</v>
      </c>
      <c r="I290" s="8" t="str">
        <f>IF(ISBLANK(input_cluster_cluster_sddc_id),"Value Missing",input_cluster_cluster_sddc_id)</f>
        <v>Value Missing</v>
      </c>
    </row>
    <row r="291" spans="2:9" ht="20" customHeight="1" x14ac:dyDescent="0.2">
      <c r="H291" s="30" t="s">
        <v>343</v>
      </c>
      <c r="I291" s="8" t="str">
        <f>IF(ISBLANK(input_cluster_nsxt_vip_fqdn),"Value Missing",input_cluster_nsxt_vip_fqdn)</f>
        <v>Value Missing</v>
      </c>
    </row>
    <row r="292" spans="2:9" ht="20" customHeight="1" x14ac:dyDescent="0.2">
      <c r="H292" s="30" t="s">
        <v>1889</v>
      </c>
      <c r="I292" s="8" t="str">
        <f>IF(ISBLANK(input_cluster_az2_host1_fqdn),"Value Missing",input_cluster_az2_host1_fqdn)</f>
        <v>Value Missing</v>
      </c>
    </row>
    <row r="293" spans="2:9" ht="20" customHeight="1" x14ac:dyDescent="0.2">
      <c r="H293" s="30" t="s">
        <v>1890</v>
      </c>
      <c r="I293" s="8" t="str">
        <f>IF(ISBLANK(input_cluster_az2_host2_fqdn),"Value Missing",input_cluster_az2_host2_fqdn)</f>
        <v>Value Missing</v>
      </c>
    </row>
    <row r="294" spans="2:9" ht="20" customHeight="1" x14ac:dyDescent="0.2">
      <c r="H294" s="30" t="s">
        <v>1891</v>
      </c>
      <c r="I294" s="8" t="str">
        <f>IF(ISBLANK(input_cluster_az2_host3_fqdn),"Value Missing",input_cluster_az2_host3_fqdn)</f>
        <v>Value Missing</v>
      </c>
    </row>
    <row r="295" spans="2:9" ht="20" customHeight="1" x14ac:dyDescent="0.2">
      <c r="H295" s="30" t="s">
        <v>1892</v>
      </c>
      <c r="I295" s="8" t="str">
        <f>IF(ISBLANK(input_cluster_az2_host4_fqdn),"Value Missing",input_cluster_az2_host4_fqdn)</f>
        <v>Value Missing</v>
      </c>
    </row>
    <row r="296" spans="2:9" ht="20" customHeight="1" x14ac:dyDescent="0.2">
      <c r="H296" s="30" t="s">
        <v>1893</v>
      </c>
      <c r="I296" s="8" t="str">
        <f>IF(ISBLANK(input_cluster_az2_host5_fqdn),"Value Missing",input_cluster_az2_host5_fqdn)</f>
        <v>Value Missing</v>
      </c>
    </row>
    <row r="297" spans="2:9" ht="20" customHeight="1" x14ac:dyDescent="0.2">
      <c r="H297" s="30" t="s">
        <v>1894</v>
      </c>
      <c r="I297" s="8" t="str">
        <f>IF(ISBLANK(input_cluster_az2_host6_fqdn),"Value Missing",input_cluster_az2_host6_fqdn)</f>
        <v>Value Missing</v>
      </c>
    </row>
    <row r="298" spans="2:9" ht="20" customHeight="1" x14ac:dyDescent="0.2">
      <c r="H298" s="30" t="s">
        <v>1895</v>
      </c>
      <c r="I298" s="8" t="str">
        <f>IF(ISBLANK(input_cluster_az2_host7_fqdn),"Value Missing",input_cluster_az2_host7_fqdn)</f>
        <v>Value Missing</v>
      </c>
    </row>
    <row r="299" spans="2:9" ht="20" customHeight="1" x14ac:dyDescent="0.2">
      <c r="H299" s="30" t="s">
        <v>1896</v>
      </c>
      <c r="I299" s="8" t="str">
        <f>IF(ISBLANK(input_cluster_az2_host8_fqdn),"Value Missing",input_cluster_az2_host8_fqdn)</f>
        <v>Value Missing</v>
      </c>
    </row>
    <row r="300" spans="2:9" ht="20" customHeight="1" x14ac:dyDescent="0.2">
      <c r="H300" s="30" t="s">
        <v>1897</v>
      </c>
      <c r="I300" s="8" t="str">
        <f>IF(ISBLANK(input_cluster_az2_host9_fqdn),"Value Missing",input_cluster_az2_host9_fqdn)</f>
        <v>Value Missing</v>
      </c>
    </row>
    <row r="301" spans="2:9" ht="20" customHeight="1" x14ac:dyDescent="0.2">
      <c r="H301" s="30" t="s">
        <v>1898</v>
      </c>
      <c r="I301" s="8" t="str">
        <f>IF(ISBLANK(input_cluster_az2_host10_fqdn),"Value Missing",input_cluster_az2_host10_fqdn)</f>
        <v>Value Missing</v>
      </c>
    </row>
    <row r="302" spans="2:9" ht="20" customHeight="1" x14ac:dyDescent="0.2">
      <c r="H302" s="30" t="s">
        <v>1899</v>
      </c>
      <c r="I302" s="8" t="str">
        <f>IF(ISBLANK(input_cluster_az2_host11_fqdn),"Value Missing",input_cluster_az2_host11_fqdn)</f>
        <v>Value Missing</v>
      </c>
    </row>
    <row r="303" spans="2:9" ht="20" customHeight="1" x14ac:dyDescent="0.2">
      <c r="H303" s="30" t="s">
        <v>1900</v>
      </c>
      <c r="I303" s="8" t="str">
        <f>IF(ISBLANK(input_cluster_az2_host12_fqdn),"Value Missing",input_cluster_az2_host12_fqdn)</f>
        <v>Value Missing</v>
      </c>
    </row>
    <row r="304" spans="2:9" ht="20" customHeight="1" x14ac:dyDescent="0.2">
      <c r="H304" s="30" t="s">
        <v>1901</v>
      </c>
      <c r="I304" s="8" t="str">
        <f>IF(ISBLANK(input_cluster_az2_host13_fqdn),"Value Missing",input_cluster_az2_host13_fqdn)</f>
        <v>Value Missing</v>
      </c>
    </row>
    <row r="305" spans="8:9" ht="20" customHeight="1" x14ac:dyDescent="0.2">
      <c r="H305" s="30" t="s">
        <v>1902</v>
      </c>
      <c r="I305" s="8" t="str">
        <f>IF(ISBLANK(input_cluster_az2_host14_fqdn),"Value Missing",input_cluster_az2_host14_fqdn)</f>
        <v>Value Missing</v>
      </c>
    </row>
    <row r="306" spans="8:9" ht="20" customHeight="1" x14ac:dyDescent="0.2">
      <c r="H306" s="30" t="s">
        <v>1903</v>
      </c>
      <c r="I306" s="8" t="str">
        <f>IF(ISBLANK(input_cluster_az2_host15_fqdn),"Value Missing",input_cluster_az2_host15_fqdn)</f>
        <v>Value Missing</v>
      </c>
    </row>
    <row r="307" spans="8:9" ht="20" customHeight="1" x14ac:dyDescent="0.2">
      <c r="H307" s="30" t="s">
        <v>1904</v>
      </c>
      <c r="I307" s="8" t="str">
        <f>IF(ISBLANK(input_cluster_az2_host16_fqdn),"Value Missing",input_cluster_az2_host16_fqdn)</f>
        <v>Value Missing</v>
      </c>
    </row>
    <row r="308" spans="8:9" ht="20" customHeight="1" x14ac:dyDescent="0.2">
      <c r="H308" s="30" t="s">
        <v>348</v>
      </c>
      <c r="I308" s="8" t="str">
        <f>IF(ISBLANK(input_cluster_az2_tor1_peer_asn),"Value Missing",input_cluster_az2_tor1_peer_asn)</f>
        <v>Value Missing</v>
      </c>
    </row>
    <row r="309" spans="8:9" ht="20" customHeight="1" x14ac:dyDescent="0.2">
      <c r="H309" s="30" t="s">
        <v>352</v>
      </c>
      <c r="I309" s="8" t="str">
        <f>IF(ISBLANK(input_cluster_az2_tor1_peer_ip),"Value Missing",input_cluster_az2_tor1_peer_ip)</f>
        <v>Value Missing</v>
      </c>
    </row>
    <row r="310" spans="8:9" ht="20" customHeight="1" x14ac:dyDescent="0.2">
      <c r="H310" s="30" t="s">
        <v>353</v>
      </c>
      <c r="I310" s="8" t="str">
        <f>IF(ISBLANK(input_cluster_az2_tor2_peer_asn),"Value Missing",input_cluster_az2_tor2_peer_asn)</f>
        <v>Value Missing</v>
      </c>
    </row>
    <row r="311" spans="8:9" ht="20" customHeight="1" x14ac:dyDescent="0.2">
      <c r="I311" s="8" t="str">
        <f>IF(ISBLANK(input_cluster_az2_tor2_peer_ip),"Value Missing",input_cluster_az2_tor2_peer_ip)</f>
        <v>Value Missing</v>
      </c>
    </row>
    <row r="312" spans="8:9" ht="20" customHeight="1" x14ac:dyDescent="0.2">
      <c r="I312" s="8" t="str">
        <f>IF(ISBLANK(input_cluster_host_overlay_transportzone),"Value Missing",input_cluster_host_overlay_transportzone)</f>
        <v>Value Missing</v>
      </c>
    </row>
  </sheetData>
  <sheetProtection algorithmName="SHA-512" hashValue="xbXU8immTBd/gnB1wj7LWTSXbfO2YFXGDvyk2syszUudtU8I8ULTnljFqyXcIHPLrfojpZFVjq9STK2MycQspA==" saltValue="nIsLUl6K0td5y8Wnya2O7w==" spinCount="100000" sheet="1" objects="1" scenarios="1"/>
  <mergeCells count="70">
    <mergeCell ref="V2:Z2"/>
    <mergeCell ref="Q3:Z3"/>
    <mergeCell ref="Q2:R2"/>
    <mergeCell ref="H230:I230"/>
    <mergeCell ref="H221:I221"/>
    <mergeCell ref="T80:U80"/>
    <mergeCell ref="K96:L96"/>
    <mergeCell ref="Q22:R22"/>
    <mergeCell ref="Q6:R6"/>
    <mergeCell ref="K63:L63"/>
    <mergeCell ref="K43:L43"/>
    <mergeCell ref="K69:L69"/>
    <mergeCell ref="N6:O6"/>
    <mergeCell ref="N61:O61"/>
    <mergeCell ref="Q69:R69"/>
    <mergeCell ref="Q27:R27"/>
    <mergeCell ref="H247:I247"/>
    <mergeCell ref="H239:I239"/>
    <mergeCell ref="E30:F30"/>
    <mergeCell ref="Z17:AA17"/>
    <mergeCell ref="Z6:AA6"/>
    <mergeCell ref="T6:U6"/>
    <mergeCell ref="Q18:R18"/>
    <mergeCell ref="K76:L76"/>
    <mergeCell ref="Q43:R43"/>
    <mergeCell ref="K82:L82"/>
    <mergeCell ref="N88:O88"/>
    <mergeCell ref="Q78:R78"/>
    <mergeCell ref="Q74:R74"/>
    <mergeCell ref="Q64:R64"/>
    <mergeCell ref="Q58:R58"/>
    <mergeCell ref="Q51:R51"/>
    <mergeCell ref="Q35:R35"/>
    <mergeCell ref="B181:C181"/>
    <mergeCell ref="B176:C176"/>
    <mergeCell ref="B190:C190"/>
    <mergeCell ref="B197:C197"/>
    <mergeCell ref="E113:F113"/>
    <mergeCell ref="E122:F122"/>
    <mergeCell ref="E132:F132"/>
    <mergeCell ref="B40:C40"/>
    <mergeCell ref="E43:F43"/>
    <mergeCell ref="B94:C94"/>
    <mergeCell ref="B122:C122"/>
    <mergeCell ref="B86:C86"/>
    <mergeCell ref="E108:F108"/>
    <mergeCell ref="E98:F98"/>
    <mergeCell ref="E70:F70"/>
    <mergeCell ref="T18:U18"/>
    <mergeCell ref="T57:U57"/>
    <mergeCell ref="W6:X6"/>
    <mergeCell ref="W10:X10"/>
    <mergeCell ref="W14:X14"/>
    <mergeCell ref="W18:X18"/>
    <mergeCell ref="W22:X22"/>
    <mergeCell ref="W26:X26"/>
    <mergeCell ref="W30:X30"/>
    <mergeCell ref="W34:X34"/>
    <mergeCell ref="W38:X38"/>
    <mergeCell ref="W42:X42"/>
    <mergeCell ref="Z46:AA46"/>
    <mergeCell ref="AC6:AD6"/>
    <mergeCell ref="AC10:AD10"/>
    <mergeCell ref="AC14:AD14"/>
    <mergeCell ref="AC18:AD18"/>
    <mergeCell ref="AC22:AD22"/>
    <mergeCell ref="AC26:AD26"/>
    <mergeCell ref="AC30:AD30"/>
    <mergeCell ref="AC34:AD34"/>
    <mergeCell ref="AC39:AD39"/>
  </mergeCells>
  <phoneticPr fontId="9" type="noConversion"/>
  <conditionalFormatting sqref="C7:C10 R76 U82:U102 I248:I312">
    <cfRule type="notContainsBlanks" dxfId="573" priority="642">
      <formula>LEN(TRIM(C7))&gt;0</formula>
    </cfRule>
    <cfRule type="containsBlanks" dxfId="572" priority="643">
      <formula>LEN(TRIM(C7))=0</formula>
    </cfRule>
  </conditionalFormatting>
  <conditionalFormatting sqref="C14:C38 I75:I126 O90:O127 C98:C103 C105:C110 C112:C117 C124:C130 C134:C140 I177:I196 I200:I220 I222:I229 I231:I238 I240:I246">
    <cfRule type="containsBlanks" dxfId="570" priority="1179">
      <formula>LEN(TRIM(C14))=0</formula>
    </cfRule>
  </conditionalFormatting>
  <conditionalFormatting sqref="C34:C38 C79">
    <cfRule type="notContainsBlanks" dxfId="568" priority="1262">
      <formula>LEN(TRIM(C34))&gt;0</formula>
    </cfRule>
  </conditionalFormatting>
  <conditionalFormatting sqref="C61:C75 C143:C148">
    <cfRule type="containsBlanks" dxfId="567" priority="1153">
      <formula>LEN(TRIM(C61))=0</formula>
    </cfRule>
  </conditionalFormatting>
  <conditionalFormatting sqref="C61:C75">
    <cfRule type="notContainsBlanks" dxfId="566" priority="1152">
      <formula>LEN(TRIM(C61))&gt;0</formula>
    </cfRule>
  </conditionalFormatting>
  <conditionalFormatting sqref="C76:C78">
    <cfRule type="notContainsBlanks" dxfId="564" priority="242">
      <formula>LEN(TRIM(C76))&gt;0</formula>
    </cfRule>
    <cfRule type="containsBlanks" dxfId="563" priority="243">
      <formula>LEN(TRIM(C76))=0</formula>
    </cfRule>
  </conditionalFormatting>
  <conditionalFormatting sqref="C88:C92">
    <cfRule type="notContainsBlanks" dxfId="561" priority="974">
      <formula>LEN(TRIM(C88))&gt;0</formula>
    </cfRule>
    <cfRule type="containsBlanks" dxfId="560" priority="975">
      <formula>LEN(TRIM(C88))=0</formula>
    </cfRule>
  </conditionalFormatting>
  <conditionalFormatting sqref="C96 F100:F106 C120">
    <cfRule type="notContainsBlanks" dxfId="558" priority="950">
      <formula>LEN(TRIM(C96))&gt;0</formula>
    </cfRule>
    <cfRule type="containsBlanks" dxfId="557" priority="951">
      <formula>LEN(TRIM(C96))=0</formula>
    </cfRule>
  </conditionalFormatting>
  <conditionalFormatting sqref="C141:C142">
    <cfRule type="expression" dxfId="556" priority="987">
      <formula>(mgmt_dpg_reuse_result="Included")</formula>
    </cfRule>
  </conditionalFormatting>
  <conditionalFormatting sqref="C143:C148">
    <cfRule type="notContainsBlanks" dxfId="554" priority="750">
      <formula>LEN(TRIM(C143))&gt;0</formula>
    </cfRule>
  </conditionalFormatting>
  <conditionalFormatting sqref="C152:C174 I8:I10 I12:I15 I17:I25 I27:I35 I37:I45 I57:I73">
    <cfRule type="notContainsBlanks" dxfId="553" priority="727">
      <formula>LEN(TRIM(C8))&gt;0</formula>
    </cfRule>
  </conditionalFormatting>
  <conditionalFormatting sqref="C178:C179">
    <cfRule type="notContainsBlanks" dxfId="551" priority="187">
      <formula>LEN(TRIM(C178))&gt;0</formula>
    </cfRule>
    <cfRule type="containsBlanks" dxfId="550" priority="188">
      <formula>LEN(TRIM(C178))=0</formula>
    </cfRule>
  </conditionalFormatting>
  <conditionalFormatting sqref="C183:C188">
    <cfRule type="expression" dxfId="549" priority="1073">
      <formula>mgmt_domain_existing_vcf_operations_chosen="Selected"</formula>
    </cfRule>
    <cfRule type="notContainsBlanks" dxfId="547" priority="1075">
      <formula>LEN(TRIM(C183))&gt;0</formula>
    </cfRule>
    <cfRule type="containsBlanks" dxfId="546" priority="1076">
      <formula>LEN(TRIM(C183))=0</formula>
    </cfRule>
  </conditionalFormatting>
  <conditionalFormatting sqref="C192:C195">
    <cfRule type="notContainsBlanks" dxfId="544" priority="178">
      <formula>LEN(TRIM(C192))&gt;0</formula>
    </cfRule>
    <cfRule type="containsBlanks" dxfId="543" priority="179">
      <formula>LEN(TRIM(C192))=0</formula>
    </cfRule>
  </conditionalFormatting>
  <conditionalFormatting sqref="C199:C204">
    <cfRule type="notContainsBlanks" dxfId="541" priority="431">
      <formula>LEN(TRIM(C199))&gt;0</formula>
    </cfRule>
    <cfRule type="containsBlanks" dxfId="540" priority="432">
      <formula>LEN(TRIM(C199))=0</formula>
    </cfRule>
  </conditionalFormatting>
  <conditionalFormatting sqref="C208:C233">
    <cfRule type="notContainsBlanks" dxfId="538" priority="415">
      <formula>LEN(TRIM(C208))&gt;0</formula>
    </cfRule>
    <cfRule type="containsBlanks" dxfId="537" priority="416">
      <formula>LEN(TRIM(C208))=0</formula>
    </cfRule>
  </conditionalFormatting>
  <conditionalFormatting sqref="C254:C271">
    <cfRule type="notContainsBlanks" dxfId="535" priority="215">
      <formula>LEN(TRIM(C254))&gt;0</formula>
    </cfRule>
    <cfRule type="containsBlanks" dxfId="534" priority="216">
      <formula>LEN(TRIM(C254))=0</formula>
    </cfRule>
  </conditionalFormatting>
  <conditionalFormatting sqref="E10:F10">
    <cfRule type="expression" dxfId="533" priority="584">
      <formula>AND((wld_multirack_calc="Include"),(wld_multirack_result="Excluded"))</formula>
    </cfRule>
  </conditionalFormatting>
  <conditionalFormatting sqref="F7:F9">
    <cfRule type="notContainsBlanks" dxfId="531" priority="551">
      <formula>LEN(TRIM(F7))&gt;0</formula>
    </cfRule>
    <cfRule type="containsBlanks" dxfId="530" priority="552">
      <formula>LEN(TRIM(F7))=0</formula>
    </cfRule>
  </conditionalFormatting>
  <conditionalFormatting sqref="F14:F28">
    <cfRule type="notContainsBlanks" dxfId="528" priority="991">
      <formula>LEN(TRIM(F14))&gt;0</formula>
    </cfRule>
    <cfRule type="containsBlanks" dxfId="527" priority="992">
      <formula>LEN(TRIM(F14))=0</formula>
    </cfRule>
  </conditionalFormatting>
  <conditionalFormatting sqref="F32:F41">
    <cfRule type="notContainsBlanks" dxfId="525" priority="1003">
      <formula>LEN(TRIM(F32))&gt;0</formula>
    </cfRule>
  </conditionalFormatting>
  <conditionalFormatting sqref="F45:F58">
    <cfRule type="notContainsBlanks" dxfId="523" priority="1015">
      <formula>LEN(TRIM(F45))&gt;0</formula>
    </cfRule>
  </conditionalFormatting>
  <conditionalFormatting sqref="F62:F63">
    <cfRule type="notContainsBlanks" dxfId="521" priority="878">
      <formula>LEN(TRIM(F62))&gt;0</formula>
    </cfRule>
    <cfRule type="containsBlanks" dxfId="520" priority="879">
      <formula>LEN(TRIM(F62))=0</formula>
    </cfRule>
  </conditionalFormatting>
  <conditionalFormatting sqref="F67:F68">
    <cfRule type="notContainsBlanks" dxfId="518" priority="539">
      <formula>LEN(TRIM(F67))&gt;0</formula>
    </cfRule>
    <cfRule type="containsBlanks" dxfId="517" priority="540">
      <formula>LEN(TRIM(F67))=0</formula>
    </cfRule>
  </conditionalFormatting>
  <conditionalFormatting sqref="F72">
    <cfRule type="notContainsBlanks" dxfId="515" priority="503">
      <formula>LEN(TRIM(F72))&gt;0</formula>
    </cfRule>
    <cfRule type="containsBlanks" dxfId="514" priority="504">
      <formula>LEN(TRIM(F72))=0</formula>
    </cfRule>
  </conditionalFormatting>
  <conditionalFormatting sqref="F74:F80">
    <cfRule type="notContainsBlanks" dxfId="512" priority="491">
      <formula>LEN(TRIM(F74))&gt;0</formula>
    </cfRule>
    <cfRule type="containsBlanks" dxfId="511" priority="492">
      <formula>LEN(TRIM(F74))=0</formula>
    </cfRule>
  </conditionalFormatting>
  <conditionalFormatting sqref="F82:F88">
    <cfRule type="notContainsBlanks" dxfId="509" priority="479">
      <formula>LEN(TRIM(F82))&gt;0</formula>
    </cfRule>
    <cfRule type="containsBlanks" dxfId="508" priority="480">
      <formula>LEN(TRIM(F82))=0</formula>
    </cfRule>
  </conditionalFormatting>
  <conditionalFormatting sqref="F90:F96">
    <cfRule type="notContainsBlanks" dxfId="506" priority="467">
      <formula>LEN(TRIM(F90))&gt;0</formula>
    </cfRule>
    <cfRule type="containsBlanks" dxfId="505" priority="468">
      <formula>LEN(TRIM(F90))=0</formula>
    </cfRule>
  </conditionalFormatting>
  <conditionalFormatting sqref="F115:F120">
    <cfRule type="notContainsBlanks" dxfId="503" priority="1099">
      <formula>LEN(TRIM(F115))&gt;0</formula>
    </cfRule>
  </conditionalFormatting>
  <conditionalFormatting sqref="F124:F130">
    <cfRule type="notContainsBlanks" dxfId="501" priority="161">
      <formula>LEN(TRIM(F124))&gt;0</formula>
    </cfRule>
    <cfRule type="containsBlanks" dxfId="500" priority="162">
      <formula>LEN(TRIM(F124))=0</formula>
    </cfRule>
  </conditionalFormatting>
  <conditionalFormatting sqref="F134:F143">
    <cfRule type="notContainsBlanks" dxfId="498" priority="157">
      <formula>LEN(TRIM(F134))&gt;0</formula>
    </cfRule>
    <cfRule type="containsBlanks" dxfId="497" priority="158">
      <formula>LEN(TRIM(F134))=0</formula>
    </cfRule>
  </conditionalFormatting>
  <conditionalFormatting sqref="F147:F161">
    <cfRule type="notContainsBlanks" dxfId="495" priority="153">
      <formula>LEN(TRIM(F147))&gt;0</formula>
    </cfRule>
    <cfRule type="containsBlanks" dxfId="494" priority="154">
      <formula>LEN(TRIM(F147))=0</formula>
    </cfRule>
  </conditionalFormatting>
  <conditionalFormatting sqref="F199:F216">
    <cfRule type="notContainsBlanks" dxfId="492" priority="219">
      <formula>LEN(TRIM(F199))&gt;0</formula>
    </cfRule>
    <cfRule type="containsBlanks" dxfId="491" priority="220">
      <formula>LEN(TRIM(F199))=0</formula>
    </cfRule>
  </conditionalFormatting>
  <conditionalFormatting sqref="F219:F236">
    <cfRule type="notContainsBlanks" dxfId="489" priority="211">
      <formula>LEN(TRIM(F219))&gt;0</formula>
    </cfRule>
    <cfRule type="containsBlanks" dxfId="488" priority="212">
      <formula>LEN(TRIM(F219))=0</formula>
    </cfRule>
  </conditionalFormatting>
  <conditionalFormatting sqref="F274:F281">
    <cfRule type="notContainsBlanks" dxfId="486" priority="203">
      <formula>LEN(TRIM(F274))&gt;0</formula>
    </cfRule>
    <cfRule type="containsBlanks" dxfId="485" priority="204">
      <formula>LEN(TRIM(F274))=0</formula>
    </cfRule>
  </conditionalFormatting>
  <conditionalFormatting sqref="I8:I10 I12:I15 I57:I73 C152:C174">
    <cfRule type="containsBlanks" dxfId="483" priority="1151">
      <formula>LEN(TRIM(C8))=0</formula>
    </cfRule>
  </conditionalFormatting>
  <conditionalFormatting sqref="I17:I25 I27:I35 I37:I45">
    <cfRule type="notContainsBlanks" dxfId="481" priority="738">
      <formula>LEN(TRIM(I17))&gt;0</formula>
    </cfRule>
    <cfRule type="containsBlanks" dxfId="480" priority="739">
      <formula>LEN(TRIM(I17))=0</formula>
    </cfRule>
  </conditionalFormatting>
  <conditionalFormatting sqref="I47:I55">
    <cfRule type="notContainsBlanks" dxfId="478" priority="273">
      <formula>LEN(TRIM(I47))&gt;0</formula>
    </cfRule>
    <cfRule type="containsBlanks" dxfId="477" priority="274">
      <formula>LEN(TRIM(I47))=0</formula>
    </cfRule>
    <cfRule type="notContainsBlanks" dxfId="475" priority="277">
      <formula>LEN(TRIM(I47))&gt;0</formula>
    </cfRule>
    <cfRule type="containsBlanks" dxfId="474" priority="278">
      <formula>LEN(TRIM(I47))=0</formula>
    </cfRule>
  </conditionalFormatting>
  <conditionalFormatting sqref="I128:I131 I133:I136 I138:I141">
    <cfRule type="notContainsBlanks" dxfId="472" priority="702">
      <formula>LEN(TRIM(I128))&gt;0</formula>
    </cfRule>
    <cfRule type="containsBlanks" dxfId="471" priority="703">
      <formula>LEN(TRIM(I128))=0</formula>
    </cfRule>
  </conditionalFormatting>
  <conditionalFormatting sqref="I143:I146 I148:I151">
    <cfRule type="notContainsBlanks" dxfId="469" priority="690">
      <formula>LEN(TRIM(I143))&gt;0</formula>
    </cfRule>
    <cfRule type="containsBlanks" dxfId="468" priority="691">
      <formula>LEN(TRIM(I143))=0</formula>
    </cfRule>
  </conditionalFormatting>
  <conditionalFormatting sqref="I153:I154">
    <cfRule type="notContainsBlanks" dxfId="466" priority="666">
      <formula>LEN(TRIM(I153))&gt;0</formula>
    </cfRule>
    <cfRule type="containsBlanks" dxfId="465" priority="667">
      <formula>LEN(TRIM(I153))=0</formula>
    </cfRule>
  </conditionalFormatting>
  <conditionalFormatting sqref="I156:I173">
    <cfRule type="notContainsBlanks" dxfId="463" priority="654">
      <formula>LEN(TRIM(I156))&gt;0</formula>
    </cfRule>
    <cfRule type="containsBlanks" dxfId="462" priority="655">
      <formula>LEN(TRIM(I156))=0</formula>
    </cfRule>
  </conditionalFormatting>
  <conditionalFormatting sqref="I248:I255">
    <cfRule type="notContainsBlanks" dxfId="460" priority="265">
      <formula>LEN(TRIM(I248))&gt;0</formula>
    </cfRule>
    <cfRule type="containsBlanks" dxfId="459" priority="266">
      <formula>LEN(TRIM(I248))=0</formula>
    </cfRule>
  </conditionalFormatting>
  <conditionalFormatting sqref="L8">
    <cfRule type="notContainsBlanks" dxfId="456" priority="148">
      <formula>LEN(TRIM(L8))&gt;0</formula>
    </cfRule>
    <cfRule type="containsBlanks" dxfId="455" priority="149">
      <formula>LEN(TRIM(L8))=0</formula>
    </cfRule>
  </conditionalFormatting>
  <conditionalFormatting sqref="L12:L41 O63:O86 C83:C84 F163:F196 C236:C251 F239:F271">
    <cfRule type="notContainsBlanks" dxfId="453" priority="1111">
      <formula>LEN(TRIM(C12))&gt;0</formula>
    </cfRule>
    <cfRule type="containsBlanks" dxfId="452" priority="1112">
      <formula>LEN(TRIM(C12))=0</formula>
    </cfRule>
  </conditionalFormatting>
  <conditionalFormatting sqref="L45:L61">
    <cfRule type="notContainsBlanks" dxfId="450" priority="137">
      <formula>LEN(TRIM(L45))&gt;0</formula>
    </cfRule>
    <cfRule type="containsBlanks" dxfId="449" priority="138">
      <formula>LEN(TRIM(L45))=0</formula>
    </cfRule>
  </conditionalFormatting>
  <conditionalFormatting sqref="L65:L68">
    <cfRule type="notContainsBlanks" dxfId="447" priority="134">
      <formula>LEN(TRIM(L65))&gt;0</formula>
    </cfRule>
    <cfRule type="containsBlanks" dxfId="446" priority="135">
      <formula>LEN(TRIM(L65))=0</formula>
    </cfRule>
  </conditionalFormatting>
  <conditionalFormatting sqref="L71:L74">
    <cfRule type="notContainsBlanks" dxfId="444" priority="131">
      <formula>LEN(TRIM(L71))&gt;0</formula>
    </cfRule>
    <cfRule type="containsBlanks" dxfId="443" priority="132">
      <formula>LEN(TRIM(L71))=0</formula>
    </cfRule>
  </conditionalFormatting>
  <conditionalFormatting sqref="L78:L80">
    <cfRule type="notContainsBlanks" dxfId="441" priority="128">
      <formula>LEN(TRIM(L78))&gt;0</formula>
    </cfRule>
    <cfRule type="containsBlanks" dxfId="440" priority="129">
      <formula>LEN(TRIM(L78))=0</formula>
    </cfRule>
  </conditionalFormatting>
  <conditionalFormatting sqref="L83:L94">
    <cfRule type="notContainsBlanks" dxfId="438" priority="125">
      <formula>LEN(TRIM(L83))&gt;0</formula>
    </cfRule>
    <cfRule type="containsBlanks" dxfId="437" priority="126">
      <formula>LEN(TRIM(L83))=0</formula>
    </cfRule>
  </conditionalFormatting>
  <conditionalFormatting sqref="L98:L103">
    <cfRule type="notContainsBlanks" dxfId="435" priority="122">
      <formula>LEN(TRIM(L98))&gt;0</formula>
    </cfRule>
    <cfRule type="containsBlanks" dxfId="434" priority="123">
      <formula>LEN(TRIM(L98))=0</formula>
    </cfRule>
  </conditionalFormatting>
  <conditionalFormatting sqref="L107:L117">
    <cfRule type="notContainsBlanks" dxfId="432" priority="119">
      <formula>LEN(TRIM(L107))&gt;0</formula>
    </cfRule>
    <cfRule type="containsBlanks" dxfId="431" priority="120">
      <formula>LEN(TRIM(L107))=0</formula>
    </cfRule>
  </conditionalFormatting>
  <conditionalFormatting sqref="O8:O59">
    <cfRule type="notContainsBlanks" dxfId="429" priority="227">
      <formula>LEN(TRIM(O8))&gt;0</formula>
    </cfRule>
    <cfRule type="containsBlanks" dxfId="428" priority="228">
      <formula>LEN(TRIM(O8))=0</formula>
    </cfRule>
  </conditionalFormatting>
  <conditionalFormatting sqref="O90:O127 C98:C103 C105:C110 C112:C117 C124:C130 I177:I196 I200:I220 I222:I229 I231:I238 I240:I246 C14:C38 I75:I126 C134:C140">
    <cfRule type="notContainsBlanks" dxfId="427" priority="1178">
      <formula>LEN(TRIM(C14))&gt;0</formula>
    </cfRule>
  </conditionalFormatting>
  <conditionalFormatting sqref="O133:O134">
    <cfRule type="notContainsBlanks" dxfId="424" priority="191">
      <formula>LEN(TRIM(O133))&gt;0</formula>
    </cfRule>
    <cfRule type="containsBlanks" dxfId="423" priority="192">
      <formula>LEN(TRIM(O133))=0</formula>
    </cfRule>
  </conditionalFormatting>
  <conditionalFormatting sqref="R8:R16 C42:C57 L121:L166 C276:C284 C287:C289">
    <cfRule type="notContainsBlanks" dxfId="421" priority="866">
      <formula>LEN(TRIM(C8))&gt;0</formula>
    </cfRule>
    <cfRule type="containsBlanks" dxfId="420" priority="867">
      <formula>LEN(TRIM(C8))=0</formula>
    </cfRule>
  </conditionalFormatting>
  <conditionalFormatting sqref="R20">
    <cfRule type="notContainsBlanks" dxfId="418" priority="1206">
      <formula>LEN(TRIM(R20))&gt;0</formula>
    </cfRule>
    <cfRule type="containsBlanks" dxfId="417" priority="1207">
      <formula>LEN(TRIM(R20))=0</formula>
    </cfRule>
  </conditionalFormatting>
  <conditionalFormatting sqref="R24:R25">
    <cfRule type="notContainsBlanks" dxfId="415" priority="1191">
      <formula>LEN(TRIM(R24))&gt;0</formula>
    </cfRule>
  </conditionalFormatting>
  <conditionalFormatting sqref="R29:R33">
    <cfRule type="notContainsBlanks" dxfId="413" priority="110">
      <formula>LEN(TRIM(R29))&gt;0</formula>
    </cfRule>
    <cfRule type="containsBlanks" dxfId="412" priority="111">
      <formula>LEN(TRIM(R29))=0</formula>
    </cfRule>
  </conditionalFormatting>
  <conditionalFormatting sqref="R37:R41">
    <cfRule type="notContainsBlanks" dxfId="410" priority="1274">
      <formula>LEN(TRIM(R37))&gt;0</formula>
    </cfRule>
    <cfRule type="containsBlanks" dxfId="409" priority="1275">
      <formula>LEN(TRIM(R37))=0</formula>
    </cfRule>
  </conditionalFormatting>
  <conditionalFormatting sqref="R45:R49">
    <cfRule type="notContainsBlanks" dxfId="407" priority="1270">
      <formula>LEN(TRIM(R45))&gt;0</formula>
    </cfRule>
    <cfRule type="containsBlanks" dxfId="406" priority="1271">
      <formula>LEN(TRIM(R45))=0</formula>
    </cfRule>
  </conditionalFormatting>
  <conditionalFormatting sqref="R53:R56">
    <cfRule type="notContainsBlanks" dxfId="404" priority="107">
      <formula>LEN(TRIM(R53))&gt;0</formula>
    </cfRule>
    <cfRule type="containsBlanks" dxfId="403" priority="108">
      <formula>LEN(TRIM(R53))=0</formula>
    </cfRule>
  </conditionalFormatting>
  <conditionalFormatting sqref="R60:R62">
    <cfRule type="notContainsBlanks" dxfId="401" priority="104">
      <formula>LEN(TRIM(R60))&gt;0</formula>
    </cfRule>
    <cfRule type="containsBlanks" dxfId="400" priority="105">
      <formula>LEN(TRIM(R60))=0</formula>
    </cfRule>
  </conditionalFormatting>
  <conditionalFormatting sqref="R66:R67">
    <cfRule type="notContainsBlanks" dxfId="398" priority="101">
      <formula>LEN(TRIM(R66))&gt;0</formula>
    </cfRule>
    <cfRule type="containsBlanks" dxfId="397" priority="102">
      <formula>LEN(TRIM(R66))=0</formula>
    </cfRule>
  </conditionalFormatting>
  <conditionalFormatting sqref="R71:R72">
    <cfRule type="notContainsBlanks" dxfId="395" priority="98">
      <formula>LEN(TRIM(R71))&gt;0</formula>
    </cfRule>
    <cfRule type="containsBlanks" dxfId="394" priority="99">
      <formula>LEN(TRIM(R71))=0</formula>
    </cfRule>
  </conditionalFormatting>
  <conditionalFormatting sqref="R80:R81">
    <cfRule type="notContainsBlanks" dxfId="392" priority="92">
      <formula>LEN(TRIM(R80))&gt;0</formula>
    </cfRule>
    <cfRule type="containsBlanks" dxfId="391" priority="93">
      <formula>LEN(TRIM(R80))=0</formula>
    </cfRule>
  </conditionalFormatting>
  <conditionalFormatting sqref="U8:U16">
    <cfRule type="notContainsBlanks" dxfId="389" priority="77">
      <formula>LEN(TRIM(U8))&gt;0</formula>
    </cfRule>
    <cfRule type="containsBlanks" dxfId="388" priority="78">
      <formula>LEN(TRIM(U8))=0</formula>
    </cfRule>
  </conditionalFormatting>
  <conditionalFormatting sqref="U20:U55">
    <cfRule type="notContainsBlanks" dxfId="386" priority="80">
      <formula>LEN(TRIM(U20))&gt;0</formula>
    </cfRule>
    <cfRule type="containsBlanks" dxfId="385" priority="81">
      <formula>LEN(TRIM(U20))=0</formula>
    </cfRule>
  </conditionalFormatting>
  <conditionalFormatting sqref="U59:U78">
    <cfRule type="notContainsBlanks" dxfId="383" priority="83">
      <formula>LEN(TRIM(U59))&gt;0</formula>
    </cfRule>
    <cfRule type="containsBlanks" dxfId="382" priority="84">
      <formula>LEN(TRIM(U59))=0</formula>
    </cfRule>
  </conditionalFormatting>
  <conditionalFormatting sqref="X8">
    <cfRule type="notContainsBlanks" dxfId="380" priority="74">
      <formula>LEN(TRIM(X8))&gt;0</formula>
    </cfRule>
    <cfRule type="containsBlanks" dxfId="379" priority="75">
      <formula>LEN(TRIM(X8))=0</formula>
    </cfRule>
  </conditionalFormatting>
  <conditionalFormatting sqref="X12">
    <cfRule type="notContainsBlanks" dxfId="377" priority="71">
      <formula>LEN(TRIM(X12))&gt;0</formula>
    </cfRule>
    <cfRule type="containsBlanks" dxfId="376" priority="72">
      <formula>LEN(TRIM(X12))=0</formula>
    </cfRule>
  </conditionalFormatting>
  <conditionalFormatting sqref="X16">
    <cfRule type="notContainsBlanks" dxfId="374" priority="68">
      <formula>LEN(TRIM(X16))&gt;0</formula>
    </cfRule>
    <cfRule type="containsBlanks" dxfId="373" priority="69">
      <formula>LEN(TRIM(X16))=0</formula>
    </cfRule>
  </conditionalFormatting>
  <conditionalFormatting sqref="X20">
    <cfRule type="notContainsBlanks" dxfId="371" priority="65">
      <formula>LEN(TRIM(X20))&gt;0</formula>
    </cfRule>
    <cfRule type="containsBlanks" dxfId="370" priority="66">
      <formula>LEN(TRIM(X20))=0</formula>
    </cfRule>
  </conditionalFormatting>
  <conditionalFormatting sqref="X24">
    <cfRule type="notContainsBlanks" dxfId="368" priority="62">
      <formula>LEN(TRIM(X24))&gt;0</formula>
    </cfRule>
    <cfRule type="containsBlanks" dxfId="367" priority="63">
      <formula>LEN(TRIM(X24))=0</formula>
    </cfRule>
  </conditionalFormatting>
  <conditionalFormatting sqref="X28">
    <cfRule type="notContainsBlanks" dxfId="365" priority="59">
      <formula>LEN(TRIM(X28))&gt;0</formula>
    </cfRule>
    <cfRule type="containsBlanks" dxfId="364" priority="60">
      <formula>LEN(TRIM(X28))=0</formula>
    </cfRule>
  </conditionalFormatting>
  <conditionalFormatting sqref="X32">
    <cfRule type="notContainsBlanks" dxfId="362" priority="56">
      <formula>LEN(TRIM(X32))&gt;0</formula>
    </cfRule>
    <cfRule type="containsBlanks" dxfId="361" priority="57">
      <formula>LEN(TRIM(X32))=0</formula>
    </cfRule>
  </conditionalFormatting>
  <conditionalFormatting sqref="X36">
    <cfRule type="notContainsBlanks" dxfId="359" priority="53">
      <formula>LEN(TRIM(X36))&gt;0</formula>
    </cfRule>
    <cfRule type="containsBlanks" dxfId="358" priority="54">
      <formula>LEN(TRIM(X36))=0</formula>
    </cfRule>
  </conditionalFormatting>
  <conditionalFormatting sqref="X40">
    <cfRule type="notContainsBlanks" dxfId="356" priority="50">
      <formula>LEN(TRIM(X40))&gt;0</formula>
    </cfRule>
    <cfRule type="containsBlanks" dxfId="355" priority="51">
      <formula>LEN(TRIM(X40))=0</formula>
    </cfRule>
  </conditionalFormatting>
  <conditionalFormatting sqref="X44">
    <cfRule type="notContainsBlanks" dxfId="353" priority="47">
      <formula>LEN(TRIM(X44))&gt;0</formula>
    </cfRule>
    <cfRule type="containsBlanks" dxfId="352" priority="48">
      <formula>LEN(TRIM(X44))=0</formula>
    </cfRule>
  </conditionalFormatting>
  <conditionalFormatting sqref="AA8:AA15">
    <cfRule type="notContainsBlanks" dxfId="350" priority="35">
      <formula>LEN(TRIM(AA8))&gt;0</formula>
    </cfRule>
    <cfRule type="containsBlanks" dxfId="349" priority="36">
      <formula>LEN(TRIM(AA8))=0</formula>
    </cfRule>
  </conditionalFormatting>
  <conditionalFormatting sqref="AA19:AA44">
    <cfRule type="notContainsBlanks" dxfId="347" priority="38">
      <formula>LEN(TRIM(AA19))&gt;0</formula>
    </cfRule>
    <cfRule type="containsBlanks" dxfId="346" priority="39">
      <formula>LEN(TRIM(AA19))=0</formula>
    </cfRule>
  </conditionalFormatting>
  <conditionalFormatting sqref="AA48:AA61">
    <cfRule type="notContainsBlanks" dxfId="344" priority="41">
      <formula>LEN(TRIM(AA48))&gt;0</formula>
    </cfRule>
    <cfRule type="containsBlanks" dxfId="343" priority="42">
      <formula>LEN(TRIM(AA48))=0</formula>
    </cfRule>
  </conditionalFormatting>
  <conditionalFormatting sqref="AD8:AE8">
    <cfRule type="notContainsBlanks" dxfId="341" priority="32">
      <formula>LEN(TRIM(AD8))&gt;0</formula>
    </cfRule>
    <cfRule type="containsBlanks" dxfId="340" priority="33">
      <formula>LEN(TRIM(AD8))=0</formula>
    </cfRule>
  </conditionalFormatting>
  <conditionalFormatting sqref="AD12:AE12">
    <cfRule type="notContainsBlanks" dxfId="338" priority="29">
      <formula>LEN(TRIM(AD12))&gt;0</formula>
    </cfRule>
    <cfRule type="containsBlanks" dxfId="337" priority="30">
      <formula>LEN(TRIM(AD12))=0</formula>
    </cfRule>
  </conditionalFormatting>
  <conditionalFormatting sqref="AD16:AE16">
    <cfRule type="notContainsBlanks" dxfId="335" priority="26">
      <formula>LEN(TRIM(AD16))&gt;0</formula>
    </cfRule>
    <cfRule type="containsBlanks" dxfId="334" priority="27">
      <formula>LEN(TRIM(AD16))=0</formula>
    </cfRule>
  </conditionalFormatting>
  <conditionalFormatting sqref="AD20:AE20">
    <cfRule type="notContainsBlanks" dxfId="332" priority="23">
      <formula>LEN(TRIM(AD20))&gt;0</formula>
    </cfRule>
    <cfRule type="containsBlanks" dxfId="331" priority="24">
      <formula>LEN(TRIM(AD20))=0</formula>
    </cfRule>
  </conditionalFormatting>
  <conditionalFormatting sqref="AD24:AE24">
    <cfRule type="notContainsBlanks" dxfId="329" priority="20">
      <formula>LEN(TRIM(AD24))&gt;0</formula>
    </cfRule>
    <cfRule type="containsBlanks" dxfId="328" priority="21">
      <formula>LEN(TRIM(AD24))=0</formula>
    </cfRule>
  </conditionalFormatting>
  <conditionalFormatting sqref="AD28:AE28">
    <cfRule type="notContainsBlanks" dxfId="326" priority="17">
      <formula>LEN(TRIM(AD28))&gt;0</formula>
    </cfRule>
    <cfRule type="containsBlanks" dxfId="325" priority="18">
      <formula>LEN(TRIM(AD28))=0</formula>
    </cfRule>
  </conditionalFormatting>
  <conditionalFormatting sqref="AD32:AE32">
    <cfRule type="notContainsBlanks" dxfId="323" priority="14">
      <formula>LEN(TRIM(AD32))&gt;0</formula>
    </cfRule>
    <cfRule type="containsBlanks" dxfId="322" priority="15">
      <formula>LEN(TRIM(AD32))=0</formula>
    </cfRule>
  </conditionalFormatting>
  <conditionalFormatting sqref="AD36:AE36">
    <cfRule type="notContainsBlanks" dxfId="320" priority="11">
      <formula>LEN(TRIM(AD36))&gt;0</formula>
    </cfRule>
    <cfRule type="containsBlanks" dxfId="319" priority="12">
      <formula>LEN(TRIM(AD36))=0</formula>
    </cfRule>
  </conditionalFormatting>
  <conditionalFormatting sqref="AD41:AE41">
    <cfRule type="notContainsBlanks" dxfId="317" priority="5">
      <formula>LEN(TRIM(AD41))&gt;0</formula>
    </cfRule>
    <cfRule type="containsBlanks" dxfId="316" priority="6">
      <formula>LEN(TRIM(AD41))=0</formula>
    </cfRule>
  </conditionalFormatting>
  <conditionalFormatting sqref="AE37">
    <cfRule type="notContainsBlanks" dxfId="314" priority="8">
      <formula>LEN(TRIM(AE37))&gt;0</formula>
    </cfRule>
    <cfRule type="containsBlanks" dxfId="313" priority="9">
      <formula>LEN(TRIM(AE37))=0</formula>
    </cfRule>
  </conditionalFormatting>
  <dataValidations count="3">
    <dataValidation type="list" allowBlank="1" showInputMessage="1" showErrorMessage="1" sqref="F7" xr:uid="{194CA598-9407-7142-8497-35512093F2E4}">
      <formula1>"1,2,3"</formula1>
    </dataValidation>
    <dataValidation type="list" allowBlank="1" showInputMessage="1" showErrorMessage="1" sqref="I8" xr:uid="{D2200846-EA42-B04B-A4CE-965659BACEF2}">
      <formula1>"Workload Domain, MGMT Workload Domain"</formula1>
    </dataValidation>
    <dataValidation type="list" allowBlank="1" showInputMessage="1" showErrorMessage="1" sqref="E10" xr:uid="{C69FA742-5038-9D45-BD6D-BB0D8DB6294F}">
      <formula1>"Include,Exclude"</formula1>
    </dataValidation>
  </dataValidations>
  <hyperlinks>
    <hyperlink ref="O52" r:id="rId1" xr:uid="{00000000-0004-0000-0B00-000000000000}"/>
    <hyperlink ref="O53" r:id="rId2" display="mailto:administrator@vsphere.local" xr:uid="{00000000-0004-0000-0B00-000001000000}"/>
    <hyperlink ref="L71" r:id="rId3" xr:uid="{00000000-0004-0000-0B00-000002000000}"/>
    <hyperlink ref="L72" r:id="rId4" xr:uid="{00000000-0004-0000-0B00-000003000000}"/>
  </hyperlinks>
  <pageMargins left="0.7" right="0.7" top="0.75" bottom="0.75" header="0.3" footer="0.3"/>
  <pageSetup paperSize="9" orientation="portrait" horizontalDpi="0" verticalDpi="0"/>
  <ignoredErrors>
    <ignoredError sqref="C76:C78" unlockedFormula="1"/>
  </ignoredErrors>
  <drawing r:id="rId5"/>
  <extLst>
    <ext xmlns:x14="http://schemas.microsoft.com/office/spreadsheetml/2009/9/main" uri="{78C0D931-6437-407d-A8EE-F0AAD7539E65}">
      <x14:conditionalFormattings>
        <x14:conditionalFormatting xmlns:xm="http://schemas.microsoft.com/office/excel/2006/main">
          <x14:cfRule type="containsText" priority="726" stopIfTrue="1" operator="containsText" id="{196DA387-4BB6-CF4F-B80D-AD3FB0D0A3B0}">
            <xm:f>NOT(ISERROR(SEARCH("Value Missing",C14)))</xm:f>
            <xm:f>"Value Missing"</xm:f>
            <x14:dxf>
              <font>
                <color rgb="FF0E223A"/>
              </font>
              <fill>
                <patternFill>
                  <bgColor rgb="FFFFBE29"/>
                </patternFill>
              </fill>
            </x14:dxf>
          </x14:cfRule>
          <xm:sqref>C14:C38 C61:C75 I75:I126 C134:C140 C143:C148 C152:C174</xm:sqref>
        </x14:conditionalFormatting>
        <x14:conditionalFormatting xmlns:xm="http://schemas.microsoft.com/office/excel/2006/main">
          <x14:cfRule type="containsText" priority="1261" stopIfTrue="1" operator="containsText" id="{B406923D-C246-5846-93BF-5470F483BABD}">
            <xm:f>NOT(ISERROR(SEARCH("Value Missing",C34)))</xm:f>
            <xm:f>"Value Missing"</xm:f>
            <x14:dxf>
              <font>
                <color rgb="FF0E223A"/>
              </font>
              <fill>
                <patternFill>
                  <bgColor rgb="FFFFBE29"/>
                </patternFill>
              </fill>
            </x14:dxf>
          </x14:cfRule>
          <xm:sqref>C34:C38 C79</xm:sqref>
        </x14:conditionalFormatting>
        <x14:conditionalFormatting xmlns:xm="http://schemas.microsoft.com/office/excel/2006/main">
          <x14:cfRule type="containsText" priority="241" operator="containsText" id="{22BA53F0-C4C1-D843-8F0B-FFE4F1919DA3}">
            <xm:f>NOT(ISERROR(SEARCH("Value Missing",C76)))</xm:f>
            <xm:f>"Value Missing"</xm:f>
            <x14:dxf>
              <font>
                <color rgb="FF0E223A"/>
              </font>
              <fill>
                <patternFill>
                  <bgColor rgb="FFFFBE29"/>
                </patternFill>
              </fill>
            </x14:dxf>
          </x14:cfRule>
          <xm:sqref>C76:C78</xm:sqref>
        </x14:conditionalFormatting>
        <x14:conditionalFormatting xmlns:xm="http://schemas.microsoft.com/office/excel/2006/main">
          <x14:cfRule type="containsText" priority="973" stopIfTrue="1" operator="containsText" id="{0E05923D-6B83-244F-BFB2-4896DDCFF4ED}">
            <xm:f>NOT(ISERROR(SEARCH("Value Missing",C88)))</xm:f>
            <xm:f>"Value Missing"</xm:f>
            <x14:dxf>
              <font>
                <color rgb="FF0E223A"/>
              </font>
              <fill>
                <patternFill>
                  <bgColor rgb="FFFFBE29"/>
                </patternFill>
              </fill>
            </x14:dxf>
          </x14:cfRule>
          <xm:sqref>C88:C92</xm:sqref>
        </x14:conditionalFormatting>
        <x14:conditionalFormatting xmlns:xm="http://schemas.microsoft.com/office/excel/2006/main">
          <x14:cfRule type="containsText" priority="949" stopIfTrue="1" operator="containsText" id="{570B5BAF-613F-754C-B95A-DADE1FA8278E}">
            <xm:f>NOT(ISERROR(SEARCH("Value Missing",C96)))</xm:f>
            <xm:f>"Value Missing"</xm:f>
            <x14:dxf>
              <font>
                <color rgb="FF0E223A"/>
              </font>
              <fill>
                <patternFill>
                  <bgColor rgb="FFFFBE29"/>
                </patternFill>
              </fill>
            </x14:dxf>
          </x14:cfRule>
          <xm:sqref>C96 F100:F106 C120</xm:sqref>
        </x14:conditionalFormatting>
        <x14:conditionalFormatting xmlns:xm="http://schemas.microsoft.com/office/excel/2006/main">
          <x14:cfRule type="containsText" priority="748" operator="containsText" id="{7956EDE0-2BB6-F346-A2E3-3567D656FB65}">
            <xm:f>NOT(ISERROR(SEARCH("Value Missing",C143)))</xm:f>
            <xm:f>"Value Missing"</xm:f>
            <x14:dxf>
              <font>
                <color theme="1"/>
              </font>
              <fill>
                <patternFill>
                  <bgColor rgb="FFFFBE29"/>
                </patternFill>
              </fill>
            </x14:dxf>
          </x14:cfRule>
          <xm:sqref>C143:C148</xm:sqref>
        </x14:conditionalFormatting>
        <x14:conditionalFormatting xmlns:xm="http://schemas.microsoft.com/office/excel/2006/main">
          <x14:cfRule type="containsText" priority="186" stopIfTrue="1" operator="containsText" id="{B20C642A-1EF5-3748-B613-B69B076BAF69}">
            <xm:f>NOT(ISERROR(SEARCH("Value Missing",C178)))</xm:f>
            <xm:f>"Value Missing"</xm:f>
            <x14:dxf>
              <font>
                <color rgb="FF0E223A"/>
              </font>
              <fill>
                <patternFill>
                  <bgColor rgb="FFFFBE29"/>
                </patternFill>
              </fill>
            </x14:dxf>
          </x14:cfRule>
          <xm:sqref>C178:C179</xm:sqref>
        </x14:conditionalFormatting>
        <x14:conditionalFormatting xmlns:xm="http://schemas.microsoft.com/office/excel/2006/main">
          <x14:cfRule type="containsText" priority="1074" stopIfTrue="1" operator="containsText" id="{D391F2F4-7E4D-8647-98B9-1F0269C8F1BF}">
            <xm:f>NOT(ISERROR(SEARCH("Value Missing",C183)))</xm:f>
            <xm:f>"Value Missing"</xm:f>
            <x14:dxf>
              <font>
                <color rgb="FF0E223A"/>
              </font>
              <fill>
                <patternFill>
                  <bgColor rgb="FFFFBE29"/>
                </patternFill>
              </fill>
            </x14:dxf>
          </x14:cfRule>
          <xm:sqref>C183:C188</xm:sqref>
        </x14:conditionalFormatting>
        <x14:conditionalFormatting xmlns:xm="http://schemas.microsoft.com/office/excel/2006/main">
          <x14:cfRule type="containsText" priority="177" stopIfTrue="1" operator="containsText" id="{9673D586-237A-E846-BB25-6B62005E26FC}">
            <xm:f>NOT(ISERROR(SEARCH("Value Missing",C192)))</xm:f>
            <xm:f>"Value Missing"</xm:f>
            <x14:dxf>
              <font>
                <color rgb="FF0E223A"/>
              </font>
              <fill>
                <patternFill>
                  <bgColor rgb="FFFFBE29"/>
                </patternFill>
              </fill>
            </x14:dxf>
          </x14:cfRule>
          <xm:sqref>C192:C195</xm:sqref>
        </x14:conditionalFormatting>
        <x14:conditionalFormatting xmlns:xm="http://schemas.microsoft.com/office/excel/2006/main">
          <x14:cfRule type="containsText" priority="430" stopIfTrue="1" operator="containsText" id="{6B22C62C-7BCD-6342-B033-FFA489954237}">
            <xm:f>NOT(ISERROR(SEARCH("Value Missing",C199)))</xm:f>
            <xm:f>"Value Missing"</xm:f>
            <x14:dxf>
              <font>
                <color rgb="FF0E223A"/>
              </font>
              <fill>
                <patternFill>
                  <bgColor rgb="FFFFBE29"/>
                </patternFill>
              </fill>
            </x14:dxf>
          </x14:cfRule>
          <xm:sqref>C199:C204</xm:sqref>
        </x14:conditionalFormatting>
        <x14:conditionalFormatting xmlns:xm="http://schemas.microsoft.com/office/excel/2006/main">
          <x14:cfRule type="containsText" priority="414" stopIfTrue="1" operator="containsText" id="{D2045D45-F790-4F46-90F4-DE7AA45872D7}">
            <xm:f>NOT(ISERROR(SEARCH("Value Missing",C208)))</xm:f>
            <xm:f>"Value Missing"</xm:f>
            <x14:dxf>
              <font>
                <color rgb="FF0E223A"/>
              </font>
              <fill>
                <patternFill>
                  <bgColor rgb="FFFFBE29"/>
                </patternFill>
              </fill>
            </x14:dxf>
          </x14:cfRule>
          <xm:sqref>C208:C233</xm:sqref>
        </x14:conditionalFormatting>
        <x14:conditionalFormatting xmlns:xm="http://schemas.microsoft.com/office/excel/2006/main">
          <x14:cfRule type="containsText" priority="214" stopIfTrue="1" operator="containsText" id="{B17E4C43-23A3-4B46-A356-8BA565757BA6}">
            <xm:f>NOT(ISERROR(SEARCH("Value Missing",C254)))</xm:f>
            <xm:f>"Value Missing"</xm:f>
            <x14:dxf>
              <font>
                <color rgb="FF0E223A"/>
              </font>
              <fill>
                <patternFill>
                  <bgColor rgb="FFFFBE29"/>
                </patternFill>
              </fill>
            </x14:dxf>
          </x14:cfRule>
          <xm:sqref>C254:C271</xm:sqref>
        </x14:conditionalFormatting>
        <x14:conditionalFormatting xmlns:xm="http://schemas.microsoft.com/office/excel/2006/main">
          <x14:cfRule type="containsText" priority="550" stopIfTrue="1" operator="containsText" id="{4E21B07E-7D15-D042-92EF-AFF187178399}">
            <xm:f>NOT(ISERROR(SEARCH("Value Missing",F7)))</xm:f>
            <xm:f>"Value Missing"</xm:f>
            <x14:dxf>
              <font>
                <color rgb="FF0E223A"/>
              </font>
              <fill>
                <patternFill>
                  <bgColor rgb="FFFFBE29"/>
                </patternFill>
              </fill>
            </x14:dxf>
          </x14:cfRule>
          <xm:sqref>F7:F9</xm:sqref>
        </x14:conditionalFormatting>
        <x14:conditionalFormatting xmlns:xm="http://schemas.microsoft.com/office/excel/2006/main">
          <x14:cfRule type="containsText" priority="990" stopIfTrue="1" operator="containsText" id="{EC9A5627-3971-E347-B376-9120302F676D}">
            <xm:f>NOT(ISERROR(SEARCH("Value Missing",F14)))</xm:f>
            <xm:f>"Value Missing"</xm:f>
            <x14:dxf>
              <font>
                <color rgb="FF0E223A"/>
              </font>
              <fill>
                <patternFill>
                  <bgColor rgb="FFFFBE29"/>
                </patternFill>
              </fill>
            </x14:dxf>
          </x14:cfRule>
          <xm:sqref>F14:F28</xm:sqref>
        </x14:conditionalFormatting>
        <x14:conditionalFormatting xmlns:xm="http://schemas.microsoft.com/office/excel/2006/main">
          <x14:cfRule type="containsText" priority="1002" stopIfTrue="1" operator="containsText" id="{D5554595-3F99-2241-81C2-2A49DA46B8FF}">
            <xm:f>NOT(ISERROR(SEARCH("Value Missing",F32)))</xm:f>
            <xm:f>"Value Missing"</xm:f>
            <x14:dxf>
              <font>
                <color rgb="FF0E223A"/>
              </font>
              <fill>
                <patternFill>
                  <bgColor rgb="FFFFBE29"/>
                </patternFill>
              </fill>
            </x14:dxf>
          </x14:cfRule>
          <xm:sqref>F32:F41</xm:sqref>
        </x14:conditionalFormatting>
        <x14:conditionalFormatting xmlns:xm="http://schemas.microsoft.com/office/excel/2006/main">
          <x14:cfRule type="containsText" priority="1014" stopIfTrue="1" operator="containsText" id="{1B21DC2B-871D-D24C-BE67-CBF19A3125C1}">
            <xm:f>NOT(ISERROR(SEARCH("Value Missing",F45)))</xm:f>
            <xm:f>"Value Missing"</xm:f>
            <x14:dxf>
              <font>
                <color rgb="FF0E223A"/>
              </font>
              <fill>
                <patternFill>
                  <bgColor rgb="FFFFBE29"/>
                </patternFill>
              </fill>
            </x14:dxf>
          </x14:cfRule>
          <xm:sqref>F45:F58</xm:sqref>
        </x14:conditionalFormatting>
        <x14:conditionalFormatting xmlns:xm="http://schemas.microsoft.com/office/excel/2006/main">
          <x14:cfRule type="containsText" priority="877" stopIfTrue="1" operator="containsText" id="{4A81713B-DF26-B64C-B561-0268F33945D4}">
            <xm:f>NOT(ISERROR(SEARCH("Value Missing",F62)))</xm:f>
            <xm:f>"Value Missing"</xm:f>
            <x14:dxf>
              <font>
                <color rgb="FF0E223A"/>
              </font>
              <fill>
                <patternFill>
                  <bgColor rgb="FFFFBE29"/>
                </patternFill>
              </fill>
            </x14:dxf>
          </x14:cfRule>
          <xm:sqref>F62:F63</xm:sqref>
        </x14:conditionalFormatting>
        <x14:conditionalFormatting xmlns:xm="http://schemas.microsoft.com/office/excel/2006/main">
          <x14:cfRule type="containsText" priority="538" stopIfTrue="1" operator="containsText" id="{870E8A49-7D20-384D-8700-E54C8CE51CDD}">
            <xm:f>NOT(ISERROR(SEARCH("Value Missing",F67)))</xm:f>
            <xm:f>"Value Missing"</xm:f>
            <x14:dxf>
              <font>
                <color rgb="FF0E223A"/>
              </font>
              <fill>
                <patternFill>
                  <bgColor rgb="FFFFBE29"/>
                </patternFill>
              </fill>
            </x14:dxf>
          </x14:cfRule>
          <xm:sqref>F67:F68</xm:sqref>
        </x14:conditionalFormatting>
        <x14:conditionalFormatting xmlns:xm="http://schemas.microsoft.com/office/excel/2006/main">
          <x14:cfRule type="containsText" priority="502" stopIfTrue="1" operator="containsText" id="{1809050F-1092-2F47-B7D6-C5D65903F406}">
            <xm:f>NOT(ISERROR(SEARCH("Value Missing",F72)))</xm:f>
            <xm:f>"Value Missing"</xm:f>
            <x14:dxf>
              <font>
                <color rgb="FF0E223A"/>
              </font>
              <fill>
                <patternFill>
                  <bgColor rgb="FFFFBE29"/>
                </patternFill>
              </fill>
            </x14:dxf>
          </x14:cfRule>
          <xm:sqref>F72</xm:sqref>
        </x14:conditionalFormatting>
        <x14:conditionalFormatting xmlns:xm="http://schemas.microsoft.com/office/excel/2006/main">
          <x14:cfRule type="containsText" priority="490" stopIfTrue="1" operator="containsText" id="{C8D28008-C104-A14E-AF51-103FC3577CEF}">
            <xm:f>NOT(ISERROR(SEARCH("Value Missing",F74)))</xm:f>
            <xm:f>"Value Missing"</xm:f>
            <x14:dxf>
              <font>
                <color rgb="FF0E223A"/>
              </font>
              <fill>
                <patternFill>
                  <bgColor rgb="FFFFBE29"/>
                </patternFill>
              </fill>
            </x14:dxf>
          </x14:cfRule>
          <xm:sqref>F74:F80</xm:sqref>
        </x14:conditionalFormatting>
        <x14:conditionalFormatting xmlns:xm="http://schemas.microsoft.com/office/excel/2006/main">
          <x14:cfRule type="containsText" priority="478" stopIfTrue="1" operator="containsText" id="{95514913-BC10-AE49-8421-7F949D543B83}">
            <xm:f>NOT(ISERROR(SEARCH("Value Missing",F82)))</xm:f>
            <xm:f>"Value Missing"</xm:f>
            <x14:dxf>
              <font>
                <color rgb="FF0E223A"/>
              </font>
              <fill>
                <patternFill>
                  <bgColor rgb="FFFFBE29"/>
                </patternFill>
              </fill>
            </x14:dxf>
          </x14:cfRule>
          <xm:sqref>F82:F88</xm:sqref>
        </x14:conditionalFormatting>
        <x14:conditionalFormatting xmlns:xm="http://schemas.microsoft.com/office/excel/2006/main">
          <x14:cfRule type="containsText" priority="466" stopIfTrue="1" operator="containsText" id="{0831BD51-5711-C543-880C-EFF00DF61074}">
            <xm:f>NOT(ISERROR(SEARCH("Value Missing",F90)))</xm:f>
            <xm:f>"Value Missing"</xm:f>
            <x14:dxf>
              <font>
                <color rgb="FF0E223A"/>
              </font>
              <fill>
                <patternFill>
                  <bgColor rgb="FFFFBE29"/>
                </patternFill>
              </fill>
            </x14:dxf>
          </x14:cfRule>
          <xm:sqref>F90:F96</xm:sqref>
        </x14:conditionalFormatting>
        <x14:conditionalFormatting xmlns:xm="http://schemas.microsoft.com/office/excel/2006/main">
          <x14:cfRule type="containsText" priority="1098" stopIfTrue="1" operator="containsText" id="{4F5B644A-10A1-1D4F-84AD-0358D43C10AC}">
            <xm:f>NOT(ISERROR(SEARCH("Value Missing",F115)))</xm:f>
            <xm:f>"Value Missing"</xm:f>
            <x14:dxf>
              <font>
                <color rgb="FF0E223A"/>
              </font>
              <fill>
                <patternFill>
                  <bgColor rgb="FFFFBE29"/>
                </patternFill>
              </fill>
            </x14:dxf>
          </x14:cfRule>
          <xm:sqref>F115:F120</xm:sqref>
        </x14:conditionalFormatting>
        <x14:conditionalFormatting xmlns:xm="http://schemas.microsoft.com/office/excel/2006/main">
          <x14:cfRule type="containsText" priority="160" stopIfTrue="1" operator="containsText" id="{6BFFCB2C-9123-6648-B546-9AC68BA19129}">
            <xm:f>NOT(ISERROR(SEARCH("Value Missing",F124)))</xm:f>
            <xm:f>"Value Missing"</xm:f>
            <x14:dxf>
              <font>
                <color rgb="FF0E223A"/>
              </font>
              <fill>
                <patternFill>
                  <bgColor rgb="FFFFBE29"/>
                </patternFill>
              </fill>
            </x14:dxf>
          </x14:cfRule>
          <xm:sqref>F124:F130</xm:sqref>
        </x14:conditionalFormatting>
        <x14:conditionalFormatting xmlns:xm="http://schemas.microsoft.com/office/excel/2006/main">
          <x14:cfRule type="containsText" priority="156" stopIfTrue="1" operator="containsText" id="{4B4F2440-C896-2E42-A448-D4B769F357AC}">
            <xm:f>NOT(ISERROR(SEARCH("Value Missing",F134)))</xm:f>
            <xm:f>"Value Missing"</xm:f>
            <x14:dxf>
              <font>
                <color rgb="FF0E223A"/>
              </font>
              <fill>
                <patternFill>
                  <bgColor rgb="FFFFBE29"/>
                </patternFill>
              </fill>
            </x14:dxf>
          </x14:cfRule>
          <xm:sqref>F134:F143</xm:sqref>
        </x14:conditionalFormatting>
        <x14:conditionalFormatting xmlns:xm="http://schemas.microsoft.com/office/excel/2006/main">
          <x14:cfRule type="containsText" priority="152" stopIfTrue="1" operator="containsText" id="{9B88DBAE-B9CC-AA47-995A-86AF8E802326}">
            <xm:f>NOT(ISERROR(SEARCH("Value Missing",F147)))</xm:f>
            <xm:f>"Value Missing"</xm:f>
            <x14:dxf>
              <font>
                <color rgb="FF0E223A"/>
              </font>
              <fill>
                <patternFill>
                  <bgColor rgb="FFFFBE29"/>
                </patternFill>
              </fill>
            </x14:dxf>
          </x14:cfRule>
          <xm:sqref>F147:F161</xm:sqref>
        </x14:conditionalFormatting>
        <x14:conditionalFormatting xmlns:xm="http://schemas.microsoft.com/office/excel/2006/main">
          <x14:cfRule type="containsText" priority="218" stopIfTrue="1" operator="containsText" id="{4961D2EA-BC4F-5C49-8B18-F80E60350CD9}">
            <xm:f>NOT(ISERROR(SEARCH("Value Missing",F199)))</xm:f>
            <xm:f>"Value Missing"</xm:f>
            <x14:dxf>
              <font>
                <color rgb="FF0E223A"/>
              </font>
              <fill>
                <patternFill>
                  <bgColor rgb="FFFFBE29"/>
                </patternFill>
              </fill>
            </x14:dxf>
          </x14:cfRule>
          <xm:sqref>F199:F216</xm:sqref>
        </x14:conditionalFormatting>
        <x14:conditionalFormatting xmlns:xm="http://schemas.microsoft.com/office/excel/2006/main">
          <x14:cfRule type="containsText" priority="210" stopIfTrue="1" operator="containsText" id="{11CBEFC5-FDEA-5A42-B829-395EEBD725DE}">
            <xm:f>NOT(ISERROR(SEARCH("Value Missing",F219)))</xm:f>
            <xm:f>"Value Missing"</xm:f>
            <x14:dxf>
              <font>
                <color rgb="FF0E223A"/>
              </font>
              <fill>
                <patternFill>
                  <bgColor rgb="FFFFBE29"/>
                </patternFill>
              </fill>
            </x14:dxf>
          </x14:cfRule>
          <xm:sqref>F219:F236</xm:sqref>
        </x14:conditionalFormatting>
        <x14:conditionalFormatting xmlns:xm="http://schemas.microsoft.com/office/excel/2006/main">
          <x14:cfRule type="containsText" priority="202" stopIfTrue="1" operator="containsText" id="{487D348C-54DE-074D-B52F-BCB96AD364B0}">
            <xm:f>NOT(ISERROR(SEARCH("Value Missing",F274)))</xm:f>
            <xm:f>"Value Missing"</xm:f>
            <x14:dxf>
              <font>
                <color rgb="FF0E223A"/>
              </font>
              <fill>
                <patternFill>
                  <bgColor rgb="FFFFBE29"/>
                </patternFill>
              </fill>
            </x14:dxf>
          </x14:cfRule>
          <xm:sqref>F274:F281</xm:sqref>
        </x14:conditionalFormatting>
        <x14:conditionalFormatting xmlns:xm="http://schemas.microsoft.com/office/excel/2006/main">
          <x14:cfRule type="containsText" priority="725" stopIfTrue="1" operator="containsText" id="{B3480505-F41F-5E4F-90A1-8A245E3728B3}">
            <xm:f>NOT(ISERROR(SEARCH("Value Missing",I8)))</xm:f>
            <xm:f>"Value Missing"</xm:f>
            <x14:dxf>
              <font>
                <color rgb="FF0E223A"/>
              </font>
              <fill>
                <patternFill>
                  <bgColor rgb="FFFFBE29"/>
                </patternFill>
              </fill>
            </x14:dxf>
          </x14:cfRule>
          <xm:sqref>I8:I10 I12:I15 I17:I25 I27:I35 I37:I45 I57:I73</xm:sqref>
        </x14:conditionalFormatting>
        <x14:conditionalFormatting xmlns:xm="http://schemas.microsoft.com/office/excel/2006/main">
          <x14:cfRule type="containsText" priority="737" stopIfTrue="1" operator="containsText" id="{AAB2D5E8-39AB-8243-B1D2-12EFB0EC13A5}">
            <xm:f>NOT(ISERROR(SEARCH("Value Missing",I17)))</xm:f>
            <xm:f>"Value Missing"</xm:f>
            <x14:dxf>
              <font>
                <color rgb="FF0E223A"/>
              </font>
              <fill>
                <patternFill>
                  <bgColor rgb="FFFFBE29"/>
                </patternFill>
              </fill>
            </x14:dxf>
          </x14:cfRule>
          <xm:sqref>I17:I25 I27:I35 I37:I45</xm:sqref>
        </x14:conditionalFormatting>
        <x14:conditionalFormatting xmlns:xm="http://schemas.microsoft.com/office/excel/2006/main">
          <x14:cfRule type="containsText" priority="272" stopIfTrue="1" operator="containsText" id="{0B5A3707-83AB-CE4C-BF05-4A22BD5EC31E}">
            <xm:f>NOT(ISERROR(SEARCH("Value Missing",I47)))</xm:f>
            <xm:f>"Value Missing"</xm:f>
            <x14:dxf>
              <font>
                <color rgb="FF0E223A"/>
              </font>
              <fill>
                <patternFill>
                  <bgColor rgb="FFFFBE29"/>
                </patternFill>
              </fill>
            </x14:dxf>
          </x14:cfRule>
          <x14:cfRule type="containsText" priority="276" stopIfTrue="1" operator="containsText" id="{62581B00-3EFD-F541-8923-006A0F175BA3}">
            <xm:f>NOT(ISERROR(SEARCH("Value Missing",I47)))</xm:f>
            <xm:f>"Value Missing"</xm:f>
            <x14:dxf>
              <font>
                <color rgb="FF0E223A"/>
              </font>
              <fill>
                <patternFill>
                  <bgColor rgb="FFFFBE29"/>
                </patternFill>
              </fill>
            </x14:dxf>
          </x14:cfRule>
          <xm:sqref>I47:I55</xm:sqref>
        </x14:conditionalFormatting>
        <x14:conditionalFormatting xmlns:xm="http://schemas.microsoft.com/office/excel/2006/main">
          <x14:cfRule type="containsText" priority="701" stopIfTrue="1" operator="containsText" id="{C789315B-3C2F-5646-9AD8-0F27393EC8BD}">
            <xm:f>NOT(ISERROR(SEARCH("Value Missing",I128)))</xm:f>
            <xm:f>"Value Missing"</xm:f>
            <x14:dxf>
              <font>
                <color rgb="FF0E223A"/>
              </font>
              <fill>
                <patternFill>
                  <bgColor rgb="FFFFBE29"/>
                </patternFill>
              </fill>
            </x14:dxf>
          </x14:cfRule>
          <xm:sqref>I128:I131 I133:I136 I138:I141</xm:sqref>
        </x14:conditionalFormatting>
        <x14:conditionalFormatting xmlns:xm="http://schemas.microsoft.com/office/excel/2006/main">
          <x14:cfRule type="containsText" priority="689" stopIfTrue="1" operator="containsText" id="{E4E21A47-7B7F-CA46-8138-0AA41F01E253}">
            <xm:f>NOT(ISERROR(SEARCH("Value Missing",I143)))</xm:f>
            <xm:f>"Value Missing"</xm:f>
            <x14:dxf>
              <font>
                <color rgb="FF0E223A"/>
              </font>
              <fill>
                <patternFill>
                  <bgColor rgb="FFFFBE29"/>
                </patternFill>
              </fill>
            </x14:dxf>
          </x14:cfRule>
          <xm:sqref>I143:I146 I148:I151</xm:sqref>
        </x14:conditionalFormatting>
        <x14:conditionalFormatting xmlns:xm="http://schemas.microsoft.com/office/excel/2006/main">
          <x14:cfRule type="containsText" priority="665" stopIfTrue="1" operator="containsText" id="{191BE838-4409-4C46-BAC7-098F77322DA1}">
            <xm:f>NOT(ISERROR(SEARCH("Value Missing",I153)))</xm:f>
            <xm:f>"Value Missing"</xm:f>
            <x14:dxf>
              <font>
                <color rgb="FF0E223A"/>
              </font>
              <fill>
                <patternFill>
                  <bgColor rgb="FFFFBE29"/>
                </patternFill>
              </fill>
            </x14:dxf>
          </x14:cfRule>
          <xm:sqref>I153:I154</xm:sqref>
        </x14:conditionalFormatting>
        <x14:conditionalFormatting xmlns:xm="http://schemas.microsoft.com/office/excel/2006/main">
          <x14:cfRule type="containsText" priority="653" stopIfTrue="1" operator="containsText" id="{F82BCA92-014B-4345-9BE3-0A41EE3E7F4A}">
            <xm:f>NOT(ISERROR(SEARCH("Value Missing",I156)))</xm:f>
            <xm:f>"Value Missing"</xm:f>
            <x14:dxf>
              <font>
                <color rgb="FF0E223A"/>
              </font>
              <fill>
                <patternFill>
                  <bgColor rgb="FFFFBE29"/>
                </patternFill>
              </fill>
            </x14:dxf>
          </x14:cfRule>
          <xm:sqref>I156:I173</xm:sqref>
        </x14:conditionalFormatting>
        <x14:conditionalFormatting xmlns:xm="http://schemas.microsoft.com/office/excel/2006/main">
          <x14:cfRule type="containsText" priority="264" stopIfTrue="1" operator="containsText" id="{D3968600-DF2E-A64E-9A13-728ED6465ECD}">
            <xm:f>NOT(ISERROR(SEARCH("Value Missing",I248)))</xm:f>
            <xm:f>"Value Missing"</xm:f>
            <x14:dxf>
              <font>
                <color rgb="FF0E223A"/>
              </font>
              <fill>
                <patternFill>
                  <bgColor rgb="FFFFBE29"/>
                </patternFill>
              </fill>
            </x14:dxf>
          </x14:cfRule>
          <xm:sqref>I248:I255</xm:sqref>
        </x14:conditionalFormatting>
        <x14:conditionalFormatting xmlns:xm="http://schemas.microsoft.com/office/excel/2006/main">
          <x14:cfRule type="containsText" priority="641" stopIfTrue="1" operator="containsText" id="{EB336388-A87C-EF47-B38F-189FF961830B}">
            <xm:f>NOT(ISERROR(SEARCH("Value Missing",C7)))</xm:f>
            <xm:f>"Value Missing"</xm:f>
            <x14:dxf>
              <font>
                <color rgb="FF0E223A"/>
              </font>
              <fill>
                <patternFill>
                  <bgColor rgb="FFFFBE29"/>
                </patternFill>
              </fill>
            </x14:dxf>
          </x14:cfRule>
          <xm:sqref>I248:I312 C7:C10 R76 U82:U102</xm:sqref>
        </x14:conditionalFormatting>
        <x14:conditionalFormatting xmlns:xm="http://schemas.microsoft.com/office/excel/2006/main">
          <x14:cfRule type="containsText" priority="147" stopIfTrue="1" operator="containsText" id="{C6E513D4-B765-3E47-838D-2E7C3EBF845B}">
            <xm:f>NOT(ISERROR(SEARCH("Value Missing",L8)))</xm:f>
            <xm:f>"Value Missing"</xm:f>
            <x14:dxf>
              <font>
                <color rgb="FF0E223A"/>
              </font>
              <fill>
                <patternFill>
                  <bgColor rgb="FFFFBE29"/>
                </patternFill>
              </fill>
            </x14:dxf>
          </x14:cfRule>
          <xm:sqref>L8</xm:sqref>
        </x14:conditionalFormatting>
        <x14:conditionalFormatting xmlns:xm="http://schemas.microsoft.com/office/excel/2006/main">
          <x14:cfRule type="containsText" priority="1110" stopIfTrue="1" operator="containsText" id="{AAD07D4C-68E8-0F44-BD3F-FF0FA10F7866}">
            <xm:f>NOT(ISERROR(SEARCH("Value Missing",C12)))</xm:f>
            <xm:f>"Value Missing"</xm:f>
            <x14:dxf>
              <font>
                <color rgb="FF0E223A"/>
              </font>
              <fill>
                <patternFill>
                  <bgColor rgb="FFFFBE29"/>
                </patternFill>
              </fill>
            </x14:dxf>
          </x14:cfRule>
          <xm:sqref>L12:L41 O63:O86 C83:C84 F163:F196 C236:C251 F239:F271</xm:sqref>
        </x14:conditionalFormatting>
        <x14:conditionalFormatting xmlns:xm="http://schemas.microsoft.com/office/excel/2006/main">
          <x14:cfRule type="containsText" priority="136" stopIfTrue="1" operator="containsText" id="{B31ED8E2-24CF-E442-A873-1354179149C1}">
            <xm:f>NOT(ISERROR(SEARCH("Value Missing",L45)))</xm:f>
            <xm:f>"Value Missing"</xm:f>
            <x14:dxf>
              <font>
                <color rgb="FF0E223A"/>
              </font>
              <fill>
                <patternFill>
                  <bgColor rgb="FFFFBE29"/>
                </patternFill>
              </fill>
            </x14:dxf>
          </x14:cfRule>
          <xm:sqref>L45:L61</xm:sqref>
        </x14:conditionalFormatting>
        <x14:conditionalFormatting xmlns:xm="http://schemas.microsoft.com/office/excel/2006/main">
          <x14:cfRule type="containsText" priority="133" stopIfTrue="1" operator="containsText" id="{CBEAE88B-1FA7-4F4B-B606-BD21305F138D}">
            <xm:f>NOT(ISERROR(SEARCH("Value Missing",L65)))</xm:f>
            <xm:f>"Value Missing"</xm:f>
            <x14:dxf>
              <font>
                <color rgb="FF0E223A"/>
              </font>
              <fill>
                <patternFill>
                  <bgColor rgb="FFFFBE29"/>
                </patternFill>
              </fill>
            </x14:dxf>
          </x14:cfRule>
          <xm:sqref>L65:L68</xm:sqref>
        </x14:conditionalFormatting>
        <x14:conditionalFormatting xmlns:xm="http://schemas.microsoft.com/office/excel/2006/main">
          <x14:cfRule type="containsText" priority="130" stopIfTrue="1" operator="containsText" id="{5E484561-3A9F-FB4D-BC40-84861C234C22}">
            <xm:f>NOT(ISERROR(SEARCH("Value Missing",L71)))</xm:f>
            <xm:f>"Value Missing"</xm:f>
            <x14:dxf>
              <font>
                <color rgb="FF0E223A"/>
              </font>
              <fill>
                <patternFill>
                  <bgColor rgb="FFFFBE29"/>
                </patternFill>
              </fill>
            </x14:dxf>
          </x14:cfRule>
          <xm:sqref>L71:L74</xm:sqref>
        </x14:conditionalFormatting>
        <x14:conditionalFormatting xmlns:xm="http://schemas.microsoft.com/office/excel/2006/main">
          <x14:cfRule type="containsText" priority="127" stopIfTrue="1" operator="containsText" id="{9A29E2B5-6653-FD47-A7D5-419669EAA6ED}">
            <xm:f>NOT(ISERROR(SEARCH("Value Missing",L78)))</xm:f>
            <xm:f>"Value Missing"</xm:f>
            <x14:dxf>
              <font>
                <color rgb="FF0E223A"/>
              </font>
              <fill>
                <patternFill>
                  <bgColor rgb="FFFFBE29"/>
                </patternFill>
              </fill>
            </x14:dxf>
          </x14:cfRule>
          <xm:sqref>L78:L80</xm:sqref>
        </x14:conditionalFormatting>
        <x14:conditionalFormatting xmlns:xm="http://schemas.microsoft.com/office/excel/2006/main">
          <x14:cfRule type="containsText" priority="124" stopIfTrue="1" operator="containsText" id="{39C878F0-DCB9-D34C-8859-8089A0174E19}">
            <xm:f>NOT(ISERROR(SEARCH("Value Missing",L83)))</xm:f>
            <xm:f>"Value Missing"</xm:f>
            <x14:dxf>
              <font>
                <color rgb="FF0E223A"/>
              </font>
              <fill>
                <patternFill>
                  <bgColor rgb="FFFFBE29"/>
                </patternFill>
              </fill>
            </x14:dxf>
          </x14:cfRule>
          <xm:sqref>L83:L94</xm:sqref>
        </x14:conditionalFormatting>
        <x14:conditionalFormatting xmlns:xm="http://schemas.microsoft.com/office/excel/2006/main">
          <x14:cfRule type="containsText" priority="121" stopIfTrue="1" operator="containsText" id="{7ADC88F6-CF69-2043-B434-8A115691EA84}">
            <xm:f>NOT(ISERROR(SEARCH("Value Missing",L98)))</xm:f>
            <xm:f>"Value Missing"</xm:f>
            <x14:dxf>
              <font>
                <color rgb="FF0E223A"/>
              </font>
              <fill>
                <patternFill>
                  <bgColor rgb="FFFFBE29"/>
                </patternFill>
              </fill>
            </x14:dxf>
          </x14:cfRule>
          <xm:sqref>L98:L103</xm:sqref>
        </x14:conditionalFormatting>
        <x14:conditionalFormatting xmlns:xm="http://schemas.microsoft.com/office/excel/2006/main">
          <x14:cfRule type="containsText" priority="118" stopIfTrue="1" operator="containsText" id="{FBE06356-4026-2348-82D6-DE22BAEEAB46}">
            <xm:f>NOT(ISERROR(SEARCH("Value Missing",L107)))</xm:f>
            <xm:f>"Value Missing"</xm:f>
            <x14:dxf>
              <font>
                <color rgb="FF0E223A"/>
              </font>
              <fill>
                <patternFill>
                  <bgColor rgb="FFFFBE29"/>
                </patternFill>
              </fill>
            </x14:dxf>
          </x14:cfRule>
          <xm:sqref>L107:L117</xm:sqref>
        </x14:conditionalFormatting>
        <x14:conditionalFormatting xmlns:xm="http://schemas.microsoft.com/office/excel/2006/main">
          <x14:cfRule type="containsText" priority="226" stopIfTrue="1" operator="containsText" id="{BEF8F2CD-3B96-CB47-B68C-351A8979863C}">
            <xm:f>NOT(ISERROR(SEARCH("Value Missing",O8)))</xm:f>
            <xm:f>"Value Missing"</xm:f>
            <x14:dxf>
              <font>
                <color rgb="FF0E223A"/>
              </font>
              <fill>
                <patternFill>
                  <bgColor rgb="FFFFBE29"/>
                </patternFill>
              </fill>
            </x14:dxf>
          </x14:cfRule>
          <xm:sqref>O8:O59</xm:sqref>
        </x14:conditionalFormatting>
        <x14:conditionalFormatting xmlns:xm="http://schemas.microsoft.com/office/excel/2006/main">
          <x14:cfRule type="containsText" priority="1176" stopIfTrue="1" operator="containsText" id="{204CD7AE-62CC-754C-B8E1-193695724F5A}">
            <xm:f>NOT(ISERROR(SEARCH("Value Missing",C90)))</xm:f>
            <xm:f>"Value Missing"</xm:f>
            <x14:dxf>
              <font>
                <color rgb="FF0E223A"/>
              </font>
              <fill>
                <patternFill>
                  <bgColor rgb="FFFFBE29"/>
                </patternFill>
              </fill>
            </x14:dxf>
          </x14:cfRule>
          <xm:sqref>O90:O127 C98:C103 C105:C110 C112:C117 C124:C130 I177:I196 I200:I220 I222:I229 I231:I238 I240:I246</xm:sqref>
        </x14:conditionalFormatting>
        <x14:conditionalFormatting xmlns:xm="http://schemas.microsoft.com/office/excel/2006/main">
          <x14:cfRule type="containsText" priority="190" stopIfTrue="1" operator="containsText" id="{C5CBE0C6-4391-1F4C-962E-8390509548AA}">
            <xm:f>NOT(ISERROR(SEARCH("Value Missing",O133)))</xm:f>
            <xm:f>"Value Missing"</xm:f>
            <x14:dxf>
              <font>
                <color rgb="FF0E223A"/>
              </font>
              <fill>
                <patternFill>
                  <bgColor rgb="FFFFBE29"/>
                </patternFill>
              </fill>
            </x14:dxf>
          </x14:cfRule>
          <xm:sqref>O133:O134</xm:sqref>
        </x14:conditionalFormatting>
        <x14:conditionalFormatting xmlns:xm="http://schemas.microsoft.com/office/excel/2006/main">
          <x14:cfRule type="containsText" priority="865" stopIfTrue="1" operator="containsText" id="{139CEF10-6B32-8E46-AF0B-73F806C72281}">
            <xm:f>NOT(ISERROR(SEARCH("Value Missing",C8)))</xm:f>
            <xm:f>"Value Missing"</xm:f>
            <x14:dxf>
              <font>
                <color rgb="FF0E223A"/>
              </font>
              <fill>
                <patternFill>
                  <bgColor rgb="FFFFBE29"/>
                </patternFill>
              </fill>
            </x14:dxf>
          </x14:cfRule>
          <xm:sqref>R8:R16 C42:C57 L121:L166 C276:C284 C287:C289</xm:sqref>
        </x14:conditionalFormatting>
        <x14:conditionalFormatting xmlns:xm="http://schemas.microsoft.com/office/excel/2006/main">
          <x14:cfRule type="containsText" priority="1205" stopIfTrue="1" operator="containsText" id="{C747A61D-F79D-9648-B908-E31999C7EBF1}">
            <xm:f>NOT(ISERROR(SEARCH("Value Missing",R20)))</xm:f>
            <xm:f>"Value Missing"</xm:f>
            <x14:dxf>
              <font>
                <color rgb="FF0E223A"/>
              </font>
              <fill>
                <patternFill>
                  <bgColor rgb="FFFFBE29"/>
                </patternFill>
              </fill>
            </x14:dxf>
          </x14:cfRule>
          <xm:sqref>R20</xm:sqref>
        </x14:conditionalFormatting>
        <x14:conditionalFormatting xmlns:xm="http://schemas.microsoft.com/office/excel/2006/main">
          <x14:cfRule type="containsText" priority="1190" stopIfTrue="1" operator="containsText" id="{2C2F8B9F-9DB2-3641-80BE-C6405821A35C}">
            <xm:f>NOT(ISERROR(SEARCH("Value Missing",R24)))</xm:f>
            <xm:f>"Value Missing"</xm:f>
            <x14:dxf>
              <font>
                <color rgb="FF0E223A"/>
              </font>
              <fill>
                <patternFill>
                  <bgColor rgb="FFFFBE29"/>
                </patternFill>
              </fill>
            </x14:dxf>
          </x14:cfRule>
          <xm:sqref>R24:R25</xm:sqref>
        </x14:conditionalFormatting>
        <x14:conditionalFormatting xmlns:xm="http://schemas.microsoft.com/office/excel/2006/main">
          <x14:cfRule type="containsText" priority="109" stopIfTrue="1" operator="containsText" id="{C1EEA4BE-2AF3-474C-A9A0-4E74CDEB95AD}">
            <xm:f>NOT(ISERROR(SEARCH("Value Missing",R29)))</xm:f>
            <xm:f>"Value Missing"</xm:f>
            <x14:dxf>
              <font>
                <color rgb="FF0E223A"/>
              </font>
              <fill>
                <patternFill>
                  <bgColor rgb="FFFFBE29"/>
                </patternFill>
              </fill>
            </x14:dxf>
          </x14:cfRule>
          <xm:sqref>R29:R33</xm:sqref>
        </x14:conditionalFormatting>
        <x14:conditionalFormatting xmlns:xm="http://schemas.microsoft.com/office/excel/2006/main">
          <x14:cfRule type="containsText" priority="1273" stopIfTrue="1" operator="containsText" id="{0B44FFC0-B5E3-6D49-93D4-D04FE9BB8EF3}">
            <xm:f>NOT(ISERROR(SEARCH("Value Missing",R37)))</xm:f>
            <xm:f>"Value Missing"</xm:f>
            <x14:dxf>
              <font>
                <color rgb="FF0E223A"/>
              </font>
              <fill>
                <patternFill>
                  <bgColor rgb="FFFFBE29"/>
                </patternFill>
              </fill>
            </x14:dxf>
          </x14:cfRule>
          <xm:sqref>R37:R41</xm:sqref>
        </x14:conditionalFormatting>
        <x14:conditionalFormatting xmlns:xm="http://schemas.microsoft.com/office/excel/2006/main">
          <x14:cfRule type="containsText" priority="1269" stopIfTrue="1" operator="containsText" id="{347C3D86-AD58-0F4F-BDB0-D329BCF87D81}">
            <xm:f>NOT(ISERROR(SEARCH("Value Missing",R45)))</xm:f>
            <xm:f>"Value Missing"</xm:f>
            <x14:dxf>
              <font>
                <color rgb="FF0E223A"/>
              </font>
              <fill>
                <patternFill>
                  <bgColor rgb="FFFFBE29"/>
                </patternFill>
              </fill>
            </x14:dxf>
          </x14:cfRule>
          <xm:sqref>R45:R49</xm:sqref>
        </x14:conditionalFormatting>
        <x14:conditionalFormatting xmlns:xm="http://schemas.microsoft.com/office/excel/2006/main">
          <x14:cfRule type="containsText" priority="106" stopIfTrue="1" operator="containsText" id="{153F0637-A201-E64E-B48C-724915235798}">
            <xm:f>NOT(ISERROR(SEARCH("Value Missing",R53)))</xm:f>
            <xm:f>"Value Missing"</xm:f>
            <x14:dxf>
              <font>
                <color rgb="FF0E223A"/>
              </font>
              <fill>
                <patternFill>
                  <bgColor rgb="FFFFBE29"/>
                </patternFill>
              </fill>
            </x14:dxf>
          </x14:cfRule>
          <xm:sqref>R53:R56</xm:sqref>
        </x14:conditionalFormatting>
        <x14:conditionalFormatting xmlns:xm="http://schemas.microsoft.com/office/excel/2006/main">
          <x14:cfRule type="containsText" priority="103" stopIfTrue="1" operator="containsText" id="{AF6A84AC-9228-B441-A147-A785A9F891A9}">
            <xm:f>NOT(ISERROR(SEARCH("Value Missing",R60)))</xm:f>
            <xm:f>"Value Missing"</xm:f>
            <x14:dxf>
              <font>
                <color rgb="FF0E223A"/>
              </font>
              <fill>
                <patternFill>
                  <bgColor rgb="FFFFBE29"/>
                </patternFill>
              </fill>
            </x14:dxf>
          </x14:cfRule>
          <xm:sqref>R60:R62</xm:sqref>
        </x14:conditionalFormatting>
        <x14:conditionalFormatting xmlns:xm="http://schemas.microsoft.com/office/excel/2006/main">
          <x14:cfRule type="containsText" priority="100" stopIfTrue="1" operator="containsText" id="{1CB44387-0FA6-AD44-BEDF-87388A2505AD}">
            <xm:f>NOT(ISERROR(SEARCH("Value Missing",R66)))</xm:f>
            <xm:f>"Value Missing"</xm:f>
            <x14:dxf>
              <font>
                <color rgb="FF0E223A"/>
              </font>
              <fill>
                <patternFill>
                  <bgColor rgb="FFFFBE29"/>
                </patternFill>
              </fill>
            </x14:dxf>
          </x14:cfRule>
          <xm:sqref>R66:R67</xm:sqref>
        </x14:conditionalFormatting>
        <x14:conditionalFormatting xmlns:xm="http://schemas.microsoft.com/office/excel/2006/main">
          <x14:cfRule type="containsText" priority="97" stopIfTrue="1" operator="containsText" id="{0EB778E3-BCB8-F94B-9416-2A30D3E4AB8B}">
            <xm:f>NOT(ISERROR(SEARCH("Value Missing",R71)))</xm:f>
            <xm:f>"Value Missing"</xm:f>
            <x14:dxf>
              <font>
                <color rgb="FF0E223A"/>
              </font>
              <fill>
                <patternFill>
                  <bgColor rgb="FFFFBE29"/>
                </patternFill>
              </fill>
            </x14:dxf>
          </x14:cfRule>
          <xm:sqref>R71:R72</xm:sqref>
        </x14:conditionalFormatting>
        <x14:conditionalFormatting xmlns:xm="http://schemas.microsoft.com/office/excel/2006/main">
          <x14:cfRule type="containsText" priority="91" stopIfTrue="1" operator="containsText" id="{26C3A173-8C63-8043-8867-AAE24AA35A24}">
            <xm:f>NOT(ISERROR(SEARCH("Value Missing",R80)))</xm:f>
            <xm:f>"Value Missing"</xm:f>
            <x14:dxf>
              <font>
                <color rgb="FF0E223A"/>
              </font>
              <fill>
                <patternFill>
                  <bgColor rgb="FFFFBE29"/>
                </patternFill>
              </fill>
            </x14:dxf>
          </x14:cfRule>
          <xm:sqref>R80:R81</xm:sqref>
        </x14:conditionalFormatting>
        <x14:conditionalFormatting xmlns:xm="http://schemas.microsoft.com/office/excel/2006/main">
          <x14:cfRule type="containsText" priority="76" stopIfTrue="1" operator="containsText" id="{6DF6CE45-6AB7-544F-90B4-0B47DF5DDDB1}">
            <xm:f>NOT(ISERROR(SEARCH("Value Missing",U8)))</xm:f>
            <xm:f>"Value Missing"</xm:f>
            <x14:dxf>
              <font>
                <color rgb="FF0E223A"/>
              </font>
              <fill>
                <patternFill>
                  <bgColor rgb="FFFFBE29"/>
                </patternFill>
              </fill>
            </x14:dxf>
          </x14:cfRule>
          <xm:sqref>U8:U16</xm:sqref>
        </x14:conditionalFormatting>
        <x14:conditionalFormatting xmlns:xm="http://schemas.microsoft.com/office/excel/2006/main">
          <x14:cfRule type="containsText" priority="79" stopIfTrue="1" operator="containsText" id="{67974624-6899-4D49-928A-5B6FECDAF02C}">
            <xm:f>NOT(ISERROR(SEARCH("Value Missing",U20)))</xm:f>
            <xm:f>"Value Missing"</xm:f>
            <x14:dxf>
              <font>
                <color rgb="FF0E223A"/>
              </font>
              <fill>
                <patternFill>
                  <bgColor rgb="FFFFBE29"/>
                </patternFill>
              </fill>
            </x14:dxf>
          </x14:cfRule>
          <xm:sqref>U20:U55</xm:sqref>
        </x14:conditionalFormatting>
        <x14:conditionalFormatting xmlns:xm="http://schemas.microsoft.com/office/excel/2006/main">
          <x14:cfRule type="containsText" priority="82" stopIfTrue="1" operator="containsText" id="{4BCB7553-EE4A-7348-92FD-4633B0A60482}">
            <xm:f>NOT(ISERROR(SEARCH("Value Missing",U59)))</xm:f>
            <xm:f>"Value Missing"</xm:f>
            <x14:dxf>
              <font>
                <color rgb="FF0E223A"/>
              </font>
              <fill>
                <patternFill>
                  <bgColor rgb="FFFFBE29"/>
                </patternFill>
              </fill>
            </x14:dxf>
          </x14:cfRule>
          <xm:sqref>U59:U78</xm:sqref>
        </x14:conditionalFormatting>
        <x14:conditionalFormatting xmlns:xm="http://schemas.microsoft.com/office/excel/2006/main">
          <x14:cfRule type="containsText" priority="73" stopIfTrue="1" operator="containsText" id="{83AE5FD4-9999-7C4A-B835-417D81135A86}">
            <xm:f>NOT(ISERROR(SEARCH("Value Missing",X8)))</xm:f>
            <xm:f>"Value Missing"</xm:f>
            <x14:dxf>
              <font>
                <color rgb="FF0E223A"/>
              </font>
              <fill>
                <patternFill>
                  <bgColor rgb="FFFFBE29"/>
                </patternFill>
              </fill>
            </x14:dxf>
          </x14:cfRule>
          <xm:sqref>X8</xm:sqref>
        </x14:conditionalFormatting>
        <x14:conditionalFormatting xmlns:xm="http://schemas.microsoft.com/office/excel/2006/main">
          <x14:cfRule type="containsText" priority="70" stopIfTrue="1" operator="containsText" id="{409A775B-8CAE-A849-AC01-0A8383C0E14A}">
            <xm:f>NOT(ISERROR(SEARCH("Value Missing",X12)))</xm:f>
            <xm:f>"Value Missing"</xm:f>
            <x14:dxf>
              <font>
                <color rgb="FF0E223A"/>
              </font>
              <fill>
                <patternFill>
                  <bgColor rgb="FFFFBE29"/>
                </patternFill>
              </fill>
            </x14:dxf>
          </x14:cfRule>
          <xm:sqref>X12</xm:sqref>
        </x14:conditionalFormatting>
        <x14:conditionalFormatting xmlns:xm="http://schemas.microsoft.com/office/excel/2006/main">
          <x14:cfRule type="containsText" priority="67" stopIfTrue="1" operator="containsText" id="{E8FA4E2C-BA61-FC4E-969B-2774BEED64D2}">
            <xm:f>NOT(ISERROR(SEARCH("Value Missing",X16)))</xm:f>
            <xm:f>"Value Missing"</xm:f>
            <x14:dxf>
              <font>
                <color rgb="FF0E223A"/>
              </font>
              <fill>
                <patternFill>
                  <bgColor rgb="FFFFBE29"/>
                </patternFill>
              </fill>
            </x14:dxf>
          </x14:cfRule>
          <xm:sqref>X16</xm:sqref>
        </x14:conditionalFormatting>
        <x14:conditionalFormatting xmlns:xm="http://schemas.microsoft.com/office/excel/2006/main">
          <x14:cfRule type="containsText" priority="64" stopIfTrue="1" operator="containsText" id="{F7DF4126-D76A-644F-95FA-A888DC959A08}">
            <xm:f>NOT(ISERROR(SEARCH("Value Missing",X20)))</xm:f>
            <xm:f>"Value Missing"</xm:f>
            <x14:dxf>
              <font>
                <color rgb="FF0E223A"/>
              </font>
              <fill>
                <patternFill>
                  <bgColor rgb="FFFFBE29"/>
                </patternFill>
              </fill>
            </x14:dxf>
          </x14:cfRule>
          <xm:sqref>X20</xm:sqref>
        </x14:conditionalFormatting>
        <x14:conditionalFormatting xmlns:xm="http://schemas.microsoft.com/office/excel/2006/main">
          <x14:cfRule type="containsText" priority="61" stopIfTrue="1" operator="containsText" id="{D5B25D9F-53FF-6D4F-B4D4-3F66793F2498}">
            <xm:f>NOT(ISERROR(SEARCH("Value Missing",X24)))</xm:f>
            <xm:f>"Value Missing"</xm:f>
            <x14:dxf>
              <font>
                <color rgb="FF0E223A"/>
              </font>
              <fill>
                <patternFill>
                  <bgColor rgb="FFFFBE29"/>
                </patternFill>
              </fill>
            </x14:dxf>
          </x14:cfRule>
          <xm:sqref>X24</xm:sqref>
        </x14:conditionalFormatting>
        <x14:conditionalFormatting xmlns:xm="http://schemas.microsoft.com/office/excel/2006/main">
          <x14:cfRule type="containsText" priority="58" stopIfTrue="1" operator="containsText" id="{B0AF83E3-0A51-0149-AD19-1A0F70C2E3C6}">
            <xm:f>NOT(ISERROR(SEARCH("Value Missing",X28)))</xm:f>
            <xm:f>"Value Missing"</xm:f>
            <x14:dxf>
              <font>
                <color rgb="FF0E223A"/>
              </font>
              <fill>
                <patternFill>
                  <bgColor rgb="FFFFBE29"/>
                </patternFill>
              </fill>
            </x14:dxf>
          </x14:cfRule>
          <xm:sqref>X28</xm:sqref>
        </x14:conditionalFormatting>
        <x14:conditionalFormatting xmlns:xm="http://schemas.microsoft.com/office/excel/2006/main">
          <x14:cfRule type="containsText" priority="55" stopIfTrue="1" operator="containsText" id="{001468FC-A8E6-0E4E-84E8-36727CE48A4C}">
            <xm:f>NOT(ISERROR(SEARCH("Value Missing",X32)))</xm:f>
            <xm:f>"Value Missing"</xm:f>
            <x14:dxf>
              <font>
                <color rgb="FF0E223A"/>
              </font>
              <fill>
                <patternFill>
                  <bgColor rgb="FFFFBE29"/>
                </patternFill>
              </fill>
            </x14:dxf>
          </x14:cfRule>
          <xm:sqref>X32</xm:sqref>
        </x14:conditionalFormatting>
        <x14:conditionalFormatting xmlns:xm="http://schemas.microsoft.com/office/excel/2006/main">
          <x14:cfRule type="containsText" priority="52" stopIfTrue="1" operator="containsText" id="{A2BAF3B0-A911-E94C-9DE4-2C61168EB5FC}">
            <xm:f>NOT(ISERROR(SEARCH("Value Missing",X36)))</xm:f>
            <xm:f>"Value Missing"</xm:f>
            <x14:dxf>
              <font>
                <color rgb="FF0E223A"/>
              </font>
              <fill>
                <patternFill>
                  <bgColor rgb="FFFFBE29"/>
                </patternFill>
              </fill>
            </x14:dxf>
          </x14:cfRule>
          <xm:sqref>X36</xm:sqref>
        </x14:conditionalFormatting>
        <x14:conditionalFormatting xmlns:xm="http://schemas.microsoft.com/office/excel/2006/main">
          <x14:cfRule type="containsText" priority="49" stopIfTrue="1" operator="containsText" id="{FAEFBFCC-588B-3944-984A-0D848FFEFADA}">
            <xm:f>NOT(ISERROR(SEARCH("Value Missing",X40)))</xm:f>
            <xm:f>"Value Missing"</xm:f>
            <x14:dxf>
              <font>
                <color rgb="FF0E223A"/>
              </font>
              <fill>
                <patternFill>
                  <bgColor rgb="FFFFBE29"/>
                </patternFill>
              </fill>
            </x14:dxf>
          </x14:cfRule>
          <xm:sqref>X40</xm:sqref>
        </x14:conditionalFormatting>
        <x14:conditionalFormatting xmlns:xm="http://schemas.microsoft.com/office/excel/2006/main">
          <x14:cfRule type="containsText" priority="46" stopIfTrue="1" operator="containsText" id="{59EB3BAF-CC26-DD4C-B9B0-05D9916B334B}">
            <xm:f>NOT(ISERROR(SEARCH("Value Missing",X44)))</xm:f>
            <xm:f>"Value Missing"</xm:f>
            <x14:dxf>
              <font>
                <color rgb="FF0E223A"/>
              </font>
              <fill>
                <patternFill>
                  <bgColor rgb="FFFFBE29"/>
                </patternFill>
              </fill>
            </x14:dxf>
          </x14:cfRule>
          <xm:sqref>X44</xm:sqref>
        </x14:conditionalFormatting>
        <x14:conditionalFormatting xmlns:xm="http://schemas.microsoft.com/office/excel/2006/main">
          <x14:cfRule type="containsText" priority="34" stopIfTrue="1" operator="containsText" id="{6339BF2F-0F27-584C-A629-BADB17EDF308}">
            <xm:f>NOT(ISERROR(SEARCH("Value Missing",AA8)))</xm:f>
            <xm:f>"Value Missing"</xm:f>
            <x14:dxf>
              <font>
                <color rgb="FF0E223A"/>
              </font>
              <fill>
                <patternFill>
                  <bgColor rgb="FFFFBE29"/>
                </patternFill>
              </fill>
            </x14:dxf>
          </x14:cfRule>
          <xm:sqref>AA8:AA15</xm:sqref>
        </x14:conditionalFormatting>
        <x14:conditionalFormatting xmlns:xm="http://schemas.microsoft.com/office/excel/2006/main">
          <x14:cfRule type="containsText" priority="37" stopIfTrue="1" operator="containsText" id="{F0FFF9A5-2F58-0140-82BF-AA755BF6E323}">
            <xm:f>NOT(ISERROR(SEARCH("Value Missing",AA19)))</xm:f>
            <xm:f>"Value Missing"</xm:f>
            <x14:dxf>
              <font>
                <color rgb="FF0E223A"/>
              </font>
              <fill>
                <patternFill>
                  <bgColor rgb="FFFFBE29"/>
                </patternFill>
              </fill>
            </x14:dxf>
          </x14:cfRule>
          <xm:sqref>AA19:AA44</xm:sqref>
        </x14:conditionalFormatting>
        <x14:conditionalFormatting xmlns:xm="http://schemas.microsoft.com/office/excel/2006/main">
          <x14:cfRule type="containsText" priority="40" stopIfTrue="1" operator="containsText" id="{3FEF0C12-9F60-064F-92ED-31C8103C9D9A}">
            <xm:f>NOT(ISERROR(SEARCH("Value Missing",AA48)))</xm:f>
            <xm:f>"Value Missing"</xm:f>
            <x14:dxf>
              <font>
                <color rgb="FF0E223A"/>
              </font>
              <fill>
                <patternFill>
                  <bgColor rgb="FFFFBE29"/>
                </patternFill>
              </fill>
            </x14:dxf>
          </x14:cfRule>
          <xm:sqref>AA48:AA61</xm:sqref>
        </x14:conditionalFormatting>
        <x14:conditionalFormatting xmlns:xm="http://schemas.microsoft.com/office/excel/2006/main">
          <x14:cfRule type="containsText" priority="31" stopIfTrue="1" operator="containsText" id="{CA103696-740E-004B-9432-EE2BB7650972}">
            <xm:f>NOT(ISERROR(SEARCH("Value Missing",AD8)))</xm:f>
            <xm:f>"Value Missing"</xm:f>
            <x14:dxf>
              <font>
                <color rgb="FF0E223A"/>
              </font>
              <fill>
                <patternFill>
                  <bgColor rgb="FFFFBE29"/>
                </patternFill>
              </fill>
            </x14:dxf>
          </x14:cfRule>
          <xm:sqref>AD8:AE8</xm:sqref>
        </x14:conditionalFormatting>
        <x14:conditionalFormatting xmlns:xm="http://schemas.microsoft.com/office/excel/2006/main">
          <x14:cfRule type="containsText" priority="28" stopIfTrue="1" operator="containsText" id="{FF1DB5C5-7496-0E46-A033-9FC889507791}">
            <xm:f>NOT(ISERROR(SEARCH("Value Missing",AD12)))</xm:f>
            <xm:f>"Value Missing"</xm:f>
            <x14:dxf>
              <font>
                <color rgb="FF0E223A"/>
              </font>
              <fill>
                <patternFill>
                  <bgColor rgb="FFFFBE29"/>
                </patternFill>
              </fill>
            </x14:dxf>
          </x14:cfRule>
          <xm:sqref>AD12:AE12</xm:sqref>
        </x14:conditionalFormatting>
        <x14:conditionalFormatting xmlns:xm="http://schemas.microsoft.com/office/excel/2006/main">
          <x14:cfRule type="containsText" priority="25" stopIfTrue="1" operator="containsText" id="{BD81C523-270D-294C-A12F-F16D3533122A}">
            <xm:f>NOT(ISERROR(SEARCH("Value Missing",AD16)))</xm:f>
            <xm:f>"Value Missing"</xm:f>
            <x14:dxf>
              <font>
                <color rgb="FF0E223A"/>
              </font>
              <fill>
                <patternFill>
                  <bgColor rgb="FFFFBE29"/>
                </patternFill>
              </fill>
            </x14:dxf>
          </x14:cfRule>
          <xm:sqref>AD16:AE16</xm:sqref>
        </x14:conditionalFormatting>
        <x14:conditionalFormatting xmlns:xm="http://schemas.microsoft.com/office/excel/2006/main">
          <x14:cfRule type="containsText" priority="22" stopIfTrue="1" operator="containsText" id="{41C9FD61-ADFF-174E-8B28-043FDC55965E}">
            <xm:f>NOT(ISERROR(SEARCH("Value Missing",AD20)))</xm:f>
            <xm:f>"Value Missing"</xm:f>
            <x14:dxf>
              <font>
                <color rgb="FF0E223A"/>
              </font>
              <fill>
                <patternFill>
                  <bgColor rgb="FFFFBE29"/>
                </patternFill>
              </fill>
            </x14:dxf>
          </x14:cfRule>
          <xm:sqref>AD20:AE20</xm:sqref>
        </x14:conditionalFormatting>
        <x14:conditionalFormatting xmlns:xm="http://schemas.microsoft.com/office/excel/2006/main">
          <x14:cfRule type="containsText" priority="19" stopIfTrue="1" operator="containsText" id="{F7C46CFA-0071-4B42-B64F-5043EFFDD05A}">
            <xm:f>NOT(ISERROR(SEARCH("Value Missing",AD24)))</xm:f>
            <xm:f>"Value Missing"</xm:f>
            <x14:dxf>
              <font>
                <color rgb="FF0E223A"/>
              </font>
              <fill>
                <patternFill>
                  <bgColor rgb="FFFFBE29"/>
                </patternFill>
              </fill>
            </x14:dxf>
          </x14:cfRule>
          <xm:sqref>AD24:AE24</xm:sqref>
        </x14:conditionalFormatting>
        <x14:conditionalFormatting xmlns:xm="http://schemas.microsoft.com/office/excel/2006/main">
          <x14:cfRule type="containsText" priority="16" stopIfTrue="1" operator="containsText" id="{443AE83E-B2BE-C343-8780-207F7DF0CA51}">
            <xm:f>NOT(ISERROR(SEARCH("Value Missing",AD28)))</xm:f>
            <xm:f>"Value Missing"</xm:f>
            <x14:dxf>
              <font>
                <color rgb="FF0E223A"/>
              </font>
              <fill>
                <patternFill>
                  <bgColor rgb="FFFFBE29"/>
                </patternFill>
              </fill>
            </x14:dxf>
          </x14:cfRule>
          <xm:sqref>AD28:AE28</xm:sqref>
        </x14:conditionalFormatting>
        <x14:conditionalFormatting xmlns:xm="http://schemas.microsoft.com/office/excel/2006/main">
          <x14:cfRule type="containsText" priority="13" stopIfTrue="1" operator="containsText" id="{00E09B94-E0E4-4848-9E9D-5CCF07F1ADE7}">
            <xm:f>NOT(ISERROR(SEARCH("Value Missing",AD32)))</xm:f>
            <xm:f>"Value Missing"</xm:f>
            <x14:dxf>
              <font>
                <color rgb="FF0E223A"/>
              </font>
              <fill>
                <patternFill>
                  <bgColor rgb="FFFFBE29"/>
                </patternFill>
              </fill>
            </x14:dxf>
          </x14:cfRule>
          <xm:sqref>AD32:AE32</xm:sqref>
        </x14:conditionalFormatting>
        <x14:conditionalFormatting xmlns:xm="http://schemas.microsoft.com/office/excel/2006/main">
          <x14:cfRule type="containsText" priority="10" stopIfTrue="1" operator="containsText" id="{8B468ACB-7B56-2F42-8292-483B747EDB07}">
            <xm:f>NOT(ISERROR(SEARCH("Value Missing",AD36)))</xm:f>
            <xm:f>"Value Missing"</xm:f>
            <x14:dxf>
              <font>
                <color rgb="FF0E223A"/>
              </font>
              <fill>
                <patternFill>
                  <bgColor rgb="FFFFBE29"/>
                </patternFill>
              </fill>
            </x14:dxf>
          </x14:cfRule>
          <xm:sqref>AD36:AE36</xm:sqref>
        </x14:conditionalFormatting>
        <x14:conditionalFormatting xmlns:xm="http://schemas.microsoft.com/office/excel/2006/main">
          <x14:cfRule type="containsText" priority="4" stopIfTrue="1" operator="containsText" id="{310BC423-5B9E-F543-A632-4473745A6D0C}">
            <xm:f>NOT(ISERROR(SEARCH("Value Missing",AD41)))</xm:f>
            <xm:f>"Value Missing"</xm:f>
            <x14:dxf>
              <font>
                <color rgb="FF0E223A"/>
              </font>
              <fill>
                <patternFill>
                  <bgColor rgb="FFFFBE29"/>
                </patternFill>
              </fill>
            </x14:dxf>
          </x14:cfRule>
          <xm:sqref>AD41:AE41</xm:sqref>
        </x14:conditionalFormatting>
        <x14:conditionalFormatting xmlns:xm="http://schemas.microsoft.com/office/excel/2006/main">
          <x14:cfRule type="containsText" priority="7" stopIfTrue="1" operator="containsText" id="{1F7FA3AE-09A4-4D4A-9665-9852C2847232}">
            <xm:f>NOT(ISERROR(SEARCH("Value Missing",AE37)))</xm:f>
            <xm:f>"Value Missing"</xm:f>
            <x14:dxf>
              <font>
                <color rgb="FF0E223A"/>
              </font>
              <fill>
                <patternFill>
                  <bgColor rgb="FFFFBE29"/>
                </patternFill>
              </fill>
            </x14:dxf>
          </x14:cfRule>
          <xm:sqref>AE37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0354-5F52-8F4B-8A48-53121C127735}">
  <sheetPr codeName="Sheet14"/>
  <dimension ref="A1:T562"/>
  <sheetViews>
    <sheetView topLeftCell="A100" workbookViewId="0">
      <selection activeCell="C103" sqref="C103"/>
    </sheetView>
  </sheetViews>
  <sheetFormatPr baseColWidth="10" defaultRowHeight="16" x14ac:dyDescent="0.2"/>
  <cols>
    <col min="2" max="2" width="71.33203125" bestFit="1" customWidth="1"/>
    <col min="3" max="3" width="38.1640625" customWidth="1"/>
    <col min="4" max="4" width="24.1640625" customWidth="1"/>
    <col min="5" max="5" width="73.1640625" bestFit="1" customWidth="1"/>
    <col min="6" max="6" width="24" bestFit="1" customWidth="1"/>
    <col min="7" max="7" width="18.33203125" bestFit="1" customWidth="1"/>
    <col min="8" max="8" width="11" customWidth="1"/>
  </cols>
  <sheetData>
    <row r="1" spans="1:20" s="2" customFormat="1" ht="30" customHeight="1" x14ac:dyDescent="0.2">
      <c r="B1" s="412" t="s">
        <v>2123</v>
      </c>
      <c r="C1" s="413"/>
      <c r="D1" s="413"/>
      <c r="E1" s="413"/>
      <c r="F1" s="413"/>
      <c r="G1" s="413"/>
      <c r="H1" s="413"/>
      <c r="I1" s="413"/>
      <c r="J1" s="414"/>
    </row>
    <row r="2" spans="1:20" s="125" customFormat="1" ht="20" customHeight="1" x14ac:dyDescent="0.2">
      <c r="B2" s="633" t="s">
        <v>2124</v>
      </c>
      <c r="C2" s="634"/>
      <c r="D2" s="634"/>
      <c r="E2" s="634"/>
      <c r="F2" s="634"/>
      <c r="G2" s="634"/>
      <c r="H2" s="634"/>
      <c r="I2" s="634"/>
      <c r="J2" s="635"/>
      <c r="K2" s="2"/>
    </row>
    <row r="3" spans="1:20" s="2" customFormat="1" ht="20" customHeight="1" x14ac:dyDescent="0.2">
      <c r="B3" s="63" t="s">
        <v>2125</v>
      </c>
      <c r="C3" s="63" t="s">
        <v>2126</v>
      </c>
      <c r="D3" s="63" t="s">
        <v>2127</v>
      </c>
      <c r="E3" s="119" t="s">
        <v>2128</v>
      </c>
      <c r="F3" s="63" t="s">
        <v>796</v>
      </c>
      <c r="G3" s="119" t="s">
        <v>797</v>
      </c>
      <c r="H3" s="478" t="s">
        <v>21</v>
      </c>
      <c r="I3" s="480"/>
      <c r="J3" s="479"/>
    </row>
    <row r="4" spans="1:20" s="9" customFormat="1" ht="20" customHeight="1" x14ac:dyDescent="0.2">
      <c r="B4" s="28" t="s">
        <v>1043</v>
      </c>
      <c r="C4" s="10" t="s">
        <v>1536</v>
      </c>
      <c r="D4" s="109" t="str">
        <f>CONCATENATE(this_instance,"-m01-vrms01")</f>
        <v>sfo-m01-vrms01</v>
      </c>
      <c r="E4" s="66"/>
    </row>
    <row r="5" spans="1:20" s="2" customFormat="1" ht="20" customHeight="1" x14ac:dyDescent="0.2">
      <c r="B5" s="28"/>
      <c r="C5" s="10" t="s">
        <v>2129</v>
      </c>
      <c r="D5" s="109" t="s">
        <v>2129</v>
      </c>
      <c r="E5" s="240" t="s">
        <v>2129</v>
      </c>
      <c r="F5" s="109" t="str">
        <f>CONCATENATE(prefix_mgmt_az1_cidr,"16.125")</f>
        <v>10.11.16.125</v>
      </c>
      <c r="G5" s="66"/>
      <c r="H5" s="476" t="s">
        <v>2130</v>
      </c>
      <c r="I5" s="640"/>
      <c r="J5" s="477"/>
    </row>
    <row r="6" spans="1:20" s="2" customFormat="1" ht="20" customHeight="1" x14ac:dyDescent="0.2">
      <c r="B6" s="28" t="s">
        <v>1711</v>
      </c>
      <c r="C6" s="10" t="s">
        <v>1536</v>
      </c>
      <c r="F6" s="109" t="str">
        <f>IF(mgmt_dpg_reuse_result="Included",CONCATENATE(prefix_mgmt_az1_cidr,"10.126"),CONCATENATE(prefix_mgmt_az1_cidr,"11.126"))</f>
        <v>10.11.10.126</v>
      </c>
      <c r="G6" s="66"/>
      <c r="H6" s="476" t="s">
        <v>2131</v>
      </c>
      <c r="I6" s="640"/>
      <c r="J6" s="477"/>
    </row>
    <row r="7" spans="1:20" s="2" customFormat="1" ht="20" customHeight="1" x14ac:dyDescent="0.2">
      <c r="B7" s="28" t="s">
        <v>2132</v>
      </c>
      <c r="C7" s="10"/>
      <c r="D7" s="109" t="s">
        <v>2129</v>
      </c>
      <c r="E7" s="240" t="s">
        <v>2129</v>
      </c>
      <c r="F7" s="109" t="str">
        <f>IF(mgmt_vns_chosen="VLAN-Backed",CONCATENATE(prefix_mgmt_az1_cidr,"99.3"),CONCATENATE(prefix_xreg_cidr,".3"))</f>
        <v>192.168.11.3</v>
      </c>
      <c r="G7" s="66"/>
      <c r="H7" s="476"/>
      <c r="I7" s="640"/>
      <c r="J7" s="477"/>
      <c r="Q7" s="4" t="s">
        <v>1578</v>
      </c>
      <c r="R7" s="10" t="s">
        <v>578</v>
      </c>
      <c r="S7" s="66"/>
      <c r="T7" s="8"/>
    </row>
    <row r="8" spans="1:20" s="2" customFormat="1" ht="20" customHeight="1" x14ac:dyDescent="0.2">
      <c r="B8" s="633" t="s">
        <v>1357</v>
      </c>
      <c r="C8" s="634"/>
      <c r="D8" s="634"/>
      <c r="E8" s="634"/>
      <c r="F8" s="634"/>
      <c r="G8" s="634"/>
      <c r="H8" s="634"/>
      <c r="I8" s="634"/>
      <c r="J8" s="635"/>
    </row>
    <row r="9" spans="1:20" s="2" customFormat="1" ht="20" customHeight="1" x14ac:dyDescent="0.2">
      <c r="B9" s="63" t="s">
        <v>2125</v>
      </c>
      <c r="C9" s="63" t="s">
        <v>2126</v>
      </c>
      <c r="D9" s="63" t="s">
        <v>2127</v>
      </c>
      <c r="E9" s="119" t="s">
        <v>2128</v>
      </c>
      <c r="F9" s="63" t="s">
        <v>796</v>
      </c>
      <c r="G9" s="119" t="s">
        <v>797</v>
      </c>
      <c r="H9" s="478" t="s">
        <v>21</v>
      </c>
      <c r="I9" s="480"/>
      <c r="J9" s="479"/>
    </row>
    <row r="10" spans="1:20" s="2" customFormat="1" ht="20" customHeight="1" x14ac:dyDescent="0.2">
      <c r="B10" s="28" t="s">
        <v>1043</v>
      </c>
      <c r="C10" s="10" t="s">
        <v>1536</v>
      </c>
      <c r="D10" s="109" t="str">
        <f>CONCATENATE(this_instance,"-w0",wld_domain_number_chosen,"-vrms01")</f>
        <v>sfo-w01-vrms01</v>
      </c>
      <c r="E10" s="66"/>
      <c r="F10" s="109" t="str">
        <f>IF(mgmt_dpg_reuse_result="Included",CONCATENATE(prefix_wld_az1_cidr,"10.125"),CONCATENATE(prefix_wld_az1_cidr,"11.125"))</f>
        <v>10.13.10.125</v>
      </c>
      <c r="G10" s="66"/>
      <c r="H10" s="476" t="s">
        <v>2133</v>
      </c>
      <c r="I10" s="640"/>
      <c r="J10" s="477"/>
    </row>
    <row r="11" spans="1:20" s="2" customFormat="1" ht="16" customHeight="1" x14ac:dyDescent="0.2">
      <c r="B11" s="28"/>
      <c r="C11" s="10" t="s">
        <v>2129</v>
      </c>
      <c r="D11" s="109" t="s">
        <v>2129</v>
      </c>
      <c r="E11" s="240" t="s">
        <v>2129</v>
      </c>
      <c r="F11" s="109" t="str">
        <f>CONCATENATE(prefix_wld_az1_cidr,"16.125")</f>
        <v>10.13.16.125</v>
      </c>
      <c r="G11" s="66"/>
      <c r="H11" s="476" t="s">
        <v>2134</v>
      </c>
      <c r="I11" s="640"/>
      <c r="J11" s="477"/>
    </row>
    <row r="12" spans="1:20" s="9" customFormat="1" ht="30" customHeight="1" x14ac:dyDescent="0.2">
      <c r="B12" s="28" t="s">
        <v>1711</v>
      </c>
      <c r="C12" s="10" t="s">
        <v>1536</v>
      </c>
      <c r="D12" s="109" t="str">
        <f>CONCATENATE(this_instance,"-w0",wld_domain_number_chosen,"-srm01")</f>
        <v>sfo-w01-srm01</v>
      </c>
      <c r="E12" s="66"/>
      <c r="F12" s="109" t="str">
        <f>IF(mgmt_dpg_reuse_result="Included",CONCATENATE(prefix_mgmt_az1_cidr,"10.",(127 + (30*(wld_domain_number_chosen - 1)))),CONCATENATE(prefix_mgmt_az1_cidr,"11.",(127 + (30*(wld_domain_number_chosen - 1)))))</f>
        <v>10.11.10.127</v>
      </c>
      <c r="G12" s="66"/>
      <c r="H12" s="476" t="s">
        <v>2135</v>
      </c>
      <c r="I12" s="640"/>
      <c r="J12" s="477"/>
    </row>
    <row r="13" spans="1:20" s="9" customFormat="1" ht="30" customHeight="1" x14ac:dyDescent="0.2">
      <c r="B13" s="2"/>
      <c r="C13" s="2"/>
      <c r="D13" s="2"/>
      <c r="E13" s="2"/>
      <c r="F13" s="2"/>
      <c r="G13" s="2"/>
      <c r="H13" s="2"/>
      <c r="I13" s="2"/>
      <c r="J13" s="2"/>
      <c r="K13" s="2"/>
      <c r="L13" s="2"/>
    </row>
    <row r="14" spans="1:20" s="2" customFormat="1" ht="20" customHeight="1" x14ac:dyDescent="0.2">
      <c r="B14" s="500" t="s">
        <v>2136</v>
      </c>
      <c r="C14" s="639"/>
      <c r="D14" s="639"/>
      <c r="E14" s="501"/>
    </row>
    <row r="15" spans="1:20" s="2" customFormat="1" ht="20" customHeight="1" x14ac:dyDescent="0.2">
      <c r="A15" s="125"/>
      <c r="B15" s="199" t="s">
        <v>250</v>
      </c>
      <c r="C15" s="199" t="s">
        <v>251</v>
      </c>
      <c r="D15" s="200" t="s">
        <v>20</v>
      </c>
      <c r="E15" s="199" t="s">
        <v>21</v>
      </c>
    </row>
    <row r="16" spans="1:20" s="2" customFormat="1" ht="20" customHeight="1" x14ac:dyDescent="0.2">
      <c r="B16" s="636" t="s">
        <v>2137</v>
      </c>
      <c r="C16" s="637"/>
      <c r="D16" s="637"/>
      <c r="E16" s="638"/>
    </row>
    <row r="17" spans="1:9" s="2" customFormat="1" ht="20" customHeight="1" x14ac:dyDescent="0.2">
      <c r="A17" s="9"/>
      <c r="B17" s="4" t="s">
        <v>1486</v>
      </c>
      <c r="C17" s="10" t="str">
        <f>CONCATENATE(other_instance,"-vcf01.",other_instance,".",sample_parent_dns_zone)</f>
        <v>lax-vcf01.lax.rainpole.io</v>
      </c>
      <c r="D17" s="66"/>
      <c r="E17" s="8"/>
      <c r="F17" s="9"/>
      <c r="G17" s="9"/>
      <c r="H17" s="9"/>
      <c r="I17" s="9"/>
    </row>
    <row r="18" spans="1:9" s="2" customFormat="1" ht="20" customHeight="1" x14ac:dyDescent="0.2">
      <c r="B18" s="4" t="s">
        <v>1490</v>
      </c>
      <c r="C18" s="10" t="s">
        <v>1485</v>
      </c>
      <c r="D18" s="66"/>
      <c r="E18" s="8"/>
    </row>
    <row r="19" spans="1:9" s="2" customFormat="1" ht="20" customHeight="1" x14ac:dyDescent="0.2">
      <c r="B19" s="4" t="s">
        <v>1493</v>
      </c>
      <c r="C19" s="10" t="s">
        <v>31</v>
      </c>
      <c r="D19" s="66"/>
      <c r="E19" s="8"/>
    </row>
    <row r="20" spans="1:9" s="2" customFormat="1" ht="20" customHeight="1" x14ac:dyDescent="0.2">
      <c r="B20" s="4" t="s">
        <v>1502</v>
      </c>
      <c r="E20" s="8"/>
    </row>
    <row r="21" spans="1:9" s="9" customFormat="1" ht="20" customHeight="1" x14ac:dyDescent="0.2">
      <c r="A21" s="2"/>
      <c r="B21" s="4" t="s">
        <v>1505</v>
      </c>
      <c r="E21" s="8"/>
      <c r="F21" s="2"/>
      <c r="G21" s="2"/>
      <c r="H21" s="2"/>
      <c r="I21" s="2"/>
    </row>
    <row r="22" spans="1:9" s="2" customFormat="1" ht="20" customHeight="1" x14ac:dyDescent="0.2">
      <c r="B22" s="4" t="s">
        <v>1509</v>
      </c>
      <c r="E22" s="8"/>
    </row>
    <row r="23" spans="1:9" s="2" customFormat="1" ht="20" customHeight="1" x14ac:dyDescent="0.2">
      <c r="B23" s="4" t="s">
        <v>1512</v>
      </c>
      <c r="E23" s="8"/>
    </row>
    <row r="24" spans="1:9" s="2" customFormat="1" ht="20" customHeight="1" x14ac:dyDescent="0.2"/>
    <row r="25" spans="1:9" s="2" customFormat="1" ht="20" customHeight="1" x14ac:dyDescent="0.2">
      <c r="A25" s="9"/>
      <c r="B25" s="500" t="s">
        <v>2138</v>
      </c>
      <c r="C25" s="639"/>
      <c r="D25" s="639"/>
      <c r="E25" s="501"/>
      <c r="F25" s="9"/>
      <c r="G25" s="9"/>
      <c r="H25" s="9"/>
      <c r="I25" s="9"/>
    </row>
    <row r="26" spans="1:9" s="2" customFormat="1" ht="20" customHeight="1" x14ac:dyDescent="0.2">
      <c r="B26" s="199" t="s">
        <v>250</v>
      </c>
      <c r="C26" s="199" t="s">
        <v>251</v>
      </c>
      <c r="D26" s="200" t="s">
        <v>20</v>
      </c>
      <c r="E26" s="199" t="s">
        <v>21</v>
      </c>
    </row>
    <row r="27" spans="1:9" s="2" customFormat="1" ht="20" customHeight="1" x14ac:dyDescent="0.2">
      <c r="B27" s="636" t="s">
        <v>2139</v>
      </c>
      <c r="C27" s="637"/>
      <c r="D27" s="637"/>
      <c r="E27" s="638"/>
    </row>
    <row r="28" spans="1:9" s="2" customFormat="1" ht="20" customHeight="1" x14ac:dyDescent="0.2">
      <c r="B28" s="4" t="s">
        <v>2140</v>
      </c>
      <c r="C28" s="10" t="str">
        <f>CONCATENATE(this_instance,"-m01-fd-vrms")</f>
        <v>sfo-m01-fd-vrms</v>
      </c>
      <c r="D28" s="66"/>
      <c r="E28" s="8"/>
    </row>
    <row r="29" spans="1:9" s="2" customFormat="1" ht="20" customHeight="1" x14ac:dyDescent="0.2">
      <c r="B29" s="4" t="s">
        <v>2141</v>
      </c>
      <c r="C29" s="10" t="s">
        <v>31</v>
      </c>
      <c r="D29" s="66"/>
      <c r="E29" s="8"/>
    </row>
    <row r="30" spans="1:9" s="2" customFormat="1" ht="20" customHeight="1" x14ac:dyDescent="0.2">
      <c r="B30" s="4" t="s">
        <v>2142</v>
      </c>
      <c r="C30" s="10" t="s">
        <v>31</v>
      </c>
      <c r="D30" s="66"/>
      <c r="E30" s="8"/>
    </row>
    <row r="31" spans="1:9" s="2" customFormat="1" ht="20" customHeight="1" x14ac:dyDescent="0.2">
      <c r="B31" s="4" t="s">
        <v>2143</v>
      </c>
      <c r="E31" s="8"/>
    </row>
    <row r="32" spans="1:9" s="2" customFormat="1" ht="20" customHeight="1" x14ac:dyDescent="0.2">
      <c r="B32" s="4" t="s">
        <v>2144</v>
      </c>
      <c r="E32" s="8"/>
    </row>
    <row r="33" spans="1:9" s="2" customFormat="1" ht="20" customHeight="1" x14ac:dyDescent="0.2">
      <c r="A33" s="9"/>
      <c r="B33" s="4" t="s">
        <v>2145</v>
      </c>
      <c r="E33" s="8"/>
      <c r="F33" s="9"/>
      <c r="G33" s="9"/>
      <c r="H33" s="9"/>
      <c r="I33" s="9"/>
    </row>
    <row r="34" spans="1:9" s="2" customFormat="1" ht="20" customHeight="1" x14ac:dyDescent="0.2">
      <c r="B34" s="4" t="s">
        <v>2146</v>
      </c>
      <c r="C34" s="10" t="s">
        <v>31</v>
      </c>
      <c r="D34" s="66"/>
      <c r="E34" s="8"/>
    </row>
    <row r="35" spans="1:9" s="2" customFormat="1" ht="20" customHeight="1" x14ac:dyDescent="0.2">
      <c r="B35" s="636" t="s">
        <v>1711</v>
      </c>
      <c r="C35" s="637"/>
      <c r="D35" s="637"/>
      <c r="E35" s="638"/>
    </row>
    <row r="36" spans="1:9" s="2" customFormat="1" ht="20" customHeight="1" x14ac:dyDescent="0.2">
      <c r="B36" s="4" t="s">
        <v>2140</v>
      </c>
      <c r="C36" s="10" t="str">
        <f>CONCATENATE(this_instance,"-m01-fd-srm")</f>
        <v>sfo-m01-fd-srm</v>
      </c>
      <c r="D36" s="66"/>
      <c r="E36" s="8"/>
    </row>
    <row r="37" spans="1:9" s="2" customFormat="1" ht="20" customHeight="1" x14ac:dyDescent="0.2">
      <c r="B37" s="4" t="s">
        <v>2141</v>
      </c>
      <c r="C37" s="174" t="s">
        <v>137</v>
      </c>
      <c r="D37" s="66"/>
      <c r="E37" s="8"/>
    </row>
    <row r="38" spans="1:9" s="2" customFormat="1" ht="20" customHeight="1" x14ac:dyDescent="0.2">
      <c r="B38" s="4" t="s">
        <v>2142</v>
      </c>
      <c r="C38" s="174" t="s">
        <v>31</v>
      </c>
      <c r="D38" s="66"/>
      <c r="E38" s="8"/>
    </row>
    <row r="39" spans="1:9" s="2" customFormat="1" ht="20" customHeight="1" x14ac:dyDescent="0.2">
      <c r="B39" s="4" t="s">
        <v>2147</v>
      </c>
      <c r="C39" s="10" t="s">
        <v>31</v>
      </c>
      <c r="D39" s="66"/>
      <c r="E39" s="8"/>
    </row>
    <row r="40" spans="1:9" s="2" customFormat="1" ht="20" customHeight="1" x14ac:dyDescent="0.2">
      <c r="B40" s="4" t="s">
        <v>2143</v>
      </c>
      <c r="C40" s="10" t="str">
        <f>UPPER(sample_mgmt_sddc_domain)</f>
        <v>SFO-M01</v>
      </c>
      <c r="D40" s="66"/>
      <c r="E40" s="8"/>
    </row>
    <row r="41" spans="1:9" s="2" customFormat="1" ht="20" customHeight="1" x14ac:dyDescent="0.2">
      <c r="B41" s="4" t="s">
        <v>2144</v>
      </c>
      <c r="C41" s="10" t="str">
        <f>CONCATENATE("srm-administrator@",sample_parent_dns_zone)</f>
        <v>srm-administrator@rainpole.io</v>
      </c>
      <c r="D41" s="66"/>
      <c r="E41" s="8"/>
    </row>
    <row r="42" spans="1:9" s="2" customFormat="1" ht="20" customHeight="1" x14ac:dyDescent="0.2">
      <c r="B42" s="4" t="s">
        <v>2146</v>
      </c>
      <c r="C42" s="10" t="s">
        <v>31</v>
      </c>
      <c r="D42" s="66"/>
      <c r="E42" s="8"/>
    </row>
    <row r="43" spans="1:9" s="2" customFormat="1" ht="20" customHeight="1" x14ac:dyDescent="0.2">
      <c r="B43" s="4" t="s">
        <v>1592</v>
      </c>
      <c r="E43" s="8"/>
    </row>
    <row r="44" spans="1:9" s="2" customFormat="1" ht="20" customHeight="1" x14ac:dyDescent="0.2">
      <c r="B44" s="4" t="s">
        <v>1596</v>
      </c>
      <c r="E44" s="8"/>
    </row>
    <row r="45" spans="1:9" s="2" customFormat="1" ht="20" customHeight="1" x14ac:dyDescent="0.2">
      <c r="B45" s="4" t="s">
        <v>1600</v>
      </c>
      <c r="E45" s="8"/>
    </row>
    <row r="46" spans="1:9" s="2" customFormat="1" ht="20" customHeight="1" x14ac:dyDescent="0.2">
      <c r="B46" s="4" t="s">
        <v>2148</v>
      </c>
      <c r="C46" s="10" t="s">
        <v>2149</v>
      </c>
      <c r="D46" s="66"/>
      <c r="E46" s="8"/>
    </row>
    <row r="47" spans="1:9" s="2" customFormat="1" ht="20" customHeight="1" x14ac:dyDescent="0.2">
      <c r="B47" s="4" t="s">
        <v>2150</v>
      </c>
      <c r="C47" s="10" t="s">
        <v>2151</v>
      </c>
      <c r="D47" s="66"/>
      <c r="E47" s="8"/>
    </row>
    <row r="48" spans="1:9" s="2" customFormat="1" ht="20" customHeight="1" x14ac:dyDescent="0.2">
      <c r="B48" s="4" t="s">
        <v>1613</v>
      </c>
      <c r="E48" s="8"/>
    </row>
    <row r="49" spans="2:5" s="2" customFormat="1" ht="20" customHeight="1" x14ac:dyDescent="0.2">
      <c r="B49" s="4" t="s">
        <v>1616</v>
      </c>
      <c r="E49" s="8"/>
    </row>
    <row r="50" spans="2:5" s="2" customFormat="1" ht="20" customHeight="1" x14ac:dyDescent="0.2">
      <c r="B50" s="4" t="s">
        <v>1620</v>
      </c>
      <c r="C50" s="10" t="s">
        <v>2152</v>
      </c>
      <c r="D50" s="66"/>
      <c r="E50" s="8"/>
    </row>
    <row r="51" spans="2:5" s="2" customFormat="1" ht="20" customHeight="1" x14ac:dyDescent="0.2">
      <c r="B51" s="4" t="s">
        <v>1623</v>
      </c>
      <c r="C51" s="10" t="s">
        <v>2153</v>
      </c>
      <c r="D51" s="66"/>
      <c r="E51" s="8"/>
    </row>
    <row r="52" spans="2:5" s="2" customFormat="1" ht="20" customHeight="1" x14ac:dyDescent="0.2">
      <c r="B52" s="636" t="s">
        <v>2154</v>
      </c>
      <c r="C52" s="637"/>
      <c r="D52" s="637"/>
      <c r="E52" s="638"/>
    </row>
    <row r="53" spans="2:5" s="2" customFormat="1" ht="16" customHeight="1" x14ac:dyDescent="0.2">
      <c r="B53" s="4" t="s">
        <v>2155</v>
      </c>
      <c r="C53" s="10" t="s">
        <v>2156</v>
      </c>
      <c r="D53" s="66"/>
      <c r="E53" s="8" t="s">
        <v>2157</v>
      </c>
    </row>
    <row r="54" spans="2:5" s="2" customFormat="1" ht="30" customHeight="1" x14ac:dyDescent="0.2">
      <c r="B54" s="636" t="s">
        <v>2137</v>
      </c>
      <c r="C54" s="637"/>
      <c r="D54" s="637"/>
      <c r="E54" s="638"/>
    </row>
    <row r="55" spans="2:5" s="2" customFormat="1" ht="20" customHeight="1" x14ac:dyDescent="0.2">
      <c r="B55" s="4" t="s">
        <v>1626</v>
      </c>
      <c r="E55" s="8"/>
    </row>
    <row r="56" spans="2:5" s="2" customFormat="1" ht="20" customHeight="1" x14ac:dyDescent="0.2">
      <c r="B56" s="4" t="s">
        <v>1629</v>
      </c>
      <c r="E56" s="8"/>
    </row>
    <row r="57" spans="2:5" s="2" customFormat="1" ht="20" customHeight="1" x14ac:dyDescent="0.2">
      <c r="B57" s="4" t="s">
        <v>1631</v>
      </c>
      <c r="E57" s="8"/>
    </row>
    <row r="58" spans="2:5" s="2" customFormat="1" ht="20" customHeight="1" x14ac:dyDescent="0.2">
      <c r="B58" s="4" t="s">
        <v>1636</v>
      </c>
      <c r="C58" s="10" t="str">
        <f>CONCATENATE(other_instance,"-m01")</f>
        <v>lax-m01</v>
      </c>
      <c r="D58" s="66"/>
      <c r="E58" s="8"/>
    </row>
    <row r="59" spans="2:5" s="2" customFormat="1" ht="20" customHeight="1" x14ac:dyDescent="0.2">
      <c r="B59" s="4" t="s">
        <v>1641</v>
      </c>
      <c r="C59" s="10" t="str">
        <f>CONCATENATE(other_instance,"-m01")</f>
        <v>lax-m01</v>
      </c>
      <c r="D59" s="66"/>
      <c r="E59" s="8"/>
    </row>
    <row r="60" spans="2:5" s="2" customFormat="1" ht="20" customHeight="1" x14ac:dyDescent="0.2">
      <c r="B60" s="4" t="s">
        <v>1645</v>
      </c>
      <c r="C60" s="10" t="str">
        <f>CONCATENATE(other_instance,"-m01-ec01")</f>
        <v>lax-m01-ec01</v>
      </c>
      <c r="D60" s="66"/>
      <c r="E60" s="8"/>
    </row>
    <row r="61" spans="2:5" s="2" customFormat="1" ht="20" customHeight="1" x14ac:dyDescent="0.2">
      <c r="B61" s="4" t="s">
        <v>1648</v>
      </c>
      <c r="E61" s="8"/>
    </row>
    <row r="62" spans="2:5" s="2" customFormat="1" ht="20" customHeight="1" x14ac:dyDescent="0.2">
      <c r="B62" s="4" t="s">
        <v>1652</v>
      </c>
      <c r="E62" s="8"/>
    </row>
    <row r="63" spans="2:5" s="2" customFormat="1" ht="20" customHeight="1" x14ac:dyDescent="0.2">
      <c r="B63" s="4" t="s">
        <v>1656</v>
      </c>
      <c r="C63" s="10" t="str">
        <f>CONCATENATE(prefix_other_region_az1_cidr,"16.0/24")</f>
        <v>10.21.16.0/24</v>
      </c>
      <c r="D63" s="66"/>
      <c r="E63" s="8"/>
    </row>
    <row r="64" spans="2:5" s="2" customFormat="1" ht="20" customHeight="1" x14ac:dyDescent="0.2">
      <c r="B64" s="4" t="s">
        <v>2158</v>
      </c>
      <c r="C64" s="10" t="s">
        <v>2159</v>
      </c>
      <c r="D64" s="66"/>
      <c r="E64" s="8"/>
    </row>
    <row r="65" spans="1:9" s="2" customFormat="1" ht="20" customHeight="1" x14ac:dyDescent="0.2"/>
    <row r="66" spans="1:9" s="2" customFormat="1" ht="20" customHeight="1" x14ac:dyDescent="0.2">
      <c r="B66" s="500" t="s">
        <v>2160</v>
      </c>
      <c r="C66" s="639"/>
      <c r="D66" s="639"/>
      <c r="E66" s="501"/>
    </row>
    <row r="67" spans="1:9" s="2" customFormat="1" ht="20" customHeight="1" x14ac:dyDescent="0.2">
      <c r="B67" s="199" t="s">
        <v>250</v>
      </c>
      <c r="C67" s="199" t="s">
        <v>815</v>
      </c>
      <c r="D67" s="200" t="s">
        <v>20</v>
      </c>
      <c r="E67" s="199" t="s">
        <v>21</v>
      </c>
    </row>
    <row r="68" spans="1:9" s="2" customFormat="1" ht="20" customHeight="1" x14ac:dyDescent="0.2">
      <c r="B68" s="636" t="s">
        <v>2139</v>
      </c>
      <c r="C68" s="637"/>
      <c r="D68" s="637"/>
      <c r="E68" s="638"/>
    </row>
    <row r="69" spans="1:9" s="2" customFormat="1" ht="20" customHeight="1" x14ac:dyDescent="0.2">
      <c r="B69" s="4" t="s">
        <v>2140</v>
      </c>
      <c r="C69" s="10" t="str">
        <f>CONCATENATE(this_instance,"-w0",wld_domain_number_chosen,"-fd-vrms")</f>
        <v>sfo-w01-fd-vrms</v>
      </c>
      <c r="D69" s="66"/>
      <c r="E69" s="8"/>
    </row>
    <row r="70" spans="1:9" s="2" customFormat="1" ht="20" customHeight="1" x14ac:dyDescent="0.2">
      <c r="B70" s="4" t="s">
        <v>2141</v>
      </c>
      <c r="C70" s="10" t="s">
        <v>31</v>
      </c>
      <c r="D70" s="66"/>
      <c r="E70" s="8"/>
    </row>
    <row r="71" spans="1:9" s="2" customFormat="1" ht="20" customHeight="1" x14ac:dyDescent="0.2">
      <c r="B71" s="4" t="s">
        <v>2142</v>
      </c>
      <c r="C71" s="10" t="s">
        <v>31</v>
      </c>
      <c r="D71" s="66"/>
      <c r="E71" s="8"/>
    </row>
    <row r="72" spans="1:9" s="2" customFormat="1" ht="20" customHeight="1" x14ac:dyDescent="0.2">
      <c r="B72" s="4" t="s">
        <v>2143</v>
      </c>
      <c r="C72" s="10" t="str">
        <f>UPPER(sample_wld_sddc_domain)</f>
        <v>SFO-W01</v>
      </c>
      <c r="D72" s="66"/>
      <c r="E72" s="8"/>
    </row>
    <row r="73" spans="1:9" s="2" customFormat="1" ht="20" customHeight="1" x14ac:dyDescent="0.2">
      <c r="B73" s="4" t="s">
        <v>2144</v>
      </c>
      <c r="C73" s="10" t="str">
        <f>CONCATENATE("vrms-administrator@",sample_parent_dns_zone)</f>
        <v>vrms-administrator@rainpole.io</v>
      </c>
      <c r="D73" s="66"/>
      <c r="E73" s="8"/>
    </row>
    <row r="74" spans="1:9" s="2" customFormat="1" ht="20" customHeight="1" x14ac:dyDescent="0.2">
      <c r="B74" s="4" t="s">
        <v>2145</v>
      </c>
      <c r="C74" s="10" t="str">
        <f>CONCATENATE(this_instance,"-w01-cl01-vds01-pg-vrms")</f>
        <v>sfo-w01-cl01-vds01-pg-vrms</v>
      </c>
      <c r="D74" s="66"/>
      <c r="E74" s="8"/>
    </row>
    <row r="75" spans="1:9" s="2" customFormat="1" ht="20" customHeight="1" x14ac:dyDescent="0.2">
      <c r="B75" s="4" t="s">
        <v>2146</v>
      </c>
      <c r="C75" s="10" t="s">
        <v>31</v>
      </c>
      <c r="D75" s="66"/>
      <c r="E75" s="8"/>
    </row>
    <row r="76" spans="1:9" s="2" customFormat="1" ht="20" customHeight="1" x14ac:dyDescent="0.2">
      <c r="B76" s="636" t="s">
        <v>1711</v>
      </c>
      <c r="C76" s="637"/>
      <c r="D76" s="637"/>
      <c r="E76" s="638"/>
    </row>
    <row r="77" spans="1:9" s="2" customFormat="1" ht="20" customHeight="1" x14ac:dyDescent="0.2">
      <c r="B77" s="4" t="s">
        <v>2140</v>
      </c>
      <c r="C77" s="10" t="str">
        <f>CONCATENATE(this_instance,"-w0",wld_domain_number_chosen,"-fd-srm")</f>
        <v>sfo-w01-fd-srm</v>
      </c>
      <c r="D77" s="66"/>
      <c r="E77" s="8"/>
    </row>
    <row r="78" spans="1:9" s="9" customFormat="1" ht="16" customHeight="1" x14ac:dyDescent="0.2">
      <c r="A78" s="2"/>
      <c r="B78" s="4" t="s">
        <v>2141</v>
      </c>
      <c r="C78" s="10" t="s">
        <v>31</v>
      </c>
      <c r="D78" s="66"/>
      <c r="E78" s="8"/>
      <c r="F78" s="2"/>
      <c r="G78" s="2"/>
      <c r="H78" s="2"/>
      <c r="I78" s="2"/>
    </row>
    <row r="79" spans="1:9" s="9" customFormat="1" ht="34" customHeight="1" x14ac:dyDescent="0.2">
      <c r="A79" s="2"/>
      <c r="B79" s="4" t="s">
        <v>2142</v>
      </c>
      <c r="C79" s="10" t="s">
        <v>31</v>
      </c>
      <c r="D79" s="66"/>
      <c r="E79" s="8"/>
      <c r="F79" s="2"/>
      <c r="G79" s="2"/>
      <c r="H79" s="2"/>
      <c r="I79" s="2"/>
    </row>
    <row r="80" spans="1:9" s="9" customFormat="1" ht="16" customHeight="1" x14ac:dyDescent="0.2">
      <c r="A80" s="2"/>
      <c r="B80" s="4" t="s">
        <v>2147</v>
      </c>
      <c r="C80" s="10" t="s">
        <v>31</v>
      </c>
      <c r="D80" s="66"/>
      <c r="E80" s="8"/>
      <c r="F80" s="2"/>
      <c r="G80" s="2"/>
      <c r="H80" s="2"/>
      <c r="I80" s="2"/>
    </row>
    <row r="81" spans="1:9" s="9" customFormat="1" ht="34" customHeight="1" x14ac:dyDescent="0.2">
      <c r="A81" s="2"/>
      <c r="B81" s="4" t="s">
        <v>2143</v>
      </c>
      <c r="C81" s="10" t="str">
        <f>UPPER(sample_wld_sddc_domain)</f>
        <v>SFO-W01</v>
      </c>
      <c r="D81" s="66"/>
      <c r="E81" s="8"/>
      <c r="F81" s="2"/>
      <c r="G81" s="2"/>
      <c r="H81" s="2"/>
      <c r="I81" s="2"/>
    </row>
    <row r="82" spans="1:9" s="9" customFormat="1" ht="16" customHeight="1" x14ac:dyDescent="0.2">
      <c r="A82" s="2"/>
      <c r="B82" s="4" t="s">
        <v>2144</v>
      </c>
      <c r="C82" s="10" t="str">
        <f>CONCATENATE("srm-administrator@",sample_parent_dns_zone)</f>
        <v>srm-administrator@rainpole.io</v>
      </c>
      <c r="D82" s="66"/>
      <c r="E82" s="8"/>
      <c r="F82" s="2"/>
      <c r="G82" s="2"/>
      <c r="H82" s="2"/>
      <c r="I82" s="2"/>
    </row>
    <row r="83" spans="1:9" s="9" customFormat="1" ht="34" customHeight="1" x14ac:dyDescent="0.2">
      <c r="A83" s="2"/>
      <c r="B83" s="4" t="s">
        <v>2146</v>
      </c>
      <c r="C83" s="10" t="s">
        <v>31</v>
      </c>
      <c r="D83" s="66"/>
      <c r="E83" s="8"/>
      <c r="F83" s="2"/>
      <c r="G83" s="2"/>
      <c r="H83" s="2"/>
      <c r="I83" s="2"/>
    </row>
    <row r="84" spans="1:9" s="9" customFormat="1" ht="20" customHeight="1" x14ac:dyDescent="0.2">
      <c r="A84" s="2"/>
      <c r="B84" s="636" t="s">
        <v>2137</v>
      </c>
      <c r="C84" s="637"/>
      <c r="D84" s="637"/>
      <c r="E84" s="638"/>
      <c r="F84" s="2"/>
      <c r="G84" s="2"/>
      <c r="H84" s="2"/>
      <c r="I84" s="2"/>
    </row>
    <row r="85" spans="1:9" s="9" customFormat="1" ht="20" customHeight="1" x14ac:dyDescent="0.2">
      <c r="A85" s="2"/>
      <c r="B85" s="4" t="s">
        <v>1626</v>
      </c>
      <c r="C85" s="10" t="str">
        <f>CONCATENATE(other_instance,"-w01-vc01.",other_instance,".",sample_parent_dns_zone)</f>
        <v>lax-w01-vc01.lax.rainpole.io</v>
      </c>
      <c r="D85" s="66"/>
      <c r="E85" s="8"/>
      <c r="F85" s="2"/>
      <c r="G85" s="2"/>
      <c r="H85" s="2"/>
      <c r="I85" s="2"/>
    </row>
    <row r="86" spans="1:9" s="9" customFormat="1" ht="20" customHeight="1" x14ac:dyDescent="0.2">
      <c r="A86" s="2"/>
      <c r="B86" s="4" t="s">
        <v>1629</v>
      </c>
      <c r="C86" s="10" t="s">
        <v>1485</v>
      </c>
      <c r="D86" s="66"/>
      <c r="E86" s="8"/>
      <c r="F86" s="2"/>
      <c r="G86" s="2"/>
      <c r="H86" s="2"/>
      <c r="I86" s="2"/>
    </row>
    <row r="87" spans="1:9" s="9" customFormat="1" ht="20" customHeight="1" x14ac:dyDescent="0.2">
      <c r="A87" s="2"/>
      <c r="B87" s="4" t="s">
        <v>1631</v>
      </c>
      <c r="C87" s="10" t="s">
        <v>31</v>
      </c>
      <c r="D87" s="66"/>
      <c r="E87" s="8"/>
      <c r="F87" s="2"/>
      <c r="G87" s="2"/>
      <c r="H87" s="2"/>
      <c r="I87" s="2"/>
    </row>
    <row r="88" spans="1:9" s="9" customFormat="1" ht="16" customHeight="1" x14ac:dyDescent="0.2">
      <c r="A88" s="2"/>
      <c r="B88" s="4" t="s">
        <v>1656</v>
      </c>
      <c r="C88" s="10" t="str">
        <f>CONCATENATE(prefix_other_region_az1_cidr,"9.0/24")</f>
        <v>10.21.9.0/24</v>
      </c>
      <c r="D88" s="66"/>
      <c r="E88" s="8"/>
      <c r="F88" s="2"/>
      <c r="G88" s="2"/>
      <c r="H88" s="2"/>
      <c r="I88" s="2"/>
    </row>
    <row r="89" spans="1:9" s="9" customFormat="1" ht="34" customHeight="1" x14ac:dyDescent="0.2">
      <c r="A89" s="2"/>
      <c r="B89" s="4" t="s">
        <v>2158</v>
      </c>
      <c r="C89" s="10" t="s">
        <v>2159</v>
      </c>
      <c r="D89" s="66"/>
      <c r="E89" s="8"/>
      <c r="F89" s="2"/>
      <c r="G89" s="2"/>
      <c r="H89" s="2"/>
      <c r="I89" s="2"/>
    </row>
    <row r="93" spans="1:9" s="9" customFormat="1" ht="20" customHeight="1" x14ac:dyDescent="0.2">
      <c r="B93" s="599" t="s">
        <v>2161</v>
      </c>
      <c r="C93" s="600"/>
      <c r="D93" s="600"/>
      <c r="E93" s="600"/>
    </row>
    <row r="94" spans="1:9" s="9" customFormat="1" ht="20" customHeight="1" x14ac:dyDescent="0.2"/>
    <row r="95" spans="1:9" s="9" customFormat="1" ht="20" customHeight="1" x14ac:dyDescent="0.2">
      <c r="B95" s="600" t="s">
        <v>2162</v>
      </c>
      <c r="C95" s="600"/>
      <c r="D95" s="600"/>
      <c r="E95" s="600"/>
    </row>
    <row r="96" spans="1:9" s="9" customFormat="1" ht="16" customHeight="1" x14ac:dyDescent="0.2">
      <c r="B96" s="62" t="s">
        <v>250</v>
      </c>
      <c r="C96" s="62" t="s">
        <v>251</v>
      </c>
      <c r="D96" s="160" t="s">
        <v>20</v>
      </c>
      <c r="E96" s="62" t="s">
        <v>21</v>
      </c>
    </row>
    <row r="97" spans="2:5" s="9" customFormat="1" ht="34" customHeight="1" x14ac:dyDescent="0.2">
      <c r="B97" s="4" t="s">
        <v>2163</v>
      </c>
      <c r="C97" s="65" t="str">
        <f>sample_mgmt_vc_fqdn</f>
        <v>sfo-m01-vc01.sfo.rainpole.io</v>
      </c>
      <c r="D97" s="8" t="str">
        <f>mgmt_vc_fqdn</f>
        <v>Value Missing</v>
      </c>
      <c r="E97" s="42"/>
    </row>
    <row r="98" spans="2:5" s="9" customFormat="1" ht="20" customHeight="1" x14ac:dyDescent="0.2">
      <c r="B98" s="4" t="s">
        <v>2164</v>
      </c>
      <c r="C98" s="65" t="s">
        <v>2165</v>
      </c>
      <c r="D98" s="8">
        <f>vrslcm_xreg_vm_folder</f>
        <v>0</v>
      </c>
      <c r="E98" s="42"/>
    </row>
    <row r="99" spans="2:5" s="9" customFormat="1" ht="20" customHeight="1" x14ac:dyDescent="0.2">
      <c r="B99" s="4" t="s">
        <v>633</v>
      </c>
      <c r="E99" s="42"/>
    </row>
    <row r="100" spans="2:5" s="9" customFormat="1" ht="20" customHeight="1" x14ac:dyDescent="0.2"/>
    <row r="101" spans="2:5" s="9" customFormat="1" ht="20" customHeight="1" x14ac:dyDescent="0.2">
      <c r="B101" s="600" t="s">
        <v>2166</v>
      </c>
      <c r="C101" s="600"/>
      <c r="D101" s="600"/>
      <c r="E101" s="600"/>
    </row>
    <row r="102" spans="2:5" s="9" customFormat="1" ht="20" customHeight="1" x14ac:dyDescent="0.2">
      <c r="B102" s="62" t="s">
        <v>250</v>
      </c>
      <c r="C102" s="62" t="s">
        <v>251</v>
      </c>
      <c r="D102" s="160" t="s">
        <v>20</v>
      </c>
      <c r="E102" s="62" t="s">
        <v>21</v>
      </c>
    </row>
    <row r="103" spans="2:5" s="9" customFormat="1" ht="20" customHeight="1" x14ac:dyDescent="0.2">
      <c r="B103" s="40" t="s">
        <v>2167</v>
      </c>
      <c r="C103" s="65" t="str">
        <f>sample_mgmt_srm_recovery_vcenter_fqdn</f>
        <v>lax-m01-vc01.lax.rainpole.io</v>
      </c>
      <c r="D103" s="120" t="str">
        <f>mgmt_srm_recovery_vcenter_fqdn</f>
        <v>Value Missing</v>
      </c>
      <c r="E103" s="239"/>
    </row>
    <row r="104" spans="2:5" s="9" customFormat="1" ht="20" customHeight="1" x14ac:dyDescent="0.2">
      <c r="B104" s="28" t="s">
        <v>2168</v>
      </c>
      <c r="C104" s="65" t="str">
        <f t="array" ref="C104">sample_vrslcm_xreg_vm_folder</f>
        <v>xint-m01-fd-lcm</v>
      </c>
      <c r="D104" s="8"/>
      <c r="E104" s="42"/>
    </row>
    <row r="105" spans="2:5" s="9" customFormat="1" ht="20" customHeight="1" x14ac:dyDescent="0.2">
      <c r="B105" s="4" t="s">
        <v>2169</v>
      </c>
      <c r="C105" s="65" t="s">
        <v>2170</v>
      </c>
      <c r="D105" s="8"/>
      <c r="E105" s="42"/>
    </row>
    <row r="106" spans="2:5" s="9" customFormat="1" ht="20" customHeight="1" x14ac:dyDescent="0.2">
      <c r="B106" s="4" t="s">
        <v>2171</v>
      </c>
      <c r="C106" s="65" t="s">
        <v>2172</v>
      </c>
      <c r="D106" s="8"/>
      <c r="E106" s="42"/>
    </row>
    <row r="107" spans="2:5" s="9" customFormat="1" ht="20" customHeight="1" x14ac:dyDescent="0.2">
      <c r="B107" s="28" t="s">
        <v>2173</v>
      </c>
      <c r="C107" s="65" t="s">
        <v>2174</v>
      </c>
      <c r="D107" s="8"/>
      <c r="E107" s="42"/>
    </row>
    <row r="108" spans="2:5" s="9" customFormat="1" ht="16" customHeight="1" x14ac:dyDescent="0.2"/>
    <row r="109" spans="2:5" s="9" customFormat="1" ht="34" customHeight="1" x14ac:dyDescent="0.2">
      <c r="B109" s="600" t="s">
        <v>2175</v>
      </c>
      <c r="C109" s="600"/>
      <c r="D109" s="600"/>
      <c r="E109" s="600"/>
    </row>
    <row r="110" spans="2:5" s="9" customFormat="1" ht="20" customHeight="1" x14ac:dyDescent="0.2">
      <c r="B110" s="62" t="s">
        <v>250</v>
      </c>
      <c r="C110" s="62" t="s">
        <v>251</v>
      </c>
      <c r="D110" s="160" t="s">
        <v>20</v>
      </c>
      <c r="E110" s="62" t="s">
        <v>21</v>
      </c>
    </row>
    <row r="111" spans="2:5" s="9" customFormat="1" ht="20" customHeight="1" x14ac:dyDescent="0.2">
      <c r="B111" s="4" t="s">
        <v>2176</v>
      </c>
      <c r="C111" s="65" t="str">
        <f>IF(mgmt_domain_chosen="First Instance",sample_mgmt_nsxt_gm_vip_fqdn,sample_mgmt_existing_active_nsx_gm)</f>
        <v>sfo-m01-nsx-gm01.sfo.rainpole.io</v>
      </c>
      <c r="D111" s="8" t="str">
        <f>_xlfn.SINGLE(IF(mgmt_domain_chosen="First Domain",mgmt_nsxt_gm_vip_fqdn,mgmt_existing_active_nsx_gm))</f>
        <v>Value Missing</v>
      </c>
      <c r="E111" s="42"/>
    </row>
    <row r="112" spans="2:5" s="9" customFormat="1" ht="20" customHeight="1" x14ac:dyDescent="0.2">
      <c r="B112" s="4" t="s">
        <v>2177</v>
      </c>
      <c r="C112" s="65" t="str">
        <f>sample_mgmt_srm_recovery_nsx_location</f>
        <v>lax-m01</v>
      </c>
      <c r="D112" s="8" t="str">
        <f>mgmt_srm_recovery_nsx_location</f>
        <v>Value Missing</v>
      </c>
      <c r="E112" s="42"/>
    </row>
    <row r="113" spans="2:5" s="9" customFormat="1" ht="20" customHeight="1" x14ac:dyDescent="0.2">
      <c r="B113" s="28" t="s">
        <v>467</v>
      </c>
      <c r="C113" s="65" t="s">
        <v>2178</v>
      </c>
      <c r="D113" s="8" t="str">
        <f>C113</f>
        <v>recovery-t1-gw01</v>
      </c>
      <c r="E113" s="42"/>
    </row>
    <row r="114" spans="2:5" s="9" customFormat="1" ht="16" customHeight="1" x14ac:dyDescent="0.2">
      <c r="B114" s="28" t="s">
        <v>88</v>
      </c>
      <c r="C114" s="65" t="str">
        <f>sample_mgmt_srm_recovery_nsx_ec_name</f>
        <v>lax-m01-ec01</v>
      </c>
      <c r="D114" s="8" t="str">
        <f>mgmt_srm_recovery_nsx_ec_name</f>
        <v>Value Missing</v>
      </c>
      <c r="E114" s="42"/>
    </row>
    <row r="115" spans="2:5" s="9" customFormat="1" ht="34" customHeight="1" x14ac:dyDescent="0.2">
      <c r="B115" s="28" t="s">
        <v>250</v>
      </c>
      <c r="C115" s="65" t="s">
        <v>2179</v>
      </c>
      <c r="D115" s="8" t="str">
        <f>C115</f>
        <v>recovery-t1-gw01-si01</v>
      </c>
      <c r="E115" s="42"/>
    </row>
    <row r="116" spans="2:5" s="9" customFormat="1" ht="20" customHeight="1" x14ac:dyDescent="0.2">
      <c r="B116" s="28" t="s">
        <v>2180</v>
      </c>
      <c r="C116" s="65"/>
      <c r="D116" s="8"/>
      <c r="E116" s="42"/>
    </row>
    <row r="117" spans="2:5" s="9" customFormat="1" ht="20" customHeight="1" x14ac:dyDescent="0.2">
      <c r="B117" s="28" t="s">
        <v>2181</v>
      </c>
      <c r="C117" s="65">
        <f>sample_xreg_seg01_name</f>
        <v>0</v>
      </c>
      <c r="D117" s="8"/>
      <c r="E117" s="42"/>
    </row>
    <row r="118" spans="2:5" s="9" customFormat="1" ht="20" customHeight="1" x14ac:dyDescent="0.2">
      <c r="B118" s="4" t="s">
        <v>272</v>
      </c>
      <c r="C118" s="65"/>
      <c r="D118" s="8"/>
      <c r="E118" s="42"/>
    </row>
    <row r="119" spans="2:5" s="9" customFormat="1" ht="20" customHeight="1" x14ac:dyDescent="0.2">
      <c r="B119" s="4" t="s">
        <v>2182</v>
      </c>
      <c r="C119" s="65" t="s">
        <v>2179</v>
      </c>
      <c r="D119" s="8" t="str">
        <f>C119</f>
        <v>recovery-t1-gw01-si01</v>
      </c>
      <c r="E119" s="42"/>
    </row>
    <row r="120" spans="2:5" s="9" customFormat="1" ht="16" customHeight="1" x14ac:dyDescent="0.2"/>
    <row r="121" spans="2:5" s="9" customFormat="1" ht="34" customHeight="1" x14ac:dyDescent="0.2">
      <c r="B121" s="600" t="s">
        <v>2183</v>
      </c>
      <c r="C121" s="600"/>
      <c r="D121" s="600"/>
      <c r="E121" s="600"/>
    </row>
    <row r="122" spans="2:5" s="9" customFormat="1" ht="20" customHeight="1" x14ac:dyDescent="0.2">
      <c r="B122" s="62" t="s">
        <v>250</v>
      </c>
      <c r="C122" s="62" t="s">
        <v>251</v>
      </c>
      <c r="D122" s="160" t="s">
        <v>20</v>
      </c>
      <c r="E122" s="62" t="s">
        <v>21</v>
      </c>
    </row>
    <row r="123" spans="2:5" s="9" customFormat="1" ht="20" customHeight="1" x14ac:dyDescent="0.2">
      <c r="B123" s="4" t="s">
        <v>2176</v>
      </c>
      <c r="C123" s="65" t="str">
        <f>IF(mgmt_domain_chosen="Initial VCF Instance",sample_wld_nsxt_gm_vip_fqdn,sample_wld_existing_active_nsx_gm)</f>
        <v>lax-w01-nsx-gm01.lax.rainpole.io</v>
      </c>
      <c r="D123" s="8" t="str">
        <f>_xlfn.SINGLE(IF(mgmt_domain_chosen="First Domain",mgmt_nsxt_gm_vip_fqdn,mgmt_existing_active_nsx_gm))</f>
        <v>Value Missing</v>
      </c>
      <c r="E123" s="42"/>
    </row>
    <row r="124" spans="2:5" s="9" customFormat="1" ht="20" customHeight="1" x14ac:dyDescent="0.2">
      <c r="B124" s="4" t="s">
        <v>2177</v>
      </c>
      <c r="C124" s="65" t="str">
        <f>sample_mgmt_srm_recovery_nsx_location</f>
        <v>lax-m01</v>
      </c>
      <c r="D124" s="8" t="str">
        <f>mgmt_srm_recovery_nsx_location</f>
        <v>Value Missing</v>
      </c>
      <c r="E124" s="42"/>
    </row>
    <row r="125" spans="2:5" s="9" customFormat="1" ht="20" customHeight="1" x14ac:dyDescent="0.2">
      <c r="B125" s="28" t="s">
        <v>250</v>
      </c>
      <c r="C125" s="65" t="s">
        <v>2184</v>
      </c>
      <c r="D125" s="8" t="str">
        <f>C125</f>
        <v>recovery-lb01</v>
      </c>
      <c r="E125" s="42"/>
    </row>
    <row r="126" spans="2:5" s="9" customFormat="1" ht="16" customHeight="1" x14ac:dyDescent="0.2"/>
    <row r="127" spans="2:5" s="9" customFormat="1" ht="34" customHeight="1" x14ac:dyDescent="0.2">
      <c r="B127" s="600" t="s">
        <v>2185</v>
      </c>
      <c r="C127" s="600"/>
      <c r="D127" s="600"/>
      <c r="E127" s="600"/>
    </row>
    <row r="128" spans="2:5" s="9" customFormat="1" ht="20" customHeight="1" x14ac:dyDescent="0.2">
      <c r="B128" s="62" t="s">
        <v>250</v>
      </c>
      <c r="C128" s="62" t="s">
        <v>251</v>
      </c>
      <c r="D128" s="160" t="s">
        <v>20</v>
      </c>
      <c r="E128" s="62" t="s">
        <v>21</v>
      </c>
    </row>
    <row r="129" spans="2:5" s="9" customFormat="1" ht="20" customHeight="1" x14ac:dyDescent="0.2">
      <c r="B129" s="4" t="s">
        <v>2176</v>
      </c>
      <c r="C129" s="65"/>
      <c r="D129" s="8" t="str">
        <f>_xlfn.SINGLE(IF(mgmt_domain_chosen="First Domain",mgmt_nsxt_gm_vip_fqdn,mgmt_existing_active_nsx_gm))</f>
        <v>Value Missing</v>
      </c>
      <c r="E129" s="42"/>
    </row>
    <row r="130" spans="2:5" s="9" customFormat="1" ht="20" customHeight="1" x14ac:dyDescent="0.2">
      <c r="B130" s="4" t="s">
        <v>2177</v>
      </c>
      <c r="C130" s="65" t="str">
        <f>sample_mgmt_srm_recovery_nsx_location</f>
        <v>lax-m01</v>
      </c>
      <c r="D130" s="8" t="str">
        <f>mgmt_srm_recovery_nsx_location</f>
        <v>Value Missing</v>
      </c>
      <c r="E130" s="42"/>
    </row>
    <row r="131" spans="2:5" s="9" customFormat="1" ht="20" customHeight="1" x14ac:dyDescent="0.2">
      <c r="B131" s="28" t="s">
        <v>250</v>
      </c>
      <c r="C131" s="65"/>
      <c r="D131" s="8"/>
      <c r="E131" s="42"/>
    </row>
    <row r="132" spans="2:5" s="9" customFormat="1" ht="20" customHeight="1" x14ac:dyDescent="0.2"/>
    <row r="133" spans="2:5" s="9" customFormat="1" ht="20" customHeight="1" x14ac:dyDescent="0.2">
      <c r="B133" s="600" t="s">
        <v>2186</v>
      </c>
      <c r="C133" s="600"/>
      <c r="D133" s="600"/>
      <c r="E133" s="600"/>
    </row>
    <row r="134" spans="2:5" s="9" customFormat="1" ht="20" customHeight="1" x14ac:dyDescent="0.2">
      <c r="B134" s="62" t="s">
        <v>250</v>
      </c>
      <c r="C134" s="62" t="s">
        <v>251</v>
      </c>
      <c r="D134" s="160" t="s">
        <v>20</v>
      </c>
      <c r="E134" s="62" t="s">
        <v>21</v>
      </c>
    </row>
    <row r="135" spans="2:5" s="9" customFormat="1" ht="20" customHeight="1" x14ac:dyDescent="0.2">
      <c r="B135" s="4" t="s">
        <v>2176</v>
      </c>
      <c r="C135" s="65"/>
      <c r="D135" s="8" t="str">
        <f>_xlfn.SINGLE(IF(mgmt_domain_chosen="First Domain",mgmt_nsxt_gm_vip_fqdn,mgmt_existing_active_nsx_gm))</f>
        <v>Value Missing</v>
      </c>
      <c r="E135" s="42"/>
    </row>
    <row r="136" spans="2:5" s="9" customFormat="1" ht="20" customHeight="1" x14ac:dyDescent="0.2">
      <c r="B136" s="4" t="s">
        <v>2177</v>
      </c>
      <c r="C136" s="65" t="str">
        <f>sample_mgmt_srm_recovery_nsx_location</f>
        <v>lax-m01</v>
      </c>
      <c r="D136" s="8" t="str">
        <f>mgmt_srm_recovery_nsx_location</f>
        <v>Value Missing</v>
      </c>
      <c r="E136" s="42"/>
    </row>
    <row r="137" spans="2:5" s="9" customFormat="1" ht="20" customHeight="1" x14ac:dyDescent="0.2">
      <c r="B137" s="28" t="s">
        <v>250</v>
      </c>
      <c r="C137" s="65" t="s">
        <v>2187</v>
      </c>
      <c r="D137" s="8" t="str">
        <f>C137</f>
        <v>vrops-https-monitor</v>
      </c>
      <c r="E137" s="42"/>
    </row>
    <row r="138" spans="2:5" s="9" customFormat="1" ht="20" customHeight="1" x14ac:dyDescent="0.2"/>
    <row r="139" spans="2:5" s="9" customFormat="1" ht="16" customHeight="1" x14ac:dyDescent="0.2">
      <c r="B139" s="600" t="s">
        <v>2188</v>
      </c>
      <c r="C139" s="600"/>
      <c r="D139" s="600"/>
      <c r="E139" s="600"/>
    </row>
    <row r="140" spans="2:5" s="9" customFormat="1" ht="34" customHeight="1" x14ac:dyDescent="0.2">
      <c r="B140" s="62" t="s">
        <v>250</v>
      </c>
      <c r="C140" s="62" t="s">
        <v>251</v>
      </c>
      <c r="D140" s="160" t="s">
        <v>20</v>
      </c>
      <c r="E140" s="62" t="s">
        <v>21</v>
      </c>
    </row>
    <row r="141" spans="2:5" s="9" customFormat="1" ht="20" customHeight="1" x14ac:dyDescent="0.2">
      <c r="B141" s="4" t="s">
        <v>2176</v>
      </c>
      <c r="C141" s="65"/>
      <c r="D141" s="8" t="str">
        <f>_xlfn.SINGLE(IF(mgmt_domain_chosen="First Domain",mgmt_nsxt_gm_vip_fqdn,mgmt_existing_active_nsx_gm))</f>
        <v>Value Missing</v>
      </c>
      <c r="E141" s="42"/>
    </row>
    <row r="142" spans="2:5" s="9" customFormat="1" ht="20" customHeight="1" x14ac:dyDescent="0.2">
      <c r="B142" s="4" t="s">
        <v>2177</v>
      </c>
      <c r="C142" s="65" t="str">
        <f>sample_mgmt_srm_recovery_nsx_location</f>
        <v>lax-m01</v>
      </c>
      <c r="D142" s="8" t="str">
        <f>mgmt_srm_recovery_nsx_location</f>
        <v>Value Missing</v>
      </c>
      <c r="E142" s="42"/>
    </row>
    <row r="143" spans="2:5" s="9" customFormat="1" ht="20" customHeight="1" x14ac:dyDescent="0.2">
      <c r="B143" s="28" t="s">
        <v>250</v>
      </c>
      <c r="C143" s="65" t="s">
        <v>2189</v>
      </c>
      <c r="D143" s="8" t="str">
        <f>C143</f>
        <v>vrops-server-pool</v>
      </c>
      <c r="E143" s="42"/>
    </row>
    <row r="144" spans="2:5" s="9" customFormat="1" ht="20" customHeight="1" x14ac:dyDescent="0.2">
      <c r="B144" s="28" t="s">
        <v>2190</v>
      </c>
      <c r="C144" s="65" t="s">
        <v>2191</v>
      </c>
      <c r="D144" s="8" t="str">
        <f>C144</f>
        <v>vrops01svr01a</v>
      </c>
      <c r="E144" s="42"/>
    </row>
    <row r="145" spans="2:5" s="9" customFormat="1" ht="20" customHeight="1" x14ac:dyDescent="0.2">
      <c r="B145" s="28" t="s">
        <v>2192</v>
      </c>
      <c r="C145" s="65" t="str">
        <f>sample_xreg_vrops_nodea_ip</f>
        <v>10.11.99.52</v>
      </c>
      <c r="D145" s="8" t="str">
        <f>xreg_vrops_nodea_ip</f>
        <v>Value Missing</v>
      </c>
      <c r="E145" s="42"/>
    </row>
    <row r="146" spans="2:5" s="9" customFormat="1" ht="20" customHeight="1" x14ac:dyDescent="0.2">
      <c r="B146" s="28" t="s">
        <v>2193</v>
      </c>
      <c r="C146" s="65" t="s">
        <v>2194</v>
      </c>
      <c r="D146" s="8" t="str">
        <f>C146</f>
        <v>vrops01svr01b</v>
      </c>
      <c r="E146" s="42"/>
    </row>
    <row r="147" spans="2:5" s="9" customFormat="1" ht="16" customHeight="1" x14ac:dyDescent="0.2">
      <c r="B147" s="28" t="s">
        <v>2195</v>
      </c>
      <c r="C147" s="65" t="str">
        <f>sample_xreg_vrops_nodeb_ip</f>
        <v>10.11.99.53</v>
      </c>
      <c r="D147" s="8" t="str">
        <f>xreg_vrops_nodeb_ip</f>
        <v>Value Missing</v>
      </c>
      <c r="E147" s="42"/>
    </row>
    <row r="148" spans="2:5" s="9" customFormat="1" ht="34" customHeight="1" x14ac:dyDescent="0.2">
      <c r="B148" s="4" t="s">
        <v>2196</v>
      </c>
      <c r="C148" s="65" t="s">
        <v>2197</v>
      </c>
      <c r="D148" s="8" t="str">
        <f>C148</f>
        <v>vrops01svr01c</v>
      </c>
      <c r="E148" s="42"/>
    </row>
    <row r="149" spans="2:5" s="9" customFormat="1" ht="20" customHeight="1" x14ac:dyDescent="0.2">
      <c r="B149" s="4" t="s">
        <v>2198</v>
      </c>
      <c r="C149" s="65" t="str">
        <f>sample_xreg_vrops_nodec_ip</f>
        <v>10.11.99.54</v>
      </c>
      <c r="D149" s="8" t="str">
        <f>xreg_vrops_nodec_ip</f>
        <v>Value Missing</v>
      </c>
      <c r="E149" s="42"/>
    </row>
    <row r="150" spans="2:5" s="9" customFormat="1" ht="20" customHeight="1" x14ac:dyDescent="0.2">
      <c r="B150" s="28" t="s">
        <v>2199</v>
      </c>
      <c r="C150" s="65" t="s">
        <v>2187</v>
      </c>
      <c r="D150" s="8" t="str">
        <f>C150</f>
        <v>vrops-https-monitor</v>
      </c>
      <c r="E150" s="42"/>
    </row>
    <row r="151" spans="2:5" s="9" customFormat="1" ht="20" customHeight="1" x14ac:dyDescent="0.2"/>
    <row r="152" spans="2:5" s="9" customFormat="1" ht="20" customHeight="1" x14ac:dyDescent="0.2">
      <c r="B152" s="600" t="s">
        <v>2200</v>
      </c>
      <c r="C152" s="600"/>
      <c r="D152" s="600"/>
      <c r="E152" s="600"/>
    </row>
    <row r="153" spans="2:5" s="9" customFormat="1" ht="20" customHeight="1" x14ac:dyDescent="0.2">
      <c r="B153" s="62" t="s">
        <v>250</v>
      </c>
      <c r="C153" s="62" t="s">
        <v>251</v>
      </c>
      <c r="D153" s="160" t="s">
        <v>20</v>
      </c>
      <c r="E153" s="62" t="s">
        <v>21</v>
      </c>
    </row>
    <row r="154" spans="2:5" s="9" customFormat="1" ht="20" customHeight="1" x14ac:dyDescent="0.2">
      <c r="B154" s="4" t="s">
        <v>2176</v>
      </c>
      <c r="C154" s="65"/>
      <c r="D154" s="8" t="str">
        <f>_xlfn.SINGLE(IF(mgmt_domain_chosen="First Domain",mgmt_nsxt_gm_vip_fqdn,mgmt_existing_active_nsx_gm))</f>
        <v>Value Missing</v>
      </c>
      <c r="E154" s="42"/>
    </row>
    <row r="155" spans="2:5" s="9" customFormat="1" ht="20" customHeight="1" x14ac:dyDescent="0.2">
      <c r="B155" s="4" t="s">
        <v>2177</v>
      </c>
      <c r="C155" s="65" t="str">
        <f>sample_mgmt_srm_recovery_nsx_location</f>
        <v>lax-m01</v>
      </c>
      <c r="D155" s="8" t="str">
        <f>mgmt_srm_recovery_nsx_location</f>
        <v>Value Missing</v>
      </c>
      <c r="E155" s="42"/>
    </row>
    <row r="156" spans="2:5" s="9" customFormat="1" ht="20" customHeight="1" x14ac:dyDescent="0.2">
      <c r="B156" s="28" t="s">
        <v>2201</v>
      </c>
      <c r="C156" s="65" t="s">
        <v>2202</v>
      </c>
      <c r="D156" s="8" t="str">
        <f>C156</f>
        <v>vrops-tcp-app-profile</v>
      </c>
      <c r="E156" s="42"/>
    </row>
    <row r="157" spans="2:5" s="9" customFormat="1" ht="20" customHeight="1" x14ac:dyDescent="0.2">
      <c r="B157" s="28" t="s">
        <v>2203</v>
      </c>
      <c r="C157" s="65" t="s">
        <v>2204</v>
      </c>
      <c r="D157" s="8" t="str">
        <f>C157</f>
        <v>vrops-http-app-profile-redirect</v>
      </c>
      <c r="E157" s="42"/>
    </row>
    <row r="158" spans="2:5" s="9" customFormat="1" ht="20" customHeight="1" x14ac:dyDescent="0.2">
      <c r="B158" s="28" t="s">
        <v>2205</v>
      </c>
      <c r="C158" s="65" t="s">
        <v>2206</v>
      </c>
      <c r="D158" s="8" t="str">
        <f>C158</f>
        <v>vrops-source-ip-persistence-profile</v>
      </c>
      <c r="E158" s="42"/>
    </row>
    <row r="159" spans="2:5" s="9" customFormat="1" ht="20" customHeight="1" x14ac:dyDescent="0.2"/>
    <row r="160" spans="2:5" s="9" customFormat="1" ht="20" customHeight="1" x14ac:dyDescent="0.2">
      <c r="B160" s="600" t="s">
        <v>2207</v>
      </c>
      <c r="C160" s="600"/>
      <c r="D160" s="600"/>
      <c r="E160" s="600"/>
    </row>
    <row r="161" spans="2:5" s="9" customFormat="1" ht="20" customHeight="1" x14ac:dyDescent="0.2">
      <c r="B161" s="62" t="s">
        <v>250</v>
      </c>
      <c r="C161" s="62" t="s">
        <v>251</v>
      </c>
      <c r="D161" s="160" t="s">
        <v>20</v>
      </c>
      <c r="E161" s="62" t="s">
        <v>21</v>
      </c>
    </row>
    <row r="162" spans="2:5" s="9" customFormat="1" ht="16" customHeight="1" x14ac:dyDescent="0.2">
      <c r="B162" s="4" t="s">
        <v>2176</v>
      </c>
      <c r="C162" s="65"/>
      <c r="D162" s="8" t="str">
        <f>_xlfn.SINGLE(IF(mgmt_domain_chosen="First Domain",mgmt_nsxt_gm_vip_fqdn,mgmt_existing_active_nsx_gm))</f>
        <v>Value Missing</v>
      </c>
      <c r="E162" s="42"/>
    </row>
    <row r="163" spans="2:5" s="9" customFormat="1" ht="34" customHeight="1" x14ac:dyDescent="0.2">
      <c r="B163" s="4" t="s">
        <v>2177</v>
      </c>
      <c r="C163" s="65" t="str">
        <f>sample_mgmt_srm_recovery_nsx_location</f>
        <v>lax-m01</v>
      </c>
      <c r="D163" s="8" t="str">
        <f>mgmt_srm_recovery_nsx_location</f>
        <v>Value Missing</v>
      </c>
      <c r="E163" s="42"/>
    </row>
    <row r="164" spans="2:5" s="9" customFormat="1" ht="20" customHeight="1" x14ac:dyDescent="0.2">
      <c r="B164" s="4" t="s">
        <v>2208</v>
      </c>
      <c r="C164" s="65" t="s">
        <v>2209</v>
      </c>
      <c r="D164" s="8" t="str">
        <f>C164</f>
        <v>vrops-https</v>
      </c>
      <c r="E164" s="42"/>
    </row>
    <row r="165" spans="2:5" s="9" customFormat="1" ht="20" customHeight="1" x14ac:dyDescent="0.2">
      <c r="B165" s="4" t="s">
        <v>2210</v>
      </c>
      <c r="C165" s="65" t="str">
        <f>sample_xreg_vrops_virtual_ip</f>
        <v>10.11.99.21</v>
      </c>
      <c r="D165" s="8" t="str">
        <f>xreg_vrops_virtual_ip</f>
        <v>Value Missing</v>
      </c>
      <c r="E165" s="42"/>
    </row>
    <row r="166" spans="2:5" s="9" customFormat="1" ht="20" customHeight="1" x14ac:dyDescent="0.2">
      <c r="B166" s="4" t="s">
        <v>2211</v>
      </c>
      <c r="C166" s="65" t="s">
        <v>2184</v>
      </c>
      <c r="D166" s="8" t="str">
        <f>C166</f>
        <v>recovery-lb01</v>
      </c>
      <c r="E166" s="42"/>
    </row>
    <row r="167" spans="2:5" s="9" customFormat="1" ht="20" customHeight="1" x14ac:dyDescent="0.2">
      <c r="B167" s="28" t="s">
        <v>2212</v>
      </c>
      <c r="C167" s="65" t="s">
        <v>2189</v>
      </c>
      <c r="D167" s="8" t="str">
        <f>C167</f>
        <v>vrops-server-pool</v>
      </c>
      <c r="E167" s="42"/>
    </row>
    <row r="168" spans="2:5" s="9" customFormat="1" ht="16" customHeight="1" x14ac:dyDescent="0.2">
      <c r="B168" s="28" t="s">
        <v>2213</v>
      </c>
      <c r="C168" s="65" t="s">
        <v>2206</v>
      </c>
      <c r="D168" s="8" t="str">
        <f>C168</f>
        <v>vrops-source-ip-persistence-profile</v>
      </c>
      <c r="E168" s="42"/>
    </row>
    <row r="169" spans="2:5" s="9" customFormat="1" ht="34" customHeight="1" x14ac:dyDescent="0.2">
      <c r="B169" s="28" t="s">
        <v>2214</v>
      </c>
      <c r="C169" s="65" t="s">
        <v>2202</v>
      </c>
      <c r="D169" s="8" t="str">
        <f>C169</f>
        <v>vrops-tcp-app-profile</v>
      </c>
      <c r="E169" s="42"/>
    </row>
    <row r="170" spans="2:5" s="9" customFormat="1" ht="20" customHeight="1" x14ac:dyDescent="0.2">
      <c r="B170" s="28" t="s">
        <v>2215</v>
      </c>
      <c r="C170" s="65" t="s">
        <v>2216</v>
      </c>
      <c r="D170" s="8" t="str">
        <f>C170</f>
        <v>vrops-http-redirect</v>
      </c>
      <c r="E170" s="42"/>
    </row>
    <row r="171" spans="2:5" s="9" customFormat="1" ht="20" customHeight="1" x14ac:dyDescent="0.2">
      <c r="B171" s="28" t="s">
        <v>2217</v>
      </c>
      <c r="C171" s="65" t="str">
        <f>sample_xreg_vrops_virtual_ip</f>
        <v>10.11.99.21</v>
      </c>
      <c r="D171" s="8" t="str">
        <f>xreg_vrops_virtual_ip</f>
        <v>Value Missing</v>
      </c>
      <c r="E171" s="42"/>
    </row>
    <row r="172" spans="2:5" s="9" customFormat="1" ht="20" customHeight="1" x14ac:dyDescent="0.2">
      <c r="B172" s="4" t="s">
        <v>2218</v>
      </c>
      <c r="C172" s="65" t="s">
        <v>2184</v>
      </c>
      <c r="D172" s="8" t="str">
        <f>C172</f>
        <v>recovery-lb01</v>
      </c>
      <c r="E172" s="42"/>
    </row>
    <row r="173" spans="2:5" s="9" customFormat="1" ht="20" customHeight="1" x14ac:dyDescent="0.2">
      <c r="B173" s="4" t="s">
        <v>2219</v>
      </c>
      <c r="C173" s="65" t="s">
        <v>2220</v>
      </c>
      <c r="D173" s="8" t="str">
        <f>C173</f>
        <v>wsa-http-app-profile-redirect</v>
      </c>
      <c r="E173" s="42"/>
    </row>
    <row r="174" spans="2:5" s="9" customFormat="1" ht="20" customHeight="1" x14ac:dyDescent="0.2"/>
    <row r="175" spans="2:5" s="9" customFormat="1" ht="20" customHeight="1" x14ac:dyDescent="0.2">
      <c r="B175" s="600" t="s">
        <v>2221</v>
      </c>
      <c r="C175" s="600"/>
      <c r="D175" s="600"/>
      <c r="E175" s="600"/>
    </row>
    <row r="176" spans="2:5" s="9" customFormat="1" ht="20" customHeight="1" x14ac:dyDescent="0.2">
      <c r="B176" s="62" t="s">
        <v>250</v>
      </c>
      <c r="C176" s="62" t="s">
        <v>251</v>
      </c>
      <c r="D176" s="160" t="s">
        <v>20</v>
      </c>
      <c r="E176" s="62" t="s">
        <v>21</v>
      </c>
    </row>
    <row r="177" spans="2:5" s="9" customFormat="1" ht="20" customHeight="1" x14ac:dyDescent="0.2">
      <c r="B177" s="4" t="s">
        <v>2176</v>
      </c>
      <c r="C177" s="65"/>
      <c r="D177" s="8" t="str">
        <f>_xlfn.SINGLE(IF(mgmt_domain_chosen="First Domain",mgmt_nsxt_gm_vip_fqdn,mgmt_existing_active_nsx_gm))</f>
        <v>Value Missing</v>
      </c>
      <c r="E177" s="42"/>
    </row>
    <row r="178" spans="2:5" s="9" customFormat="1" ht="20" customHeight="1" x14ac:dyDescent="0.2">
      <c r="B178" s="4" t="s">
        <v>2177</v>
      </c>
      <c r="C178" s="65" t="str">
        <f>sample_mgmt_srm_recovery_nsx_location</f>
        <v>lax-m01</v>
      </c>
      <c r="D178" s="8" t="str">
        <f>mgmt_srm_recovery_nsx_location</f>
        <v>Value Missing</v>
      </c>
      <c r="E178" s="42"/>
    </row>
    <row r="179" spans="2:5" s="9" customFormat="1" ht="20" customHeight="1" x14ac:dyDescent="0.2">
      <c r="B179" s="28" t="s">
        <v>250</v>
      </c>
      <c r="C179" s="65" t="s">
        <v>2222</v>
      </c>
      <c r="D179" s="8" t="str">
        <f>C179</f>
        <v>vra-http-monitor</v>
      </c>
      <c r="E179" s="42"/>
    </row>
    <row r="180" spans="2:5" s="9" customFormat="1" ht="20" customHeight="1" x14ac:dyDescent="0.2"/>
    <row r="181" spans="2:5" s="9" customFormat="1" ht="16" customHeight="1" x14ac:dyDescent="0.2">
      <c r="B181" s="600" t="s">
        <v>2223</v>
      </c>
      <c r="C181" s="600"/>
      <c r="D181" s="600"/>
      <c r="E181" s="600"/>
    </row>
    <row r="182" spans="2:5" s="9" customFormat="1" ht="34" customHeight="1" x14ac:dyDescent="0.2">
      <c r="B182" s="62" t="s">
        <v>250</v>
      </c>
      <c r="C182" s="62" t="s">
        <v>251</v>
      </c>
      <c r="D182" s="160" t="s">
        <v>20</v>
      </c>
      <c r="E182" s="62" t="s">
        <v>21</v>
      </c>
    </row>
    <row r="183" spans="2:5" s="9" customFormat="1" ht="20" customHeight="1" x14ac:dyDescent="0.2">
      <c r="B183" s="4" t="s">
        <v>2176</v>
      </c>
      <c r="C183" s="65"/>
      <c r="D183" s="8" t="str">
        <f>_xlfn.SINGLE(IF(mgmt_domain_chosen="First Domain",mgmt_nsxt_gm_vip_fqdn,mgmt_existing_active_nsx_gm))</f>
        <v>Value Missing</v>
      </c>
      <c r="E183" s="42"/>
    </row>
    <row r="184" spans="2:5" s="9" customFormat="1" ht="20" customHeight="1" x14ac:dyDescent="0.2">
      <c r="B184" s="4" t="s">
        <v>2177</v>
      </c>
      <c r="C184" s="65" t="str">
        <f>sample_mgmt_srm_recovery_nsx_location</f>
        <v>lax-m01</v>
      </c>
      <c r="D184" s="8" t="str">
        <f>mgmt_srm_recovery_nsx_location</f>
        <v>Value Missing</v>
      </c>
      <c r="E184" s="42"/>
    </row>
    <row r="185" spans="2:5" s="9" customFormat="1" ht="20" customHeight="1" x14ac:dyDescent="0.2">
      <c r="B185" s="28" t="s">
        <v>250</v>
      </c>
      <c r="C185" s="65" t="s">
        <v>2224</v>
      </c>
      <c r="D185" s="8" t="str">
        <f>C185</f>
        <v>vra-server-pool</v>
      </c>
      <c r="E185" s="42"/>
    </row>
    <row r="186" spans="2:5" s="9" customFormat="1" ht="20" customHeight="1" x14ac:dyDescent="0.2">
      <c r="B186" s="28" t="s">
        <v>2225</v>
      </c>
      <c r="C186" s="65" t="s">
        <v>2226</v>
      </c>
      <c r="D186" s="8" t="str">
        <f>C186</f>
        <v>vra01svr01a</v>
      </c>
      <c r="E186" s="42"/>
    </row>
    <row r="187" spans="2:5" s="9" customFormat="1" ht="20" customHeight="1" x14ac:dyDescent="0.2">
      <c r="B187" s="28" t="s">
        <v>2192</v>
      </c>
      <c r="C187" s="65"/>
      <c r="D187" s="8" t="str">
        <f>xreg_vra_nodea_ip</f>
        <v>Value Missing</v>
      </c>
      <c r="E187" s="42"/>
    </row>
    <row r="188" spans="2:5" s="9" customFormat="1" ht="16" customHeight="1" x14ac:dyDescent="0.2">
      <c r="B188" s="28" t="s">
        <v>2227</v>
      </c>
      <c r="C188" s="65" t="s">
        <v>2228</v>
      </c>
      <c r="D188" s="8" t="str">
        <f>C188</f>
        <v>vra01svr01b</v>
      </c>
      <c r="E188" s="42"/>
    </row>
    <row r="189" spans="2:5" s="9" customFormat="1" ht="34" customHeight="1" x14ac:dyDescent="0.2">
      <c r="B189" s="28" t="s">
        <v>2195</v>
      </c>
      <c r="C189" s="65"/>
      <c r="D189" s="8" t="str">
        <f>xreg_vra_nodeb_ip</f>
        <v>Value Missing</v>
      </c>
      <c r="E189" s="42"/>
    </row>
    <row r="190" spans="2:5" s="9" customFormat="1" ht="20" customHeight="1" x14ac:dyDescent="0.2">
      <c r="B190" s="4" t="s">
        <v>2229</v>
      </c>
      <c r="C190" s="65" t="s">
        <v>2230</v>
      </c>
      <c r="D190" s="8" t="str">
        <f>C190</f>
        <v>vra01svr01c</v>
      </c>
      <c r="E190" s="42"/>
    </row>
    <row r="191" spans="2:5" s="9" customFormat="1" ht="20" customHeight="1" x14ac:dyDescent="0.2">
      <c r="B191" s="4" t="s">
        <v>2198</v>
      </c>
      <c r="C191" s="65"/>
      <c r="D191" s="8" t="str">
        <f>xreg_vra_nodec_ip</f>
        <v>Value Missing</v>
      </c>
      <c r="E191" s="42"/>
    </row>
    <row r="192" spans="2:5" s="9" customFormat="1" ht="20" customHeight="1" x14ac:dyDescent="0.2">
      <c r="B192" s="28" t="s">
        <v>2199</v>
      </c>
      <c r="C192" s="65" t="s">
        <v>2222</v>
      </c>
      <c r="D192" s="8" t="str">
        <f>C192</f>
        <v>vra-http-monitor</v>
      </c>
      <c r="E192" s="42"/>
    </row>
    <row r="193" spans="2:5" s="9" customFormat="1" ht="20" customHeight="1" x14ac:dyDescent="0.2"/>
    <row r="194" spans="2:5" s="9" customFormat="1" ht="20" customHeight="1" x14ac:dyDescent="0.2">
      <c r="B194" s="600" t="s">
        <v>2231</v>
      </c>
      <c r="C194" s="600"/>
      <c r="D194" s="600"/>
      <c r="E194" s="600"/>
    </row>
    <row r="195" spans="2:5" s="9" customFormat="1" ht="20" customHeight="1" x14ac:dyDescent="0.2">
      <c r="B195" s="62" t="s">
        <v>250</v>
      </c>
      <c r="C195" s="62" t="s">
        <v>251</v>
      </c>
      <c r="D195" s="160" t="s">
        <v>20</v>
      </c>
      <c r="E195" s="62" t="s">
        <v>21</v>
      </c>
    </row>
    <row r="196" spans="2:5" s="9" customFormat="1" ht="20" customHeight="1" x14ac:dyDescent="0.2">
      <c r="B196" s="4" t="s">
        <v>2176</v>
      </c>
      <c r="C196" s="65"/>
      <c r="D196" s="8" t="str">
        <f>_xlfn.SINGLE(IF(mgmt_domain_chosen="First Domain",mgmt_nsxt_gm_vip_fqdn,mgmt_existing_active_nsx_gm))</f>
        <v>Value Missing</v>
      </c>
      <c r="E196" s="42"/>
    </row>
    <row r="197" spans="2:5" s="9" customFormat="1" ht="20" customHeight="1" x14ac:dyDescent="0.2">
      <c r="B197" s="4" t="s">
        <v>2177</v>
      </c>
      <c r="C197" s="65" t="str">
        <f>sample_mgmt_srm_recovery_nsx_location</f>
        <v>lax-m01</v>
      </c>
      <c r="D197" s="8" t="str">
        <f>mgmt_srm_recovery_nsx_location</f>
        <v>Value Missing</v>
      </c>
      <c r="E197" s="42"/>
    </row>
    <row r="198" spans="2:5" s="9" customFormat="1" ht="20" customHeight="1" x14ac:dyDescent="0.2">
      <c r="B198" s="28" t="s">
        <v>2201</v>
      </c>
      <c r="C198" s="65" t="s">
        <v>2232</v>
      </c>
      <c r="D198" s="8" t="str">
        <f>C198</f>
        <v>vra-tcp-app-profile</v>
      </c>
      <c r="E198" s="42"/>
    </row>
    <row r="199" spans="2:5" s="9" customFormat="1" ht="20" customHeight="1" x14ac:dyDescent="0.2">
      <c r="B199" s="28" t="s">
        <v>2203</v>
      </c>
      <c r="C199" s="65" t="s">
        <v>2233</v>
      </c>
      <c r="D199" s="8" t="str">
        <f>C199</f>
        <v>vra-http-app-profile-redirect</v>
      </c>
      <c r="E199" s="42"/>
    </row>
    <row r="200" spans="2:5" s="9" customFormat="1" ht="20" customHeight="1" x14ac:dyDescent="0.2"/>
    <row r="201" spans="2:5" s="9" customFormat="1" ht="20" customHeight="1" x14ac:dyDescent="0.2">
      <c r="B201" s="600" t="s">
        <v>2234</v>
      </c>
      <c r="C201" s="600"/>
      <c r="D201" s="600"/>
      <c r="E201" s="600"/>
    </row>
    <row r="202" spans="2:5" s="9" customFormat="1" ht="16" customHeight="1" x14ac:dyDescent="0.2">
      <c r="B202" s="62" t="s">
        <v>250</v>
      </c>
      <c r="C202" s="62" t="s">
        <v>251</v>
      </c>
      <c r="D202" s="160" t="s">
        <v>20</v>
      </c>
      <c r="E202" s="62" t="s">
        <v>21</v>
      </c>
    </row>
    <row r="203" spans="2:5" s="9" customFormat="1" ht="34" customHeight="1" x14ac:dyDescent="0.2">
      <c r="B203" s="4" t="s">
        <v>2176</v>
      </c>
      <c r="C203" s="65"/>
      <c r="D203" s="8" t="str">
        <f>_xlfn.SINGLE(IF(mgmt_domain_chosen="First Domain",mgmt_nsxt_gm_vip_fqdn,mgmt_existing_active_nsx_gm))</f>
        <v>Value Missing</v>
      </c>
      <c r="E203" s="42"/>
    </row>
    <row r="204" spans="2:5" s="9" customFormat="1" ht="20" customHeight="1" x14ac:dyDescent="0.2">
      <c r="B204" s="4" t="s">
        <v>2177</v>
      </c>
      <c r="C204" s="65" t="str">
        <f>sample_mgmt_srm_recovery_nsx_location</f>
        <v>lax-m01</v>
      </c>
      <c r="D204" s="8" t="str">
        <f>mgmt_srm_recovery_nsx_location</f>
        <v>Value Missing</v>
      </c>
      <c r="E204" s="42"/>
    </row>
    <row r="205" spans="2:5" s="9" customFormat="1" ht="20" customHeight="1" x14ac:dyDescent="0.2">
      <c r="B205" s="28" t="s">
        <v>2208</v>
      </c>
      <c r="C205" s="65" t="s">
        <v>2235</v>
      </c>
      <c r="D205" s="8" t="str">
        <f>C205</f>
        <v>vra-https</v>
      </c>
      <c r="E205" s="42"/>
    </row>
    <row r="206" spans="2:5" s="9" customFormat="1" ht="20" customHeight="1" x14ac:dyDescent="0.2">
      <c r="B206" s="28" t="s">
        <v>2236</v>
      </c>
      <c r="C206" s="65" t="str">
        <f>sample_xreg_vra_virtual_ip</f>
        <v>10.11.99.25</v>
      </c>
      <c r="D206" s="8" t="str">
        <f>xreg_vra_virtual_ip</f>
        <v>Value Missing</v>
      </c>
      <c r="E206" s="42"/>
    </row>
    <row r="207" spans="2:5" s="9" customFormat="1" ht="20" customHeight="1" x14ac:dyDescent="0.2">
      <c r="B207" s="28" t="s">
        <v>2211</v>
      </c>
      <c r="C207" s="65" t="s">
        <v>2184</v>
      </c>
      <c r="D207" s="8" t="str">
        <f>C207</f>
        <v>recovery-lb01</v>
      </c>
      <c r="E207" s="42"/>
    </row>
    <row r="208" spans="2:5" s="9" customFormat="1" ht="20" customHeight="1" x14ac:dyDescent="0.2">
      <c r="B208" s="28" t="s">
        <v>2237</v>
      </c>
      <c r="C208" s="65" t="s">
        <v>2224</v>
      </c>
      <c r="D208" s="8" t="str">
        <f>C208</f>
        <v>vra-server-pool</v>
      </c>
      <c r="E208" s="42"/>
    </row>
    <row r="209" spans="2:5" s="9" customFormat="1" ht="20" customHeight="1" x14ac:dyDescent="0.2">
      <c r="B209" s="28" t="s">
        <v>2238</v>
      </c>
      <c r="C209" s="65" t="s">
        <v>2232</v>
      </c>
      <c r="D209" s="8" t="str">
        <f>C209</f>
        <v>vra-tcp-app-profile</v>
      </c>
      <c r="E209" s="42"/>
    </row>
    <row r="210" spans="2:5" s="9" customFormat="1" ht="16" customHeight="1" x14ac:dyDescent="0.2">
      <c r="B210" s="4" t="s">
        <v>2239</v>
      </c>
      <c r="C210" s="65" t="s">
        <v>2240</v>
      </c>
      <c r="D210" s="8" t="str">
        <f>C210</f>
        <v>vra-http-redirect</v>
      </c>
      <c r="E210" s="42"/>
    </row>
    <row r="211" spans="2:5" s="9" customFormat="1" ht="34" customHeight="1" x14ac:dyDescent="0.2">
      <c r="B211" s="4" t="s">
        <v>2217</v>
      </c>
      <c r="C211" s="65" t="str">
        <f>sample_xreg_vra_virtual_ip</f>
        <v>10.11.99.25</v>
      </c>
      <c r="D211" s="8" t="str">
        <f>xreg_vra_virtual_ip</f>
        <v>Value Missing</v>
      </c>
      <c r="E211" s="42"/>
    </row>
    <row r="212" spans="2:5" s="9" customFormat="1" ht="20" customHeight="1" x14ac:dyDescent="0.2">
      <c r="B212" s="28" t="s">
        <v>2218</v>
      </c>
      <c r="C212" s="65" t="s">
        <v>2184</v>
      </c>
      <c r="D212" s="8" t="str">
        <f>C212</f>
        <v>recovery-lb01</v>
      </c>
      <c r="E212" s="42"/>
    </row>
    <row r="213" spans="2:5" s="9" customFormat="1" ht="20" customHeight="1" x14ac:dyDescent="0.2">
      <c r="B213" s="28" t="s">
        <v>2241</v>
      </c>
      <c r="C213" s="65" t="s">
        <v>2233</v>
      </c>
      <c r="D213" s="8" t="str">
        <f>C213</f>
        <v>vra-http-app-profile-redirect</v>
      </c>
      <c r="E213" s="42"/>
    </row>
    <row r="214" spans="2:5" s="9" customFormat="1" ht="20" customHeight="1" x14ac:dyDescent="0.2"/>
    <row r="216" spans="2:5" s="9" customFormat="1" ht="14" customHeight="1" x14ac:dyDescent="0.2"/>
    <row r="217" spans="2:5" s="9" customFormat="1" ht="20" customHeight="1" x14ac:dyDescent="0.2">
      <c r="B217" s="599" t="s">
        <v>1357</v>
      </c>
      <c r="C217" s="600"/>
      <c r="D217" s="600"/>
      <c r="E217" s="600"/>
    </row>
    <row r="218" spans="2:5" s="9" customFormat="1" ht="20" customHeight="1" x14ac:dyDescent="0.2"/>
    <row r="219" spans="2:5" s="9" customFormat="1" ht="20" customHeight="1" x14ac:dyDescent="0.2">
      <c r="B219" s="599" t="s">
        <v>2242</v>
      </c>
      <c r="C219" s="600"/>
      <c r="D219" s="600"/>
      <c r="E219" s="600"/>
    </row>
    <row r="220" spans="2:5" s="9" customFormat="1" ht="20" customHeight="1" x14ac:dyDescent="0.2"/>
    <row r="221" spans="2:5" s="9" customFormat="1" ht="20" customHeight="1" x14ac:dyDescent="0.2">
      <c r="B221" s="600" t="s">
        <v>2243</v>
      </c>
      <c r="C221" s="600"/>
      <c r="D221" s="600"/>
      <c r="E221" s="600"/>
    </row>
    <row r="222" spans="2:5" s="9" customFormat="1" ht="20" customHeight="1" x14ac:dyDescent="0.2">
      <c r="B222" s="62" t="s">
        <v>250</v>
      </c>
      <c r="C222" s="62" t="s">
        <v>251</v>
      </c>
      <c r="D222" s="160" t="s">
        <v>20</v>
      </c>
      <c r="E222" s="62" t="s">
        <v>21</v>
      </c>
    </row>
    <row r="223" spans="2:5" s="9" customFormat="1" ht="20" customHeight="1" x14ac:dyDescent="0.2">
      <c r="B223" s="4" t="s">
        <v>355</v>
      </c>
      <c r="C223" s="65" t="str">
        <f>sample_wld_vc_fqdn</f>
        <v>sfo-w01-vc01.sfo.rainpole.io</v>
      </c>
      <c r="D223" s="8" t="str">
        <f>wld_vc_fqdn</f>
        <v>Value Missing</v>
      </c>
      <c r="E223" s="42"/>
    </row>
    <row r="224" spans="2:5" s="9" customFormat="1" ht="16" customHeight="1" x14ac:dyDescent="0.2">
      <c r="B224" s="4" t="s">
        <v>2164</v>
      </c>
      <c r="C224" s="65" t="str">
        <f>sample_wld_vrms_vm_folder</f>
        <v>sfo-w01-fd-vrms</v>
      </c>
      <c r="D224" s="8" t="str">
        <f>wld_vrms_vm_folder</f>
        <v>Value Missing</v>
      </c>
      <c r="E224" s="42"/>
    </row>
    <row r="225" spans="2:5" s="9" customFormat="1" ht="34" customHeight="1" x14ac:dyDescent="0.2"/>
    <row r="226" spans="2:5" s="9" customFormat="1" ht="20" customHeight="1" x14ac:dyDescent="0.2">
      <c r="B226" s="600" t="s">
        <v>2244</v>
      </c>
      <c r="C226" s="600"/>
      <c r="D226" s="600"/>
      <c r="E226" s="600"/>
    </row>
    <row r="227" spans="2:5" s="9" customFormat="1" ht="20" customHeight="1" x14ac:dyDescent="0.2">
      <c r="B227" s="62" t="s">
        <v>250</v>
      </c>
      <c r="C227" s="62" t="s">
        <v>251</v>
      </c>
      <c r="D227" s="160" t="s">
        <v>20</v>
      </c>
      <c r="E227" s="62" t="s">
        <v>21</v>
      </c>
    </row>
    <row r="228" spans="2:5" s="9" customFormat="1" ht="20" customHeight="1" x14ac:dyDescent="0.2">
      <c r="B228" s="4" t="s">
        <v>355</v>
      </c>
      <c r="C228" s="65" t="str">
        <f>sample_wld_vc_fqdn</f>
        <v>sfo-w01-vc01.sfo.rainpole.io</v>
      </c>
      <c r="D228" s="8" t="str">
        <f>wld_vc_fqdn</f>
        <v>Value Missing</v>
      </c>
      <c r="E228" s="42"/>
    </row>
    <row r="229" spans="2:5" s="9" customFormat="1" ht="20" customHeight="1" x14ac:dyDescent="0.2">
      <c r="B229" s="28" t="s">
        <v>634</v>
      </c>
      <c r="C229" s="65" t="str">
        <f>sample_wld_cl01_cluster</f>
        <v>sfo-w01-cl01</v>
      </c>
      <c r="D229" s="8" t="str">
        <f>wld_cl01_cluster</f>
        <v>Value Missing</v>
      </c>
      <c r="E229" s="42"/>
    </row>
    <row r="230" spans="2:5" s="9" customFormat="1" ht="20" customHeight="1" x14ac:dyDescent="0.2">
      <c r="B230" s="28" t="s">
        <v>2245</v>
      </c>
      <c r="C230" s="65" t="str">
        <f>sample_wld_vrms_hostname</f>
        <v>sfo-w01-vrms01</v>
      </c>
      <c r="D230" s="8" t="str">
        <f>wld_vrms_hostname</f>
        <v>Value Missing</v>
      </c>
      <c r="E230" s="42"/>
    </row>
    <row r="231" spans="2:5" s="9" customFormat="1" ht="20" customHeight="1" x14ac:dyDescent="0.2">
      <c r="B231" s="28" t="s">
        <v>2246</v>
      </c>
      <c r="C231" s="65" t="str">
        <f>sample_wld_vrms_vm_folder</f>
        <v>sfo-w01-fd-vrms</v>
      </c>
      <c r="D231" s="8" t="str">
        <f>wld_vrms_vm_folder</f>
        <v>Value Missing</v>
      </c>
      <c r="E231" s="42"/>
    </row>
    <row r="232" spans="2:5" s="9" customFormat="1" ht="20" customHeight="1" x14ac:dyDescent="0.2">
      <c r="B232" s="28" t="s">
        <v>2247</v>
      </c>
      <c r="C232" s="65" t="str">
        <f>sample_wld_cl01_cluster</f>
        <v>sfo-w01-cl01</v>
      </c>
      <c r="D232" s="8" t="str">
        <f>wld_cl01_cluster</f>
        <v>Value Missing</v>
      </c>
      <c r="E232" s="42"/>
    </row>
    <row r="233" spans="2:5" s="9" customFormat="1" ht="17" x14ac:dyDescent="0.2">
      <c r="B233" s="28" t="s">
        <v>102</v>
      </c>
      <c r="C233" s="65" t="str">
        <f>sample_wld_cl01_vsan_datastore</f>
        <v>sfo-w01-sfo-w01-cl01-vsan01</v>
      </c>
      <c r="D233" s="8" t="str">
        <f>wld_cl01_vsan_datastore</f>
        <v>Value Missing</v>
      </c>
      <c r="E233" s="42"/>
    </row>
    <row r="234" spans="2:5" s="9" customFormat="1" ht="34" customHeight="1" x14ac:dyDescent="0.2">
      <c r="B234" s="4" t="s">
        <v>2248</v>
      </c>
      <c r="C234" s="65" t="str">
        <f>sample_wld_cl01_az1_mgmt_pg</f>
        <v>sfo-w01-cl01-vds01-pg-esx-mgmt</v>
      </c>
      <c r="D234" s="8" t="str">
        <f>wld_cl01_az1_mgmt_pg</f>
        <v>Value Missing</v>
      </c>
      <c r="E234" s="42"/>
    </row>
    <row r="235" spans="2:5" s="9" customFormat="1" ht="16" customHeight="1" x14ac:dyDescent="0.2">
      <c r="B235" s="4" t="s">
        <v>2249</v>
      </c>
      <c r="C235" s="65" t="str">
        <f>sample_wld_vrms_root_password</f>
        <v>VMw@re1!</v>
      </c>
      <c r="D235" s="8" t="str">
        <f>wld_vrms_root_password</f>
        <v>Value Missing</v>
      </c>
      <c r="E235" s="42"/>
    </row>
    <row r="236" spans="2:5" s="9" customFormat="1" ht="34" customHeight="1" x14ac:dyDescent="0.2">
      <c r="B236" s="28" t="s">
        <v>2250</v>
      </c>
      <c r="C236" s="65" t="str">
        <f>sample_wld_vrms_admin_password</f>
        <v>VMw@re1!</v>
      </c>
      <c r="D236" s="8" t="str">
        <f>wld_vrms_admin_password</f>
        <v>Value Missing</v>
      </c>
      <c r="E236" s="42"/>
    </row>
    <row r="237" spans="2:5" s="9" customFormat="1" ht="16" customHeight="1" x14ac:dyDescent="0.2">
      <c r="B237" s="28" t="s">
        <v>288</v>
      </c>
      <c r="C237" s="65" t="str">
        <f>sample_region_ntp1_server</f>
        <v>ntp0.sfo.rainpole.io</v>
      </c>
      <c r="D237" s="8" t="str">
        <f>region_ntp1_server</f>
        <v>Value Missing</v>
      </c>
      <c r="E237" s="42"/>
    </row>
    <row r="238" spans="2:5" s="9" customFormat="1" ht="34" customHeight="1" x14ac:dyDescent="0.2">
      <c r="B238" s="4" t="s">
        <v>291</v>
      </c>
      <c r="C238" s="65" t="str">
        <f>CONCATENATE(sample_wld_vrms_hostname,".",sample_child_dns_zone)</f>
        <v>sfo-w01-vrms01.sfo.rainpole.io</v>
      </c>
      <c r="D238" s="8" t="str">
        <f>wld_vrms_fqdn</f>
        <v>§.Value Missing</v>
      </c>
      <c r="E238" s="42"/>
    </row>
    <row r="239" spans="2:5" s="9" customFormat="1" ht="20" customHeight="1" x14ac:dyDescent="0.2">
      <c r="B239" s="4" t="s">
        <v>243</v>
      </c>
      <c r="C239" s="65"/>
      <c r="D239" s="8" t="str">
        <f>wld_az1_mgmt_vm_gateway_ip</f>
        <v>Value Missing</v>
      </c>
      <c r="E239" s="42"/>
    </row>
    <row r="240" spans="2:5" s="9" customFormat="1" ht="20" customHeight="1" x14ac:dyDescent="0.2">
      <c r="B240" s="28" t="s">
        <v>553</v>
      </c>
      <c r="C240" s="65" t="str">
        <f>sample_child_dns_zone</f>
        <v>sfo.rainpole.io</v>
      </c>
      <c r="D240" s="8" t="str">
        <f>child_dns_zone</f>
        <v>Value Missing</v>
      </c>
      <c r="E240" s="42"/>
    </row>
    <row r="241" spans="2:5" s="9" customFormat="1" ht="20" customHeight="1" x14ac:dyDescent="0.2">
      <c r="B241" s="28" t="s">
        <v>2251</v>
      </c>
      <c r="C241" s="65" t="str">
        <f>sample_child_dns_zone</f>
        <v>sfo.rainpole.io</v>
      </c>
      <c r="D241" s="8" t="str">
        <f>child_dns_zone</f>
        <v>Value Missing</v>
      </c>
      <c r="E241" s="42"/>
    </row>
    <row r="242" spans="2:5" s="9" customFormat="1" ht="16" customHeight="1" x14ac:dyDescent="0.2">
      <c r="B242" s="28" t="s">
        <v>2252</v>
      </c>
      <c r="C242" s="65" t="str">
        <f>CONCATENATE(sample_region_dns1_ip,",",sample_region_dns2_ip)</f>
        <v>10.11.10.4,10.11.10.5</v>
      </c>
      <c r="D242" s="8" t="str">
        <f>CONCATENATE(region_dns1_ip,",",region_dns2_ip)</f>
        <v>Value Missing,Value Missing</v>
      </c>
      <c r="E242" s="42"/>
    </row>
    <row r="243" spans="2:5" s="9" customFormat="1" ht="34" customHeight="1" x14ac:dyDescent="0.2">
      <c r="B243" s="28" t="s">
        <v>2253</v>
      </c>
      <c r="C243" s="65" t="str">
        <f>sample_wld_vrms_mgmt_ip</f>
        <v>10.13.10.125</v>
      </c>
      <c r="D243" s="8" t="str">
        <f>wld_vrms_mgmt_ip</f>
        <v>Value Missing</v>
      </c>
      <c r="E243" s="42"/>
    </row>
    <row r="244" spans="2:5" s="9" customFormat="1" ht="20" customHeight="1" x14ac:dyDescent="0.2">
      <c r="B244" s="28" t="s">
        <v>2254</v>
      </c>
      <c r="C244" s="65"/>
      <c r="D244" s="8" t="str">
        <f>IF(wld_az1_mgmt_cidr="Value Missing","Value Missing",IF(wld_az1_mgmt_cidr="Not Required","Not Required",INT(RIGHT(wld_az1_mgmt_cidr,LEN(wld_az1_mgmt_cidr)-FIND("/",wld_az1_mgmt_cidr)))))</f>
        <v>Value Missing</v>
      </c>
      <c r="E244" s="42"/>
    </row>
    <row r="245" spans="2:5" s="9" customFormat="1" ht="20" customHeight="1" x14ac:dyDescent="0.2"/>
    <row r="246" spans="2:5" s="9" customFormat="1" ht="20" customHeight="1" x14ac:dyDescent="0.2">
      <c r="B246" s="600" t="s">
        <v>2255</v>
      </c>
      <c r="C246" s="600"/>
      <c r="D246" s="600"/>
      <c r="E246" s="600"/>
    </row>
    <row r="247" spans="2:5" s="9" customFormat="1" ht="20" customHeight="1" x14ac:dyDescent="0.2">
      <c r="B247" s="62" t="s">
        <v>250</v>
      </c>
      <c r="C247" s="62" t="s">
        <v>251</v>
      </c>
      <c r="D247" s="160" t="s">
        <v>20</v>
      </c>
      <c r="E247" s="62" t="s">
        <v>21</v>
      </c>
    </row>
    <row r="248" spans="2:5" s="9" customFormat="1" ht="20" customHeight="1" x14ac:dyDescent="0.2">
      <c r="B248" s="4" t="s">
        <v>2256</v>
      </c>
      <c r="C248" s="65" t="str">
        <f>CONCATENATE(sample_wld_vrms_hostname,".",sample_child_dns_zone)</f>
        <v>sfo-w01-vrms01.sfo.rainpole.io</v>
      </c>
      <c r="D248" s="8" t="str">
        <f>wld_vrms_fqdn</f>
        <v>§.Value Missing</v>
      </c>
      <c r="E248" s="42"/>
    </row>
    <row r="249" spans="2:5" s="9" customFormat="1" ht="20" customHeight="1" x14ac:dyDescent="0.2">
      <c r="B249" s="4" t="s">
        <v>2257</v>
      </c>
      <c r="C249" s="65" t="str">
        <f>sample_wld_vrms_p12_password</f>
        <v>VMw@re1!</v>
      </c>
      <c r="D249" s="8" t="str">
        <f>wld_vrms_p12_password</f>
        <v>Value Missing</v>
      </c>
      <c r="E249" s="42"/>
    </row>
    <row r="250" spans="2:5" s="9" customFormat="1" ht="20" customHeight="1" x14ac:dyDescent="0.2"/>
    <row r="251" spans="2:5" s="9" customFormat="1" ht="20" customHeight="1" x14ac:dyDescent="0.2">
      <c r="B251" s="600" t="s">
        <v>2258</v>
      </c>
      <c r="C251" s="600"/>
      <c r="D251" s="600"/>
      <c r="E251" s="600"/>
    </row>
    <row r="252" spans="2:5" s="9" customFormat="1" ht="20" customHeight="1" x14ac:dyDescent="0.2">
      <c r="B252" s="62" t="s">
        <v>250</v>
      </c>
      <c r="C252" s="62" t="s">
        <v>251</v>
      </c>
      <c r="D252" s="160" t="s">
        <v>20</v>
      </c>
      <c r="E252" s="62" t="s">
        <v>21</v>
      </c>
    </row>
    <row r="253" spans="2:5" s="9" customFormat="1" ht="20" customHeight="1" x14ac:dyDescent="0.2">
      <c r="B253" s="4" t="s">
        <v>2256</v>
      </c>
      <c r="C253" s="65" t="str">
        <f>CONCATENATE(sample_wld_vrms_hostname,".",sample_child_dns_zone)</f>
        <v>sfo-w01-vrms01.sfo.rainpole.io</v>
      </c>
      <c r="D253" s="8" t="str">
        <f>wld_vrms_fqdn</f>
        <v>§.Value Missing</v>
      </c>
      <c r="E253" s="42"/>
    </row>
    <row r="254" spans="2:5" s="9" customFormat="1" ht="20" customHeight="1" x14ac:dyDescent="0.2">
      <c r="B254" s="28" t="s">
        <v>2259</v>
      </c>
      <c r="C254" s="65" t="str">
        <f>sample_wld_vc_fqdn</f>
        <v>sfo-w01-vc01.sfo.rainpole.io</v>
      </c>
      <c r="D254" s="8" t="str">
        <f>wld_vc_fqdn</f>
        <v>Value Missing</v>
      </c>
      <c r="E254" s="42"/>
    </row>
    <row r="255" spans="2:5" s="9" customFormat="1" ht="20" customHeight="1" x14ac:dyDescent="0.2">
      <c r="B255" s="28" t="s">
        <v>79</v>
      </c>
      <c r="C255" s="65" t="s">
        <v>1485</v>
      </c>
      <c r="D255" s="8" t="str">
        <f>C255</f>
        <v>administrator@vsphere.local</v>
      </c>
      <c r="E255" s="42"/>
    </row>
    <row r="256" spans="2:5" s="9" customFormat="1" ht="20" customHeight="1" x14ac:dyDescent="0.2">
      <c r="B256" s="28" t="s">
        <v>30</v>
      </c>
      <c r="C256" s="65" t="str">
        <f>sample_administrator_vsphere_local_password</f>
        <v>VMw@re1!VMw@re1!</v>
      </c>
      <c r="D256" s="8" t="str">
        <f>administrator_vsphere_local_password</f>
        <v>Value Missing</v>
      </c>
      <c r="E256" s="42"/>
    </row>
    <row r="257" spans="2:5" s="9" customFormat="1" ht="20" customHeight="1" x14ac:dyDescent="0.2">
      <c r="B257" s="28" t="s">
        <v>1374</v>
      </c>
      <c r="C257" s="65" t="str">
        <f>sample_wld_vc_fqdn</f>
        <v>sfo-w01-vc01.sfo.rainpole.io</v>
      </c>
      <c r="D257" s="8" t="str">
        <f>wld_vc_fqdn</f>
        <v>Value Missing</v>
      </c>
      <c r="E257" s="42"/>
    </row>
    <row r="258" spans="2:5" s="9" customFormat="1" ht="20" customHeight="1" x14ac:dyDescent="0.2">
      <c r="B258" s="28" t="s">
        <v>2143</v>
      </c>
      <c r="C258" s="65" t="str">
        <f>sample_wld_vrms_site_name</f>
        <v>SFO-W01</v>
      </c>
      <c r="D258" s="8" t="str">
        <f>wld_vrms_site_name</f>
        <v>Value Missing</v>
      </c>
      <c r="E258" s="42"/>
    </row>
    <row r="259" spans="2:5" s="9" customFormat="1" ht="20" customHeight="1" x14ac:dyDescent="0.2">
      <c r="B259" s="4" t="s">
        <v>2260</v>
      </c>
      <c r="C259" s="65" t="str">
        <f>sample_wld_vrms_admin_email</f>
        <v>vrms-administrator@rainpole.io</v>
      </c>
      <c r="D259" s="8" t="str">
        <f>wld_vrms_admin_email</f>
        <v>Value Missing</v>
      </c>
      <c r="E259" s="42"/>
    </row>
    <row r="260" spans="2:5" s="9" customFormat="1" ht="20" customHeight="1" x14ac:dyDescent="0.2">
      <c r="B260" s="4" t="s">
        <v>2261</v>
      </c>
      <c r="C260" s="65" t="str">
        <f>CONCATENATE(sample_wld_vrms_hostname,".",sample_child_dns_zone)</f>
        <v>sfo-w01-vrms01.sfo.rainpole.io</v>
      </c>
      <c r="D260" s="8" t="str">
        <f>wld_vrms_fqdn</f>
        <v>§.Value Missing</v>
      </c>
      <c r="E260" s="42"/>
    </row>
    <row r="261" spans="2:5" s="9" customFormat="1" ht="20" customHeight="1" x14ac:dyDescent="0.2"/>
    <row r="262" spans="2:5" s="9" customFormat="1" ht="16" customHeight="1" x14ac:dyDescent="0.2">
      <c r="B262" s="600" t="s">
        <v>2262</v>
      </c>
      <c r="C262" s="600"/>
      <c r="D262" s="600"/>
      <c r="E262" s="600"/>
    </row>
    <row r="263" spans="2:5" s="9" customFormat="1" ht="34" customHeight="1" x14ac:dyDescent="0.2">
      <c r="B263" s="62" t="s">
        <v>250</v>
      </c>
      <c r="C263" s="62" t="s">
        <v>251</v>
      </c>
      <c r="D263" s="160" t="s">
        <v>20</v>
      </c>
      <c r="E263" s="62" t="s">
        <v>21</v>
      </c>
    </row>
    <row r="264" spans="2:5" s="9" customFormat="1" ht="20" customHeight="1" x14ac:dyDescent="0.2">
      <c r="B264" s="28" t="s">
        <v>355</v>
      </c>
      <c r="C264" s="65" t="str">
        <f>sample_wld_vc_fqdn</f>
        <v>sfo-w01-vc01.sfo.rainpole.io</v>
      </c>
      <c r="D264" s="8" t="str">
        <f>wld_vc_fqdn</f>
        <v>Value Missing</v>
      </c>
      <c r="E264" s="42"/>
    </row>
    <row r="265" spans="2:5" s="9" customFormat="1" ht="20" customHeight="1" x14ac:dyDescent="0.2">
      <c r="B265" s="28" t="s">
        <v>2263</v>
      </c>
      <c r="C265" s="65" t="str">
        <f>sample_mgmt_cl01_vds01_name</f>
        <v>sfo-m01-cl01-vds01</v>
      </c>
      <c r="D265" s="8" t="str">
        <f>mgmt_cl01_vds01_name</f>
        <v>Value Missing</v>
      </c>
      <c r="E265" s="42"/>
    </row>
    <row r="266" spans="2:5" s="9" customFormat="1" ht="20" customHeight="1" x14ac:dyDescent="0.2">
      <c r="B266" s="540" t="s">
        <v>2264</v>
      </c>
      <c r="C266" s="541"/>
      <c r="D266" s="541"/>
      <c r="E266" s="542"/>
    </row>
    <row r="267" spans="2:5" s="9" customFormat="1" ht="16" customHeight="1" x14ac:dyDescent="0.2">
      <c r="B267" s="28" t="s">
        <v>250</v>
      </c>
      <c r="D267" s="8" t="str">
        <f>wld_vrms_pg</f>
        <v>Value Missing</v>
      </c>
      <c r="E267" s="42"/>
    </row>
    <row r="268" spans="2:5" s="9" customFormat="1" ht="34" customHeight="1" x14ac:dyDescent="0.2">
      <c r="B268" s="243" t="s">
        <v>85</v>
      </c>
      <c r="D268" s="66"/>
      <c r="E268" s="244"/>
    </row>
    <row r="269" spans="2:5" s="9" customFormat="1" ht="20" customHeight="1" x14ac:dyDescent="0.2">
      <c r="B269" s="243" t="s">
        <v>180</v>
      </c>
      <c r="C269" s="103" t="str">
        <f>CONCATENATE(prefix_wld_az1_cidr,"9.1")</f>
        <v>10.13.9.1</v>
      </c>
      <c r="D269" s="66"/>
      <c r="E269" s="65" t="s">
        <v>126</v>
      </c>
    </row>
    <row r="270" spans="2:5" s="9" customFormat="1" ht="20" customHeight="1" x14ac:dyDescent="0.2">
      <c r="B270" s="243" t="s">
        <v>181</v>
      </c>
      <c r="C270" s="103" t="str">
        <f>CONCATENATE(prefix_wld_az1_cidr,"9.0/24")</f>
        <v>10.13.9.0/24</v>
      </c>
      <c r="D270" s="66"/>
      <c r="E270" s="244"/>
    </row>
    <row r="271" spans="2:5" s="9" customFormat="1" ht="20" customHeight="1" x14ac:dyDescent="0.2">
      <c r="B271" s="30" t="s">
        <v>155</v>
      </c>
      <c r="C271" s="103">
        <v>9000</v>
      </c>
      <c r="D271" s="66"/>
      <c r="E271" s="244"/>
    </row>
    <row r="272" spans="2:5" s="9" customFormat="1" ht="20" customHeight="1" x14ac:dyDescent="0.2"/>
    <row r="273" spans="2:5" s="9" customFormat="1" ht="20" customHeight="1" x14ac:dyDescent="0.2">
      <c r="B273" s="600" t="s">
        <v>2265</v>
      </c>
      <c r="C273" s="600"/>
      <c r="D273" s="600"/>
      <c r="E273" s="600"/>
    </row>
    <row r="274" spans="2:5" s="9" customFormat="1" ht="20" customHeight="1" x14ac:dyDescent="0.2">
      <c r="B274" s="62" t="s">
        <v>250</v>
      </c>
      <c r="C274" s="62" t="s">
        <v>251</v>
      </c>
      <c r="D274" s="160" t="s">
        <v>20</v>
      </c>
      <c r="E274" s="62" t="s">
        <v>21</v>
      </c>
    </row>
    <row r="275" spans="2:5" s="9" customFormat="1" ht="20" customHeight="1" x14ac:dyDescent="0.2">
      <c r="B275" s="28" t="s">
        <v>355</v>
      </c>
      <c r="C275" s="65" t="str">
        <f>sample_wld_vc_fqdn</f>
        <v>sfo-w01-vc01.sfo.rainpole.io</v>
      </c>
      <c r="D275" s="8" t="str">
        <f>wld_vc_fqdn</f>
        <v>Value Missing</v>
      </c>
      <c r="E275" s="42"/>
    </row>
    <row r="276" spans="2:5" s="9" customFormat="1" ht="20" customHeight="1" x14ac:dyDescent="0.2">
      <c r="B276" s="28" t="s">
        <v>634</v>
      </c>
      <c r="C276" s="65" t="str">
        <f>sample_wld_cl01_cluster</f>
        <v>sfo-w01-cl01</v>
      </c>
      <c r="D276" s="8" t="str">
        <f>wld_cl01_cluster</f>
        <v>Value Missing</v>
      </c>
      <c r="E276" s="42"/>
    </row>
    <row r="277" spans="2:5" s="9" customFormat="1" ht="20" customHeight="1" x14ac:dyDescent="0.2">
      <c r="B277" s="28" t="s">
        <v>2266</v>
      </c>
      <c r="C277" s="65" t="str">
        <f>sample_wld_vrms_hostname</f>
        <v>sfo-w01-vrms01</v>
      </c>
      <c r="D277" s="8" t="str">
        <f>wld_vrms_hostname</f>
        <v>Value Missing</v>
      </c>
      <c r="E277" s="42"/>
    </row>
    <row r="278" spans="2:5" s="9" customFormat="1" ht="16" customHeight="1" x14ac:dyDescent="0.2">
      <c r="B278" s="28" t="s">
        <v>2267</v>
      </c>
      <c r="C278" s="65" t="str">
        <f>sample_wld_vrms_pg</f>
        <v>sfo-w01-cl01-vds01-pg-vrms</v>
      </c>
      <c r="D278" s="8" t="str">
        <f>wld_vrms_pg</f>
        <v>Value Missing</v>
      </c>
      <c r="E278" s="42"/>
    </row>
    <row r="279" spans="2:5" s="9" customFormat="1" ht="34" customHeight="1" x14ac:dyDescent="0.2">
      <c r="B279" s="28" t="s">
        <v>2268</v>
      </c>
      <c r="C279" s="65" t="str">
        <f>CONCATENATE(sample_wld_vrms_hostname,".",sample_child_dns_zone)</f>
        <v>sfo-w01-vrms01.sfo.rainpole.io</v>
      </c>
      <c r="D279" s="8" t="str">
        <f>wld_vrms_fqdn</f>
        <v>§.Value Missing</v>
      </c>
      <c r="E279" s="42"/>
    </row>
    <row r="280" spans="2:5" s="9" customFormat="1" ht="20" customHeight="1" x14ac:dyDescent="0.2">
      <c r="B280" s="28" t="s">
        <v>2269</v>
      </c>
      <c r="C280" s="65" t="str">
        <f>sample_wld_vrms_vrms_ip</f>
        <v>10.13.16.125</v>
      </c>
      <c r="D280" s="8" t="str">
        <f>wld_vrms_vrms_ip</f>
        <v>Value Missing</v>
      </c>
      <c r="E280" s="42"/>
    </row>
    <row r="281" spans="2:5" s="9" customFormat="1" ht="20" customHeight="1" x14ac:dyDescent="0.2">
      <c r="B281" s="28" t="s">
        <v>2270</v>
      </c>
      <c r="C281" s="65">
        <f>INT(RIGHT(sample_wld_az1_vrms_cidr,LEN(sample_wld_az1_vrms_cidr)-FIND("/",sample_wld_az1_vrms_cidr)))</f>
        <v>24</v>
      </c>
      <c r="D281" s="8" t="str">
        <f>IF(wld_az1_mgmt_cidr="Value Missing","Value Missing",IF(wld_az1_mgmt_cidr="Not Required","Not Required",INT(RIGHT(wld_az1_mgmt_cidr,LEN(wld_az1_mgmt_cidr)-FIND("/",wld_az1_mgmt_cidr)))))</f>
        <v>Value Missing</v>
      </c>
      <c r="E281" s="42"/>
    </row>
    <row r="282" spans="2:5" s="9" customFormat="1" ht="20" customHeight="1" x14ac:dyDescent="0.2">
      <c r="B282" s="4" t="s">
        <v>2271</v>
      </c>
      <c r="C282" s="65"/>
      <c r="D282" s="8" t="str">
        <f>wld_az1_mgmt_gateway_ip</f>
        <v>Value Missing</v>
      </c>
      <c r="E282" s="42"/>
    </row>
    <row r="283" spans="2:5" s="9" customFormat="1" ht="20" customHeight="1" x14ac:dyDescent="0.2">
      <c r="B283" s="4" t="s">
        <v>2272</v>
      </c>
      <c r="C283" s="65" t="str">
        <f>sample_wld_vrms_vrms_ip</f>
        <v>10.13.16.125</v>
      </c>
      <c r="D283" s="8" t="str">
        <f>wld_vrms_vrms_ip</f>
        <v>Value Missing</v>
      </c>
      <c r="E283" s="42"/>
    </row>
    <row r="284" spans="2:5" s="9" customFormat="1" ht="20" customHeight="1" x14ac:dyDescent="0.2">
      <c r="B284" s="28" t="s">
        <v>2273</v>
      </c>
      <c r="C284" s="65" t="str">
        <f>sample_wld_az1_vrms_gateway_ip</f>
        <v>10.13.9.1</v>
      </c>
      <c r="D284" s="8" t="str">
        <f>wld_az1_vrms_gateway_ip</f>
        <v>Value Missing</v>
      </c>
      <c r="E284" s="42"/>
    </row>
    <row r="285" spans="2:5" s="9" customFormat="1" ht="20" customHeight="1" x14ac:dyDescent="0.2">
      <c r="B285" s="28" t="s">
        <v>2274</v>
      </c>
      <c r="C285" s="65" t="str">
        <f>sample_wld_vrms_recovery_replication_cidr</f>
        <v>10.21.9.0/24</v>
      </c>
      <c r="D285" s="8" t="str">
        <f t="array" ref="D285">wld_vrms_recovery_replication_cidr</f>
        <v>Value Missing</v>
      </c>
      <c r="E285" s="42"/>
    </row>
    <row r="286" spans="2:5" s="9" customFormat="1" ht="20" customHeight="1" x14ac:dyDescent="0.2"/>
    <row r="287" spans="2:5" s="9" customFormat="1" ht="20" customHeight="1" x14ac:dyDescent="0.2">
      <c r="B287" s="600" t="s">
        <v>2275</v>
      </c>
      <c r="C287" s="600"/>
      <c r="D287" s="600"/>
      <c r="E287" s="600"/>
    </row>
    <row r="288" spans="2:5" s="9" customFormat="1" ht="20" customHeight="1" x14ac:dyDescent="0.2">
      <c r="B288" s="62" t="s">
        <v>250</v>
      </c>
      <c r="C288" s="62" t="s">
        <v>251</v>
      </c>
      <c r="D288" s="160" t="s">
        <v>20</v>
      </c>
      <c r="E288" s="62" t="s">
        <v>21</v>
      </c>
    </row>
    <row r="289" spans="2:5" s="9" customFormat="1" ht="20" customHeight="1" x14ac:dyDescent="0.2">
      <c r="B289" s="28" t="s">
        <v>355</v>
      </c>
      <c r="C289" s="65" t="str">
        <f>sample_wld_vc_fqdn</f>
        <v>sfo-w01-vc01.sfo.rainpole.io</v>
      </c>
      <c r="D289" s="8" t="str">
        <f>wld_vc_fqdn</f>
        <v>Value Missing</v>
      </c>
      <c r="E289" s="42"/>
    </row>
    <row r="290" spans="2:5" s="9" customFormat="1" ht="16" customHeight="1" x14ac:dyDescent="0.2">
      <c r="B290" s="28" t="s">
        <v>634</v>
      </c>
      <c r="C290" s="65" t="str">
        <f>sample_wld_cl01_cluster</f>
        <v>sfo-w01-cl01</v>
      </c>
      <c r="D290" s="8" t="str">
        <f>wld_cl01_cluster</f>
        <v>Value Missing</v>
      </c>
      <c r="E290" s="42"/>
    </row>
    <row r="291" spans="2:5" s="9" customFormat="1" ht="34" customHeight="1" x14ac:dyDescent="0.2">
      <c r="B291" s="4" t="s">
        <v>551</v>
      </c>
      <c r="C291" s="65" t="str">
        <f>sample_wld_vrms_pg</f>
        <v>sfo-w01-cl01-vds01-pg-vrms</v>
      </c>
      <c r="D291" s="8" t="str">
        <f>wld_vrms_pg</f>
        <v>Value Missing</v>
      </c>
      <c r="E291" s="42"/>
    </row>
    <row r="292" spans="2:5" s="9" customFormat="1" ht="20" customHeight="1" x14ac:dyDescent="0.2">
      <c r="B292" s="641" t="s">
        <v>2276</v>
      </c>
      <c r="C292" s="642"/>
      <c r="D292" s="642"/>
      <c r="E292" s="643"/>
    </row>
    <row r="293" spans="2:5" s="9" customFormat="1" ht="20" customHeight="1" x14ac:dyDescent="0.2">
      <c r="B293" s="28" t="str">
        <f t="array" ref="B293:B308">wld_az1_host_fqdns</f>
        <v>Value Missing</v>
      </c>
      <c r="C293" s="109" t="str">
        <f>CONCATENATE(prefix_wld_az1_cidr,"9.101")</f>
        <v>10.13.9.101</v>
      </c>
      <c r="D293" s="66"/>
      <c r="E293" s="121" t="s">
        <v>2277</v>
      </c>
    </row>
    <row r="294" spans="2:5" s="9" customFormat="1" ht="20" customHeight="1" x14ac:dyDescent="0.2">
      <c r="B294" s="28" t="str">
        <v>Value Missing</v>
      </c>
      <c r="C294" s="109" t="str">
        <f>CONCATENATE(prefix_wld_az1_cidr,"9.102")</f>
        <v>10.13.9.102</v>
      </c>
      <c r="D294" s="66"/>
      <c r="E294" s="121" t="s">
        <v>2278</v>
      </c>
    </row>
    <row r="295" spans="2:5" s="9" customFormat="1" ht="20" customHeight="1" x14ac:dyDescent="0.2">
      <c r="B295" s="28" t="str">
        <v>Value Missing</v>
      </c>
      <c r="C295" s="109" t="str">
        <f>CONCATENATE(prefix_wld_az1_cidr,"9.103")</f>
        <v>10.13.9.103</v>
      </c>
      <c r="D295" s="66"/>
      <c r="E295" s="121" t="s">
        <v>2279</v>
      </c>
    </row>
    <row r="296" spans="2:5" s="9" customFormat="1" ht="20" customHeight="1" x14ac:dyDescent="0.2">
      <c r="B296" s="28" t="str">
        <v>Value Missing</v>
      </c>
      <c r="C296" s="109" t="str">
        <f>CONCATENATE(prefix_wld_az1_cidr,"9.104")</f>
        <v>10.13.9.104</v>
      </c>
      <c r="D296" s="66"/>
      <c r="E296" s="121" t="s">
        <v>2280</v>
      </c>
    </row>
    <row r="297" spans="2:5" s="9" customFormat="1" ht="20" customHeight="1" x14ac:dyDescent="0.2">
      <c r="B297" s="28" t="str">
        <v>Value Missing</v>
      </c>
      <c r="C297" s="109" t="str">
        <f>CONCATENATE(prefix_wld_az1_cidr,"9.105")</f>
        <v>10.13.9.105</v>
      </c>
      <c r="D297" s="66"/>
      <c r="E297" s="121" t="s">
        <v>2281</v>
      </c>
    </row>
    <row r="298" spans="2:5" s="9" customFormat="1" ht="20" customHeight="1" x14ac:dyDescent="0.2">
      <c r="B298" s="28" t="str">
        <v>Value Missing</v>
      </c>
      <c r="C298" s="109" t="str">
        <f>CONCATENATE(prefix_wld_az1_cidr,"9.106")</f>
        <v>10.13.9.106</v>
      </c>
      <c r="D298" s="66"/>
      <c r="E298" s="121" t="s">
        <v>2282</v>
      </c>
    </row>
    <row r="299" spans="2:5" s="9" customFormat="1" ht="20" customHeight="1" x14ac:dyDescent="0.2">
      <c r="B299" s="4" t="str">
        <v>Value Missing</v>
      </c>
      <c r="C299" s="109" t="str">
        <f>CONCATENATE(prefix_wld_az1_cidr,"9.107")</f>
        <v>10.13.9.107</v>
      </c>
      <c r="D299" s="66"/>
      <c r="E299" s="121" t="s">
        <v>2283</v>
      </c>
    </row>
    <row r="300" spans="2:5" s="9" customFormat="1" ht="20" customHeight="1" x14ac:dyDescent="0.2">
      <c r="B300" s="4" t="str">
        <v>Value Missing</v>
      </c>
      <c r="C300" s="109" t="str">
        <f>CONCATENATE(prefix_wld_az1_cidr,"9.108")</f>
        <v>10.13.9.108</v>
      </c>
      <c r="D300" s="66"/>
      <c r="E300" s="121" t="s">
        <v>2284</v>
      </c>
    </row>
    <row r="301" spans="2:5" s="9" customFormat="1" ht="20" customHeight="1" x14ac:dyDescent="0.2">
      <c r="B301" s="4" t="str">
        <v>Value Missing</v>
      </c>
      <c r="C301" s="109" t="str">
        <f>CONCATENATE(prefix_wld_az1_cidr,"9.109")</f>
        <v>10.13.9.109</v>
      </c>
      <c r="D301" s="66"/>
      <c r="E301" s="121" t="s">
        <v>2285</v>
      </c>
    </row>
    <row r="302" spans="2:5" s="9" customFormat="1" ht="20" customHeight="1" x14ac:dyDescent="0.2">
      <c r="B302" s="28" t="str">
        <v>Value Missing</v>
      </c>
      <c r="C302" s="109" t="str">
        <f>CONCATENATE(prefix_wld_az1_cidr,"9.110")</f>
        <v>10.13.9.110</v>
      </c>
      <c r="D302" s="66"/>
      <c r="E302" s="121" t="s">
        <v>2286</v>
      </c>
    </row>
    <row r="303" spans="2:5" s="9" customFormat="1" ht="20" customHeight="1" x14ac:dyDescent="0.2">
      <c r="B303" s="28" t="str">
        <v>Value Missing</v>
      </c>
      <c r="C303" s="109" t="str">
        <f>CONCATENATE(prefix_wld_az1_cidr,"9.111")</f>
        <v>10.13.9.111</v>
      </c>
      <c r="D303" s="66"/>
      <c r="E303" s="121" t="s">
        <v>2287</v>
      </c>
    </row>
    <row r="304" spans="2:5" s="9" customFormat="1" ht="16" customHeight="1" x14ac:dyDescent="0.2">
      <c r="B304" s="28" t="str">
        <v>Value Missing</v>
      </c>
      <c r="C304" s="109" t="str">
        <f>CONCATENATE(prefix_wld_az1_cidr,"9.112")</f>
        <v>10.13.9.112</v>
      </c>
      <c r="D304" s="66"/>
      <c r="E304" s="121" t="s">
        <v>2288</v>
      </c>
    </row>
    <row r="305" spans="2:5" s="9" customFormat="1" ht="34" customHeight="1" x14ac:dyDescent="0.2">
      <c r="B305" s="31" t="str">
        <v>Value Missing</v>
      </c>
      <c r="C305" s="109" t="str">
        <f>CONCATENATE(prefix_wld_az1_cidr,"9.113")</f>
        <v>10.13.9.113</v>
      </c>
      <c r="D305" s="66"/>
      <c r="E305" s="121" t="s">
        <v>2289</v>
      </c>
    </row>
    <row r="306" spans="2:5" s="9" customFormat="1" ht="20" customHeight="1" x14ac:dyDescent="0.2">
      <c r="B306" s="31" t="str">
        <v>Value Missing</v>
      </c>
      <c r="C306" s="109" t="str">
        <f>CONCATENATE(prefix_wld_az1_cidr,"9.114")</f>
        <v>10.13.9.114</v>
      </c>
      <c r="D306" s="66"/>
      <c r="E306" s="121" t="s">
        <v>2290</v>
      </c>
    </row>
    <row r="307" spans="2:5" s="9" customFormat="1" ht="20" customHeight="1" x14ac:dyDescent="0.2">
      <c r="B307" s="31" t="str">
        <v>Value Missing</v>
      </c>
      <c r="C307" s="109" t="str">
        <f>CONCATENATE(prefix_wld_az1_cidr,"9.115")</f>
        <v>10.13.9.115</v>
      </c>
      <c r="D307" s="66"/>
      <c r="E307" s="121" t="s">
        <v>2291</v>
      </c>
    </row>
    <row r="308" spans="2:5" s="9" customFormat="1" ht="20" customHeight="1" x14ac:dyDescent="0.2">
      <c r="B308" s="31" t="str">
        <v>Value Missing</v>
      </c>
      <c r="C308" s="109" t="str">
        <f>CONCATENATE(prefix_wld_az1_cidr,"9.116")</f>
        <v>10.13.9.116</v>
      </c>
      <c r="D308" s="66"/>
      <c r="E308" s="121" t="s">
        <v>2292</v>
      </c>
    </row>
    <row r="309" spans="2:5" s="9" customFormat="1" ht="20" customHeight="1" x14ac:dyDescent="0.2">
      <c r="B309" s="641" t="s">
        <v>2293</v>
      </c>
      <c r="C309" s="642"/>
      <c r="D309" s="642"/>
      <c r="E309" s="643"/>
    </row>
    <row r="310" spans="2:5" s="9" customFormat="1" ht="20" customHeight="1" x14ac:dyDescent="0.2">
      <c r="B310" s="28" t="str">
        <f t="array" ref="B310:B325">wld_az2_host_fqdns</f>
        <v>Value Missing</v>
      </c>
      <c r="C310" s="109" t="str">
        <f>CONCATENATE(prefix_wld_az2_cidr,"9.101")</f>
        <v>10.14.9.101</v>
      </c>
      <c r="D310" s="66"/>
      <c r="E310" s="121" t="s">
        <v>2277</v>
      </c>
    </row>
    <row r="311" spans="2:5" s="9" customFormat="1" ht="20" customHeight="1" x14ac:dyDescent="0.2">
      <c r="B311" s="28" t="str">
        <v>Value Missing</v>
      </c>
      <c r="C311" s="109" t="str">
        <f>CONCATENATE(prefix_wld_az2_cidr,"9.102")</f>
        <v>10.14.9.102</v>
      </c>
      <c r="D311" s="66"/>
      <c r="E311" s="121" t="s">
        <v>2278</v>
      </c>
    </row>
    <row r="312" spans="2:5" s="9" customFormat="1" ht="20" customHeight="1" x14ac:dyDescent="0.2">
      <c r="B312" s="28" t="str">
        <v>Value Missing</v>
      </c>
      <c r="C312" s="109" t="str">
        <f>CONCATENATE(prefix_wld_az2_cidr,"9.103")</f>
        <v>10.14.9.103</v>
      </c>
      <c r="D312" s="66"/>
      <c r="E312" s="121" t="s">
        <v>2279</v>
      </c>
    </row>
    <row r="313" spans="2:5" s="9" customFormat="1" ht="20" customHeight="1" x14ac:dyDescent="0.2">
      <c r="B313" s="28" t="str">
        <v>Value Missing</v>
      </c>
      <c r="C313" s="109" t="str">
        <f>CONCATENATE(prefix_wld_az2_cidr,"9.104")</f>
        <v>10.14.9.104</v>
      </c>
      <c r="D313" s="66"/>
      <c r="E313" s="121" t="s">
        <v>2280</v>
      </c>
    </row>
    <row r="314" spans="2:5" s="9" customFormat="1" ht="20" customHeight="1" x14ac:dyDescent="0.2">
      <c r="B314" s="28" t="str">
        <v>Value Missing</v>
      </c>
      <c r="C314" s="109" t="str">
        <f>CONCATENATE(prefix_wld_az2_cidr,"9.105")</f>
        <v>10.14.9.105</v>
      </c>
      <c r="D314" s="66"/>
      <c r="E314" s="121" t="s">
        <v>2281</v>
      </c>
    </row>
    <row r="315" spans="2:5" s="9" customFormat="1" ht="20" customHeight="1" x14ac:dyDescent="0.2">
      <c r="B315" s="28" t="str">
        <v>Value Missing</v>
      </c>
      <c r="C315" s="109" t="str">
        <f>CONCATENATE(prefix_wld_az2_cidr,"9.106")</f>
        <v>10.14.9.106</v>
      </c>
      <c r="D315" s="66"/>
      <c r="E315" s="121" t="s">
        <v>2282</v>
      </c>
    </row>
    <row r="316" spans="2:5" s="9" customFormat="1" ht="20" customHeight="1" x14ac:dyDescent="0.2">
      <c r="B316" s="4" t="str">
        <v>Value Missing</v>
      </c>
      <c r="C316" s="109" t="str">
        <f>CONCATENATE(prefix_wld_az2_cidr,"9.107")</f>
        <v>10.14.9.107</v>
      </c>
      <c r="D316" s="66"/>
      <c r="E316" s="121" t="s">
        <v>2283</v>
      </c>
    </row>
    <row r="317" spans="2:5" s="9" customFormat="1" ht="20" customHeight="1" x14ac:dyDescent="0.2">
      <c r="B317" s="4" t="str">
        <v>Value Missing</v>
      </c>
      <c r="C317" s="109" t="str">
        <f>CONCATENATE(prefix_wld_az2_cidr,"9.108")</f>
        <v>10.14.9.108</v>
      </c>
      <c r="D317" s="66"/>
      <c r="E317" s="121" t="s">
        <v>2284</v>
      </c>
    </row>
    <row r="318" spans="2:5" s="9" customFormat="1" ht="20" customHeight="1" x14ac:dyDescent="0.2">
      <c r="B318" s="4" t="str">
        <v>Value Missing</v>
      </c>
      <c r="C318" s="109" t="str">
        <f>CONCATENATE(prefix_wld_az2_cidr,"9.109")</f>
        <v>10.14.9.109</v>
      </c>
      <c r="D318" s="66"/>
      <c r="E318" s="121" t="s">
        <v>2285</v>
      </c>
    </row>
    <row r="319" spans="2:5" s="9" customFormat="1" ht="20" customHeight="1" x14ac:dyDescent="0.2">
      <c r="B319" s="28" t="str">
        <v>Value Missing</v>
      </c>
      <c r="C319" s="109" t="str">
        <f>CONCATENATE(prefix_wld_az2_cidr,"9.110")</f>
        <v>10.14.9.110</v>
      </c>
      <c r="D319" s="66"/>
      <c r="E319" s="121" t="s">
        <v>2286</v>
      </c>
    </row>
    <row r="320" spans="2:5" s="9" customFormat="1" ht="20" customHeight="1" x14ac:dyDescent="0.2">
      <c r="B320" s="28" t="str">
        <v>Value Missing</v>
      </c>
      <c r="C320" s="109" t="str">
        <f>CONCATENATE(prefix_wld_az2_cidr,"9.111")</f>
        <v>10.14.9.111</v>
      </c>
      <c r="D320" s="66"/>
      <c r="E320" s="121" t="s">
        <v>2287</v>
      </c>
    </row>
    <row r="321" spans="2:5" s="9" customFormat="1" ht="20" customHeight="1" x14ac:dyDescent="0.2">
      <c r="B321" s="28" t="str">
        <v>Value Missing</v>
      </c>
      <c r="C321" s="109" t="str">
        <f>CONCATENATE(prefix_wld_az2_cidr,"9.112")</f>
        <v>10.14.9.112</v>
      </c>
      <c r="D321" s="66"/>
      <c r="E321" s="121" t="s">
        <v>2288</v>
      </c>
    </row>
    <row r="322" spans="2:5" s="9" customFormat="1" ht="20" customHeight="1" x14ac:dyDescent="0.2">
      <c r="B322" s="28" t="str">
        <v>Value Missing</v>
      </c>
      <c r="C322" s="109" t="str">
        <f>CONCATENATE(prefix_wld_az2_cidr,"9.113")</f>
        <v>10.14.9.113</v>
      </c>
      <c r="D322" s="66"/>
      <c r="E322" s="121" t="s">
        <v>2289</v>
      </c>
    </row>
    <row r="323" spans="2:5" s="9" customFormat="1" ht="20" customHeight="1" x14ac:dyDescent="0.2">
      <c r="B323" s="28" t="str">
        <v>Value Missing</v>
      </c>
      <c r="C323" s="109" t="str">
        <f>CONCATENATE(prefix_wld_az2_cidr,"9.114")</f>
        <v>10.14.9.114</v>
      </c>
      <c r="D323" s="66"/>
      <c r="E323" s="121" t="s">
        <v>2290</v>
      </c>
    </row>
    <row r="324" spans="2:5" s="9" customFormat="1" ht="20" customHeight="1" x14ac:dyDescent="0.2">
      <c r="B324" s="28" t="str">
        <v>Value Missing</v>
      </c>
      <c r="C324" s="109" t="str">
        <f>CONCATENATE(prefix_wld_az2_cidr,"9.115")</f>
        <v>10.14.9.115</v>
      </c>
      <c r="D324" s="66"/>
      <c r="E324" s="121" t="s">
        <v>2291</v>
      </c>
    </row>
    <row r="325" spans="2:5" s="9" customFormat="1" ht="20" customHeight="1" x14ac:dyDescent="0.2">
      <c r="B325" s="28" t="str">
        <v>Value Missing</v>
      </c>
      <c r="C325" s="109" t="str">
        <f>CONCATENATE(prefix_wld_az2_cidr,"9.116")</f>
        <v>10.14.9.116</v>
      </c>
      <c r="D325" s="66"/>
      <c r="E325" s="121" t="s">
        <v>2292</v>
      </c>
    </row>
    <row r="326" spans="2:5" s="9" customFormat="1" ht="20" customHeight="1" x14ac:dyDescent="0.2"/>
    <row r="327" spans="2:5" s="9" customFormat="1" ht="20" customHeight="1" x14ac:dyDescent="0.2">
      <c r="B327" s="600" t="s">
        <v>2294</v>
      </c>
      <c r="C327" s="600"/>
      <c r="D327" s="600"/>
      <c r="E327" s="600"/>
    </row>
    <row r="328" spans="2:5" s="9" customFormat="1" ht="20" customHeight="1" x14ac:dyDescent="0.2">
      <c r="B328" s="62" t="s">
        <v>250</v>
      </c>
      <c r="C328" s="62" t="s">
        <v>251</v>
      </c>
      <c r="D328" s="160" t="s">
        <v>20</v>
      </c>
      <c r="E328" s="62" t="s">
        <v>21</v>
      </c>
    </row>
    <row r="329" spans="2:5" s="9" customFormat="1" ht="20" customHeight="1" x14ac:dyDescent="0.2">
      <c r="B329" s="641" t="s">
        <v>2276</v>
      </c>
      <c r="C329" s="642"/>
      <c r="D329" s="642"/>
      <c r="E329" s="643"/>
    </row>
    <row r="330" spans="2:5" s="9" customFormat="1" ht="20" customHeight="1" x14ac:dyDescent="0.2">
      <c r="B330" s="4" t="s">
        <v>2295</v>
      </c>
      <c r="C330" s="65" t="str">
        <f>sample_wld_az1_host1_fqdn</f>
        <v>sfo01-w01-r01-esx01.sfo.rainpole.io</v>
      </c>
      <c r="D330" s="8" t="str">
        <f>wld_az1_host1_fqdn</f>
        <v>Value Missing</v>
      </c>
      <c r="E330" s="42"/>
    </row>
    <row r="331" spans="2:5" s="9" customFormat="1" ht="20" customHeight="1" x14ac:dyDescent="0.2">
      <c r="B331" s="4" t="s">
        <v>2296</v>
      </c>
      <c r="C331" s="65" t="str">
        <f>sample_wld_az1_vrms_gateway_ip</f>
        <v>10.13.9.1</v>
      </c>
      <c r="D331" s="8" t="str">
        <f>wld_az1_vrms_gateway_ip</f>
        <v>Value Missing</v>
      </c>
      <c r="E331" s="42"/>
    </row>
    <row r="332" spans="2:5" s="9" customFormat="1" ht="20" customHeight="1" x14ac:dyDescent="0.2">
      <c r="B332" s="28" t="s">
        <v>2297</v>
      </c>
      <c r="C332" s="65" t="str">
        <f t="array" ref="C332">sample_wld_vrms_recovery_replication_cidr</f>
        <v>10.21.9.0/24</v>
      </c>
      <c r="D332" s="8" t="str">
        <f t="array" ref="D332">wld_vrms_recovery_replication_cidr</f>
        <v>Value Missing</v>
      </c>
      <c r="E332" s="42"/>
    </row>
    <row r="333" spans="2:5" s="9" customFormat="1" ht="20" customHeight="1" x14ac:dyDescent="0.2">
      <c r="B333" s="28" t="s">
        <v>2298</v>
      </c>
      <c r="C333" s="65" t="str">
        <f>sample_wld_az1_host2_fqdn</f>
        <v>sfo01-w01-r01-esx02.sfo.rainpole.io</v>
      </c>
      <c r="D333" s="8" t="str">
        <f>wld_az1_host2_fqdn</f>
        <v>Value Missing</v>
      </c>
      <c r="E333" s="42"/>
    </row>
    <row r="334" spans="2:5" s="9" customFormat="1" ht="20" customHeight="1" x14ac:dyDescent="0.2">
      <c r="B334" s="28" t="s">
        <v>2299</v>
      </c>
      <c r="C334" s="65" t="str">
        <f>sample_wld_az1_vrms_gateway_ip</f>
        <v>10.13.9.1</v>
      </c>
      <c r="D334" s="8" t="str">
        <f>wld_az1_vrms_gateway_ip</f>
        <v>Value Missing</v>
      </c>
      <c r="E334" s="42"/>
    </row>
    <row r="335" spans="2:5" s="9" customFormat="1" ht="20" customHeight="1" x14ac:dyDescent="0.2">
      <c r="B335" s="28" t="s">
        <v>2300</v>
      </c>
      <c r="C335" s="65" t="str">
        <f t="array" ref="C335">sample_wld_vrms_recovery_replication_cidr</f>
        <v>10.21.9.0/24</v>
      </c>
      <c r="D335" s="8" t="str">
        <f t="array" ref="D335">wld_vrms_recovery_replication_cidr</f>
        <v>Value Missing</v>
      </c>
      <c r="E335" s="42"/>
    </row>
    <row r="336" spans="2:5" s="9" customFormat="1" ht="20" customHeight="1" x14ac:dyDescent="0.2">
      <c r="B336" s="28" t="s">
        <v>2301</v>
      </c>
      <c r="C336" s="65" t="str">
        <f>sample_wld_az1_host3_fqdn</f>
        <v>sfo01-w01-r01-esx03.sfo.rainpole.io</v>
      </c>
      <c r="D336" s="8" t="str">
        <f>wld_az1_host3_fqdn</f>
        <v>Value Missing</v>
      </c>
      <c r="E336" s="42"/>
    </row>
    <row r="337" spans="2:5" s="9" customFormat="1" ht="20" customHeight="1" x14ac:dyDescent="0.2">
      <c r="B337" s="4" t="s">
        <v>2302</v>
      </c>
      <c r="C337" s="65" t="str">
        <f>sample_wld_az1_vrms_gateway_ip</f>
        <v>10.13.9.1</v>
      </c>
      <c r="D337" s="8" t="str">
        <f>wld_az1_vrms_gateway_ip</f>
        <v>Value Missing</v>
      </c>
      <c r="E337" s="42"/>
    </row>
    <row r="338" spans="2:5" s="9" customFormat="1" ht="20" customHeight="1" x14ac:dyDescent="0.2">
      <c r="B338" s="4" t="s">
        <v>2303</v>
      </c>
      <c r="C338" s="65" t="str">
        <f t="array" ref="C338">sample_wld_vrms_recovery_replication_cidr</f>
        <v>10.21.9.0/24</v>
      </c>
      <c r="D338" s="8" t="str">
        <f t="array" ref="D338">wld_vrms_recovery_replication_cidr</f>
        <v>Value Missing</v>
      </c>
      <c r="E338" s="42"/>
    </row>
    <row r="339" spans="2:5" s="9" customFormat="1" ht="20" customHeight="1" x14ac:dyDescent="0.2">
      <c r="B339" s="28" t="s">
        <v>2304</v>
      </c>
      <c r="C339" s="65" t="str">
        <f>sample_wld_az1_host4_fqdn</f>
        <v>sfo01-w01-r01-esx04.sfo.rainpole.io</v>
      </c>
      <c r="D339" s="8" t="str">
        <f>wld_az1_host4_fqdn</f>
        <v>Value Missing</v>
      </c>
      <c r="E339" s="42"/>
    </row>
    <row r="340" spans="2:5" s="9" customFormat="1" ht="20" customHeight="1" x14ac:dyDescent="0.2">
      <c r="B340" s="28" t="s">
        <v>2305</v>
      </c>
      <c r="C340" s="65" t="str">
        <f>sample_wld_az1_vrms_gateway_ip</f>
        <v>10.13.9.1</v>
      </c>
      <c r="D340" s="8" t="str">
        <f>wld_az1_vrms_gateway_ip</f>
        <v>Value Missing</v>
      </c>
      <c r="E340" s="42"/>
    </row>
    <row r="341" spans="2:5" s="9" customFormat="1" ht="20" customHeight="1" x14ac:dyDescent="0.2">
      <c r="B341" s="4" t="s">
        <v>2306</v>
      </c>
      <c r="C341" s="65" t="str">
        <f t="array" ref="C341">sample_wld_vrms_recovery_replication_cidr</f>
        <v>10.21.9.0/24</v>
      </c>
      <c r="D341" s="8" t="str">
        <f t="array" ref="D341">wld_vrms_recovery_replication_cidr</f>
        <v>Value Missing</v>
      </c>
      <c r="E341" s="42"/>
    </row>
    <row r="342" spans="2:5" s="9" customFormat="1" ht="20" customHeight="1" x14ac:dyDescent="0.2">
      <c r="B342" s="641" t="s">
        <v>2293</v>
      </c>
      <c r="C342" s="642"/>
      <c r="D342" s="642"/>
      <c r="E342" s="643"/>
    </row>
    <row r="343" spans="2:5" s="9" customFormat="1" ht="20" customHeight="1" x14ac:dyDescent="0.2">
      <c r="B343" s="4" t="s">
        <v>2295</v>
      </c>
      <c r="C343" s="65" t="str">
        <f>sample_wld_az2_host1_fqdn</f>
        <v>sfo02-w01-r01-esx01.sfo.rainpole.io</v>
      </c>
      <c r="D343" s="8" t="str">
        <f>wld_az2_host1_fqdn</f>
        <v>Value Missing</v>
      </c>
      <c r="E343" s="42"/>
    </row>
    <row r="344" spans="2:5" s="9" customFormat="1" ht="16" customHeight="1" x14ac:dyDescent="0.2">
      <c r="B344" s="4" t="s">
        <v>2296</v>
      </c>
      <c r="C344" s="65" t="str">
        <f>sample_wld_az1_vrms_gateway_ip</f>
        <v>10.13.9.1</v>
      </c>
      <c r="D344" s="8" t="str">
        <f>wld_az1_vrms_gateway_ip</f>
        <v>Value Missing</v>
      </c>
      <c r="E344" s="42"/>
    </row>
    <row r="345" spans="2:5" s="9" customFormat="1" ht="34" customHeight="1" x14ac:dyDescent="0.2">
      <c r="B345" s="28" t="s">
        <v>2297</v>
      </c>
      <c r="C345" s="65" t="str">
        <f t="array" ref="C345">sample_wld_vrms_recovery_replication_cidr</f>
        <v>10.21.9.0/24</v>
      </c>
      <c r="D345" s="8" t="str">
        <f t="array" ref="D345">wld_vrms_recovery_replication_cidr</f>
        <v>Value Missing</v>
      </c>
      <c r="E345" s="42"/>
    </row>
    <row r="346" spans="2:5" s="9" customFormat="1" ht="20" customHeight="1" x14ac:dyDescent="0.2">
      <c r="B346" s="28" t="s">
        <v>2298</v>
      </c>
      <c r="C346" s="65" t="str">
        <f>sample_wld_az2_host2_fqdn</f>
        <v>sfo02-w01-r01-esx02.sfo.rainpole.io</v>
      </c>
      <c r="D346" s="8" t="str">
        <f>wld_az2_host2_fqdn</f>
        <v>Value Missing</v>
      </c>
      <c r="E346" s="42"/>
    </row>
    <row r="347" spans="2:5" s="9" customFormat="1" ht="20" customHeight="1" x14ac:dyDescent="0.2">
      <c r="B347" s="28" t="s">
        <v>2299</v>
      </c>
      <c r="C347" s="65" t="str">
        <f>sample_wld_az1_vrms_gateway_ip</f>
        <v>10.13.9.1</v>
      </c>
      <c r="D347" s="8" t="str">
        <f>wld_az1_vrms_gateway_ip</f>
        <v>Value Missing</v>
      </c>
      <c r="E347" s="42"/>
    </row>
    <row r="348" spans="2:5" s="9" customFormat="1" ht="20" customHeight="1" x14ac:dyDescent="0.2">
      <c r="B348" s="28" t="s">
        <v>2300</v>
      </c>
      <c r="C348" s="65" t="str">
        <f t="array" ref="C348">sample_wld_vrms_recovery_replication_cidr</f>
        <v>10.21.9.0/24</v>
      </c>
      <c r="D348" s="8" t="str">
        <f t="array" ref="D348">wld_vrms_recovery_replication_cidr</f>
        <v>Value Missing</v>
      </c>
      <c r="E348" s="42"/>
    </row>
    <row r="349" spans="2:5" s="9" customFormat="1" ht="20" customHeight="1" x14ac:dyDescent="0.2">
      <c r="B349" s="28" t="s">
        <v>2301</v>
      </c>
      <c r="C349" s="65" t="str">
        <f>sample_wld_az2_host3_fqdn</f>
        <v>sfo02-w01-r01-esx03.sfo.rainpole.io</v>
      </c>
      <c r="D349" s="8" t="str">
        <f>wld_az2_host3_fqdn</f>
        <v>Value Missing</v>
      </c>
      <c r="E349" s="42"/>
    </row>
    <row r="350" spans="2:5" s="9" customFormat="1" ht="20" customHeight="1" x14ac:dyDescent="0.2">
      <c r="B350" s="4" t="s">
        <v>2302</v>
      </c>
      <c r="C350" s="65" t="str">
        <f>sample_wld_az1_vrms_gateway_ip</f>
        <v>10.13.9.1</v>
      </c>
      <c r="D350" s="8" t="str">
        <f>wld_az1_vrms_gateway_ip</f>
        <v>Value Missing</v>
      </c>
      <c r="E350" s="42"/>
    </row>
    <row r="351" spans="2:5" s="9" customFormat="1" ht="20" customHeight="1" x14ac:dyDescent="0.2">
      <c r="B351" s="4" t="s">
        <v>2303</v>
      </c>
      <c r="C351" s="65" t="str">
        <f t="array" ref="C351">sample_wld_vrms_recovery_replication_cidr</f>
        <v>10.21.9.0/24</v>
      </c>
      <c r="D351" s="8" t="str">
        <f t="array" ref="D351">wld_vrms_recovery_replication_cidr</f>
        <v>Value Missing</v>
      </c>
      <c r="E351" s="42"/>
    </row>
    <row r="352" spans="2:5" s="9" customFormat="1" ht="20" customHeight="1" x14ac:dyDescent="0.2">
      <c r="B352" s="28" t="s">
        <v>2304</v>
      </c>
      <c r="C352" s="65" t="str">
        <f>sample_wld_az2_host14_fqdn</f>
        <v>sfo02-w01-r01-esx14.sfo.rainpole.io</v>
      </c>
      <c r="D352" s="8" t="str">
        <f>wld_az2_host4_fqdn</f>
        <v>Value Missing</v>
      </c>
      <c r="E352" s="42"/>
    </row>
    <row r="353" spans="2:5" s="9" customFormat="1" ht="20" customHeight="1" x14ac:dyDescent="0.2">
      <c r="B353" s="28" t="s">
        <v>2305</v>
      </c>
      <c r="C353" s="65" t="str">
        <f>sample_wld_az1_vrms_gateway_ip</f>
        <v>10.13.9.1</v>
      </c>
      <c r="D353" s="8" t="str">
        <f>wld_az1_vrms_gateway_ip</f>
        <v>Value Missing</v>
      </c>
      <c r="E353" s="42"/>
    </row>
    <row r="354" spans="2:5" s="9" customFormat="1" ht="20" customHeight="1" x14ac:dyDescent="0.2">
      <c r="B354" s="4" t="s">
        <v>2306</v>
      </c>
      <c r="C354" s="65" t="str">
        <f>sample_wld_vrms_recovery_replication_cidr</f>
        <v>10.21.9.0/24</v>
      </c>
      <c r="D354" s="8" t="str">
        <f t="array" ref="D354">wld_vrms_recovery_replication_cidr</f>
        <v>Value Missing</v>
      </c>
      <c r="E354" s="42"/>
    </row>
    <row r="355" spans="2:5" s="9" customFormat="1" ht="20" customHeight="1" x14ac:dyDescent="0.2"/>
    <row r="356" spans="2:5" s="9" customFormat="1" ht="20" customHeight="1" x14ac:dyDescent="0.2">
      <c r="B356" s="599" t="s">
        <v>2307</v>
      </c>
      <c r="C356" s="600"/>
      <c r="D356" s="600"/>
      <c r="E356" s="600"/>
    </row>
    <row r="357" spans="2:5" s="9" customFormat="1" ht="20" customHeight="1" x14ac:dyDescent="0.2"/>
    <row r="358" spans="2:5" s="9" customFormat="1" ht="20" customHeight="1" x14ac:dyDescent="0.2">
      <c r="B358" s="600" t="s">
        <v>2308</v>
      </c>
      <c r="C358" s="600"/>
      <c r="D358" s="600"/>
      <c r="E358" s="600"/>
    </row>
    <row r="359" spans="2:5" s="9" customFormat="1" ht="20" customHeight="1" x14ac:dyDescent="0.2">
      <c r="B359" s="62" t="s">
        <v>250</v>
      </c>
      <c r="C359" s="62" t="s">
        <v>251</v>
      </c>
      <c r="D359" s="160" t="s">
        <v>20</v>
      </c>
      <c r="E359" s="62" t="s">
        <v>21</v>
      </c>
    </row>
    <row r="360" spans="2:5" s="9" customFormat="1" ht="20" customHeight="1" x14ac:dyDescent="0.2">
      <c r="B360" s="28" t="s">
        <v>355</v>
      </c>
      <c r="C360" s="65" t="str">
        <f>sample_mgmt_vc_fqdn</f>
        <v>sfo-m01-vc01.sfo.rainpole.io</v>
      </c>
      <c r="D360" s="8" t="str">
        <f>mgmt_vc_fqdn</f>
        <v>Value Missing</v>
      </c>
      <c r="E360" s="42"/>
    </row>
    <row r="361" spans="2:5" s="9" customFormat="1" ht="20" customHeight="1" x14ac:dyDescent="0.2">
      <c r="B361" s="4" t="s">
        <v>2164</v>
      </c>
      <c r="C361" s="65" t="str">
        <f>sample_wld_srm_vm_folder</f>
        <v>sfo-w01-fd-srm</v>
      </c>
      <c r="D361" s="8" t="str">
        <f>wld_srm_vm_folder</f>
        <v>Value Missing</v>
      </c>
      <c r="E361" s="42"/>
    </row>
    <row r="362" spans="2:5" s="9" customFormat="1" ht="20" customHeight="1" x14ac:dyDescent="0.2"/>
    <row r="363" spans="2:5" s="9" customFormat="1" ht="20" customHeight="1" x14ac:dyDescent="0.2">
      <c r="B363" s="600" t="s">
        <v>2309</v>
      </c>
      <c r="C363" s="560"/>
      <c r="D363" s="560"/>
      <c r="E363" s="561"/>
    </row>
    <row r="364" spans="2:5" s="9" customFormat="1" ht="20" customHeight="1" x14ac:dyDescent="0.2">
      <c r="B364" s="62" t="s">
        <v>250</v>
      </c>
      <c r="C364" s="62" t="s">
        <v>251</v>
      </c>
      <c r="D364" s="160" t="s">
        <v>20</v>
      </c>
      <c r="E364" s="62" t="s">
        <v>21</v>
      </c>
    </row>
    <row r="365" spans="2:5" s="9" customFormat="1" ht="20" customHeight="1" x14ac:dyDescent="0.2">
      <c r="B365" s="4" t="s">
        <v>2310</v>
      </c>
      <c r="C365" s="65" t="str">
        <f>sample_mgmt_vc_fqdn</f>
        <v>sfo-m01-vc01.sfo.rainpole.io</v>
      </c>
      <c r="D365" s="8" t="str">
        <f>mgmt_vc_fqdn</f>
        <v>Value Missing</v>
      </c>
      <c r="E365" s="42"/>
    </row>
    <row r="366" spans="2:5" s="9" customFormat="1" ht="20" customHeight="1" x14ac:dyDescent="0.2">
      <c r="B366" s="28" t="s">
        <v>634</v>
      </c>
      <c r="C366" s="65" t="str">
        <f>sample_mgmt_cl01_cluster</f>
        <v>sfo-m01-cl01</v>
      </c>
      <c r="D366" s="8" t="str">
        <f>mgmt_cl01_cluster</f>
        <v>Value Missing</v>
      </c>
      <c r="E366" s="42"/>
    </row>
    <row r="367" spans="2:5" s="9" customFormat="1" ht="20" customHeight="1" x14ac:dyDescent="0.2">
      <c r="B367" s="28" t="s">
        <v>2245</v>
      </c>
      <c r="C367" s="65" t="str">
        <f>sample_wld_srm_hostname</f>
        <v>sfo-w01-srm01</v>
      </c>
      <c r="D367" s="8" t="str">
        <f>wld_srm_hostname</f>
        <v>§</v>
      </c>
      <c r="E367" s="42"/>
    </row>
    <row r="368" spans="2:5" s="9" customFormat="1" ht="20" customHeight="1" x14ac:dyDescent="0.2">
      <c r="B368" s="28" t="s">
        <v>2246</v>
      </c>
      <c r="C368" s="65" t="str">
        <f>sample_wld_srm_vm_folder</f>
        <v>sfo-w01-fd-srm</v>
      </c>
      <c r="D368" s="8" t="str">
        <f>wld_srm_vm_folder</f>
        <v>Value Missing</v>
      </c>
      <c r="E368" s="42"/>
    </row>
    <row r="369" spans="2:5" s="9" customFormat="1" ht="20" customHeight="1" x14ac:dyDescent="0.2">
      <c r="B369" s="28" t="s">
        <v>2247</v>
      </c>
      <c r="C369" s="65" t="str">
        <f>sample_mgmt_cl01_cluster</f>
        <v>sfo-m01-cl01</v>
      </c>
      <c r="D369" s="8" t="str">
        <f>mgmt_cl01_cluster</f>
        <v>Value Missing</v>
      </c>
      <c r="E369" s="42"/>
    </row>
    <row r="370" spans="2:5" s="9" customFormat="1" ht="20" customHeight="1" x14ac:dyDescent="0.2">
      <c r="B370" s="28" t="s">
        <v>102</v>
      </c>
      <c r="C370" s="65" t="str">
        <f>sample_mgmt_cl01_vsan_datastore</f>
        <v>sfo-m01-cl01-ds-vsan01</v>
      </c>
      <c r="D370" s="8" t="str">
        <f>mgmt_cl01_vsan_datastore</f>
        <v>Value Missing</v>
      </c>
      <c r="E370" s="42"/>
    </row>
    <row r="371" spans="2:5" s="9" customFormat="1" ht="20" customHeight="1" x14ac:dyDescent="0.2">
      <c r="B371" s="4" t="s">
        <v>2248</v>
      </c>
      <c r="C371" s="65" t="str">
        <f>sample_mgmt_cl01_az1_mgmt_pg</f>
        <v>sfo-m01-cl01-vds01-pg-esx-mgmt</v>
      </c>
      <c r="D371" s="8" t="str">
        <f>mgmt_cl01_az1_mgmt_pg</f>
        <v>Value Missing</v>
      </c>
      <c r="E371" s="42"/>
    </row>
    <row r="372" spans="2:5" s="9" customFormat="1" ht="20" customHeight="1" x14ac:dyDescent="0.2">
      <c r="B372" s="4" t="s">
        <v>2249</v>
      </c>
      <c r="C372" s="65" t="str">
        <f>sample_wld_srm_root_password</f>
        <v>VMw@re1!</v>
      </c>
      <c r="D372" s="8" t="str">
        <f>wld_srm_root_password</f>
        <v>Value Missing</v>
      </c>
      <c r="E372" s="42"/>
    </row>
    <row r="373" spans="2:5" s="9" customFormat="1" ht="16" customHeight="1" x14ac:dyDescent="0.2">
      <c r="B373" s="28" t="s">
        <v>2250</v>
      </c>
      <c r="C373" s="65" t="str">
        <f>sample_wld_srm_admin_password</f>
        <v>VMw@re1!</v>
      </c>
      <c r="D373" s="8" t="str">
        <f>wld_srm_admin_password</f>
        <v>Value Missing</v>
      </c>
      <c r="E373" s="42"/>
    </row>
    <row r="374" spans="2:5" s="9" customFormat="1" ht="34" customHeight="1" x14ac:dyDescent="0.2">
      <c r="B374" s="28" t="s">
        <v>288</v>
      </c>
      <c r="C374" s="65" t="str">
        <f>sample_region_ntp1_server</f>
        <v>ntp0.sfo.rainpole.io</v>
      </c>
      <c r="D374" s="8" t="str">
        <f>region_ntp1_server</f>
        <v>Value Missing</v>
      </c>
      <c r="E374" s="42"/>
    </row>
    <row r="375" spans="2:5" s="9" customFormat="1" ht="16" customHeight="1" x14ac:dyDescent="0.2">
      <c r="B375" s="4" t="s">
        <v>291</v>
      </c>
      <c r="C375" s="65" t="str">
        <f>CONCATENATE(sample_wld_srm_hostname,".",sample_child_dns_zone)</f>
        <v>sfo-w01-srm01.sfo.rainpole.io</v>
      </c>
      <c r="D375" s="8" t="str">
        <f>wld_srm_fqdn</f>
        <v>§.Value Missing</v>
      </c>
      <c r="E375" s="42"/>
    </row>
    <row r="376" spans="2:5" s="9" customFormat="1" ht="34" customHeight="1" x14ac:dyDescent="0.2">
      <c r="B376" s="28" t="s">
        <v>2311</v>
      </c>
      <c r="C376" s="65" t="str">
        <f>sample_wld_srm_database_password</f>
        <v>VMw@re1!</v>
      </c>
      <c r="D376" s="8" t="str">
        <f>wld_srm_database_password</f>
        <v>Value Missing</v>
      </c>
      <c r="E376" s="42"/>
    </row>
    <row r="377" spans="2:5" s="9" customFormat="1" ht="20" customHeight="1" x14ac:dyDescent="0.2">
      <c r="B377" s="4" t="s">
        <v>243</v>
      </c>
      <c r="C377" s="65" t="str">
        <f>sample_mgmt_az1_mgmt_vm_gateway_cidr</f>
        <v>10.11.10.1/24</v>
      </c>
      <c r="D377" s="8" t="str">
        <f>mgmt_az1_mgmt_vm_gateway_ip</f>
        <v>Value Missing</v>
      </c>
      <c r="E377" s="42"/>
    </row>
    <row r="378" spans="2:5" s="9" customFormat="1" ht="20" customHeight="1" x14ac:dyDescent="0.2">
      <c r="B378" s="28" t="s">
        <v>553</v>
      </c>
      <c r="C378" s="65" t="str">
        <f>sample_child_dns_zone</f>
        <v>sfo.rainpole.io</v>
      </c>
      <c r="D378" s="8" t="str">
        <f>child_dns_zone</f>
        <v>Value Missing</v>
      </c>
      <c r="E378" s="42"/>
    </row>
    <row r="379" spans="2:5" s="9" customFormat="1" ht="20" customHeight="1" x14ac:dyDescent="0.2">
      <c r="B379" s="28" t="s">
        <v>2251</v>
      </c>
      <c r="C379" s="65" t="str">
        <f>sample_child_dns_zone</f>
        <v>sfo.rainpole.io</v>
      </c>
      <c r="D379" s="8" t="str">
        <f>child_dns_zone</f>
        <v>Value Missing</v>
      </c>
      <c r="E379" s="42"/>
    </row>
    <row r="380" spans="2:5" s="9" customFormat="1" ht="16" customHeight="1" x14ac:dyDescent="0.2">
      <c r="B380" s="28" t="s">
        <v>2252</v>
      </c>
      <c r="C380" s="65" t="str">
        <f>CONCATENATE(sample_region_dns1_ip,",",sample_region_dns2_ip)</f>
        <v>10.11.10.4,10.11.10.5</v>
      </c>
      <c r="D380" s="8" t="str">
        <f>CONCATENATE(region_dns1_ip,",",region_dns2_ip)</f>
        <v>Value Missing,Value Missing</v>
      </c>
      <c r="E380" s="42"/>
    </row>
    <row r="381" spans="2:5" s="9" customFormat="1" ht="34" customHeight="1" x14ac:dyDescent="0.2">
      <c r="B381" s="28" t="s">
        <v>2253</v>
      </c>
      <c r="C381" s="65" t="str">
        <f>sample_wld_srm_ip</f>
        <v>10.11.10.127</v>
      </c>
      <c r="D381" s="8" t="str">
        <f>wld_srm_ip</f>
        <v>Value Missing</v>
      </c>
      <c r="E381" s="42"/>
    </row>
    <row r="382" spans="2:5" s="9" customFormat="1" ht="20" customHeight="1" x14ac:dyDescent="0.2">
      <c r="B382" s="28" t="s">
        <v>2254</v>
      </c>
      <c r="C382" s="65"/>
      <c r="D382" s="8" t="str">
        <f>IF(mgmt_az1_mgmt_cidr="Value Missing","Value Missing",INT(RIGHT(mgmt_az1_mgmt_cidr,LEN(mgmt_az1_mgmt_cidr)-FIND("/",mgmt_az1_mgmt_cidr))))</f>
        <v>Value Missing</v>
      </c>
      <c r="E382" s="42"/>
    </row>
    <row r="383" spans="2:5" s="9" customFormat="1" ht="20" customHeight="1" x14ac:dyDescent="0.2"/>
    <row r="384" spans="2:5" s="9" customFormat="1" ht="20" customHeight="1" x14ac:dyDescent="0.2">
      <c r="B384" s="559" t="s">
        <v>2312</v>
      </c>
      <c r="C384" s="560"/>
      <c r="D384" s="560"/>
      <c r="E384" s="561"/>
    </row>
    <row r="385" spans="2:5" s="9" customFormat="1" ht="20" customHeight="1" x14ac:dyDescent="0.2">
      <c r="B385" s="62" t="s">
        <v>250</v>
      </c>
      <c r="C385" s="62" t="s">
        <v>251</v>
      </c>
      <c r="D385" s="160" t="s">
        <v>20</v>
      </c>
      <c r="E385" s="62" t="s">
        <v>21</v>
      </c>
    </row>
    <row r="386" spans="2:5" s="9" customFormat="1" ht="20" customHeight="1" x14ac:dyDescent="0.2">
      <c r="B386" s="4" t="s">
        <v>2313</v>
      </c>
      <c r="C386" s="65" t="str">
        <f>CONCATENATE(sample_wld_srm_hostname,".",sample_child_dns_zone)</f>
        <v>sfo-w01-srm01.sfo.rainpole.io</v>
      </c>
      <c r="D386" s="8" t="str">
        <f>wld_srm_fqdn</f>
        <v>§.Value Missing</v>
      </c>
      <c r="E386" s="42"/>
    </row>
    <row r="387" spans="2:5" s="9" customFormat="1" ht="20" customHeight="1" x14ac:dyDescent="0.2">
      <c r="B387" s="4" t="s">
        <v>2257</v>
      </c>
      <c r="C387" s="65" t="str">
        <f>sample_wld_srm_p12_password</f>
        <v>VMw@re1!</v>
      </c>
      <c r="D387" s="8" t="str">
        <f>wld_srm_p12_password</f>
        <v>Value Missing</v>
      </c>
      <c r="E387" s="42"/>
    </row>
    <row r="388" spans="2:5" s="9" customFormat="1" ht="20" customHeight="1" x14ac:dyDescent="0.2"/>
    <row r="389" spans="2:5" s="9" customFormat="1" ht="20" customHeight="1" x14ac:dyDescent="0.2">
      <c r="B389" s="559" t="s">
        <v>2314</v>
      </c>
      <c r="C389" s="560"/>
      <c r="D389" s="560"/>
      <c r="E389" s="561"/>
    </row>
    <row r="390" spans="2:5" s="9" customFormat="1" ht="20" customHeight="1" x14ac:dyDescent="0.2">
      <c r="B390" s="62" t="s">
        <v>250</v>
      </c>
      <c r="C390" s="62" t="s">
        <v>251</v>
      </c>
      <c r="D390" s="160" t="s">
        <v>20</v>
      </c>
      <c r="E390" s="62" t="s">
        <v>21</v>
      </c>
    </row>
    <row r="391" spans="2:5" s="9" customFormat="1" ht="20" customHeight="1" x14ac:dyDescent="0.2">
      <c r="B391" s="4" t="s">
        <v>2313</v>
      </c>
      <c r="C391" s="65" t="str">
        <f>CONCATENATE(sample_wld_srm_hostname,".",sample_child_dns_zone)</f>
        <v>sfo-w01-srm01.sfo.rainpole.io</v>
      </c>
      <c r="D391" s="8" t="str">
        <f>wld_srm_fqdn</f>
        <v>§.Value Missing</v>
      </c>
      <c r="E391" s="42"/>
    </row>
    <row r="392" spans="2:5" s="9" customFormat="1" ht="20" customHeight="1" x14ac:dyDescent="0.2">
      <c r="B392" s="28" t="s">
        <v>2259</v>
      </c>
      <c r="C392" s="65" t="str">
        <f>sample_wld_vc_fqdn</f>
        <v>sfo-w01-vc01.sfo.rainpole.io</v>
      </c>
      <c r="D392" s="8" t="str">
        <f>wld_vc_fqdn</f>
        <v>Value Missing</v>
      </c>
      <c r="E392" s="42"/>
    </row>
    <row r="393" spans="2:5" s="9" customFormat="1" ht="20" customHeight="1" x14ac:dyDescent="0.2">
      <c r="B393" s="28" t="s">
        <v>79</v>
      </c>
      <c r="C393" s="65" t="s">
        <v>1485</v>
      </c>
      <c r="D393" s="8" t="str">
        <f>C393</f>
        <v>administrator@vsphere.local</v>
      </c>
      <c r="E393" s="42"/>
    </row>
    <row r="394" spans="2:5" s="9" customFormat="1" ht="20" customHeight="1" x14ac:dyDescent="0.2">
      <c r="B394" s="28" t="s">
        <v>30</v>
      </c>
      <c r="C394" s="65" t="str">
        <f>sample_administrator_vsphere_local_password</f>
        <v>VMw@re1!VMw@re1!</v>
      </c>
      <c r="D394" s="8" t="str">
        <f>administrator_vsphere_local_password</f>
        <v>Value Missing</v>
      </c>
      <c r="E394" s="42"/>
    </row>
    <row r="395" spans="2:5" s="9" customFormat="1" ht="20" customHeight="1" x14ac:dyDescent="0.2">
      <c r="B395" s="28" t="s">
        <v>1374</v>
      </c>
      <c r="C395" s="65" t="str">
        <f>sample_wld_vc_fqdn</f>
        <v>sfo-w01-vc01.sfo.rainpole.io</v>
      </c>
      <c r="D395" s="8" t="str">
        <f>wld_vc_fqdn</f>
        <v>Value Missing</v>
      </c>
      <c r="E395" s="42"/>
    </row>
    <row r="396" spans="2:5" s="9" customFormat="1" ht="20" customHeight="1" x14ac:dyDescent="0.2">
      <c r="B396" s="28" t="s">
        <v>2143</v>
      </c>
      <c r="C396" s="65" t="str">
        <f>sample_wld_srm_site_name</f>
        <v>SFO-W01</v>
      </c>
      <c r="D396" s="8" t="str">
        <f>wld_srm_site_name</f>
        <v>Value Missing</v>
      </c>
      <c r="E396" s="42"/>
    </row>
    <row r="397" spans="2:5" s="9" customFormat="1" ht="20" customHeight="1" x14ac:dyDescent="0.2">
      <c r="B397" s="4" t="s">
        <v>2260</v>
      </c>
      <c r="C397" s="65" t="str">
        <f>sample_wld_srm_admin_email</f>
        <v>srm-administrator@rainpole.io</v>
      </c>
      <c r="D397" s="8" t="str">
        <f>wld_srm_admin_email</f>
        <v>Value Missing</v>
      </c>
      <c r="E397" s="42"/>
    </row>
    <row r="398" spans="2:5" s="9" customFormat="1" ht="20" customHeight="1" x14ac:dyDescent="0.2">
      <c r="B398" s="4" t="s">
        <v>2261</v>
      </c>
      <c r="C398" s="65" t="str">
        <f>CONCATENATE(sample_wld_srm_hostname,".",sample_child_dns_zone)</f>
        <v>sfo-w01-srm01.sfo.rainpole.io</v>
      </c>
      <c r="D398" s="8" t="str">
        <f>wld_srm_fqdn</f>
        <v>§.Value Missing</v>
      </c>
      <c r="E398" s="42"/>
    </row>
    <row r="399" spans="2:5" s="9" customFormat="1" ht="20" customHeight="1" x14ac:dyDescent="0.2"/>
    <row r="400" spans="2:5" s="9" customFormat="1" ht="20" customHeight="1" x14ac:dyDescent="0.2">
      <c r="B400" s="559" t="s">
        <v>2315</v>
      </c>
      <c r="C400" s="560"/>
      <c r="D400" s="560"/>
      <c r="E400" s="561"/>
    </row>
    <row r="401" spans="2:5" s="9" customFormat="1" ht="16" customHeight="1" x14ac:dyDescent="0.2">
      <c r="B401" s="62" t="s">
        <v>250</v>
      </c>
      <c r="C401" s="62" t="s">
        <v>251</v>
      </c>
      <c r="D401" s="160" t="s">
        <v>20</v>
      </c>
      <c r="E401" s="62" t="s">
        <v>21</v>
      </c>
    </row>
    <row r="402" spans="2:5" s="9" customFormat="1" ht="34" customHeight="1" x14ac:dyDescent="0.2">
      <c r="B402" s="28" t="s">
        <v>355</v>
      </c>
      <c r="C402" s="65" t="str">
        <f>sample_wld_vc_fqdn</f>
        <v>sfo-w01-vc01.sfo.rainpole.io</v>
      </c>
      <c r="D402" s="8" t="str">
        <f>wld_vc_fqdn</f>
        <v>Value Missing</v>
      </c>
      <c r="E402" s="42"/>
    </row>
    <row r="403" spans="2:5" s="9" customFormat="1" ht="20" customHeight="1" x14ac:dyDescent="0.2">
      <c r="B403" s="4" t="s">
        <v>2316</v>
      </c>
      <c r="C403" s="65"/>
      <c r="D403" s="8"/>
      <c r="E403" s="42"/>
    </row>
    <row r="404" spans="2:5" s="9" customFormat="1" ht="20" customHeight="1" x14ac:dyDescent="0.2">
      <c r="B404" s="28" t="s">
        <v>2317</v>
      </c>
      <c r="C404" s="65" t="s">
        <v>1711</v>
      </c>
      <c r="D404" s="8" t="str">
        <f>C404</f>
        <v>Site Recovery Manager</v>
      </c>
      <c r="E404" s="42"/>
    </row>
    <row r="405" spans="2:5" s="9" customFormat="1" ht="20" customHeight="1" x14ac:dyDescent="0.2">
      <c r="B405" s="28" t="s">
        <v>2318</v>
      </c>
      <c r="C405" s="65" t="str">
        <f>sample_wld_srm_site_name</f>
        <v>SFO-W01</v>
      </c>
      <c r="D405" s="8" t="str">
        <f>wld_srm_site_name</f>
        <v>Value Missing</v>
      </c>
      <c r="E405" s="42"/>
    </row>
    <row r="406" spans="2:5" s="9" customFormat="1" ht="16" customHeight="1" x14ac:dyDescent="0.2">
      <c r="B406" s="28" t="s">
        <v>2319</v>
      </c>
      <c r="C406" s="65"/>
      <c r="D406" s="8"/>
      <c r="E406" s="42"/>
    </row>
    <row r="407" spans="2:5" s="9" customFormat="1" ht="34" customHeight="1" x14ac:dyDescent="0.2"/>
    <row r="408" spans="2:5" s="9" customFormat="1" ht="20" customHeight="1" x14ac:dyDescent="0.2">
      <c r="B408" s="599" t="s">
        <v>2320</v>
      </c>
      <c r="C408" s="600"/>
      <c r="D408" s="600"/>
      <c r="E408" s="600"/>
    </row>
    <row r="409" spans="2:5" s="9" customFormat="1" ht="20" customHeight="1" x14ac:dyDescent="0.2"/>
    <row r="410" spans="2:5" s="9" customFormat="1" ht="20" customHeight="1" x14ac:dyDescent="0.2">
      <c r="B410" s="600" t="s">
        <v>2321</v>
      </c>
      <c r="C410" s="600"/>
      <c r="D410" s="600"/>
      <c r="E410" s="600"/>
    </row>
    <row r="411" spans="2:5" s="9" customFormat="1" ht="20" customHeight="1" x14ac:dyDescent="0.2">
      <c r="B411" s="62" t="s">
        <v>250</v>
      </c>
      <c r="C411" s="62" t="s">
        <v>251</v>
      </c>
      <c r="D411" s="160" t="s">
        <v>20</v>
      </c>
      <c r="E411" s="62" t="s">
        <v>21</v>
      </c>
    </row>
    <row r="412" spans="2:5" s="9" customFormat="1" ht="20" customHeight="1" x14ac:dyDescent="0.2">
      <c r="B412" s="28" t="s">
        <v>2163</v>
      </c>
      <c r="C412" s="65" t="str">
        <f>sample_wld_vc_fqdn</f>
        <v>sfo-w01-vc01.sfo.rainpole.io</v>
      </c>
      <c r="D412" s="8" t="str">
        <f>wld_vc_fqdn</f>
        <v>Value Missing</v>
      </c>
      <c r="E412" s="42"/>
    </row>
    <row r="413" spans="2:5" s="9" customFormat="1" ht="20" customHeight="1" x14ac:dyDescent="0.2">
      <c r="B413" s="28" t="s">
        <v>2322</v>
      </c>
      <c r="C413" s="65" t="str">
        <f>sample_wld_vc_fqdn</f>
        <v>sfo-w01-vc01.sfo.rainpole.io</v>
      </c>
      <c r="D413" s="8" t="str">
        <f>wld_vc_fqdn</f>
        <v>Value Missing</v>
      </c>
      <c r="E413" s="42"/>
    </row>
    <row r="414" spans="2:5" s="9" customFormat="1" ht="20" customHeight="1" x14ac:dyDescent="0.2">
      <c r="B414" s="28" t="s">
        <v>2323</v>
      </c>
      <c r="C414" s="65" t="s">
        <v>2324</v>
      </c>
      <c r="D414" s="8" t="str">
        <f>IF(wld_srm_sso_domain_membership="Value Missing","Value Missing",IF(wld_srm_sso_domain_membership="Same SSO Domain","Pair with a peer vCenter Server located in the same SSO domain","Pair with a peer vCenter Server located in a different SSO domain"))</f>
        <v>Value Missing</v>
      </c>
      <c r="E414" s="42"/>
    </row>
    <row r="415" spans="2:5" s="9" customFormat="1" ht="20" customHeight="1" x14ac:dyDescent="0.2">
      <c r="B415" s="28" t="s">
        <v>2259</v>
      </c>
      <c r="C415" s="65" t="str">
        <f>sample_wld_srm_recovery_vcenter_fqdn</f>
        <v>lax-w01-vc01.lax.rainpole.io</v>
      </c>
      <c r="D415" s="8" t="str">
        <f>wld_srm_recovery_vcenter_fqdn</f>
        <v>Value Missing</v>
      </c>
      <c r="E415" s="42"/>
    </row>
    <row r="416" spans="2:5" s="9" customFormat="1" ht="20" customHeight="1" x14ac:dyDescent="0.2">
      <c r="B416" s="28" t="s">
        <v>79</v>
      </c>
      <c r="C416" s="65" t="str">
        <f>sample_wld_srm_recovery_vcenter_username</f>
        <v>administrator@vsphere.local</v>
      </c>
      <c r="D416" s="8" t="str">
        <f>wld_srm_recovery_vcenter_username</f>
        <v>Value Missing</v>
      </c>
      <c r="E416" s="42"/>
    </row>
    <row r="417" spans="2:5" s="9" customFormat="1" ht="16" customHeight="1" x14ac:dyDescent="0.2">
      <c r="B417" s="4" t="s">
        <v>30</v>
      </c>
      <c r="C417" s="65" t="str">
        <f>sample_wld_srm_recovery_vcenter_password</f>
        <v>VMw@re1!</v>
      </c>
      <c r="D417" s="8" t="str">
        <f>wld_srm_recovery_vcenter_password</f>
        <v>Value Missing</v>
      </c>
      <c r="E417" s="42"/>
    </row>
    <row r="418" spans="2:5" s="9" customFormat="1" ht="34" customHeight="1" x14ac:dyDescent="0.2">
      <c r="B418" s="4" t="s">
        <v>2325</v>
      </c>
      <c r="C418" s="65" t="str">
        <f>sample_wld_srm_recovery_vcenter_fqdn</f>
        <v>lax-w01-vc01.lax.rainpole.io</v>
      </c>
      <c r="D418" s="8" t="str">
        <f>wld_srm_recovery_vcenter_fqdn</f>
        <v>Value Missing</v>
      </c>
      <c r="E418" s="42"/>
    </row>
    <row r="419" spans="2:5" s="9" customFormat="1" ht="20" customHeight="1" x14ac:dyDescent="0.2"/>
    <row r="507" spans="2:5" ht="20" customHeight="1" x14ac:dyDescent="0.2">
      <c r="B507" s="521" t="str">
        <f>IF(OR(cluster_secondary_storage_chosen="Secondary NFS Storage Network",wld_secondary_storage_chosen="Secondary NFS Storage Network"),"NFS Storage Network","vSAN Storage Client")</f>
        <v>vSAN Storage Client</v>
      </c>
      <c r="C507" s="522"/>
      <c r="D507" s="522"/>
      <c r="E507" s="523"/>
    </row>
    <row r="508" spans="2:5" ht="20" customHeight="1" x14ac:dyDescent="0.2">
      <c r="B508" s="4" t="s">
        <v>85</v>
      </c>
      <c r="C508" s="103" t="str">
        <f>IF(cluster_wld_domain_chosen&lt;&gt;"MGMT Workload Domain",CONCATENATE(prefix_wld_az1_rack_vlan,"26"),CONCATENATE(prefix_mgmt_az1_vlan,"26"))</f>
        <v>1326</v>
      </c>
      <c r="D508" s="66"/>
      <c r="E508" s="42"/>
    </row>
    <row r="509" spans="2:5" ht="20" customHeight="1" x14ac:dyDescent="0.2">
      <c r="B509" s="4" t="s">
        <v>155</v>
      </c>
      <c r="C509" s="103">
        <v>9000</v>
      </c>
      <c r="D509" s="66"/>
      <c r="E509" s="80"/>
    </row>
    <row r="510" spans="2:5" ht="20" customHeight="1" x14ac:dyDescent="0.2">
      <c r="B510" s="4" t="s">
        <v>181</v>
      </c>
      <c r="C510" s="103" t="str">
        <f>IF(cluster_wld_domain_chosen&lt;&gt;"MGMT Workload Domain",CONCATENATE(prefix_wld_az1_rack_cidr,"26.0"),CONCATENATE(prefix_mgmt_az1_cidr,"26.0"))</f>
        <v>10.13.26.0</v>
      </c>
      <c r="D510" s="66"/>
      <c r="E510" s="42"/>
    </row>
    <row r="511" spans="2:5" ht="20" customHeight="1" x14ac:dyDescent="0.2">
      <c r="B511" s="4" t="s">
        <v>274</v>
      </c>
      <c r="C511" s="103" t="s">
        <v>126</v>
      </c>
      <c r="D511" s="66"/>
      <c r="E511" s="42"/>
    </row>
    <row r="512" spans="2:5" ht="20" customHeight="1" x14ac:dyDescent="0.2">
      <c r="B512" s="4" t="s">
        <v>180</v>
      </c>
      <c r="C512" s="103" t="str">
        <f>IF(cluster_wld_domain_chosen&lt;&gt;"MGMT Workload Domain",CONCATENATE(prefix_wld_az1_rack_cidr,"26.1"),CONCATENATE(prefix_mgmt_az1_cidr,"26.1"))</f>
        <v>10.13.26.1</v>
      </c>
      <c r="D512" s="66"/>
      <c r="E512" s="42" t="str">
        <f>IF(AND(mgmt_stretched_cluster_result="Included",mgmt_dpg_reuse_result="Excluded"),"Stretched L2","")</f>
        <v/>
      </c>
    </row>
    <row r="513" spans="2:5" ht="20" customHeight="1" x14ac:dyDescent="0.2">
      <c r="B513" s="23" t="s">
        <v>244</v>
      </c>
      <c r="C513" s="103" t="str">
        <f>IF(cluster_wld_domain_chosen&lt;&gt;"MGMT Workload Domain",CONCATENATE(prefix_wld_az1_rack_cidr,"26.101"),CONCATENATE(prefix_mgmt_az1_cidr,"26.101"))</f>
        <v>10.13.26.101</v>
      </c>
      <c r="D513" s="170"/>
      <c r="E513"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14" spans="2:5" ht="20" customHeight="1" x14ac:dyDescent="0.2">
      <c r="B514" s="23" t="s">
        <v>245</v>
      </c>
      <c r="C514" s="103" t="str">
        <f>IF(cluster_wld_domain_chosen&lt;&gt;"MGMT Workload Domain",CONCATENATE(prefix_wld_az1_rack_cidr,"26.116"),CONCATENATE(prefix_mgmt_az1_cidr,"26.116"))</f>
        <v>10.13.26.116</v>
      </c>
      <c r="D514" s="170"/>
      <c r="E514"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15" spans="2:5" ht="20" customHeight="1" x14ac:dyDescent="0.2">
      <c r="B515" s="521" t="str">
        <f>IF(OR(cluster_secondary_storage_chosen="Secondary NFS Storage Network",wld_secondary_storage_chosen="Secondary NFS Storage Network"),"NFS Storage Network","vSAN Storage Client")</f>
        <v>vSAN Storage Client</v>
      </c>
      <c r="C515" s="522"/>
      <c r="D515" s="522"/>
      <c r="E515" s="523"/>
    </row>
    <row r="516" spans="2:5" ht="20" customHeight="1" x14ac:dyDescent="0.2">
      <c r="B516" s="4" t="s">
        <v>85</v>
      </c>
      <c r="C516" s="109" t="str">
        <f>IF(cluster_wld_domain_chosen&lt;&gt;"MGMT Workload Domain",CONCATENATE(prefix_wld_az1_rack_vlan,"37"),CONCATENATE(prefix_mgmt_az1_vlan,"37"))</f>
        <v>1337</v>
      </c>
      <c r="D516" s="66"/>
      <c r="E516" s="42"/>
    </row>
    <row r="517" spans="2:5" ht="20" customHeight="1" x14ac:dyDescent="0.2">
      <c r="B517" s="4" t="s">
        <v>155</v>
      </c>
      <c r="C517" s="109">
        <v>9000</v>
      </c>
      <c r="D517" s="66"/>
      <c r="E517" s="80"/>
    </row>
    <row r="518" spans="2:5" ht="20" customHeight="1" x14ac:dyDescent="0.2">
      <c r="B518" s="4" t="s">
        <v>181</v>
      </c>
      <c r="C518" s="109" t="str">
        <f>IF(cluster_wld_domain_chosen&lt;&gt;"MGMT Workload Domain",CONCATENATE(prefix_wld_az1_rack_cidr,"37.0"),CONCATENATE(prefix_mgmt_az1_cidr,"37.0"))</f>
        <v>10.13.37.0</v>
      </c>
      <c r="D518" s="66"/>
      <c r="E518" s="42"/>
    </row>
    <row r="519" spans="2:5" ht="20" customHeight="1" x14ac:dyDescent="0.2">
      <c r="B519" s="4" t="s">
        <v>274</v>
      </c>
      <c r="C519" s="109" t="s">
        <v>126</v>
      </c>
      <c r="D519" s="66"/>
      <c r="E519" s="42"/>
    </row>
    <row r="520" spans="2:5" ht="20" customHeight="1" x14ac:dyDescent="0.2">
      <c r="B520" s="4" t="s">
        <v>180</v>
      </c>
      <c r="C520" s="109" t="str">
        <f>IF(cluster_wld_domain_chosen&lt;&gt;"MGMT Workload Domain",CONCATENATE(prefix_wld_az1_rack_cidr,"37.1"),CONCATENATE(prefix_mgmt_az1_cidr,"37.1"))</f>
        <v>10.13.37.1</v>
      </c>
      <c r="D520" s="66"/>
      <c r="E520" s="42" t="str">
        <f>IF(AND(mgmt_stretched_cluster_result="Included",mgmt_dpg_reuse_result="Excluded"),"Stretched L2","")</f>
        <v/>
      </c>
    </row>
    <row r="521" spans="2:5" ht="20" customHeight="1" x14ac:dyDescent="0.2">
      <c r="B521" s="23" t="s">
        <v>244</v>
      </c>
      <c r="C521" s="109" t="str">
        <f>IF(cluster_wld_domain_chosen&lt;&gt;"MGMT Workload Domain",CONCATENATE(prefix_wld_az1_rack_cidr,"37.101"),CONCATENATE(prefix_mgmt_az1_cidr,"37.101"))</f>
        <v>10.13.37.101</v>
      </c>
      <c r="D521" s="66"/>
      <c r="E521"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22" spans="2:5" ht="20" customHeight="1" x14ac:dyDescent="0.2">
      <c r="B522" s="23" t="s">
        <v>245</v>
      </c>
      <c r="C522" s="109" t="str">
        <f>IF(cluster_wld_domain_chosen&lt;&gt;"MGMT Workload Domain",CONCATENATE(prefix_wld_az1_rack_cidr,"37.116"),CONCATENATE(prefix_mgmt_az1_cidr,"37.116"))</f>
        <v>10.13.37.116</v>
      </c>
      <c r="D522" s="66"/>
      <c r="E522"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23" spans="2:5" ht="20" customHeight="1" x14ac:dyDescent="0.2">
      <c r="B523" s="521" t="str">
        <f>IF(OR(cluster_secondary_storage_chosen="Secondary NFS Storage Network",wld_secondary_storage_chosen="Secondary NFS Storage Network"),"NFS Storage Network","vSAN Storage Client")</f>
        <v>vSAN Storage Client</v>
      </c>
      <c r="C523" s="522"/>
      <c r="D523" s="522"/>
      <c r="E523" s="523"/>
    </row>
    <row r="524" spans="2:5" ht="20" customHeight="1" x14ac:dyDescent="0.2">
      <c r="B524" s="4" t="s">
        <v>85</v>
      </c>
      <c r="C524" s="65" t="str">
        <f>IF(cluster_wld_domain_chosen&lt;&gt;"MGMT Workload Domain",CONCATENATE(prefix_wld_az1_rack_vlan,"48"),CONCATENATE(prefix_mgmt_az1_vlan,"48"))</f>
        <v>1348</v>
      </c>
      <c r="D524" s="66"/>
      <c r="E524" s="42"/>
    </row>
    <row r="525" spans="2:5" ht="20" customHeight="1" x14ac:dyDescent="0.2">
      <c r="B525" s="4" t="s">
        <v>155</v>
      </c>
      <c r="C525" s="65">
        <v>9000</v>
      </c>
      <c r="D525" s="66"/>
      <c r="E525" s="80"/>
    </row>
    <row r="526" spans="2:5" ht="20" customHeight="1" x14ac:dyDescent="0.2">
      <c r="B526" s="4" t="s">
        <v>181</v>
      </c>
      <c r="C526" s="153" t="str">
        <f>IF(cluster_wld_domain_chosen&lt;&gt;"MGMT Workload Domain",CONCATENATE(prefix_wld_az1_rack_cidr,"48.0"),CONCATENATE(prefix_mgmt_az1_cidr,"48.0"))</f>
        <v>10.13.48.0</v>
      </c>
      <c r="D526" s="66"/>
      <c r="E526" s="42"/>
    </row>
    <row r="527" spans="2:5" ht="20" customHeight="1" x14ac:dyDescent="0.2">
      <c r="B527" s="4" t="s">
        <v>274</v>
      </c>
      <c r="C527" s="153" t="s">
        <v>126</v>
      </c>
      <c r="D527" s="66"/>
      <c r="E527" s="42"/>
    </row>
    <row r="528" spans="2:5" ht="20" customHeight="1" x14ac:dyDescent="0.2">
      <c r="B528" s="4" t="s">
        <v>180</v>
      </c>
      <c r="C528" s="65" t="str">
        <f>IF(cluster_wld_domain_chosen&lt;&gt;"MGMT Workload Domain",CONCATENATE(prefix_wld_az1_rack_cidr,"48.1"),CONCATENATE(prefix_mgmt_az1_cidr,"48.1"))</f>
        <v>10.13.48.1</v>
      </c>
      <c r="D528" s="66"/>
      <c r="E528" s="42" t="str">
        <f>IF(AND(mgmt_stretched_cluster_result="Included",mgmt_dpg_reuse_result="Excluded"),"Stretched L2","")</f>
        <v/>
      </c>
    </row>
    <row r="529" spans="2:5" ht="20" customHeight="1" x14ac:dyDescent="0.2">
      <c r="B529" s="23" t="s">
        <v>244</v>
      </c>
      <c r="C529" s="65" t="str">
        <f>IF(cluster_wld_domain_chosen&lt;&gt;"MGMT Workload Domain",CONCATENATE(prefix_wld_az1_rack_cidr,"48.101"),CONCATENATE(prefix_mgmt_az1_cidr,"48.101"))</f>
        <v>10.13.48.101</v>
      </c>
      <c r="D529" s="66"/>
      <c r="E529"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0" spans="2:5" ht="20" customHeight="1" x14ac:dyDescent="0.2">
      <c r="B530" s="23" t="s">
        <v>245</v>
      </c>
      <c r="C530" s="65" t="str">
        <f>IF(cluster_wld_domain_chosen&lt;&gt;"MGMT Workload Domain",CONCATENATE(prefix_wld_az1_rack_cidr,"48.116"),CONCATENATE(prefix_mgmt_az1_cidr,"48.116"))</f>
        <v>10.13.48.116</v>
      </c>
      <c r="D530" s="66"/>
      <c r="E530"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1" spans="2:5" ht="20" customHeight="1" x14ac:dyDescent="0.2">
      <c r="B531" s="521" t="str">
        <f>IF(OR(cluster_secondary_storage_chosen="Secondary NFS Storage Network",wld_secondary_storage_chosen="Secondary NFS Storage Network"),"NFS Storage Network","vSAN Storage Client")</f>
        <v>vSAN Storage Client</v>
      </c>
      <c r="C531" s="522"/>
      <c r="D531" s="522"/>
      <c r="E531" s="523"/>
    </row>
    <row r="532" spans="2:5" ht="20" customHeight="1" x14ac:dyDescent="0.2">
      <c r="B532" s="4" t="s">
        <v>85</v>
      </c>
      <c r="C532" s="65" t="str">
        <f>IF(cluster_wld_domain_chosen&lt;&gt;"MGMT Workload Domain",CONCATENATE(prefix_wld_az1_rack_vlan,"59"),CONCATENATE(prefix_mgmt_az1_vlan,"59"))</f>
        <v>1359</v>
      </c>
      <c r="D532" s="66"/>
      <c r="E532" s="42"/>
    </row>
    <row r="533" spans="2:5" ht="20" customHeight="1" x14ac:dyDescent="0.2">
      <c r="B533" s="4" t="s">
        <v>155</v>
      </c>
      <c r="C533" s="65">
        <v>9000</v>
      </c>
      <c r="D533" s="66"/>
      <c r="E533" s="80"/>
    </row>
    <row r="534" spans="2:5" ht="20" customHeight="1" x14ac:dyDescent="0.2">
      <c r="B534" s="4" t="s">
        <v>181</v>
      </c>
      <c r="C534" s="153" t="str">
        <f>IF(cluster_wld_domain_chosen&lt;&gt;"MGMT Workload Domain",CONCATENATE(prefix_wld_az1_rack_cidr,"59.0"),CONCATENATE(prefix_mgmt_az1_cidr,"59.0"))</f>
        <v>10.13.59.0</v>
      </c>
      <c r="D534" s="66"/>
      <c r="E534" s="42"/>
    </row>
    <row r="535" spans="2:5" ht="20" customHeight="1" x14ac:dyDescent="0.2">
      <c r="B535" s="4" t="s">
        <v>274</v>
      </c>
      <c r="C535" s="153" t="s">
        <v>126</v>
      </c>
      <c r="D535" s="66"/>
      <c r="E535" s="42"/>
    </row>
    <row r="536" spans="2:5" ht="20" customHeight="1" x14ac:dyDescent="0.2">
      <c r="B536" s="4" t="s">
        <v>180</v>
      </c>
      <c r="C536" s="65" t="str">
        <f>IF(cluster_wld_domain_chosen&lt;&gt;"MGMT Workload Domain",CONCATENATE(prefix_wld_az1_rack_cidr,"59.1"),CONCATENATE(prefix_mgmt_az1_cidr,"59.1"))</f>
        <v>10.13.59.1</v>
      </c>
      <c r="D536" s="66"/>
      <c r="E536" s="42" t="str">
        <f>IF(AND(mgmt_stretched_cluster_result="Included",mgmt_dpg_reuse_result="Excluded"),"Stretched L2","")</f>
        <v/>
      </c>
    </row>
    <row r="537" spans="2:5" ht="20" customHeight="1" x14ac:dyDescent="0.2">
      <c r="B537" s="23" t="s">
        <v>244</v>
      </c>
      <c r="C537" s="65" t="str">
        <f>IF(cluster_wld_domain_chosen&lt;&gt;"MGMT Workload Domain",CONCATENATE(prefix_wld_az1_rack_cidr,"59.101"),CONCATENATE(prefix_mgmt_az1_cidr,"59.101"))</f>
        <v>10.13.59.101</v>
      </c>
      <c r="D537" s="66"/>
      <c r="E537"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8" spans="2:5" ht="20" customHeight="1" x14ac:dyDescent="0.2">
      <c r="B538" s="23" t="s">
        <v>245</v>
      </c>
      <c r="C538" s="65" t="str">
        <f>IF(cluster_wld_domain_chosen&lt;&gt;"MGMT Workload Domain",CONCATENATE(prefix_wld_az1_rack_cidr,"59.116"),CONCATENATE(prefix_mgmt_az1_cidr,"59.116"))</f>
        <v>10.13.59.116</v>
      </c>
      <c r="D538" s="66"/>
      <c r="E538"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9" spans="2:5" ht="20" customHeight="1" x14ac:dyDescent="0.2">
      <c r="B539" s="521" t="str">
        <f>IF(OR(cluster_secondary_storage_chosen="Secondary NFS Storage Network",wld_secondary_storage_chosen="Secondary NFS Storage Network"),"NFS Storage Network","vSAN Storage Client")</f>
        <v>vSAN Storage Client</v>
      </c>
      <c r="C539" s="522"/>
      <c r="D539" s="522"/>
      <c r="E539" s="523"/>
    </row>
    <row r="540" spans="2:5" ht="20" customHeight="1" x14ac:dyDescent="0.2">
      <c r="B540" s="4" t="s">
        <v>85</v>
      </c>
      <c r="C540" s="65" t="str">
        <f>IF(cluster_wld_domain_chosen&lt;&gt;"MGMT Workload Domain",CONCATENATE(prefix_wld_az1_rack_vlan,"70"),CONCATENATE(prefix_mgmt_az1_vlan,"70"))</f>
        <v>1370</v>
      </c>
      <c r="D540" s="66"/>
      <c r="E540" s="42"/>
    </row>
    <row r="541" spans="2:5" ht="20" customHeight="1" x14ac:dyDescent="0.2">
      <c r="B541" s="4" t="s">
        <v>155</v>
      </c>
      <c r="C541" s="65">
        <v>9000</v>
      </c>
      <c r="D541" s="66"/>
      <c r="E541" s="80"/>
    </row>
    <row r="542" spans="2:5" ht="20" customHeight="1" x14ac:dyDescent="0.2">
      <c r="B542" s="4" t="s">
        <v>181</v>
      </c>
      <c r="C542" s="153" t="str">
        <f>IF(cluster_wld_domain_chosen&lt;&gt;"MGMT Workload Domain",CONCATENATE(prefix_wld_az1_rack_cidr,"70.0"),CONCATENATE(prefix_mgmt_az1_cidr,"70.0"))</f>
        <v>10.13.70.0</v>
      </c>
      <c r="D542" s="66"/>
      <c r="E542" s="42"/>
    </row>
    <row r="543" spans="2:5" ht="20" customHeight="1" x14ac:dyDescent="0.2">
      <c r="B543" s="4" t="s">
        <v>274</v>
      </c>
      <c r="C543" s="153" t="s">
        <v>126</v>
      </c>
      <c r="D543" s="66"/>
      <c r="E543" s="42"/>
    </row>
    <row r="544" spans="2:5" ht="20" customHeight="1" x14ac:dyDescent="0.2">
      <c r="B544" s="4" t="s">
        <v>180</v>
      </c>
      <c r="C544" s="65" t="str">
        <f>IF(cluster_wld_domain_chosen&lt;&gt;"MGMT Workload Domain",CONCATENATE(prefix_wld_az1_rack_cidr,"70.1"),CONCATENATE(prefix_mgmt_az1_cidr,"70.1"))</f>
        <v>10.13.70.1</v>
      </c>
      <c r="D544" s="66"/>
      <c r="E544" s="42" t="str">
        <f>IF(AND(mgmt_stretched_cluster_result="Included",mgmt_dpg_reuse_result="Excluded"),"Stretched L2","")</f>
        <v/>
      </c>
    </row>
    <row r="545" spans="2:5" ht="20" customHeight="1" x14ac:dyDescent="0.2">
      <c r="B545" s="23" t="s">
        <v>244</v>
      </c>
      <c r="C545" s="65" t="str">
        <f>IF(cluster_wld_domain_chosen&lt;&gt;"MGMT Workload Domain",CONCATENATE(prefix_wld_az1_rack_cidr,"70.101"),CONCATENATE(prefix_mgmt_az1_cidr,"70.101"))</f>
        <v>10.13.70.101</v>
      </c>
      <c r="D545" s="66"/>
      <c r="E545"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46" spans="2:5" ht="20" customHeight="1" x14ac:dyDescent="0.2">
      <c r="B546" s="23" t="s">
        <v>245</v>
      </c>
      <c r="C546" s="65" t="str">
        <f>IF(cluster_wld_domain_chosen&lt;&gt;"MGMT Workload Domain",CONCATENATE(prefix_wld_az1_rack_cidr,"70.116"),CONCATENATE(prefix_mgmt_az1_cidr,"70.116"))</f>
        <v>10.13.70.116</v>
      </c>
      <c r="D546" s="66"/>
      <c r="E546"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47" spans="2:5" ht="20" customHeight="1" x14ac:dyDescent="0.2">
      <c r="B547" s="521" t="str">
        <f>IF(OR(cluster_secondary_storage_chosen="Secondary NFS Storage Network",wld_secondary_storage_chosen="Secondary NFS Storage Network"),"NFS Storage Network","vSAN Storage Client")</f>
        <v>vSAN Storage Client</v>
      </c>
      <c r="C547" s="522"/>
      <c r="D547" s="522"/>
      <c r="E547" s="523"/>
    </row>
    <row r="548" spans="2:5" ht="20" customHeight="1" x14ac:dyDescent="0.2">
      <c r="B548" s="4" t="s">
        <v>85</v>
      </c>
      <c r="C548" s="65" t="str">
        <f>IF(cluster_wld_domain_chosen&lt;&gt;"MGMT Workload Domain",CONCATENATE(prefix_wld_az1_rack_vlan,"81"),CONCATENATE(prefix_mgmt_az1_vlan,"81"))</f>
        <v>1381</v>
      </c>
      <c r="D548" s="66"/>
      <c r="E548" s="42"/>
    </row>
    <row r="549" spans="2:5" ht="20" customHeight="1" x14ac:dyDescent="0.2">
      <c r="B549" s="4" t="s">
        <v>155</v>
      </c>
      <c r="C549" s="65">
        <v>9000</v>
      </c>
      <c r="D549" s="66"/>
      <c r="E549" s="80"/>
    </row>
    <row r="550" spans="2:5" ht="20" customHeight="1" x14ac:dyDescent="0.2">
      <c r="B550" s="4" t="s">
        <v>181</v>
      </c>
      <c r="C550" s="153" t="str">
        <f>IF(cluster_wld_domain_chosen&lt;&gt;"MGMT Workload Domain",CONCATENATE(prefix_wld_az1_rack_cidr,"81.0"),CONCATENATE(prefix_mgmt_az1_cidr,"81.0"))</f>
        <v>10.13.81.0</v>
      </c>
      <c r="D550" s="66"/>
      <c r="E550" s="42"/>
    </row>
    <row r="551" spans="2:5" ht="20" customHeight="1" x14ac:dyDescent="0.2">
      <c r="B551" s="4" t="s">
        <v>274</v>
      </c>
      <c r="C551" s="153" t="s">
        <v>126</v>
      </c>
      <c r="D551" s="66"/>
      <c r="E551" s="42"/>
    </row>
    <row r="552" spans="2:5" ht="20" customHeight="1" x14ac:dyDescent="0.2">
      <c r="B552" s="4" t="s">
        <v>180</v>
      </c>
      <c r="C552" s="65" t="str">
        <f>IF(cluster_wld_domain_chosen&lt;&gt;"MGMT Workload Domain",CONCATENATE(prefix_wld_az1_rack_cidr,"81.1"),CONCATENATE(prefix_mgmt_az1_cidr,"81.1"))</f>
        <v>10.13.81.1</v>
      </c>
      <c r="D552" s="66"/>
      <c r="E552" s="42" t="str">
        <f>IF(AND(mgmt_stretched_cluster_result="Included",mgmt_dpg_reuse_result="Excluded"),"Stretched L2","")</f>
        <v/>
      </c>
    </row>
    <row r="553" spans="2:5" ht="20" customHeight="1" x14ac:dyDescent="0.2">
      <c r="B553" s="23" t="s">
        <v>244</v>
      </c>
      <c r="C553" s="65" t="str">
        <f>IF(cluster_wld_domain_chosen&lt;&gt;"MGMT Workload Domain",CONCATENATE(prefix_wld_az1_rack_cidr,"81.101"),CONCATENATE(prefix_mgmt_az1_cidr,"81.101"))</f>
        <v>10.13.81.101</v>
      </c>
      <c r="D553" s="66"/>
      <c r="E553"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54" spans="2:5" ht="20" customHeight="1" x14ac:dyDescent="0.2">
      <c r="B554" s="23" t="s">
        <v>245</v>
      </c>
      <c r="C554" s="65" t="str">
        <f>IF(cluster_wld_domain_chosen&lt;&gt;"MGMT Workload Domain",CONCATENATE(prefix_wld_az1_rack_cidr,"81.116"),CONCATENATE(prefix_mgmt_az1_cidr,"81.116"))</f>
        <v>10.13.81.116</v>
      </c>
      <c r="D554" s="66"/>
      <c r="E554"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55" spans="2:5" ht="20" customHeight="1" x14ac:dyDescent="0.2">
      <c r="B555" s="521" t="str">
        <f>IF(OR(cluster_secondary_storage_chosen="Secondary NFS Storage Network",wld_secondary_storage_chosen="Secondary NFS Storage Network"),"NFS Storage Network","vSAN Storage Client")</f>
        <v>vSAN Storage Client</v>
      </c>
      <c r="C555" s="522"/>
      <c r="D555" s="522"/>
      <c r="E555" s="523"/>
    </row>
    <row r="556" spans="2:5" ht="20" customHeight="1" x14ac:dyDescent="0.2">
      <c r="B556" s="4" t="s">
        <v>85</v>
      </c>
      <c r="C556" s="65" t="str">
        <f>IF(cluster_wld_domain_chosen&lt;&gt;"MGMT Workload Domain",CONCATENATE(prefix_wld_az1_rack_vlan,"92"),CONCATENATE(prefix_mgmt_az1_vlan,"92"))</f>
        <v>1392</v>
      </c>
      <c r="D556" s="66"/>
      <c r="E556" s="42"/>
    </row>
    <row r="557" spans="2:5" ht="20" customHeight="1" x14ac:dyDescent="0.2">
      <c r="B557" s="4" t="s">
        <v>155</v>
      </c>
      <c r="C557" s="65">
        <v>9200</v>
      </c>
      <c r="D557" s="66"/>
      <c r="E557" s="80"/>
    </row>
    <row r="558" spans="2:5" ht="20" customHeight="1" x14ac:dyDescent="0.2">
      <c r="B558" s="4" t="s">
        <v>181</v>
      </c>
      <c r="C558" s="153" t="str">
        <f>IF(cluster_wld_domain_chosen&lt;&gt;"MGMT Workload Domain",CONCATENATE(prefix_wld_az1_rack_cidr,"92.0"),CONCATENATE(prefix_mgmt_az1_cidr,"92.0"))</f>
        <v>10.13.92.0</v>
      </c>
      <c r="D558" s="66"/>
      <c r="E558" s="42"/>
    </row>
    <row r="559" spans="2:5" ht="20" customHeight="1" x14ac:dyDescent="0.2">
      <c r="B559" s="4" t="s">
        <v>274</v>
      </c>
      <c r="C559" s="153" t="s">
        <v>126</v>
      </c>
      <c r="D559" s="66"/>
      <c r="E559" s="42"/>
    </row>
    <row r="560" spans="2:5" ht="20" customHeight="1" x14ac:dyDescent="0.2">
      <c r="B560" s="4" t="s">
        <v>180</v>
      </c>
      <c r="C560" s="65" t="str">
        <f>IF(cluster_wld_domain_chosen&lt;&gt;"MGMT Workload Domain",CONCATENATE(prefix_wld_az1_rack_cidr,"92.1"),CONCATENATE(prefix_mgmt_az1_cidr,"92.1"))</f>
        <v>10.13.92.1</v>
      </c>
      <c r="D560" s="66"/>
      <c r="E560" s="42" t="str">
        <f>IF(AND(mgmt_stretched_cluster_result="Included",mgmt_dpg_reuse_result="Excluded"),"Stretched L2","")</f>
        <v/>
      </c>
    </row>
    <row r="561" spans="2:5" ht="20" customHeight="1" x14ac:dyDescent="0.2">
      <c r="B561" s="23" t="s">
        <v>244</v>
      </c>
      <c r="C561" s="65" t="str">
        <f>IF(cluster_wld_domain_chosen&lt;&gt;"MGMT Workload Domain",CONCATENATE(prefix_wld_az1_rack_cidr,"92.101"),CONCATENATE(prefix_mgmt_az1_cidr,"92.101"))</f>
        <v>10.13.92.101</v>
      </c>
      <c r="D561" s="66"/>
      <c r="E561"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62" spans="2:5" ht="20" customHeight="1" x14ac:dyDescent="0.2">
      <c r="B562" s="23" t="s">
        <v>245</v>
      </c>
      <c r="C562" s="65" t="str">
        <f>IF(cluster_wld_domain_chosen&lt;&gt;"MGMT Workload Domain",CONCATENATE(prefix_wld_az1_rack_cidr,"92.116"),CONCATENATE(prefix_mgmt_az1_cidr,"92.116"))</f>
        <v>10.13.92.116</v>
      </c>
      <c r="D562" s="66"/>
      <c r="E562"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sheetData>
  <sheetProtection algorithmName="SHA-512" hashValue="1vtGKzy5GuWNdbg7nVXRyNOt0OzUZmoT3HzRNiYuVnClEKn5F8f6+Ov34axM1xWU3gqfDttvalDYhw75CDp5WQ==" saltValue="JGNPGyXnt7I/fKEOsReMKA==" spinCount="100000" sheet="1" objects="1" scenarios="1"/>
  <mergeCells count="66">
    <mergeCell ref="B547:E547"/>
    <mergeCell ref="B555:E555"/>
    <mergeCell ref="B507:E507"/>
    <mergeCell ref="B515:E515"/>
    <mergeCell ref="B523:E523"/>
    <mergeCell ref="B531:E531"/>
    <mergeCell ref="B539:E539"/>
    <mergeCell ref="B410:E410"/>
    <mergeCell ref="B389:E389"/>
    <mergeCell ref="B400:E400"/>
    <mergeCell ref="B408:E408"/>
    <mergeCell ref="B251:E251"/>
    <mergeCell ref="B363:E363"/>
    <mergeCell ref="B384:E384"/>
    <mergeCell ref="B358:E358"/>
    <mergeCell ref="B266:E266"/>
    <mergeCell ref="B262:E262"/>
    <mergeCell ref="B287:E287"/>
    <mergeCell ref="B292:E292"/>
    <mergeCell ref="B356:E356"/>
    <mergeCell ref="B327:E327"/>
    <mergeCell ref="B329:E329"/>
    <mergeCell ref="B342:E342"/>
    <mergeCell ref="B309:E309"/>
    <mergeCell ref="B127:E127"/>
    <mergeCell ref="B201:E201"/>
    <mergeCell ref="B273:E273"/>
    <mergeCell ref="B246:E246"/>
    <mergeCell ref="B217:E217"/>
    <mergeCell ref="B175:E175"/>
    <mergeCell ref="B152:E152"/>
    <mergeCell ref="B194:E194"/>
    <mergeCell ref="B181:E181"/>
    <mergeCell ref="B133:E133"/>
    <mergeCell ref="B160:E160"/>
    <mergeCell ref="B139:E139"/>
    <mergeCell ref="B219:E219"/>
    <mergeCell ref="B221:E221"/>
    <mergeCell ref="B226:E226"/>
    <mergeCell ref="B76:E76"/>
    <mergeCell ref="B66:E66"/>
    <mergeCell ref="B93:E93"/>
    <mergeCell ref="B95:E95"/>
    <mergeCell ref="B121:E121"/>
    <mergeCell ref="B101:E101"/>
    <mergeCell ref="B109:E109"/>
    <mergeCell ref="B84:E84"/>
    <mergeCell ref="B35:E35"/>
    <mergeCell ref="B52:E52"/>
    <mergeCell ref="B54:E54"/>
    <mergeCell ref="B68:E68"/>
    <mergeCell ref="B14:E14"/>
    <mergeCell ref="B2:J2"/>
    <mergeCell ref="B1:J1"/>
    <mergeCell ref="B16:E16"/>
    <mergeCell ref="B27:E27"/>
    <mergeCell ref="B25:E25"/>
    <mergeCell ref="H3:J3"/>
    <mergeCell ref="H11:J11"/>
    <mergeCell ref="H10:J10"/>
    <mergeCell ref="H12:J12"/>
    <mergeCell ref="H9:J9"/>
    <mergeCell ref="B8:J8"/>
    <mergeCell ref="H5:J5"/>
    <mergeCell ref="H7:J7"/>
    <mergeCell ref="H6:J6"/>
  </mergeCells>
  <conditionalFormatting sqref="D508:D514">
    <cfRule type="expression" dxfId="312" priority="45">
      <formula>wld_az1_rack2_reuse_vcf_networkpool_chosen="Re-use an existing VCF Network Pool"</formula>
    </cfRule>
    <cfRule type="expression" dxfId="311" priority="46">
      <formula>wld_multirack_result="Excluded"</formula>
    </cfRule>
    <cfRule type="expression" dxfId="310" priority="47">
      <formula>AND((cluster_secondary_storage_result="Excluded"),(wld_secondary_storage_result="Excluded"))</formula>
    </cfRule>
    <cfRule type="notContainsBlanks" dxfId="308" priority="49">
      <formula>LEN(TRIM(D508))&gt;0</formula>
    </cfRule>
    <cfRule type="containsBlanks" dxfId="307" priority="50">
      <formula>LEN(TRIM(D508))=0</formula>
    </cfRule>
  </conditionalFormatting>
  <conditionalFormatting sqref="D516:D522">
    <cfRule type="expression" dxfId="306" priority="39">
      <formula>wld_az1_rack3_reuse_vcf_networkpool_chosen="Re-use an existing VCF Network Pool"</formula>
    </cfRule>
    <cfRule type="expression" dxfId="305" priority="40">
      <formula>wld_multirack_result="Excluded"</formula>
    </cfRule>
    <cfRule type="expression" dxfId="304" priority="41">
      <formula>AND((cluster_secondary_storage_result="Excluded"),(wld_secondary_storage_result="Excluded"))</formula>
    </cfRule>
    <cfRule type="notContainsBlanks" dxfId="302" priority="43">
      <formula>LEN(TRIM(D516))&gt;0</formula>
    </cfRule>
    <cfRule type="containsBlanks" dxfId="301" priority="44">
      <formula>LEN(TRIM(D516))=0</formula>
    </cfRule>
  </conditionalFormatting>
  <conditionalFormatting sqref="D524:D530">
    <cfRule type="expression" dxfId="300" priority="33">
      <formula>wld_az1_rack4_reuse_vcf_networkpool_chosen="Re-use an existing VCF Network Pool"</formula>
    </cfRule>
    <cfRule type="expression" dxfId="299" priority="34">
      <formula>wld_multirack_result="Excluded"</formula>
    </cfRule>
    <cfRule type="expression" dxfId="298" priority="35">
      <formula>AND((cluster_secondary_storage_result="Excluded"),(wld_secondary_storage_result="Excluded"))</formula>
    </cfRule>
    <cfRule type="notContainsBlanks" dxfId="296" priority="37">
      <formula>LEN(TRIM(D524))&gt;0</formula>
    </cfRule>
    <cfRule type="containsBlanks" dxfId="295" priority="38">
      <formula>LEN(TRIM(D524))=0</formula>
    </cfRule>
  </conditionalFormatting>
  <conditionalFormatting sqref="D532:D538">
    <cfRule type="expression" dxfId="294" priority="26">
      <formula>wld_az1_rack5_reuse_vcf_networkpool_chosen="Re-use an existing VCF Network Pool"</formula>
    </cfRule>
    <cfRule type="expression" dxfId="293" priority="27">
      <formula>wld_multirack_result="Excluded"</formula>
    </cfRule>
    <cfRule type="expression" dxfId="292" priority="28">
      <formula>AND((cluster_secondary_storage_result="Excluded"),(wld_secondary_storage_result="Excluded"))</formula>
    </cfRule>
    <cfRule type="expression" dxfId="291" priority="29">
      <formula>wld_multi_rack_count_chosen&lt;4</formula>
    </cfRule>
    <cfRule type="notContainsBlanks" dxfId="289" priority="31">
      <formula>LEN(TRIM(D532))&gt;0</formula>
    </cfRule>
    <cfRule type="containsBlanks" dxfId="288" priority="32">
      <formula>LEN(TRIM(D532))=0</formula>
    </cfRule>
  </conditionalFormatting>
  <conditionalFormatting sqref="D540:D546">
    <cfRule type="expression" dxfId="287" priority="19">
      <formula>wld_az1_rack6_reuse_vcf_networkpool_chosen="Re-use an existing VCF Network Pool"</formula>
    </cfRule>
    <cfRule type="expression" dxfId="286" priority="20">
      <formula>wld_multirack_result="Excluded"</formula>
    </cfRule>
    <cfRule type="expression" dxfId="285" priority="21">
      <formula>AND((cluster_secondary_storage_result="Excluded"),(wld_secondary_storage_result="Excluded"))</formula>
    </cfRule>
    <cfRule type="expression" dxfId="284" priority="22">
      <formula>wld_multi_rack_count_chosen&lt;5</formula>
    </cfRule>
    <cfRule type="notContainsBlanks" dxfId="282" priority="24">
      <formula>LEN(TRIM(D540))&gt;0</formula>
    </cfRule>
    <cfRule type="containsBlanks" dxfId="281" priority="25">
      <formula>LEN(TRIM(D540))=0</formula>
    </cfRule>
  </conditionalFormatting>
  <conditionalFormatting sqref="D548:D554">
    <cfRule type="expression" dxfId="280" priority="12">
      <formula>wld_az1_rack7_reuse_vcf_networkpool_chosen="Re-use an existing VCF Network Pool"</formula>
    </cfRule>
    <cfRule type="expression" dxfId="279" priority="13">
      <formula>wld_multirack_result="Excluded"</formula>
    </cfRule>
    <cfRule type="expression" dxfId="278" priority="14">
      <formula>AND((cluster_secondary_storage_result="Excluded"),(wld_secondary_storage_result="Excluded"))</formula>
    </cfRule>
    <cfRule type="expression" dxfId="277" priority="15">
      <formula>wld_multi_rack_count_chosen&lt;6</formula>
    </cfRule>
    <cfRule type="notContainsBlanks" dxfId="275" priority="17">
      <formula>LEN(TRIM(D548))&gt;0</formula>
    </cfRule>
    <cfRule type="containsBlanks" dxfId="274" priority="18">
      <formula>LEN(TRIM(D548))=0</formula>
    </cfRule>
  </conditionalFormatting>
  <conditionalFormatting sqref="D556:D562">
    <cfRule type="expression" dxfId="273" priority="5">
      <formula>wld_az1_rack8_reuse_vcf_networkpool_chosen="Re-use an existing VCF Network Pool"</formula>
    </cfRule>
    <cfRule type="expression" dxfId="272" priority="6">
      <formula>wld_multirack_result="Excluded"</formula>
    </cfRule>
    <cfRule type="expression" dxfId="271" priority="7">
      <formula>AND((cluster_secondary_storage_result="Excluded"),(wld_secondary_storage_result="Excluded"))</formula>
    </cfRule>
    <cfRule type="expression" dxfId="270" priority="8">
      <formula>wld_multi_rack_count_chosen&lt;7</formula>
    </cfRule>
    <cfRule type="notContainsBlanks" dxfId="268" priority="10">
      <formula>LEN(TRIM(D556))&gt;0</formula>
    </cfRule>
    <cfRule type="containsBlanks" dxfId="267" priority="11">
      <formula>LEN(TRIM(D556))=0</formula>
    </cfRule>
  </conditionalFormatting>
  <conditionalFormatting sqref="S7">
    <cfRule type="expression" dxfId="266" priority="1">
      <formula>wld_domain_result="Excluded"</formula>
    </cfRule>
    <cfRule type="expression" dxfId="265" priority="2">
      <formula>mgmt_domain_result="Excluded"</formula>
    </cfRule>
    <cfRule type="notContainsBlanks" dxfId="264" priority="3">
      <formula>LEN(TRIM(S7))&gt;0</formula>
    </cfRule>
    <cfRule type="containsBlanks" dxfId="263" priority="4">
      <formula>LEN(TRIM(S7))=0</formula>
    </cfRule>
  </conditionalFormatting>
  <dataValidations count="3">
    <dataValidation type="list" allowBlank="1" showInputMessage="1" showErrorMessage="1" sqref="C15:D15 C26" xr:uid="{4BEA9190-F800-344C-9020-B8C55E48864B}">
      <formula1>"Standard,Consolidated"</formula1>
    </dataValidation>
    <dataValidation type="list" allowBlank="1" showInputMessage="1" showErrorMessage="1" sqref="C64:D64 C89:D89" xr:uid="{F6BD0DA2-C340-4D45-B623-C1DC9E1F8C89}">
      <formula1>"Same SSO Domain,Different SSO Domain"</formula1>
    </dataValidation>
    <dataValidation type="list" allowBlank="1" showInputMessage="1" showErrorMessage="1" sqref="C53:D53" xr:uid="{3015415A-7C1C-CF4C-8C61-F8EE485E76C0}">
      <formula1>"User Interface,PowerShell"</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8" operator="containsText" id="{AD33D65D-6814-4240-869F-C80BD31C8F37}">
            <xm:f>NOT(ISERROR(SEARCH("Value Missing",D508)))</xm:f>
            <xm:f>"Value Missing"</xm:f>
            <x14:dxf>
              <font>
                <color rgb="FF0E223A"/>
              </font>
              <fill>
                <patternFill>
                  <bgColor rgb="FFFFBE29"/>
                </patternFill>
              </fill>
            </x14:dxf>
          </x14:cfRule>
          <xm:sqref>D508:D514</xm:sqref>
        </x14:conditionalFormatting>
        <x14:conditionalFormatting xmlns:xm="http://schemas.microsoft.com/office/excel/2006/main">
          <x14:cfRule type="containsText" priority="42" operator="containsText" id="{A048F58B-06EB-8848-9A55-BCC5EEC7D84C}">
            <xm:f>NOT(ISERROR(SEARCH("Value Missing",D516)))</xm:f>
            <xm:f>"Value Missing"</xm:f>
            <x14:dxf>
              <font>
                <color rgb="FF0E223A"/>
              </font>
              <fill>
                <patternFill>
                  <bgColor rgb="FFFFBE29"/>
                </patternFill>
              </fill>
            </x14:dxf>
          </x14:cfRule>
          <xm:sqref>D516:D522</xm:sqref>
        </x14:conditionalFormatting>
        <x14:conditionalFormatting xmlns:xm="http://schemas.microsoft.com/office/excel/2006/main">
          <x14:cfRule type="containsText" priority="36" operator="containsText" id="{F0FD4B9B-BB02-C349-8838-ABC7D6C78C5B}">
            <xm:f>NOT(ISERROR(SEARCH("Value Missing",D524)))</xm:f>
            <xm:f>"Value Missing"</xm:f>
            <x14:dxf>
              <font>
                <color rgb="FF0E223A"/>
              </font>
              <fill>
                <patternFill>
                  <bgColor rgb="FFFFBE29"/>
                </patternFill>
              </fill>
            </x14:dxf>
          </x14:cfRule>
          <xm:sqref>D524:D530</xm:sqref>
        </x14:conditionalFormatting>
        <x14:conditionalFormatting xmlns:xm="http://schemas.microsoft.com/office/excel/2006/main">
          <x14:cfRule type="containsText" priority="30" operator="containsText" id="{0418E6D3-E2E9-AD45-9EFF-B86DD5A86B97}">
            <xm:f>NOT(ISERROR(SEARCH("Value Missing",D532)))</xm:f>
            <xm:f>"Value Missing"</xm:f>
            <x14:dxf>
              <font>
                <color rgb="FF0E223A"/>
              </font>
              <fill>
                <patternFill>
                  <bgColor rgb="FFFFBE29"/>
                </patternFill>
              </fill>
            </x14:dxf>
          </x14:cfRule>
          <xm:sqref>D532:D538</xm:sqref>
        </x14:conditionalFormatting>
        <x14:conditionalFormatting xmlns:xm="http://schemas.microsoft.com/office/excel/2006/main">
          <x14:cfRule type="containsText" priority="23" operator="containsText" id="{51E4AF8D-DD3E-3448-BF62-C0FF2F8040EA}">
            <xm:f>NOT(ISERROR(SEARCH("Value Missing",D540)))</xm:f>
            <xm:f>"Value Missing"</xm:f>
            <x14:dxf>
              <font>
                <color rgb="FF0E223A"/>
              </font>
              <fill>
                <patternFill>
                  <bgColor rgb="FFFFBE29"/>
                </patternFill>
              </fill>
            </x14:dxf>
          </x14:cfRule>
          <xm:sqref>D540:D546</xm:sqref>
        </x14:conditionalFormatting>
        <x14:conditionalFormatting xmlns:xm="http://schemas.microsoft.com/office/excel/2006/main">
          <x14:cfRule type="containsText" priority="16" operator="containsText" id="{ADD8C2A2-9A27-C247-96FA-A3E154397623}">
            <xm:f>NOT(ISERROR(SEARCH("Value Missing",D548)))</xm:f>
            <xm:f>"Value Missing"</xm:f>
            <x14:dxf>
              <font>
                <color rgb="FF0E223A"/>
              </font>
              <fill>
                <patternFill>
                  <bgColor rgb="FFFFBE29"/>
                </patternFill>
              </fill>
            </x14:dxf>
          </x14:cfRule>
          <xm:sqref>D548:D554</xm:sqref>
        </x14:conditionalFormatting>
        <x14:conditionalFormatting xmlns:xm="http://schemas.microsoft.com/office/excel/2006/main">
          <x14:cfRule type="containsText" priority="9" operator="containsText" id="{4050537B-F511-BA42-A3A7-EBD16B9D0506}">
            <xm:f>NOT(ISERROR(SEARCH("Value Missing",D556)))</xm:f>
            <xm:f>"Value Missing"</xm:f>
            <x14:dxf>
              <font>
                <color rgb="FF0E223A"/>
              </font>
              <fill>
                <patternFill>
                  <bgColor rgb="FFFFBE29"/>
                </patternFill>
              </fill>
            </x14:dxf>
          </x14:cfRule>
          <xm:sqref>D556:D562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0476-CC84-E044-9A93-EB76B090E826}">
  <sheetPr codeName="Sheet7">
    <tabColor theme="7" tint="0.59999389629810485"/>
  </sheetPr>
  <dimension ref="A1:J656"/>
  <sheetViews>
    <sheetView showGridLines="0" workbookViewId="0">
      <pane ySplit="4" topLeftCell="A5" activePane="bottomLeft" state="frozen"/>
      <selection pane="bottomLeft"/>
    </sheetView>
  </sheetViews>
  <sheetFormatPr baseColWidth="10" defaultRowHeight="16" x14ac:dyDescent="0.2"/>
  <cols>
    <col min="1" max="1" width="2.83203125" customWidth="1"/>
    <col min="2" max="4" width="75.83203125" customWidth="1"/>
    <col min="5" max="5" width="125.83203125" customWidth="1"/>
  </cols>
  <sheetData>
    <row r="1" spans="1:10" s="2" customFormat="1" ht="16" customHeight="1" x14ac:dyDescent="0.2">
      <c r="A1" s="1"/>
      <c r="F1" s="9"/>
      <c r="G1" s="9"/>
      <c r="H1" s="9"/>
      <c r="I1" s="9"/>
      <c r="J1" s="9"/>
    </row>
    <row r="2" spans="1:10" s="2" customFormat="1" ht="54" customHeight="1" x14ac:dyDescent="0.2">
      <c r="B2" s="593" t="s">
        <v>2326</v>
      </c>
      <c r="C2" s="594"/>
      <c r="D2" s="594"/>
      <c r="E2" s="595"/>
      <c r="F2" s="9"/>
      <c r="G2" s="9"/>
      <c r="H2" s="9"/>
      <c r="I2" s="9"/>
      <c r="J2" s="9"/>
    </row>
    <row r="3" spans="1:10" s="2" customFormat="1" ht="20" customHeight="1" x14ac:dyDescent="0.2">
      <c r="B3" s="596" t="s">
        <v>642</v>
      </c>
      <c r="C3" s="597"/>
      <c r="D3" s="597"/>
      <c r="E3" s="598"/>
      <c r="F3" s="9"/>
      <c r="G3" s="9"/>
      <c r="H3" s="9"/>
      <c r="I3" s="9"/>
      <c r="J3" s="9"/>
    </row>
    <row r="4" spans="1:10" s="2" customFormat="1" x14ac:dyDescent="0.2">
      <c r="B4" s="2" t="s">
        <v>815</v>
      </c>
      <c r="D4" s="11"/>
      <c r="E4" s="3"/>
      <c r="F4" s="3"/>
    </row>
    <row r="5" spans="1:10" s="9" customFormat="1" ht="16" customHeight="1" x14ac:dyDescent="0.2"/>
    <row r="6" spans="1:10" ht="34" customHeight="1" x14ac:dyDescent="0.2">
      <c r="B6" s="559" t="s">
        <v>2327</v>
      </c>
      <c r="C6" s="560"/>
      <c r="D6" s="560"/>
      <c r="E6" s="561"/>
    </row>
    <row r="7" spans="1:10" ht="20" customHeight="1" x14ac:dyDescent="0.2">
      <c r="B7" s="62" t="s">
        <v>250</v>
      </c>
      <c r="C7" s="62" t="s">
        <v>251</v>
      </c>
      <c r="D7" s="160" t="s">
        <v>20</v>
      </c>
      <c r="E7" s="62" t="s">
        <v>252</v>
      </c>
    </row>
    <row r="8" spans="1:10" ht="20" customHeight="1" x14ac:dyDescent="0.2">
      <c r="B8" s="521" t="s">
        <v>202</v>
      </c>
      <c r="C8" s="522"/>
      <c r="D8" s="522"/>
      <c r="E8" s="523"/>
    </row>
    <row r="9" spans="1:10" ht="20" customHeight="1" x14ac:dyDescent="0.2">
      <c r="B9" s="4" t="s">
        <v>85</v>
      </c>
      <c r="C9" s="103" t="str">
        <f>IF(cluster_wld_domain_chosen&lt;&gt;"MGMT Workload Domain",CONCATENATE(prefix_wld_az1_rack_vlan,"22"),CONCATENATE(prefix_mgmt_az1_vlan,"22"))</f>
        <v>1322</v>
      </c>
      <c r="D9" s="66"/>
      <c r="E9" s="113"/>
    </row>
    <row r="10" spans="1:10" ht="20" customHeight="1" x14ac:dyDescent="0.2">
      <c r="B10" s="4" t="s">
        <v>180</v>
      </c>
      <c r="C10" s="103" t="str">
        <f>IF(cluster_wld_domain_chosen&lt;&gt;"MGMT Workload Domain",CONCATENATE(prefix_wld_az1_rack_cidr,"22.1"),CONCATENATE(prefix_mgmt_az1_cidr,"22.1"))</f>
        <v>10.13.22.1</v>
      </c>
      <c r="D10" s="66"/>
      <c r="E10" s="42"/>
    </row>
    <row r="11" spans="1:10" ht="20" customHeight="1" x14ac:dyDescent="0.2">
      <c r="B11" s="4" t="s">
        <v>181</v>
      </c>
      <c r="C11" s="103" t="str">
        <f>IF(cluster_wld_domain_chosen&lt;&gt;"MGMT Workload Domain",CONCATENATE(prefix_wld_az1_rack_cidr,"22.0/24"),CONCATENATE(prefix_mgmt_az1_cidr,"22.0/24"))</f>
        <v>10.13.22.0/24</v>
      </c>
      <c r="D11" s="66"/>
      <c r="E11" s="42"/>
    </row>
    <row r="12" spans="1:10" ht="20" customHeight="1" x14ac:dyDescent="0.2">
      <c r="B12" s="4" t="s">
        <v>155</v>
      </c>
      <c r="C12" s="103">
        <v>1500</v>
      </c>
      <c r="D12" s="66"/>
      <c r="E12" s="42"/>
    </row>
    <row r="13" spans="1:10" ht="20" customHeight="1" x14ac:dyDescent="0.2">
      <c r="B13" s="546" t="s">
        <v>203</v>
      </c>
      <c r="C13" s="547"/>
      <c r="D13" s="547"/>
      <c r="E13" s="548"/>
    </row>
    <row r="14" spans="1:10" ht="20" customHeight="1" x14ac:dyDescent="0.2">
      <c r="B14" s="23" t="s">
        <v>204</v>
      </c>
      <c r="C14" s="103" t="str">
        <f>IF(cluster_wld_domain_chosen&lt;&gt;"MGMT Workload Domain",CONCATENATE(prefix_wld_az1_rack_cidr,"22.101"),CONCATENATE(prefix_mgmt_az1_cidr,"22.101"))</f>
        <v>10.13.22.101</v>
      </c>
      <c r="D14" s="66"/>
      <c r="E14" s="162" t="s">
        <v>205</v>
      </c>
    </row>
    <row r="15" spans="1:10" ht="20" customHeight="1" x14ac:dyDescent="0.2">
      <c r="B15" s="23" t="s">
        <v>206</v>
      </c>
      <c r="C15" s="103" t="str">
        <f>IF(cluster_wld_domain_chosen&lt;&gt;"MGMT Workload Domain",CONCATENATE(prefix_wld_az1_rack_cidr,"22.102"),CONCATENATE(prefix_mgmt_az1_cidr,"22.102"))</f>
        <v>10.13.22.102</v>
      </c>
      <c r="D15" s="66"/>
      <c r="E15" s="162" t="s">
        <v>207</v>
      </c>
    </row>
    <row r="16" spans="1:10" ht="20" customHeight="1" x14ac:dyDescent="0.2">
      <c r="B16" s="23" t="s">
        <v>208</v>
      </c>
      <c r="C16" s="103" t="str">
        <f>IF(cluster_wld_domain_chosen&lt;&gt;"MGMT Workload Domain",CONCATENATE(prefix_wld_az1_rack_cidr,"22.103"),CONCATENATE(prefix_mgmt_az1_cidr,"22.103"))</f>
        <v>10.13.22.103</v>
      </c>
      <c r="D16" s="66"/>
      <c r="E16" s="162" t="s">
        <v>209</v>
      </c>
    </row>
    <row r="17" spans="2:5" ht="20" customHeight="1" x14ac:dyDescent="0.2">
      <c r="B17" s="23" t="s">
        <v>210</v>
      </c>
      <c r="C17" s="103" t="str">
        <f>IF(cluster_wld_domain_chosen&lt;&gt;"MGMT Workload Domain",CONCATENATE(prefix_wld_az1_rack_cidr,"22.104"),CONCATENATE(prefix_mgmt_az1_cidr,"22.104"))</f>
        <v>10.13.22.104</v>
      </c>
      <c r="D17" s="66"/>
      <c r="E17" s="162" t="s">
        <v>211</v>
      </c>
    </row>
    <row r="18" spans="2:5" ht="20" customHeight="1" x14ac:dyDescent="0.2">
      <c r="B18" s="23" t="s">
        <v>212</v>
      </c>
      <c r="C18" s="103" t="str">
        <f>IF(cluster_wld_domain_chosen&lt;&gt;"MGMT Workload Domain",CONCATENATE(prefix_wld_az1_rack_cidr,"22.105"),CONCATENATE(prefix_mgmt_az1_cidr,"22.105"))</f>
        <v>10.13.22.105</v>
      </c>
      <c r="D18" s="66"/>
      <c r="E18" s="162" t="s">
        <v>213</v>
      </c>
    </row>
    <row r="19" spans="2:5" ht="20" customHeight="1" x14ac:dyDescent="0.2">
      <c r="B19" s="23" t="s">
        <v>214</v>
      </c>
      <c r="C19" s="103" t="str">
        <f>IF(cluster_wld_domain_chosen&lt;&gt;"MGMT Workload Domain",CONCATENATE(prefix_wld_az1_rack_cidr,"22.106"),CONCATENATE(prefix_mgmt_az1_cidr,"22.106"))</f>
        <v>10.13.22.106</v>
      </c>
      <c r="D19" s="66"/>
      <c r="E19" s="162" t="s">
        <v>215</v>
      </c>
    </row>
    <row r="20" spans="2:5" ht="20" customHeight="1" x14ac:dyDescent="0.2">
      <c r="B20" s="23" t="s">
        <v>216</v>
      </c>
      <c r="C20" s="103" t="str">
        <f>IF(cluster_wld_domain_chosen&lt;&gt;"MGMT Workload Domain",CONCATENATE(prefix_wld_az1_rack_cidr,"22.107"),CONCATENATE(prefix_mgmt_az1_cidr,"22.107"))</f>
        <v>10.13.22.107</v>
      </c>
      <c r="D20" s="66"/>
      <c r="E20" s="162" t="s">
        <v>217</v>
      </c>
    </row>
    <row r="21" spans="2:5" ht="20" customHeight="1" x14ac:dyDescent="0.2">
      <c r="B21" s="23" t="s">
        <v>218</v>
      </c>
      <c r="C21" s="103" t="str">
        <f>IF(cluster_wld_domain_chosen&lt;&gt;"MGMT Workload Domain",CONCATENATE(prefix_wld_az1_rack_cidr,"22.108"),CONCATENATE(prefix_mgmt_az1_cidr,"22.108"))</f>
        <v>10.13.22.108</v>
      </c>
      <c r="D21" s="66"/>
      <c r="E21" s="162" t="s">
        <v>219</v>
      </c>
    </row>
    <row r="22" spans="2:5" ht="20" customHeight="1" x14ac:dyDescent="0.2">
      <c r="B22" s="23" t="s">
        <v>220</v>
      </c>
      <c r="C22" s="103" t="str">
        <f>IF(cluster_wld_domain_chosen&lt;&gt;"MGMT Workload Domain",CONCATENATE(prefix_wld_az1_rack_cidr,"22.109"),CONCATENATE(prefix_mgmt_az1_cidr,"22.109"))</f>
        <v>10.13.22.109</v>
      </c>
      <c r="D22" s="66"/>
      <c r="E22" s="162" t="s">
        <v>221</v>
      </c>
    </row>
    <row r="23" spans="2:5" ht="20" customHeight="1" x14ac:dyDescent="0.2">
      <c r="B23" s="23" t="s">
        <v>222</v>
      </c>
      <c r="C23" s="103" t="str">
        <f>IF(cluster_wld_domain_chosen&lt;&gt;"MGMT Workload Domain",CONCATENATE(prefix_wld_az1_rack_cidr,"22.110"),CONCATENATE(prefix_mgmt_az1_cidr,"22.110"))</f>
        <v>10.13.22.110</v>
      </c>
      <c r="D23" s="66"/>
      <c r="E23" s="162" t="s">
        <v>223</v>
      </c>
    </row>
    <row r="24" spans="2:5" ht="20" customHeight="1" x14ac:dyDescent="0.2">
      <c r="B24" s="23" t="s">
        <v>224</v>
      </c>
      <c r="C24" s="103" t="str">
        <f>IF(cluster_wld_domain_chosen&lt;&gt;"MGMT Workload Domain",CONCATENATE(prefix_wld_az1_rack_cidr,"22.111"),CONCATENATE(prefix_mgmt_az1_cidr,"22.111"))</f>
        <v>10.13.22.111</v>
      </c>
      <c r="D24" s="66"/>
      <c r="E24" s="162" t="s">
        <v>225</v>
      </c>
    </row>
    <row r="25" spans="2:5" ht="20" customHeight="1" x14ac:dyDescent="0.2">
      <c r="B25" s="23" t="s">
        <v>226</v>
      </c>
      <c r="C25" s="103" t="str">
        <f>IF(cluster_wld_domain_chosen&lt;&gt;"MGMT Workload Domain",CONCATENATE(prefix_wld_az1_rack_cidr,"22.112"),CONCATENATE(prefix_mgmt_az1_cidr,"22.112"))</f>
        <v>10.13.22.112</v>
      </c>
      <c r="D25" s="66"/>
      <c r="E25" s="162" t="s">
        <v>227</v>
      </c>
    </row>
    <row r="26" spans="2:5" ht="20" customHeight="1" x14ac:dyDescent="0.2">
      <c r="B26" s="23" t="s">
        <v>228</v>
      </c>
      <c r="C26" s="103" t="str">
        <f>IF(cluster_wld_domain_chosen&lt;&gt;"MGMT Workload Domain",CONCATENATE(prefix_wld_az1_rack_cidr,"22.113"),CONCATENATE(prefix_mgmt_az1_cidr,"22.113"))</f>
        <v>10.13.22.113</v>
      </c>
      <c r="D26" s="66"/>
      <c r="E26" s="162" t="s">
        <v>229</v>
      </c>
    </row>
    <row r="27" spans="2:5" ht="20" customHeight="1" x14ac:dyDescent="0.2">
      <c r="B27" s="23" t="s">
        <v>230</v>
      </c>
      <c r="C27" s="103" t="str">
        <f>IF(cluster_wld_domain_chosen&lt;&gt;"MGMT Workload Domain",CONCATENATE(prefix_wld_az1_rack_cidr,"22.114"),CONCATENATE(prefix_mgmt_az1_cidr,"22.114"))</f>
        <v>10.13.22.114</v>
      </c>
      <c r="D27" s="66"/>
      <c r="E27" s="162" t="s">
        <v>231</v>
      </c>
    </row>
    <row r="28" spans="2:5" ht="20" customHeight="1" x14ac:dyDescent="0.2">
      <c r="B28" s="23" t="s">
        <v>232</v>
      </c>
      <c r="C28" s="103" t="str">
        <f>IF(cluster_wld_domain_chosen&lt;&gt;"MGMT Workload Domain",CONCATENATE(prefix_wld_az1_rack_cidr,"22.115"),CONCATENATE(prefix_mgmt_az1_cidr,"22.115"))</f>
        <v>10.13.22.115</v>
      </c>
      <c r="D28" s="66"/>
      <c r="E28" s="162" t="s">
        <v>233</v>
      </c>
    </row>
    <row r="29" spans="2:5" ht="20" customHeight="1" x14ac:dyDescent="0.2">
      <c r="B29" s="23" t="s">
        <v>234</v>
      </c>
      <c r="C29" s="103" t="str">
        <f>IF(cluster_wld_domain_chosen&lt;&gt;"MGMT Workload Domain",CONCATENATE(prefix_wld_az1_rack_cidr,"22.116"),CONCATENATE(prefix_mgmt_az1_cidr,"22.116"))</f>
        <v>10.13.22.116</v>
      </c>
      <c r="D29" s="66"/>
      <c r="E29" s="162" t="s">
        <v>235</v>
      </c>
    </row>
    <row r="30" spans="2:5" ht="16" customHeight="1" x14ac:dyDescent="0.2">
      <c r="B30" s="9"/>
      <c r="C30" s="9"/>
      <c r="D30" s="9"/>
      <c r="E30" s="9"/>
    </row>
    <row r="31" spans="2:5" ht="34" customHeight="1" x14ac:dyDescent="0.2">
      <c r="B31" s="559" t="s">
        <v>2328</v>
      </c>
      <c r="C31" s="560"/>
      <c r="D31" s="560"/>
      <c r="E31" s="561"/>
    </row>
    <row r="32" spans="2:5" ht="20" customHeight="1" x14ac:dyDescent="0.2">
      <c r="B32" s="62" t="s">
        <v>250</v>
      </c>
      <c r="C32" s="62" t="s">
        <v>251</v>
      </c>
      <c r="D32" s="160" t="s">
        <v>20</v>
      </c>
      <c r="E32" s="62" t="s">
        <v>252</v>
      </c>
    </row>
    <row r="33" spans="2:5" ht="20" customHeight="1" x14ac:dyDescent="0.2">
      <c r="B33" s="4" t="s">
        <v>2329</v>
      </c>
      <c r="C33" s="65" t="s">
        <v>238</v>
      </c>
      <c r="D33" s="154" t="s">
        <v>238</v>
      </c>
      <c r="E33" s="4" t="str">
        <f>IF(wld_az1_rack2_reuse_vcf_networkpool_chosen="Re-use an existing  VCF Network Pool","An exisiting VCF Network Pool will be reused for Host TEP assignment","A new VCF Network Pool will be created")</f>
        <v>A new VCF Network Pool will be created</v>
      </c>
    </row>
    <row r="34" spans="2:5" ht="20" customHeight="1" x14ac:dyDescent="0.2">
      <c r="B34" s="23" t="s">
        <v>239</v>
      </c>
      <c r="C34" s="109" t="str">
        <f>IF(cluster_wld_domain_chosen="Workload Domain",CONCATENATE(this_instance,"01-w0",wld_domain_number_chosen,"-r02-network-pool-01"),CONCATENATE(this_instance,"01-m01","-r02-network-pool-01"))</f>
        <v>sfo01-w01-r02-network-pool-01</v>
      </c>
      <c r="D34" s="170"/>
      <c r="E34" s="42"/>
    </row>
    <row r="35" spans="2:5" ht="20" customHeight="1" x14ac:dyDescent="0.2">
      <c r="B35" s="521" t="s">
        <v>240</v>
      </c>
      <c r="C35" s="522"/>
      <c r="D35" s="522"/>
      <c r="E35" s="523"/>
    </row>
    <row r="36" spans="2:5" ht="20" customHeight="1" x14ac:dyDescent="0.2">
      <c r="B36" s="4" t="s">
        <v>85</v>
      </c>
      <c r="C36" s="103" t="str">
        <f>IF(cluster_wld_domain_chosen&lt;&gt;"MGMT Workload Domain",CONCATENATE(prefix_wld_az1_rack_vlan,"23"),CONCATENATE(prefix_mgmt_az1_vlan,"23"))</f>
        <v>1323</v>
      </c>
      <c r="D36" s="66"/>
      <c r="E36" s="113"/>
    </row>
    <row r="37" spans="2:5" ht="20" customHeight="1" x14ac:dyDescent="0.2">
      <c r="B37" s="4" t="s">
        <v>155</v>
      </c>
      <c r="C37" s="103">
        <v>9000</v>
      </c>
      <c r="D37" s="66"/>
      <c r="E37" s="42"/>
    </row>
    <row r="38" spans="2:5" ht="20" customHeight="1" x14ac:dyDescent="0.2">
      <c r="B38" s="4" t="s">
        <v>181</v>
      </c>
      <c r="C38" s="103" t="str">
        <f>IF(cluster_wld_domain_chosen&lt;&gt;"MGMT Workload Domain",CONCATENATE(prefix_wld_az1_rack_cidr,"23.0"),CONCATENATE(prefix_mgmt_az1_cidr,"23.0"))</f>
        <v>10.13.23.0</v>
      </c>
      <c r="D38" s="66"/>
      <c r="E38" s="42"/>
    </row>
    <row r="39" spans="2:5" ht="20" customHeight="1" x14ac:dyDescent="0.2">
      <c r="B39" s="4" t="s">
        <v>274</v>
      </c>
      <c r="C39" s="103" t="s">
        <v>126</v>
      </c>
      <c r="D39" s="66"/>
      <c r="E39" s="42"/>
    </row>
    <row r="40" spans="2:5" ht="20" customHeight="1" x14ac:dyDescent="0.2">
      <c r="B40" s="4" t="s">
        <v>180</v>
      </c>
      <c r="C40" s="103" t="str">
        <f>IF(cluster_wld_domain_chosen&lt;&gt;"MGMT Workload Domain",CONCATENATE(prefix_wld_az1_rack_cidr,"23.1"),CONCATENATE(prefix_mgmt_az1_cidr,"23.1"))</f>
        <v>10.13.23.1</v>
      </c>
      <c r="D40" s="66"/>
      <c r="E40" s="42"/>
    </row>
    <row r="41" spans="2:5" ht="20" customHeight="1" x14ac:dyDescent="0.2">
      <c r="B41" s="23" t="s">
        <v>244</v>
      </c>
      <c r="C41" s="103" t="str">
        <f>IF(cluster_wld_domain_chosen&lt;&gt;"MGMT Workload Domain",CONCATENATE(prefix_wld_az1_rack_cidr,"23.101"),CONCATENATE(prefix_mgmt_az1_cidr,"23.101"))</f>
        <v>10.13.23.101</v>
      </c>
      <c r="D41" s="66"/>
      <c r="E41" s="121" t="s">
        <v>2330</v>
      </c>
    </row>
    <row r="42" spans="2:5" ht="20" customHeight="1" x14ac:dyDescent="0.2">
      <c r="B42" s="23" t="s">
        <v>245</v>
      </c>
      <c r="C42" s="103" t="str">
        <f>IF(cluster_wld_domain_chosen&lt;&gt;"MGMT Workload Domain",CONCATENATE(prefix_wld_az1_rack_cidr,"23.116"),CONCATENATE(prefix_mgmt_az1_cidr,"23.116"))</f>
        <v>10.13.23.116</v>
      </c>
      <c r="D42" s="66"/>
      <c r="E42" s="121" t="s">
        <v>2331</v>
      </c>
    </row>
    <row r="43" spans="2:5" ht="20" customHeight="1" x14ac:dyDescent="0.2">
      <c r="B43" s="521" t="s">
        <v>246</v>
      </c>
      <c r="C43" s="522"/>
      <c r="D43" s="522"/>
      <c r="E43" s="523"/>
    </row>
    <row r="44" spans="2:5" ht="20" customHeight="1" x14ac:dyDescent="0.2">
      <c r="B44" s="4" t="s">
        <v>85</v>
      </c>
      <c r="C44" s="103" t="str">
        <f>IF(cluster_wld_domain_chosen&lt;&gt;"MGMT Workload Domain",CONCATENATE(prefix_wld_az1_rack_vlan,"24"),CONCATENATE(prefix_mgmt_az1_vlan,"24"))</f>
        <v>1324</v>
      </c>
      <c r="D44" s="66"/>
      <c r="E44" s="42"/>
    </row>
    <row r="45" spans="2:5" ht="20" customHeight="1" x14ac:dyDescent="0.2">
      <c r="B45" s="4" t="s">
        <v>155</v>
      </c>
      <c r="C45" s="103">
        <v>9000</v>
      </c>
      <c r="D45" s="66"/>
      <c r="E45" s="42"/>
    </row>
    <row r="46" spans="2:5" ht="20" customHeight="1" x14ac:dyDescent="0.2">
      <c r="B46" s="4" t="s">
        <v>181</v>
      </c>
      <c r="C46" s="103" t="str">
        <f>IF(cluster_wld_domain_chosen&lt;&gt;"MGMT Workload Domain",CONCATENATE(prefix_wld_az1_rack_cidr,"24.0"),CONCATENATE(prefix_mgmt_az1_cidr,"24.0"))</f>
        <v>10.13.24.0</v>
      </c>
      <c r="D46" s="66"/>
      <c r="E46" s="80"/>
    </row>
    <row r="47" spans="2:5" ht="20" customHeight="1" x14ac:dyDescent="0.2">
      <c r="B47" s="4" t="s">
        <v>274</v>
      </c>
      <c r="C47" s="103" t="s">
        <v>126</v>
      </c>
      <c r="D47" s="66"/>
      <c r="E47" s="42"/>
    </row>
    <row r="48" spans="2:5" ht="20" customHeight="1" x14ac:dyDescent="0.2">
      <c r="B48" s="4" t="s">
        <v>180</v>
      </c>
      <c r="C48" s="103" t="str">
        <f>IF(cluster_wld_domain_chosen&lt;&gt;"MGMT Workload Domain",CONCATENATE(prefix_wld_az1_rack_cidr,"24.1"),CONCATENATE(prefix_mgmt_az1_cidr,"24.1"))</f>
        <v>10.13.24.1</v>
      </c>
      <c r="D48" s="66"/>
      <c r="E48" s="42" t="str">
        <f>IF(AND(mgmt_stretched_cluster_result="Included",mgmt_dpg_reuse_result="Excluded"),"Stretched L2","")</f>
        <v/>
      </c>
    </row>
    <row r="49" spans="2:5" ht="20" customHeight="1" x14ac:dyDescent="0.2">
      <c r="B49" s="23" t="s">
        <v>244</v>
      </c>
      <c r="C49" s="103" t="str">
        <f>IF(cluster_wld_domain_chosen&lt;&gt;"MGMT Workload Domain",CONCATENATE(prefix_wld_az1_rack_cidr,"24.101"),CONCATENATE(prefix_mgmt_az1_cidr,"24.101"))</f>
        <v>10.13.24.101</v>
      </c>
      <c r="D49" s="66"/>
      <c r="E49" s="121" t="s">
        <v>2332</v>
      </c>
    </row>
    <row r="50" spans="2:5" ht="20" customHeight="1" x14ac:dyDescent="0.2">
      <c r="B50" s="23" t="s">
        <v>245</v>
      </c>
      <c r="C50" s="103" t="str">
        <f>IF(cluster_wld_domain_chosen&lt;&gt;"MGMT Workload Domain",CONCATENATE(prefix_wld_az1_rack_cidr,"24.116"),CONCATENATE(prefix_mgmt_az1_cidr,"24.116"))</f>
        <v>10.13.24.116</v>
      </c>
      <c r="D50" s="66"/>
      <c r="E50" s="121" t="s">
        <v>2333</v>
      </c>
    </row>
    <row r="51" spans="2:5" ht="16" customHeight="1" x14ac:dyDescent="0.2">
      <c r="B51" s="9"/>
      <c r="C51" s="9"/>
      <c r="D51" s="9"/>
      <c r="E51" s="9"/>
    </row>
    <row r="52" spans="2:5" ht="34" customHeight="1" x14ac:dyDescent="0.2">
      <c r="B52" s="559" t="s">
        <v>2334</v>
      </c>
      <c r="C52" s="560"/>
      <c r="D52" s="560"/>
      <c r="E52" s="561"/>
    </row>
    <row r="53" spans="2:5" ht="20" customHeight="1" x14ac:dyDescent="0.2">
      <c r="B53" s="62" t="s">
        <v>250</v>
      </c>
      <c r="C53" s="62" t="s">
        <v>251</v>
      </c>
      <c r="D53" s="160" t="s">
        <v>20</v>
      </c>
      <c r="E53" s="62" t="s">
        <v>252</v>
      </c>
    </row>
    <row r="54" spans="2:5" ht="20" customHeight="1" x14ac:dyDescent="0.2">
      <c r="B54" s="23" t="s">
        <v>204</v>
      </c>
      <c r="C54" s="100" t="str">
        <f>IF(cluster_wld_domain_chosen&lt;&gt;"MGMT Workload Domain",CONCATENATE(this_instance,"01-w0",wld_domain_number_chosen,"-r02-esx01",".",sample_child_dns_zone),CONCATENATE(this_instance,"01-m01-r02-esx01",".",sample_child_dns_zone))</f>
        <v>sfo01-w01-r02-esx01.sfo.rainpole.io</v>
      </c>
      <c r="D54" s="66"/>
      <c r="E54" s="42"/>
    </row>
    <row r="55" spans="2:5" ht="20" customHeight="1" x14ac:dyDescent="0.2">
      <c r="B55" s="23" t="s">
        <v>206</v>
      </c>
      <c r="C55" s="100" t="str">
        <f>IF(cluster_wld_domain_chosen&lt;&gt;"MGMT Workload Domain",CONCATENATE(this_instance,"01-w0",wld_domain_number_chosen,"-r02-esx02",".",sample_child_dns_zone),CONCATENATE(this_instance,"01-m01-r02-esx02",".",sample_child_dns_zone))</f>
        <v>sfo01-w01-r02-esx02.sfo.rainpole.io</v>
      </c>
      <c r="D55" s="66"/>
      <c r="E55" s="42"/>
    </row>
    <row r="56" spans="2:5" ht="20" customHeight="1" x14ac:dyDescent="0.2">
      <c r="B56" s="23" t="s">
        <v>208</v>
      </c>
      <c r="C56" s="100" t="str">
        <f>IF(cluster_wld_domain_chosen&lt;&gt;"MGMT Workload Domain",CONCATENATE(this_instance,"01-w0",wld_domain_number_chosen,"-r02-esx03",".",sample_child_dns_zone),CONCATENATE(this_instance,"01-m01-r02-esx03",".",sample_child_dns_zone))</f>
        <v>sfo01-w01-r02-esx03.sfo.rainpole.io</v>
      </c>
      <c r="D56" s="66"/>
      <c r="E56" s="42"/>
    </row>
    <row r="57" spans="2:5" ht="20" customHeight="1" x14ac:dyDescent="0.2">
      <c r="B57" s="23" t="s">
        <v>210</v>
      </c>
      <c r="C57" s="100" t="str">
        <f>IF(cluster_wld_domain_chosen&lt;&gt;"MGMT Workload Domain",CONCATENATE(this_instance,"01-w0",wld_domain_number_chosen,"-r02-esx04",".",sample_child_dns_zone),CONCATENATE(this_instance,"01-m01-r02-esx04",".",sample_child_dns_zone))</f>
        <v>sfo01-w01-r02-esx04.sfo.rainpole.io</v>
      </c>
      <c r="D57" s="66"/>
      <c r="E57" s="42"/>
    </row>
    <row r="58" spans="2:5" ht="20" customHeight="1" x14ac:dyDescent="0.2">
      <c r="B58" s="23" t="s">
        <v>212</v>
      </c>
      <c r="C58" s="100" t="str">
        <f>IF(cluster_wld_domain_chosen&lt;&gt;"MGMT Workload Domain",CONCATENATE(this_instance,"01-w0",wld_domain_number_chosen,"-r02-esx05",".",sample_child_dns_zone),CONCATENATE(this_instance,"01-m01-r02-esx05",".",sample_child_dns_zone))</f>
        <v>sfo01-w01-r02-esx05.sfo.rainpole.io</v>
      </c>
      <c r="D58" s="66"/>
      <c r="E58" s="42"/>
    </row>
    <row r="59" spans="2:5" ht="20" customHeight="1" x14ac:dyDescent="0.2">
      <c r="B59" s="23" t="s">
        <v>214</v>
      </c>
      <c r="C59" s="100" t="str">
        <f>IF(cluster_wld_domain_chosen&lt;&gt;"MGMT Workload Domain",CONCATENATE(this_instance,"01-w0",wld_domain_number_chosen,"-r02-esx06",".",sample_child_dns_zone),CONCATENATE(this_instance,"01-m01-r02-esx06",".",sample_child_dns_zone))</f>
        <v>sfo01-w01-r02-esx06.sfo.rainpole.io</v>
      </c>
      <c r="D59" s="66"/>
      <c r="E59" s="42"/>
    </row>
    <row r="60" spans="2:5" ht="20" customHeight="1" x14ac:dyDescent="0.2">
      <c r="B60" s="23" t="s">
        <v>216</v>
      </c>
      <c r="C60" s="100" t="str">
        <f>IF(cluster_wld_domain_chosen&lt;&gt;"MGMT Workload Domain",CONCATENATE(this_instance,"01-w0",wld_domain_number_chosen,"-r02-esx07",".",sample_child_dns_zone),CONCATENATE(this_instance,"01-m01-r02-esx07",".",sample_child_dns_zone))</f>
        <v>sfo01-w01-r02-esx07.sfo.rainpole.io</v>
      </c>
      <c r="D60" s="66"/>
      <c r="E60" s="42"/>
    </row>
    <row r="61" spans="2:5" ht="20" customHeight="1" x14ac:dyDescent="0.2">
      <c r="B61" s="23" t="s">
        <v>218</v>
      </c>
      <c r="C61" s="100" t="str">
        <f>IF(cluster_wld_domain_chosen&lt;&gt;"MGMT Workload Domain",CONCATENATE(this_instance,"01-w0",wld_domain_number_chosen,"-r02-esx08",".",sample_child_dns_zone),CONCATENATE(this_instance,"01-m01-r02-esx08",".",sample_child_dns_zone))</f>
        <v>sfo01-w01-r02-esx08.sfo.rainpole.io</v>
      </c>
      <c r="D61" s="66"/>
      <c r="E61" s="42"/>
    </row>
    <row r="62" spans="2:5" ht="20" customHeight="1" x14ac:dyDescent="0.2">
      <c r="B62" s="23" t="s">
        <v>220</v>
      </c>
      <c r="C62" s="100" t="str">
        <f>IF(cluster_wld_domain_chosen&lt;&gt;"MGMT Workload Domain",CONCATENATE(this_instance,"01-w0",wld_domain_number_chosen,"-r02-esx09",".",sample_child_dns_zone),CONCATENATE(this_instance,"01-m01-r02-esx09",".",sample_child_dns_zone))</f>
        <v>sfo01-w01-r02-esx09.sfo.rainpole.io</v>
      </c>
      <c r="D62" s="66"/>
      <c r="E62" s="42"/>
    </row>
    <row r="63" spans="2:5" ht="20" customHeight="1" x14ac:dyDescent="0.2">
      <c r="B63" s="23" t="s">
        <v>222</v>
      </c>
      <c r="C63" s="100" t="str">
        <f>IF(cluster_wld_domain_chosen&lt;&gt;"MGMT Workload Domain",CONCATENATE(this_instance,"01-w0",wld_domain_number_chosen,"-r02-esx10",".",sample_child_dns_zone),CONCATENATE(this_instance,"01-m01-r02-esx10",".",sample_child_dns_zone))</f>
        <v>sfo01-w01-r02-esx10.sfo.rainpole.io</v>
      </c>
      <c r="D63" s="66"/>
      <c r="E63" s="42"/>
    </row>
    <row r="64" spans="2:5" ht="20" customHeight="1" x14ac:dyDescent="0.2">
      <c r="B64" s="23" t="s">
        <v>224</v>
      </c>
      <c r="C64" s="100" t="str">
        <f>IF(cluster_wld_domain_chosen&lt;&gt;"MGMT Workload Domain",CONCATENATE(this_instance,"01-w0",wld_domain_number_chosen,"-r02-esx11",".",sample_child_dns_zone),CONCATENATE(this_instance,"01-m01-r02-esx11",".",sample_child_dns_zone))</f>
        <v>sfo01-w01-r02-esx11.sfo.rainpole.io</v>
      </c>
      <c r="D64" s="66"/>
      <c r="E64" s="42"/>
    </row>
    <row r="65" spans="2:5" ht="20" customHeight="1" x14ac:dyDescent="0.2">
      <c r="B65" s="23" t="s">
        <v>226</v>
      </c>
      <c r="C65" s="100" t="str">
        <f>IF(cluster_wld_domain_chosen&lt;&gt;"MGMT Workload Domain",CONCATENATE(this_instance,"01-w0",wld_domain_number_chosen,"-r02-esx12",".",sample_child_dns_zone),CONCATENATE(this_instance,"01-m01-r02-esx12",".",sample_child_dns_zone))</f>
        <v>sfo01-w01-r02-esx12.sfo.rainpole.io</v>
      </c>
      <c r="D65" s="66"/>
      <c r="E65" s="42"/>
    </row>
    <row r="66" spans="2:5" ht="20" customHeight="1" x14ac:dyDescent="0.2">
      <c r="B66" s="23" t="s">
        <v>228</v>
      </c>
      <c r="C66" s="100" t="str">
        <f>IF(cluster_wld_domain_chosen&lt;&gt;"MGMT Workload Domain",CONCATENATE(this_instance,"01-w0",wld_domain_number_chosen,"-r02-esx13",".",sample_child_dns_zone),CONCATENATE(this_instance,"01-m01-r02-esx13",".",sample_child_dns_zone))</f>
        <v>sfo01-w01-r02-esx13.sfo.rainpole.io</v>
      </c>
      <c r="D66" s="66"/>
      <c r="E66" s="42"/>
    </row>
    <row r="67" spans="2:5" ht="20" customHeight="1" x14ac:dyDescent="0.2">
      <c r="B67" s="23" t="s">
        <v>230</v>
      </c>
      <c r="C67" s="100" t="str">
        <f>IF(cluster_wld_domain_chosen&lt;&gt;"MGMT Workload Domain",CONCATENATE(this_instance,"01-w0",wld_domain_number_chosen,"-r02-esx14",".",sample_child_dns_zone),CONCATENATE(this_instance,"01-m01-r02-esx14",".",sample_child_dns_zone))</f>
        <v>sfo01-w01-r02-esx14.sfo.rainpole.io</v>
      </c>
      <c r="D67" s="66"/>
      <c r="E67" s="42"/>
    </row>
    <row r="68" spans="2:5" ht="20" customHeight="1" x14ac:dyDescent="0.2">
      <c r="B68" s="23" t="s">
        <v>232</v>
      </c>
      <c r="C68" s="100" t="str">
        <f>IF(cluster_wld_domain_chosen&lt;&gt;"MGMT Workload Domain",CONCATENATE(this_instance,"01-w0",wld_domain_number_chosen,"-r02-esx14",".",sample_child_dns_zone),CONCATENATE(this_instance,"01-m01-r02-esx15",".",sample_child_dns_zone))</f>
        <v>sfo01-w01-r02-esx14.sfo.rainpole.io</v>
      </c>
      <c r="D68" s="66"/>
      <c r="E68" s="42"/>
    </row>
    <row r="69" spans="2:5" ht="20" customHeight="1" x14ac:dyDescent="0.2">
      <c r="B69" s="23" t="s">
        <v>234</v>
      </c>
      <c r="C69" s="100" t="str">
        <f>IF(cluster_wld_domain_chosen&lt;&gt;"MGMT Workload Domain",CONCATENATE(this_instance,"01-w0",wld_domain_number_chosen,"-r02-esx16",".",sample_child_dns_zone),CONCATENATE(this_instance,"01-m01-r02-esx16",".",sample_child_dns_zone))</f>
        <v>sfo01-w01-r02-esx16.sfo.rainpole.io</v>
      </c>
      <c r="D69" s="66"/>
      <c r="E69" s="42"/>
    </row>
    <row r="70" spans="2:5" ht="20" customHeight="1" x14ac:dyDescent="0.2">
      <c r="B70" s="23" t="s">
        <v>253</v>
      </c>
      <c r="C70" s="100" t="s">
        <v>254</v>
      </c>
      <c r="D70" s="8" t="s">
        <v>254</v>
      </c>
      <c r="E70" s="42"/>
    </row>
    <row r="71" spans="2:5" ht="20" customHeight="1" x14ac:dyDescent="0.2">
      <c r="B71" s="23" t="s">
        <v>255</v>
      </c>
      <c r="C71" s="100" t="s">
        <v>256</v>
      </c>
      <c r="D71"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71" s="4"/>
    </row>
    <row r="72" spans="2:5" ht="20" customHeight="1" x14ac:dyDescent="0.2">
      <c r="B72" s="23" t="s">
        <v>257</v>
      </c>
      <c r="C72" s="100" t="s">
        <v>154</v>
      </c>
      <c r="D72" s="8" t="str">
        <f>IF(AND(vcf_granular_option_chosen="Create Cluster",cluster_principal_storage_chosen="vSAN-ESA"),"Selected",
IF(AND(vcf_granular_option_chosen="Create Workload Domain",wld_principal_storage_chosen="vSAN-ESA"),"Selected","Unselected"))</f>
        <v>Unselected</v>
      </c>
      <c r="E72" s="42"/>
    </row>
    <row r="73" spans="2:5" ht="20" customHeight="1" x14ac:dyDescent="0.2">
      <c r="B73" s="23" t="s">
        <v>239</v>
      </c>
      <c r="C73" s="100" t="str">
        <f>sample_wld_az1_rack2_pool_name</f>
        <v>sfo01-w01-r02-network-pool-01</v>
      </c>
      <c r="D73" s="8" t="str">
        <f>wld_az1_rack2_pool_name</f>
        <v>Value Missing</v>
      </c>
      <c r="E73" s="42"/>
    </row>
    <row r="74" spans="2:5" ht="20" customHeight="1" x14ac:dyDescent="0.2">
      <c r="B74" s="23" t="s">
        <v>47</v>
      </c>
      <c r="C74" s="100" t="s">
        <v>258</v>
      </c>
      <c r="D74"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74" s="42"/>
    </row>
    <row r="75" spans="2:5" ht="20" customHeight="1" x14ac:dyDescent="0.2">
      <c r="B75" s="23" t="s">
        <v>30</v>
      </c>
      <c r="C75" s="100" t="s">
        <v>31</v>
      </c>
      <c r="D75"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75" s="42"/>
    </row>
    <row r="76" spans="2:5" ht="16" customHeight="1" x14ac:dyDescent="0.2"/>
    <row r="77" spans="2:5" ht="34" customHeight="1" x14ac:dyDescent="0.2">
      <c r="B77" s="559" t="s">
        <v>2335</v>
      </c>
      <c r="C77" s="560"/>
      <c r="D77" s="560"/>
      <c r="E77" s="561"/>
    </row>
    <row r="78" spans="2:5" ht="20" customHeight="1" x14ac:dyDescent="0.2">
      <c r="B78" s="4" t="s">
        <v>325</v>
      </c>
      <c r="C78" s="109" t="str">
        <f>IF(vcf_granular_option_chosen="Create Cluster",CONCATENATE(this_instance,"01-",sample_cluster_name,"-r02-network-profile"),
IF(cluster_wld_domain_chosen="Workload Domain",CONCATENATE(this_instance,"01-",sample_wld_cl01_cluster,"-r02-network-profile"),
CONCATENATE(this_instance,"01-",sample_mgmt_cl01_cluster,"-r02-network-profile")))</f>
        <v>sfo01-sfo-w01-cl01-r02-network-profile</v>
      </c>
      <c r="D78" s="154"/>
      <c r="E78" s="103"/>
    </row>
    <row r="79" spans="2:5" ht="20" customHeight="1" x14ac:dyDescent="0.2">
      <c r="B79" s="4" t="s">
        <v>2336</v>
      </c>
      <c r="C79" s="65" t="s">
        <v>327</v>
      </c>
      <c r="D79" s="154" t="s">
        <v>327</v>
      </c>
      <c r="E79" s="286" t="str">
        <f>IF(wld_az1_rack2_host_overlay_new_pool_chosen="Re-use an existing Pool","An exisitng Pool will be reused for Host TEP assignment","A new Pool will be created for Host TEP assignment")</f>
        <v>A new Pool will be created for Host TEP assignment</v>
      </c>
    </row>
    <row r="80" spans="2:5" ht="20" customHeight="1" x14ac:dyDescent="0.2">
      <c r="B80" s="4" t="s">
        <v>328</v>
      </c>
      <c r="C80" s="109" t="str">
        <f>IF(cluster_wld_domain_chosen="Workload Domain",CONCATENATE(this_instance,"01-w0",wld_domain_number_chosen,"-r02-ip-pool01-host"),CONCATENATE(this_instance,"01-m01","-r02-ip-pool01-host"))</f>
        <v>sfo01-w01-r02-ip-pool01-host</v>
      </c>
      <c r="D80" s="154"/>
      <c r="E80" s="103"/>
    </row>
    <row r="81" spans="2:5" ht="20" customHeight="1" x14ac:dyDescent="0.2">
      <c r="B81" s="4" t="s">
        <v>329</v>
      </c>
      <c r="C81" s="109" t="str">
        <f>IF(cluster_wld_domain_chosen="Workload Domain",CONCATENATE(this_instance,"01-w0",wld_domain_number_chosen,"-r02-uplink-profile01"),CONCATENATE(this_instance,"01-m01","-r02-uplink-profile01"))</f>
        <v>sfo01-w01-r02-uplink-profile01</v>
      </c>
      <c r="D81" s="154"/>
      <c r="E81" s="103"/>
    </row>
    <row r="82" spans="2:5" ht="20" customHeight="1" x14ac:dyDescent="0.2">
      <c r="B82" s="4" t="s">
        <v>2337</v>
      </c>
      <c r="C82" s="109" t="str">
        <f>IF(cluster_wld_domain_chosen="Workload Domain",CONCATENATE(this_instance,"01-w0",wld_domain_number_chosen,"-r02-ip-pool02-edge"),CONCATENATE(this_instance,"01-m01","-r02-ip-pool02-edge"))</f>
        <v>sfo01-w01-r02-ip-pool02-edge</v>
      </c>
      <c r="D82" s="154"/>
      <c r="E82" s="103"/>
    </row>
    <row r="83" spans="2:5" ht="20" customHeight="1" x14ac:dyDescent="0.2">
      <c r="B83" s="4" t="s">
        <v>2338</v>
      </c>
      <c r="C83" s="109" t="str">
        <f>IF(cluster_wld_domain_chosen="Workload Domain",CONCATENATE(this_instance,"01-w0",wld_domain_number_chosen,"-r02-ip-pool03-rtep"),CONCATENATE(this_instance,"01-m01","-r02-ip-pool03-rtep"))</f>
        <v>sfo01-w01-r02-ip-pool03-rtep</v>
      </c>
      <c r="D83" s="154"/>
      <c r="E83" s="103"/>
    </row>
    <row r="84" spans="2:5" ht="20" customHeight="1" x14ac:dyDescent="0.2">
      <c r="B84" s="521" t="s">
        <v>708</v>
      </c>
      <c r="C84" s="522"/>
      <c r="D84" s="522"/>
      <c r="E84" s="523"/>
    </row>
    <row r="85" spans="2:5" ht="20" customHeight="1" x14ac:dyDescent="0.2">
      <c r="B85" s="241" t="s">
        <v>250</v>
      </c>
      <c r="C85" s="241" t="s">
        <v>251</v>
      </c>
      <c r="D85" s="247" t="s">
        <v>20</v>
      </c>
      <c r="E85" s="241" t="s">
        <v>21</v>
      </c>
    </row>
    <row r="86" spans="2:5" ht="20" customHeight="1" x14ac:dyDescent="0.2">
      <c r="B86" s="4" t="s">
        <v>1198</v>
      </c>
      <c r="C86" s="103" t="str">
        <f>IF(cluster_wld_domain_chosen&lt;&gt;"MGMT Workload Domain",CONCATENATE(this_instance,"-w0",wld_domain_number_chosen,"-r02","-vsan-fault-domain"),CONCATENATE(this_instance,"-m01","-r02","-vsan-fault-domain"))</f>
        <v>sfo-w01-r02-vsan-fault-domain</v>
      </c>
      <c r="D86" s="66"/>
      <c r="E86" s="8"/>
    </row>
    <row r="87" spans="2:5" ht="16" customHeight="1" x14ac:dyDescent="0.2"/>
    <row r="88" spans="2:5" ht="34" customHeight="1" x14ac:dyDescent="0.2">
      <c r="B88" s="559" t="s">
        <v>2339</v>
      </c>
      <c r="C88" s="560"/>
      <c r="D88" s="560"/>
      <c r="E88" s="561"/>
    </row>
    <row r="89" spans="2:5" ht="20" customHeight="1" x14ac:dyDescent="0.2">
      <c r="B89" s="62" t="s">
        <v>250</v>
      </c>
      <c r="C89" s="62" t="s">
        <v>251</v>
      </c>
      <c r="D89" s="160" t="s">
        <v>20</v>
      </c>
      <c r="E89" s="62" t="s">
        <v>21</v>
      </c>
    </row>
    <row r="90" spans="2:5" ht="20" customHeight="1" x14ac:dyDescent="0.2">
      <c r="B90" s="521" t="s">
        <v>794</v>
      </c>
      <c r="C90" s="522"/>
      <c r="D90" s="522"/>
      <c r="E90" s="523"/>
    </row>
    <row r="91" spans="2:5" ht="20" customHeight="1" x14ac:dyDescent="0.2">
      <c r="B91" s="4" t="s">
        <v>85</v>
      </c>
      <c r="C91" s="65" t="str">
        <f>IF(cluster_wld_domain_chosen&lt;&gt;"MGMT Workload Domain",CONCATENATE(prefix_wld_az1_rack_vlan,"25"),CONCATENATE(prefix_mgmt_az1_vlan,"25"))</f>
        <v>1325</v>
      </c>
      <c r="D91" s="66"/>
      <c r="E91" s="113"/>
    </row>
    <row r="92" spans="2:5" ht="20" customHeight="1" x14ac:dyDescent="0.2">
      <c r="B92" s="4" t="s">
        <v>155</v>
      </c>
      <c r="C92" s="65">
        <v>9000</v>
      </c>
      <c r="D92" s="66"/>
      <c r="E92" s="42"/>
    </row>
    <row r="93" spans="2:5" ht="20" customHeight="1" x14ac:dyDescent="0.2">
      <c r="B93" s="4" t="s">
        <v>181</v>
      </c>
      <c r="C93" s="65" t="str">
        <f>IF(cluster_wld_domain_chosen&lt;&gt;"MGMT Workload Domain",CONCATENATE(prefix_wld_az1_rack_cidr,"25.0"),CONCATENATE(prefix_mgmt_az1_cidr,"25.0"))</f>
        <v>10.13.25.0</v>
      </c>
      <c r="D93" s="66"/>
      <c r="E93" s="42"/>
    </row>
    <row r="94" spans="2:5" ht="20" customHeight="1" x14ac:dyDescent="0.2">
      <c r="B94" s="4" t="s">
        <v>274</v>
      </c>
      <c r="C94" s="153" t="s">
        <v>126</v>
      </c>
      <c r="D94" s="66"/>
      <c r="E94" s="42"/>
    </row>
    <row r="95" spans="2:5" ht="20" customHeight="1" x14ac:dyDescent="0.2">
      <c r="B95" s="4" t="s">
        <v>180</v>
      </c>
      <c r="C95" s="65" t="str">
        <f>IF(cluster_wld_domain_chosen&lt;&gt;"MGMT Workload Domain",CONCATENATE(prefix_wld_az1_rack_cidr,"25.1"),CONCATENATE(prefix_mgmt_az1_cidr,"25.1"))</f>
        <v>10.13.25.1</v>
      </c>
      <c r="D95" s="66"/>
      <c r="E95" s="42"/>
    </row>
    <row r="96" spans="2:5" ht="20" customHeight="1" x14ac:dyDescent="0.2">
      <c r="B96" s="23" t="s">
        <v>244</v>
      </c>
      <c r="C96" s="65" t="str">
        <f>IF(cluster_wld_domain_chosen&lt;&gt;"MGMT Workload Domain",CONCATENATE(prefix_wld_az1_rack_cidr,"25.101"),CONCATENATE(prefix_mgmt_az1_cidr,"25.101"))</f>
        <v>10.13.25.101</v>
      </c>
      <c r="D96" s="66"/>
      <c r="E96" s="121" t="s">
        <v>2340</v>
      </c>
    </row>
    <row r="97" spans="2:5" ht="20" customHeight="1" x14ac:dyDescent="0.2">
      <c r="B97" s="23" t="s">
        <v>245</v>
      </c>
      <c r="C97" s="65" t="str">
        <f>IF(cluster_wld_domain_chosen&lt;&gt;"MGMT Workload Domain",CONCATENATE(prefix_wld_az1_rack_cidr,"25.116"),CONCATENATE(prefix_mgmt_az1_cidr,"25.116"))</f>
        <v>10.13.25.116</v>
      </c>
      <c r="D97" s="66"/>
      <c r="E97" s="121" t="s">
        <v>2341</v>
      </c>
    </row>
    <row r="98" spans="2:5" ht="16" customHeight="1" x14ac:dyDescent="0.2">
      <c r="B98" s="6"/>
      <c r="C98" s="7"/>
      <c r="D98" s="1"/>
      <c r="E98" s="2"/>
    </row>
    <row r="99" spans="2:5" ht="34" customHeight="1" x14ac:dyDescent="0.2">
      <c r="B99" s="559" t="s">
        <v>2342</v>
      </c>
      <c r="C99" s="560"/>
      <c r="D99" s="560"/>
      <c r="E99" s="561"/>
    </row>
    <row r="100" spans="2:5" ht="20" customHeight="1" x14ac:dyDescent="0.2">
      <c r="B100" s="62" t="s">
        <v>250</v>
      </c>
      <c r="C100" s="62" t="s">
        <v>251</v>
      </c>
      <c r="D100" s="160" t="s">
        <v>20</v>
      </c>
      <c r="E100" s="62" t="s">
        <v>252</v>
      </c>
    </row>
    <row r="101" spans="2:5" ht="20" customHeight="1" x14ac:dyDescent="0.2">
      <c r="B101" s="521" t="s">
        <v>202</v>
      </c>
      <c r="C101" s="522"/>
      <c r="D101" s="522"/>
      <c r="E101" s="523"/>
    </row>
    <row r="102" spans="2:5" ht="20" customHeight="1" x14ac:dyDescent="0.2">
      <c r="B102" s="4" t="s">
        <v>85</v>
      </c>
      <c r="C102" s="109" t="str">
        <f>IF(cluster_wld_domain_chosen&lt;&gt;"MGMT Workload Domain",CONCATENATE(prefix_wld_az1_rack_vlan,"33"),CONCATENATE(prefix_mgmt_az1_vlan,"33"))</f>
        <v>1333</v>
      </c>
      <c r="D102" s="66"/>
      <c r="E102" s="113"/>
    </row>
    <row r="103" spans="2:5" ht="20" customHeight="1" x14ac:dyDescent="0.2">
      <c r="B103" s="4" t="s">
        <v>180</v>
      </c>
      <c r="C103" s="109" t="str">
        <f>IF(cluster_wld_domain_chosen&lt;&gt;"MGMT Workload Domain",CONCATENATE(prefix_wld_az1_rack_cidr,"33.1"),CONCATENATE(prefix_mgmt_az1_cidr,"33.1"))</f>
        <v>10.13.33.1</v>
      </c>
      <c r="D103" s="66"/>
      <c r="E103" s="42"/>
    </row>
    <row r="104" spans="2:5" ht="20" customHeight="1" x14ac:dyDescent="0.2">
      <c r="B104" s="4" t="s">
        <v>181</v>
      </c>
      <c r="C104" s="109" t="str">
        <f>IF(cluster_wld_domain_chosen&lt;&gt;"MGMT Workload Domain",CONCATENATE(prefix_wld_az1_rack_cidr,"33.0/24"),CONCATENATE(prefix_mgmt_az1_cidr,"33.0/24"))</f>
        <v>10.13.33.0/24</v>
      </c>
      <c r="D104" s="66"/>
      <c r="E104" s="42"/>
    </row>
    <row r="105" spans="2:5" ht="20" customHeight="1" x14ac:dyDescent="0.2">
      <c r="B105" s="4" t="s">
        <v>155</v>
      </c>
      <c r="C105" s="109">
        <v>1500</v>
      </c>
      <c r="D105" s="66"/>
      <c r="E105" s="42"/>
    </row>
    <row r="106" spans="2:5" ht="20" customHeight="1" x14ac:dyDescent="0.2">
      <c r="B106" s="546" t="s">
        <v>203</v>
      </c>
      <c r="C106" s="547"/>
      <c r="D106" s="547"/>
      <c r="E106" s="548"/>
    </row>
    <row r="107" spans="2:5" ht="20" customHeight="1" x14ac:dyDescent="0.2">
      <c r="B107" s="23" t="s">
        <v>204</v>
      </c>
      <c r="C107" s="109" t="str">
        <f>IF(cluster_wld_domain_chosen&lt;&gt;"MGMT Workload Domain",CONCATENATE(prefix_wld_az1_rack_cidr,"33.101"),CONCATENATE(prefix_mgmt_az1_cidr,"33.101"))</f>
        <v>10.13.33.101</v>
      </c>
      <c r="D107" s="66"/>
      <c r="E107" s="121" t="s">
        <v>205</v>
      </c>
    </row>
    <row r="108" spans="2:5" ht="20" customHeight="1" x14ac:dyDescent="0.2">
      <c r="B108" s="23" t="s">
        <v>206</v>
      </c>
      <c r="C108" s="109" t="str">
        <f>IF(cluster_wld_domain_chosen&lt;&gt;"MGMT Workload Domain",CONCATENATE(prefix_wld_az1_rack_cidr,"33.102"),CONCATENATE(prefix_mgmt_az1_cidr,"33.102"))</f>
        <v>10.13.33.102</v>
      </c>
      <c r="D108" s="66"/>
      <c r="E108" s="121" t="s">
        <v>207</v>
      </c>
    </row>
    <row r="109" spans="2:5" ht="20" customHeight="1" x14ac:dyDescent="0.2">
      <c r="B109" s="23" t="s">
        <v>208</v>
      </c>
      <c r="C109" s="109" t="str">
        <f>IF(cluster_wld_domain_chosen&lt;&gt;"MGMT Workload Domain",CONCATENATE(prefix_wld_az1_rack_cidr,"33.103"),CONCATENATE(prefix_mgmt_az1_cidr,"33.103"))</f>
        <v>10.13.33.103</v>
      </c>
      <c r="D109" s="66"/>
      <c r="E109" s="121" t="s">
        <v>209</v>
      </c>
    </row>
    <row r="110" spans="2:5" ht="20" customHeight="1" x14ac:dyDescent="0.2">
      <c r="B110" s="23" t="s">
        <v>210</v>
      </c>
      <c r="C110" s="109" t="str">
        <f>IF(cluster_wld_domain_chosen&lt;&gt;"MGMT Workload Domain",CONCATENATE(prefix_wld_az1_rack_cidr,"33.104"),CONCATENATE(prefix_mgmt_az1_cidr,"33.104"))</f>
        <v>10.13.33.104</v>
      </c>
      <c r="D110" s="66"/>
      <c r="E110" s="121" t="s">
        <v>211</v>
      </c>
    </row>
    <row r="111" spans="2:5" ht="20" customHeight="1" x14ac:dyDescent="0.2">
      <c r="B111" s="23" t="s">
        <v>212</v>
      </c>
      <c r="C111" s="109" t="str">
        <f>IF(cluster_wld_domain_chosen&lt;&gt;"MGMT Workload Domain",CONCATENATE(prefix_wld_az1_rack_cidr,"33.105"),CONCATENATE(prefix_mgmt_az1_cidr,"33.105"))</f>
        <v>10.13.33.105</v>
      </c>
      <c r="D111" s="66"/>
      <c r="E111" s="121" t="s">
        <v>213</v>
      </c>
    </row>
    <row r="112" spans="2:5" ht="20" customHeight="1" x14ac:dyDescent="0.2">
      <c r="B112" s="23" t="s">
        <v>214</v>
      </c>
      <c r="C112" s="109" t="str">
        <f>IF(cluster_wld_domain_chosen&lt;&gt;"MGMT Workload Domain",CONCATENATE(prefix_wld_az1_rack_cidr,"33.106"),CONCATENATE(prefix_mgmt_az1_cidr,"33.106"))</f>
        <v>10.13.33.106</v>
      </c>
      <c r="D112" s="66"/>
      <c r="E112" s="121" t="s">
        <v>215</v>
      </c>
    </row>
    <row r="113" spans="2:5" ht="20" customHeight="1" x14ac:dyDescent="0.2">
      <c r="B113" s="23" t="s">
        <v>216</v>
      </c>
      <c r="C113" s="109" t="str">
        <f>IF(cluster_wld_domain_chosen&lt;&gt;"MGMT Workload Domain",CONCATENATE(prefix_wld_az1_rack_cidr,"33.107"),CONCATENATE(prefix_mgmt_az1_cidr,"33.107"))</f>
        <v>10.13.33.107</v>
      </c>
      <c r="D113" s="66"/>
      <c r="E113" s="121" t="s">
        <v>217</v>
      </c>
    </row>
    <row r="114" spans="2:5" ht="20" customHeight="1" x14ac:dyDescent="0.2">
      <c r="B114" s="23" t="s">
        <v>218</v>
      </c>
      <c r="C114" s="109" t="str">
        <f>IF(cluster_wld_domain_chosen&lt;&gt;"MGMT Workload Domain",CONCATENATE(prefix_wld_az1_rack_cidr,"33.108"),CONCATENATE(prefix_mgmt_az1_cidr,"33.108"))</f>
        <v>10.13.33.108</v>
      </c>
      <c r="D114" s="66"/>
      <c r="E114" s="121" t="s">
        <v>219</v>
      </c>
    </row>
    <row r="115" spans="2:5" ht="20" customHeight="1" x14ac:dyDescent="0.2">
      <c r="B115" s="23" t="s">
        <v>220</v>
      </c>
      <c r="C115" s="109" t="str">
        <f>IF(cluster_wld_domain_chosen&lt;&gt;"MGMT Workload Domain",CONCATENATE(prefix_wld_az1_rack_cidr,"33.109"),CONCATENATE(prefix_mgmt_az1_cidr,"33.109"))</f>
        <v>10.13.33.109</v>
      </c>
      <c r="D115" s="66"/>
      <c r="E115" s="121" t="s">
        <v>221</v>
      </c>
    </row>
    <row r="116" spans="2:5" ht="20" customHeight="1" x14ac:dyDescent="0.2">
      <c r="B116" s="23" t="s">
        <v>222</v>
      </c>
      <c r="C116" s="109" t="str">
        <f>IF(cluster_wld_domain_chosen&lt;&gt;"MGMT Workload Domain",CONCATENATE(prefix_wld_az1_rack_cidr,"33.110"),CONCATENATE(prefix_mgmt_az1_cidr,"33.110"))</f>
        <v>10.13.33.110</v>
      </c>
      <c r="D116" s="66"/>
      <c r="E116" s="121" t="s">
        <v>223</v>
      </c>
    </row>
    <row r="117" spans="2:5" ht="20" customHeight="1" x14ac:dyDescent="0.2">
      <c r="B117" s="23" t="s">
        <v>224</v>
      </c>
      <c r="C117" s="109" t="str">
        <f>IF(cluster_wld_domain_chosen&lt;&gt;"MGMT Workload Domain",CONCATENATE(prefix_wld_az1_rack_cidr,"33.111"),CONCATENATE(prefix_mgmt_az1_cidr,"33.111"))</f>
        <v>10.13.33.111</v>
      </c>
      <c r="D117" s="66"/>
      <c r="E117" s="121" t="s">
        <v>225</v>
      </c>
    </row>
    <row r="118" spans="2:5" ht="20" customHeight="1" x14ac:dyDescent="0.2">
      <c r="B118" s="23" t="s">
        <v>226</v>
      </c>
      <c r="C118" s="109" t="str">
        <f>IF(cluster_wld_domain_chosen&lt;&gt;"MGMT Workload Domain",CONCATENATE(prefix_wld_az1_rack_cidr,"33.112"),CONCATENATE(prefix_mgmt_az1_cidr,"33.112"))</f>
        <v>10.13.33.112</v>
      </c>
      <c r="D118" s="66"/>
      <c r="E118" s="121" t="s">
        <v>227</v>
      </c>
    </row>
    <row r="119" spans="2:5" ht="20" customHeight="1" x14ac:dyDescent="0.2">
      <c r="B119" s="23" t="s">
        <v>228</v>
      </c>
      <c r="C119" s="109" t="str">
        <f>IF(cluster_wld_domain_chosen&lt;&gt;"MGMT Workload Domain",CONCATENATE(prefix_wld_az1_rack_cidr,"33.113"),CONCATENATE(prefix_mgmt_az1_cidr,"33.113"))</f>
        <v>10.13.33.113</v>
      </c>
      <c r="D119" s="66"/>
      <c r="E119" s="121" t="s">
        <v>229</v>
      </c>
    </row>
    <row r="120" spans="2:5" ht="20" customHeight="1" x14ac:dyDescent="0.2">
      <c r="B120" s="23" t="s">
        <v>230</v>
      </c>
      <c r="C120" s="109" t="str">
        <f>IF(cluster_wld_domain_chosen&lt;&gt;"MGMT Workload Domain",CONCATENATE(prefix_wld_az1_rack_cidr,"33.114"),CONCATENATE(prefix_mgmt_az1_cidr,"33.114"))</f>
        <v>10.13.33.114</v>
      </c>
      <c r="D120" s="66"/>
      <c r="E120" s="121" t="s">
        <v>231</v>
      </c>
    </row>
    <row r="121" spans="2:5" ht="20" customHeight="1" x14ac:dyDescent="0.2">
      <c r="B121" s="23" t="s">
        <v>232</v>
      </c>
      <c r="C121" s="109" t="str">
        <f>IF(cluster_wld_domain_chosen&lt;&gt;"MGMT Workload Domain",CONCATENATE(prefix_wld_az1_rack_cidr,"33.115"),CONCATENATE(prefix_mgmt_az1_cidr,"33.115"))</f>
        <v>10.13.33.115</v>
      </c>
      <c r="D121" s="66"/>
      <c r="E121" s="121" t="s">
        <v>233</v>
      </c>
    </row>
    <row r="122" spans="2:5" ht="20" customHeight="1" x14ac:dyDescent="0.2">
      <c r="B122" s="23" t="s">
        <v>234</v>
      </c>
      <c r="C122" s="109" t="str">
        <f>IF(cluster_wld_domain_chosen&lt;&gt;"MGMT Workload Domain",CONCATENATE(prefix_wld_az1_rack_cidr,"33.116"),CONCATENATE(prefix_mgmt_az1_cidr,"33.116"))</f>
        <v>10.13.33.116</v>
      </c>
      <c r="D122" s="66"/>
      <c r="E122" s="121" t="s">
        <v>235</v>
      </c>
    </row>
    <row r="123" spans="2:5" ht="16" customHeight="1" x14ac:dyDescent="0.2">
      <c r="B123" s="9"/>
      <c r="C123" s="9"/>
      <c r="D123" s="9"/>
      <c r="E123" s="9"/>
    </row>
    <row r="124" spans="2:5" ht="34" customHeight="1" x14ac:dyDescent="0.2">
      <c r="B124" s="559" t="s">
        <v>2343</v>
      </c>
      <c r="C124" s="560"/>
      <c r="D124" s="560"/>
      <c r="E124" s="561"/>
    </row>
    <row r="125" spans="2:5" ht="20" customHeight="1" x14ac:dyDescent="0.2">
      <c r="B125" s="62" t="s">
        <v>250</v>
      </c>
      <c r="C125" s="62" t="s">
        <v>251</v>
      </c>
      <c r="D125" s="160" t="s">
        <v>20</v>
      </c>
      <c r="E125" s="62" t="s">
        <v>252</v>
      </c>
    </row>
    <row r="126" spans="2:5" ht="20" customHeight="1" x14ac:dyDescent="0.2">
      <c r="B126" s="4" t="s">
        <v>2329</v>
      </c>
      <c r="C126" s="65" t="s">
        <v>238</v>
      </c>
      <c r="D126" s="154" t="s">
        <v>238</v>
      </c>
      <c r="E126" s="4" t="str">
        <f>IF(wld_az1_rack3_reuse_vcf_networkpool_chosen="Re-use an existing  VCF Network Pool","An exisiting VCF Network Pool will be reused for Host TEP assignment","A new VCF Network Pool will be created")</f>
        <v>A new VCF Network Pool will be created</v>
      </c>
    </row>
    <row r="127" spans="2:5" ht="20" customHeight="1" x14ac:dyDescent="0.2">
      <c r="B127" s="23" t="s">
        <v>239</v>
      </c>
      <c r="C127" s="109" t="str">
        <f>IF(cluster_wld_domain_chosen="Workload Domain",CONCATENATE(this_instance,"01-w0",wld_domain_number_chosen,"-r03-network-pool-01"),CONCATENATE(this_instance,"01-m01","-r03-network-pool-01"))</f>
        <v>sfo01-w01-r03-network-pool-01</v>
      </c>
      <c r="D127" s="66"/>
      <c r="E127" s="42"/>
    </row>
    <row r="128" spans="2:5" ht="20" customHeight="1" x14ac:dyDescent="0.2">
      <c r="B128" s="521" t="s">
        <v>240</v>
      </c>
      <c r="C128" s="522"/>
      <c r="D128" s="522"/>
      <c r="E128" s="523"/>
    </row>
    <row r="129" spans="2:5" ht="20" customHeight="1" x14ac:dyDescent="0.2">
      <c r="B129" s="4" t="s">
        <v>85</v>
      </c>
      <c r="C129" s="109" t="str">
        <f>IF(cluster_wld_domain_chosen&lt;&gt;"MGMT Workload Domain",CONCATENATE(prefix_wld_az1_rack_vlan,"34"),CONCATENATE(prefix_mgmt_az1_vlan,"34"))</f>
        <v>1334</v>
      </c>
      <c r="D129" s="66"/>
      <c r="E129" s="113"/>
    </row>
    <row r="130" spans="2:5" ht="20" customHeight="1" x14ac:dyDescent="0.2">
      <c r="B130" s="4" t="s">
        <v>155</v>
      </c>
      <c r="C130" s="109">
        <v>9000</v>
      </c>
      <c r="D130" s="66"/>
      <c r="E130" s="42"/>
    </row>
    <row r="131" spans="2:5" ht="20" customHeight="1" x14ac:dyDescent="0.2">
      <c r="B131" s="4" t="s">
        <v>181</v>
      </c>
      <c r="C131" s="109" t="str">
        <f>IF(cluster_wld_domain_chosen&lt;&gt;"MGMT Workload Domain",CONCATENATE(prefix_wld_az1_rack_cidr,"34.0"),CONCATENATE(prefix_mgmt_az1_cidr,"34.0"))</f>
        <v>10.13.34.0</v>
      </c>
      <c r="D131" s="66"/>
      <c r="E131" s="42"/>
    </row>
    <row r="132" spans="2:5" ht="20" customHeight="1" x14ac:dyDescent="0.2">
      <c r="B132" s="4" t="s">
        <v>274</v>
      </c>
      <c r="C132" s="109" t="s">
        <v>126</v>
      </c>
      <c r="D132" s="66"/>
      <c r="E132" s="42"/>
    </row>
    <row r="133" spans="2:5" ht="20" customHeight="1" x14ac:dyDescent="0.2">
      <c r="B133" s="4" t="s">
        <v>180</v>
      </c>
      <c r="C133" s="109" t="str">
        <f>IF(cluster_wld_domain_chosen&lt;&gt;"MGMT Workload Domain",CONCATENATE(prefix_wld_az1_rack_cidr,"34.1"),CONCATENATE(prefix_mgmt_az1_cidr,"34.1"))</f>
        <v>10.13.34.1</v>
      </c>
      <c r="D133" s="66"/>
      <c r="E133" s="42"/>
    </row>
    <row r="134" spans="2:5" ht="20" customHeight="1" x14ac:dyDescent="0.2">
      <c r="B134" s="23" t="s">
        <v>244</v>
      </c>
      <c r="C134" s="109" t="str">
        <f>IF(cluster_wld_domain_chosen&lt;&gt;"MGMT Workload Domain",CONCATENATE(prefix_wld_az1_rack_cidr,"34.101"),CONCATENATE(prefix_mgmt_az1_cidr,"34.101"))</f>
        <v>10.13.34.101</v>
      </c>
      <c r="D134" s="66"/>
      <c r="E134" s="121" t="s">
        <v>2330</v>
      </c>
    </row>
    <row r="135" spans="2:5" ht="20" customHeight="1" x14ac:dyDescent="0.2">
      <c r="B135" s="23" t="s">
        <v>245</v>
      </c>
      <c r="C135" s="109" t="str">
        <f>IF(cluster_wld_domain_chosen&lt;&gt;"MGMT Workload Domain",CONCATENATE(prefix_wld_az1_rack_cidr,"34.116"),CONCATENATE(prefix_mgmt_az1_cidr,"34.116"))</f>
        <v>10.13.34.116</v>
      </c>
      <c r="D135" s="66"/>
      <c r="E135" s="121" t="s">
        <v>2331</v>
      </c>
    </row>
    <row r="136" spans="2:5" ht="20" customHeight="1" x14ac:dyDescent="0.2">
      <c r="B136" s="521" t="s">
        <v>246</v>
      </c>
      <c r="C136" s="522"/>
      <c r="D136" s="522"/>
      <c r="E136" s="523"/>
    </row>
    <row r="137" spans="2:5" ht="20" customHeight="1" x14ac:dyDescent="0.2">
      <c r="B137" s="4" t="s">
        <v>85</v>
      </c>
      <c r="C137" s="109" t="str">
        <f>IF(cluster_wld_domain_chosen&lt;&gt;"MGMT Workload Domain",CONCATENATE(prefix_wld_az1_rack_vlan,"35"),CONCATENATE(prefix_mgmt_az1_vlan,"35"))</f>
        <v>1335</v>
      </c>
      <c r="D137" s="66"/>
      <c r="E137" s="42"/>
    </row>
    <row r="138" spans="2:5" ht="20" customHeight="1" x14ac:dyDescent="0.2">
      <c r="B138" s="4" t="s">
        <v>155</v>
      </c>
      <c r="C138" s="109">
        <v>9000</v>
      </c>
      <c r="D138" s="66"/>
      <c r="E138" s="42"/>
    </row>
    <row r="139" spans="2:5" ht="20" customHeight="1" x14ac:dyDescent="0.2">
      <c r="B139" s="4" t="s">
        <v>181</v>
      </c>
      <c r="C139" s="109" t="str">
        <f>IF(cluster_wld_domain_chosen&lt;&gt;"MGMT Workload Domain",CONCATENATE(prefix_wld_az1_rack_cidr,"35.0"),CONCATENATE(prefix_mgmt_az1_cidr,"35.0"))</f>
        <v>10.13.35.0</v>
      </c>
      <c r="D139" s="66"/>
      <c r="E139" s="80"/>
    </row>
    <row r="140" spans="2:5" ht="20" customHeight="1" x14ac:dyDescent="0.2">
      <c r="B140" s="4" t="s">
        <v>274</v>
      </c>
      <c r="C140" s="109" t="s">
        <v>126</v>
      </c>
      <c r="D140" s="66"/>
      <c r="E140" s="42"/>
    </row>
    <row r="141" spans="2:5" ht="20" customHeight="1" x14ac:dyDescent="0.2">
      <c r="B141" s="4" t="s">
        <v>180</v>
      </c>
      <c r="C141" s="109" t="str">
        <f>IF(cluster_wld_domain_chosen&lt;&gt;"MGMT Workload Domain",CONCATENATE(prefix_wld_az1_rack_cidr,"35.1"),CONCATENATE(prefix_mgmt_az1_cidr,"35.1"))</f>
        <v>10.13.35.1</v>
      </c>
      <c r="D141" s="66"/>
      <c r="E141" s="42" t="str">
        <f>IF(AND(mgmt_stretched_cluster_result="Included",mgmt_dpg_reuse_result="Excluded"),"Stretched L2","")</f>
        <v/>
      </c>
    </row>
    <row r="142" spans="2:5" ht="20" customHeight="1" x14ac:dyDescent="0.2">
      <c r="B142" s="23" t="s">
        <v>244</v>
      </c>
      <c r="C142" s="109" t="str">
        <f>IF(cluster_wld_domain_chosen&lt;&gt;"MGMT Workload Domain",CONCATENATE(prefix_wld_az1_rack_cidr,"35.101"),CONCATENATE(prefix_mgmt_az1_cidr,"35.101"))</f>
        <v>10.13.35.101</v>
      </c>
      <c r="D142" s="66"/>
      <c r="E142" s="121" t="s">
        <v>2332</v>
      </c>
    </row>
    <row r="143" spans="2:5" ht="20" customHeight="1" x14ac:dyDescent="0.2">
      <c r="B143" s="23" t="s">
        <v>245</v>
      </c>
      <c r="C143" s="109" t="str">
        <f>IF(cluster_wld_domain_chosen&lt;&gt;"MGMT Workload Domain",CONCATENATE(prefix_wld_az1_rack_cidr,"35.116"),CONCATENATE(prefix_mgmt_az1_cidr,"35.116"))</f>
        <v>10.13.35.116</v>
      </c>
      <c r="D143" s="66"/>
      <c r="E143" s="121" t="s">
        <v>2333</v>
      </c>
    </row>
    <row r="144" spans="2:5" ht="16" customHeight="1" x14ac:dyDescent="0.2">
      <c r="B144" s="9"/>
      <c r="C144" s="9"/>
      <c r="D144" s="9"/>
      <c r="E144" s="9"/>
    </row>
    <row r="145" spans="2:5" ht="34" customHeight="1" x14ac:dyDescent="0.2">
      <c r="B145" s="559" t="s">
        <v>2344</v>
      </c>
      <c r="C145" s="560"/>
      <c r="D145" s="560"/>
      <c r="E145" s="561"/>
    </row>
    <row r="146" spans="2:5" ht="20" customHeight="1" x14ac:dyDescent="0.2">
      <c r="B146" s="62" t="s">
        <v>250</v>
      </c>
      <c r="C146" s="62" t="s">
        <v>251</v>
      </c>
      <c r="D146" s="160" t="s">
        <v>20</v>
      </c>
      <c r="E146" s="62" t="s">
        <v>252</v>
      </c>
    </row>
    <row r="147" spans="2:5" ht="20" customHeight="1" x14ac:dyDescent="0.2">
      <c r="B147" s="23" t="s">
        <v>204</v>
      </c>
      <c r="C147" s="109" t="str">
        <f>IF(cluster_wld_domain_chosen&lt;&gt;"MGMT Workload Domain",CONCATENATE(this_instance,"01-w0",wld_domain_number_chosen,"-r03-esx01",".",sample_child_dns_zone),CONCATENATE(this_instance,"01-m01-r03-esx01",".",sample_child_dns_zone))</f>
        <v>sfo01-w01-r03-esx01.sfo.rainpole.io</v>
      </c>
      <c r="D147" s="66"/>
      <c r="E147" s="42"/>
    </row>
    <row r="148" spans="2:5" ht="20" customHeight="1" x14ac:dyDescent="0.2">
      <c r="B148" s="23" t="s">
        <v>206</v>
      </c>
      <c r="C148" s="109" t="str">
        <f>IF(cluster_wld_domain_chosen&lt;&gt;"MGMT Workload Domain",CONCATENATE(this_instance,"01-w0",wld_domain_number_chosen,"-r03-esx02",".",sample_child_dns_zone),CONCATENATE(this_instance,"01-m01-r03-esx02",".",sample_child_dns_zone))</f>
        <v>sfo01-w01-r03-esx02.sfo.rainpole.io</v>
      </c>
      <c r="D148" s="66"/>
      <c r="E148" s="42"/>
    </row>
    <row r="149" spans="2:5" ht="20" customHeight="1" x14ac:dyDescent="0.2">
      <c r="B149" s="23" t="s">
        <v>208</v>
      </c>
      <c r="C149" s="109" t="str">
        <f>IF(cluster_wld_domain_chosen&lt;&gt;"MGMT Workload Domain",CONCATENATE(this_instance,"01-w0",wld_domain_number_chosen,"-r03-esx03",".",sample_child_dns_zone),CONCATENATE(this_instance,"01-m01-r03-esx03",".",sample_child_dns_zone))</f>
        <v>sfo01-w01-r03-esx03.sfo.rainpole.io</v>
      </c>
      <c r="D149" s="66"/>
      <c r="E149" s="42"/>
    </row>
    <row r="150" spans="2:5" ht="20" customHeight="1" x14ac:dyDescent="0.2">
      <c r="B150" s="23" t="s">
        <v>210</v>
      </c>
      <c r="C150" s="109" t="str">
        <f>IF(cluster_wld_domain_chosen&lt;&gt;"MGMT Workload Domain",CONCATENATE(this_instance,"01-w0",wld_domain_number_chosen,"-r03-esx04",".",sample_child_dns_zone),CONCATENATE(this_instance,"01-m01-r03-esx04",".",sample_child_dns_zone))</f>
        <v>sfo01-w01-r03-esx04.sfo.rainpole.io</v>
      </c>
      <c r="D150" s="66"/>
      <c r="E150" s="42"/>
    </row>
    <row r="151" spans="2:5" ht="20" customHeight="1" x14ac:dyDescent="0.2">
      <c r="B151" s="23" t="s">
        <v>212</v>
      </c>
      <c r="C151" s="109" t="str">
        <f>IF(cluster_wld_domain_chosen&lt;&gt;"MGMT Workload Domain",CONCATENATE(this_instance,"01-w0",wld_domain_number_chosen,"-r03-esx05",".",sample_child_dns_zone),CONCATENATE(this_instance,"01-m01-r03-esx05",".",sample_child_dns_zone))</f>
        <v>sfo01-w01-r03-esx05.sfo.rainpole.io</v>
      </c>
      <c r="D151" s="66"/>
      <c r="E151" s="42"/>
    </row>
    <row r="152" spans="2:5" ht="20" customHeight="1" x14ac:dyDescent="0.2">
      <c r="B152" s="23" t="s">
        <v>214</v>
      </c>
      <c r="C152" s="109" t="str">
        <f>IF(cluster_wld_domain_chosen&lt;&gt;"MGMT Workload Domain",CONCATENATE(this_instance,"01-w0",wld_domain_number_chosen,"-r03-esx06",".",sample_child_dns_zone),CONCATENATE(this_instance,"01-m01-r03-esx06",".",sample_child_dns_zone))</f>
        <v>sfo01-w01-r03-esx06.sfo.rainpole.io</v>
      </c>
      <c r="D152" s="66"/>
      <c r="E152" s="42"/>
    </row>
    <row r="153" spans="2:5" ht="20" customHeight="1" x14ac:dyDescent="0.2">
      <c r="B153" s="23" t="s">
        <v>216</v>
      </c>
      <c r="C153" s="109" t="str">
        <f>IF(cluster_wld_domain_chosen&lt;&gt;"MGMT Workload Domain",CONCATENATE(this_instance,"01-w0",wld_domain_number_chosen,"-r03-esx07",".",sample_child_dns_zone),CONCATENATE(this_instance,"01-m01-r03-esx07",".",sample_child_dns_zone))</f>
        <v>sfo01-w01-r03-esx07.sfo.rainpole.io</v>
      </c>
      <c r="D153" s="66"/>
      <c r="E153" s="42"/>
    </row>
    <row r="154" spans="2:5" ht="20" customHeight="1" x14ac:dyDescent="0.2">
      <c r="B154" s="23" t="s">
        <v>218</v>
      </c>
      <c r="C154" s="109" t="str">
        <f>IF(cluster_wld_domain_chosen&lt;&gt;"MGMT Workload Domain",CONCATENATE(this_instance,"01-w0",wld_domain_number_chosen,"-r03-esx08",".",sample_child_dns_zone),CONCATENATE(this_instance,"01-m01-r03-esx08",".",sample_child_dns_zone))</f>
        <v>sfo01-w01-r03-esx08.sfo.rainpole.io</v>
      </c>
      <c r="D154" s="66"/>
      <c r="E154" s="42"/>
    </row>
    <row r="155" spans="2:5" ht="20" customHeight="1" x14ac:dyDescent="0.2">
      <c r="B155" s="23" t="s">
        <v>220</v>
      </c>
      <c r="C155" s="109" t="str">
        <f>IF(cluster_wld_domain_chosen&lt;&gt;"MGMT Workload Domain",CONCATENATE(this_instance,"01-w0",wld_domain_number_chosen,"-r03-esx09",".",sample_child_dns_zone),CONCATENATE(this_instance,"01-m01-r03-esx09",".",sample_child_dns_zone))</f>
        <v>sfo01-w01-r03-esx09.sfo.rainpole.io</v>
      </c>
      <c r="D155" s="66"/>
      <c r="E155" s="42"/>
    </row>
    <row r="156" spans="2:5" ht="20" customHeight="1" x14ac:dyDescent="0.2">
      <c r="B156" s="23" t="s">
        <v>222</v>
      </c>
      <c r="C156" s="109" t="str">
        <f>IF(cluster_wld_domain_chosen&lt;&gt;"MGMT Workload Domain",CONCATENATE(this_instance,"01-w0",wld_domain_number_chosen,"-r03-esx10",".",sample_child_dns_zone),CONCATENATE(this_instance,"01-m01-r03-esx10",".",sample_child_dns_zone))</f>
        <v>sfo01-w01-r03-esx10.sfo.rainpole.io</v>
      </c>
      <c r="D156" s="66"/>
      <c r="E156" s="42"/>
    </row>
    <row r="157" spans="2:5" ht="20" customHeight="1" x14ac:dyDescent="0.2">
      <c r="B157" s="23" t="s">
        <v>224</v>
      </c>
      <c r="C157" s="109" t="str">
        <f>IF(cluster_wld_domain_chosen&lt;&gt;"MGMT Workload Domain",CONCATENATE(this_instance,"01-w0",wld_domain_number_chosen,"-r03-esx11",".",sample_child_dns_zone),CONCATENATE(this_instance,"01-m01-r03-esx11",".",sample_child_dns_zone))</f>
        <v>sfo01-w01-r03-esx11.sfo.rainpole.io</v>
      </c>
      <c r="D157" s="66"/>
      <c r="E157" s="42"/>
    </row>
    <row r="158" spans="2:5" ht="20" customHeight="1" x14ac:dyDescent="0.2">
      <c r="B158" s="23" t="s">
        <v>226</v>
      </c>
      <c r="C158" s="109" t="str">
        <f>IF(cluster_wld_domain_chosen&lt;&gt;"MGMT Workload Domain",CONCATENATE(this_instance,"01-w0",wld_domain_number_chosen,"-r03-esx12",".",sample_child_dns_zone),CONCATENATE(this_instance,"01-m01-r03-esx12",".",sample_child_dns_zone))</f>
        <v>sfo01-w01-r03-esx12.sfo.rainpole.io</v>
      </c>
      <c r="D158" s="66"/>
      <c r="E158" s="42"/>
    </row>
    <row r="159" spans="2:5" ht="20" customHeight="1" x14ac:dyDescent="0.2">
      <c r="B159" s="23" t="s">
        <v>228</v>
      </c>
      <c r="C159" s="109" t="str">
        <f>IF(cluster_wld_domain_chosen&lt;&gt;"MGMT Workload Domain",CONCATENATE(this_instance,"01-w0",wld_domain_number_chosen,"-r03-esx13",".",sample_child_dns_zone),CONCATENATE(this_instance,"01-m01-r03-esx13",".",sample_child_dns_zone))</f>
        <v>sfo01-w01-r03-esx13.sfo.rainpole.io</v>
      </c>
      <c r="D159" s="66"/>
      <c r="E159" s="42"/>
    </row>
    <row r="160" spans="2:5" ht="20" customHeight="1" x14ac:dyDescent="0.2">
      <c r="B160" s="23" t="s">
        <v>230</v>
      </c>
      <c r="C160" s="109" t="str">
        <f>IF(cluster_wld_domain_chosen&lt;&gt;"MGMT Workload Domain",CONCATENATE(this_instance,"01-w0",wld_domain_number_chosen,"-r03-esx14",".",sample_child_dns_zone),CONCATENATE(this_instance,"01-m01-r03-esx14",".",sample_child_dns_zone))</f>
        <v>sfo01-w01-r03-esx14.sfo.rainpole.io</v>
      </c>
      <c r="D160" s="66"/>
      <c r="E160" s="42"/>
    </row>
    <row r="161" spans="2:5" ht="20" customHeight="1" x14ac:dyDescent="0.2">
      <c r="B161" s="23" t="s">
        <v>232</v>
      </c>
      <c r="C161" s="109" t="str">
        <f>IF(cluster_wld_domain_chosen&lt;&gt;"MGMT Workload Domain",CONCATENATE(this_instance,"01-w0",wld_domain_number_chosen,"-r03-esx14",".",sample_child_dns_zone),CONCATENATE(this_instance,"01-m01-r03-esx15",".",sample_child_dns_zone))</f>
        <v>sfo01-w01-r03-esx14.sfo.rainpole.io</v>
      </c>
      <c r="D161" s="66"/>
      <c r="E161" s="42"/>
    </row>
    <row r="162" spans="2:5" ht="20" customHeight="1" x14ac:dyDescent="0.2">
      <c r="B162" s="23" t="s">
        <v>234</v>
      </c>
      <c r="C162" s="109" t="str">
        <f>IF(cluster_wld_domain_chosen&lt;&gt;"MGMT Workload Domain",CONCATENATE(this_instance,"01-w0",wld_domain_number_chosen,"-r03-esx16",".",sample_child_dns_zone),CONCATENATE(this_instance,"01-m01-r03-esx16",".",sample_child_dns_zone))</f>
        <v>sfo01-w01-r03-esx16.sfo.rainpole.io</v>
      </c>
      <c r="D162" s="66"/>
      <c r="E162" s="42"/>
    </row>
    <row r="163" spans="2:5" ht="20" customHeight="1" x14ac:dyDescent="0.2">
      <c r="B163" s="23" t="s">
        <v>253</v>
      </c>
      <c r="C163" s="109" t="s">
        <v>647</v>
      </c>
      <c r="D163" s="8" t="s">
        <v>254</v>
      </c>
      <c r="E163" s="42"/>
    </row>
    <row r="164" spans="2:5" ht="20" customHeight="1" x14ac:dyDescent="0.2">
      <c r="B164" s="23" t="s">
        <v>255</v>
      </c>
      <c r="C164" s="109" t="s">
        <v>256</v>
      </c>
      <c r="D164"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164" s="4"/>
    </row>
    <row r="165" spans="2:5" ht="20" customHeight="1" x14ac:dyDescent="0.2">
      <c r="B165" s="23" t="s">
        <v>257</v>
      </c>
      <c r="C165" s="109" t="s">
        <v>154</v>
      </c>
      <c r="D165" s="8" t="str">
        <f>IF(AND(vcf_granular_option_chosen="Create Cluster",cluster_principal_storage_chosen="vSAN-ESA"),"Selected",
IF(AND(vcf_granular_option_chosen="Create Workload Domain",wld_principal_storage_chosen="vSAN-ESA"),"Selected","Unselected"))</f>
        <v>Unselected</v>
      </c>
      <c r="E165" s="42"/>
    </row>
    <row r="166" spans="2:5" ht="20" customHeight="1" x14ac:dyDescent="0.2">
      <c r="B166" s="23" t="s">
        <v>239</v>
      </c>
      <c r="C166" s="109" t="str">
        <f>sample_wld_az1_rack3_pool_name</f>
        <v>sfo01-w01-r03-network-pool-01</v>
      </c>
      <c r="D166" s="8" t="str">
        <f>wld_az1_rack3_pool_name</f>
        <v>Value Missing</v>
      </c>
      <c r="E166" s="42"/>
    </row>
    <row r="167" spans="2:5" ht="20" customHeight="1" x14ac:dyDescent="0.2">
      <c r="B167" s="23" t="s">
        <v>47</v>
      </c>
      <c r="C167" s="109" t="s">
        <v>258</v>
      </c>
      <c r="D167"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167" s="42"/>
    </row>
    <row r="168" spans="2:5" ht="20" customHeight="1" x14ac:dyDescent="0.2">
      <c r="B168" s="23" t="s">
        <v>30</v>
      </c>
      <c r="C168" s="109" t="s">
        <v>31</v>
      </c>
      <c r="D168"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168" s="42"/>
    </row>
    <row r="169" spans="2:5" ht="16" customHeight="1" x14ac:dyDescent="0.2"/>
    <row r="170" spans="2:5" ht="34" customHeight="1" x14ac:dyDescent="0.2">
      <c r="B170" s="559" t="s">
        <v>2345</v>
      </c>
      <c r="C170" s="560"/>
      <c r="D170" s="560"/>
      <c r="E170" s="561"/>
    </row>
    <row r="171" spans="2:5" ht="20" customHeight="1" x14ac:dyDescent="0.2">
      <c r="B171" s="4" t="s">
        <v>325</v>
      </c>
      <c r="C171" s="109" t="str">
        <f>IF(vcf_granular_option_chosen="Create Cluster",CONCATENATE(this_instance,"01-",sample_cluster_name,"-r03-network-profile"),
IF(cluster_wld_domain_chosen="Workload Domain",CONCATENATE(this_instance,"01-",sample_wld_cl01_cluster,"-r03-network-profile"),
CONCATENATE(this_instance,"01-",sample_mgmt_cl01_cluster,"-r03-network-profile")))</f>
        <v>sfo01-sfo-w01-cl01-r03-network-profile</v>
      </c>
      <c r="D171" s="248"/>
      <c r="E171" s="103"/>
    </row>
    <row r="172" spans="2:5" ht="20" customHeight="1" x14ac:dyDescent="0.2">
      <c r="B172" s="4" t="s">
        <v>2336</v>
      </c>
      <c r="C172" s="65" t="s">
        <v>327</v>
      </c>
      <c r="D172" s="154" t="s">
        <v>327</v>
      </c>
      <c r="E172" s="287" t="str">
        <f>IF(wld_az1_rack3_host_overlay_new_pool_chosen="Re-use an existing Pool","An exisitng Pool will be reused for Host TEP assignment","A new Pool will be created for Host TEP assignment")</f>
        <v>A new Pool will be created for Host TEP assignment</v>
      </c>
    </row>
    <row r="173" spans="2:5" ht="20" customHeight="1" x14ac:dyDescent="0.2">
      <c r="B173" s="4" t="s">
        <v>328</v>
      </c>
      <c r="C173" s="109" t="str">
        <f>IF(cluster_wld_domain_chosen="Workload Domain",CONCATENATE(this_instance,"01-w0",wld_domain_number_chosen,"-r03-ip-pool01-host"),CONCATENATE(this_instance,"01-m01","-r03-ip-pool01-host"))</f>
        <v>sfo01-w01-r03-ip-pool01-host</v>
      </c>
      <c r="D173" s="248"/>
      <c r="E173" s="103"/>
    </row>
    <row r="174" spans="2:5" ht="20" customHeight="1" x14ac:dyDescent="0.2">
      <c r="B174" s="4" t="s">
        <v>329</v>
      </c>
      <c r="C174" s="109" t="str">
        <f>IF(cluster_wld_domain_chosen="Workload Domain",CONCATENATE(this_instance,"01-w0",wld_domain_number_chosen,"-r03-uplink-profile01"),CONCATENATE(this_instance,"01-m01","-r03-uplink-profile01"))</f>
        <v>sfo01-w01-r03-uplink-profile01</v>
      </c>
      <c r="D174" s="248"/>
      <c r="E174" s="103"/>
    </row>
    <row r="175" spans="2:5" ht="20" customHeight="1" x14ac:dyDescent="0.2">
      <c r="B175" s="4" t="s">
        <v>2337</v>
      </c>
      <c r="C175" s="109" t="str">
        <f>IF(cluster_wld_domain_chosen="Workload Domain",CONCATENATE(this_instance,"01-w0",wld_domain_number_chosen,"-r03-ip-pool02-edge"),CONCATENATE(this_instance,"01-m01","-r03-ip-pool02-edge"))</f>
        <v>sfo01-w01-r03-ip-pool02-edge</v>
      </c>
      <c r="D175" s="248"/>
      <c r="E175" s="103"/>
    </row>
    <row r="176" spans="2:5" ht="20" customHeight="1" x14ac:dyDescent="0.2">
      <c r="B176" s="4" t="s">
        <v>2338</v>
      </c>
      <c r="C176" s="109" t="str">
        <f>IF(cluster_wld_domain_chosen="Workload Domain",CONCATENATE(this_instance,"01-w0",wld_domain_number_chosen,"-r03-ip-pool03-rtep"),CONCATENATE(this_instance,"01-m01","-r03-ip-pool03-rtep"))</f>
        <v>sfo01-w01-r03-ip-pool03-rtep</v>
      </c>
      <c r="D176" s="66"/>
      <c r="E176" s="103"/>
    </row>
    <row r="177" spans="2:5" ht="20" customHeight="1" x14ac:dyDescent="0.2">
      <c r="B177" s="521" t="s">
        <v>708</v>
      </c>
      <c r="C177" s="522"/>
      <c r="D177" s="522"/>
      <c r="E177" s="523"/>
    </row>
    <row r="178" spans="2:5" ht="20" customHeight="1" x14ac:dyDescent="0.2">
      <c r="B178" s="241" t="s">
        <v>250</v>
      </c>
      <c r="C178" s="241" t="s">
        <v>251</v>
      </c>
      <c r="D178" s="247" t="s">
        <v>20</v>
      </c>
      <c r="E178" s="241" t="s">
        <v>21</v>
      </c>
    </row>
    <row r="179" spans="2:5" ht="20" customHeight="1" x14ac:dyDescent="0.2">
      <c r="B179" s="4" t="s">
        <v>1198</v>
      </c>
      <c r="C179" s="103" t="str">
        <f>IF(cluster_wld_domain_chosen&lt;&gt;"MGMT Workload Domain",CONCATENATE(this_instance,"-w0",wld_domain_number_chosen,"-r03","-vsan-fault-domain"),CONCATENATE(this_instance,"-m01","-r03","-vsan-fault-domain"))</f>
        <v>sfo-w01-r03-vsan-fault-domain</v>
      </c>
      <c r="D179" s="66"/>
      <c r="E179" s="8"/>
    </row>
    <row r="180" spans="2:5" ht="16" customHeight="1" x14ac:dyDescent="0.2"/>
    <row r="181" spans="2:5" ht="34" customHeight="1" x14ac:dyDescent="0.2">
      <c r="B181" s="559" t="s">
        <v>2346</v>
      </c>
      <c r="C181" s="560"/>
      <c r="D181" s="560"/>
      <c r="E181" s="561"/>
    </row>
    <row r="182" spans="2:5" ht="20" customHeight="1" x14ac:dyDescent="0.2">
      <c r="B182" s="62" t="s">
        <v>250</v>
      </c>
      <c r="C182" s="62" t="s">
        <v>251</v>
      </c>
      <c r="D182" s="160" t="s">
        <v>20</v>
      </c>
      <c r="E182" s="62" t="s">
        <v>21</v>
      </c>
    </row>
    <row r="183" spans="2:5" ht="20" customHeight="1" x14ac:dyDescent="0.2">
      <c r="B183" s="521" t="s">
        <v>794</v>
      </c>
      <c r="C183" s="522"/>
      <c r="D183" s="522"/>
      <c r="E183" s="523"/>
    </row>
    <row r="184" spans="2:5" ht="20" customHeight="1" x14ac:dyDescent="0.2">
      <c r="B184" s="4" t="s">
        <v>85</v>
      </c>
      <c r="C184" s="65" t="str">
        <f>IF(cluster_wld_domain_chosen&lt;&gt;"MGMT Workload Domain",CONCATENATE(prefix_wld_az1_rack_vlan,"36"),CONCATENATE(prefix_mgmt_az1_vlan,"36"))</f>
        <v>1336</v>
      </c>
      <c r="D184" s="66"/>
      <c r="E184" s="113"/>
    </row>
    <row r="185" spans="2:5" ht="20" customHeight="1" x14ac:dyDescent="0.2">
      <c r="B185" s="4" t="s">
        <v>155</v>
      </c>
      <c r="C185" s="65">
        <v>9000</v>
      </c>
      <c r="D185" s="66"/>
      <c r="E185" s="42"/>
    </row>
    <row r="186" spans="2:5" ht="20" customHeight="1" x14ac:dyDescent="0.2">
      <c r="B186" s="4" t="s">
        <v>181</v>
      </c>
      <c r="C186" s="65" t="str">
        <f>IF(cluster_wld_domain_chosen&lt;&gt;"MGMT Workload Domain",CONCATENATE(prefix_wld_az1_rack_cidr,"36.0"),CONCATENATE(prefix_mgmt_az1_cidr,"36.0"))</f>
        <v>10.13.36.0</v>
      </c>
      <c r="D186" s="66"/>
      <c r="E186" s="42"/>
    </row>
    <row r="187" spans="2:5" ht="20" customHeight="1" x14ac:dyDescent="0.2">
      <c r="B187" s="4" t="s">
        <v>274</v>
      </c>
      <c r="C187" s="153" t="s">
        <v>126</v>
      </c>
      <c r="D187" s="66"/>
      <c r="E187" s="42"/>
    </row>
    <row r="188" spans="2:5" ht="20" customHeight="1" x14ac:dyDescent="0.2">
      <c r="B188" s="4" t="s">
        <v>180</v>
      </c>
      <c r="C188" s="65" t="str">
        <f>IF(cluster_wld_domain_chosen&lt;&gt;"MGMT Workload Domain",CONCATENATE(prefix_wld_az1_rack_cidr,"36.1"),CONCATENATE(prefix_mgmt_az1_cidr,"36.1"))</f>
        <v>10.13.36.1</v>
      </c>
      <c r="D188" s="66"/>
      <c r="E188" s="42"/>
    </row>
    <row r="189" spans="2:5" ht="20" customHeight="1" x14ac:dyDescent="0.2">
      <c r="B189" s="23" t="s">
        <v>244</v>
      </c>
      <c r="C189" s="65" t="str">
        <f>IF(cluster_wld_domain_chosen&lt;&gt;"MGMT Workload Domain",CONCATENATE(prefix_wld_az1_rack_cidr,"36.101"),CONCATENATE(prefix_mgmt_az1_cidr,"36.101"))</f>
        <v>10.13.36.101</v>
      </c>
      <c r="D189" s="66"/>
      <c r="E189" s="121" t="s">
        <v>2340</v>
      </c>
    </row>
    <row r="190" spans="2:5" ht="20" customHeight="1" x14ac:dyDescent="0.2">
      <c r="B190" s="23" t="s">
        <v>245</v>
      </c>
      <c r="C190" s="65" t="str">
        <f>IF(cluster_wld_domain_chosen&lt;&gt;"MGMT Workload Domain",CONCATENATE(prefix_wld_az1_rack_cidr,"36.116"),CONCATENATE(prefix_mgmt_az1_cidr,"36.116"))</f>
        <v>10.13.36.116</v>
      </c>
      <c r="D190" s="66"/>
      <c r="E190" s="121" t="s">
        <v>2341</v>
      </c>
    </row>
    <row r="191" spans="2:5" ht="16" customHeight="1" x14ac:dyDescent="0.2"/>
    <row r="192" spans="2:5" ht="34" customHeight="1" x14ac:dyDescent="0.2">
      <c r="B192" s="559" t="s">
        <v>2347</v>
      </c>
      <c r="C192" s="560"/>
      <c r="D192" s="560"/>
      <c r="E192" s="561"/>
    </row>
    <row r="193" spans="2:5" ht="20" customHeight="1" x14ac:dyDescent="0.2">
      <c r="B193" s="62" t="s">
        <v>250</v>
      </c>
      <c r="C193" s="62" t="s">
        <v>251</v>
      </c>
      <c r="D193" s="160" t="s">
        <v>20</v>
      </c>
      <c r="E193" s="62" t="s">
        <v>252</v>
      </c>
    </row>
    <row r="194" spans="2:5" ht="20" customHeight="1" x14ac:dyDescent="0.2">
      <c r="B194" s="521" t="s">
        <v>202</v>
      </c>
      <c r="C194" s="522"/>
      <c r="D194" s="522"/>
      <c r="E194" s="523"/>
    </row>
    <row r="195" spans="2:5" ht="20" customHeight="1" x14ac:dyDescent="0.2">
      <c r="B195" s="4" t="s">
        <v>85</v>
      </c>
      <c r="C195" s="65" t="str">
        <f>IF(cluster_wld_domain_chosen&lt;&gt;"MGMT Workload Domain",CONCATENATE(prefix_wld_az1_rack_vlan,"44"),CONCATENATE(prefix_mgmt_az1_vlan,"44"))</f>
        <v>1344</v>
      </c>
      <c r="D195" s="66"/>
      <c r="E195" s="113"/>
    </row>
    <row r="196" spans="2:5" ht="20" customHeight="1" x14ac:dyDescent="0.2">
      <c r="B196" s="4" t="s">
        <v>180</v>
      </c>
      <c r="C196" s="65" t="str">
        <f>IF(cluster_wld_domain_chosen&lt;&gt;"MGMT Workload Domain",CONCATENATE(prefix_wld_az1_rack_cidr,"44.1"),CONCATENATE(prefix_mgmt_az1_cidr,"44.1"))</f>
        <v>10.13.44.1</v>
      </c>
      <c r="D196" s="66"/>
      <c r="E196" s="42"/>
    </row>
    <row r="197" spans="2:5" ht="20" customHeight="1" x14ac:dyDescent="0.2">
      <c r="B197" s="4" t="s">
        <v>181</v>
      </c>
      <c r="C197" s="65" t="str">
        <f>IF(cluster_wld_domain_chosen&lt;&gt;"MGMT Workload Domain",CONCATENATE(prefix_wld_az1_rack_cidr,"44.0/24"),CONCATENATE(prefix_mgmt_az1_cidr,"44.0/24"))</f>
        <v>10.13.44.0/24</v>
      </c>
      <c r="D197" s="66"/>
      <c r="E197" s="42"/>
    </row>
    <row r="198" spans="2:5" ht="20" customHeight="1" x14ac:dyDescent="0.2">
      <c r="B198" s="4" t="s">
        <v>155</v>
      </c>
      <c r="C198" s="65">
        <v>1500</v>
      </c>
      <c r="D198" s="66"/>
      <c r="E198" s="42"/>
    </row>
    <row r="199" spans="2:5" ht="20" customHeight="1" x14ac:dyDescent="0.2">
      <c r="B199" s="546" t="s">
        <v>203</v>
      </c>
      <c r="C199" s="547"/>
      <c r="D199" s="547"/>
      <c r="E199" s="548"/>
    </row>
    <row r="200" spans="2:5" ht="20" customHeight="1" x14ac:dyDescent="0.2">
      <c r="B200" s="23" t="s">
        <v>204</v>
      </c>
      <c r="C200" s="153" t="str">
        <f>IF(cluster_wld_domain_chosen&lt;&gt;"MGMT Workload Domain",CONCATENATE(prefix_wld_az1_rack_cidr,"44.101"),CONCATENATE(prefix_mgmt_az1_cidr,"44.101"))</f>
        <v>10.13.44.101</v>
      </c>
      <c r="D200" s="66"/>
      <c r="E200" s="121" t="s">
        <v>205</v>
      </c>
    </row>
    <row r="201" spans="2:5" ht="20" customHeight="1" x14ac:dyDescent="0.2">
      <c r="B201" s="23" t="s">
        <v>206</v>
      </c>
      <c r="C201" s="153" t="str">
        <f>IF(cluster_wld_domain_chosen&lt;&gt;"MGMT Workload Domain",CONCATENATE(prefix_wld_az1_rack_cidr,"44.102"),CONCATENATE(prefix_mgmt_az1_cidr,"44.102"))</f>
        <v>10.13.44.102</v>
      </c>
      <c r="D201" s="66"/>
      <c r="E201" s="121" t="s">
        <v>207</v>
      </c>
    </row>
    <row r="202" spans="2:5" ht="20" customHeight="1" x14ac:dyDescent="0.2">
      <c r="B202" s="23" t="s">
        <v>208</v>
      </c>
      <c r="C202" s="153" t="str">
        <f>IF(cluster_wld_domain_chosen&lt;&gt;"MGMT Workload Domain",CONCATENATE(prefix_wld_az1_rack_cidr,"44.103"),CONCATENATE(prefix_mgmt_az1_cidr,"44.103"))</f>
        <v>10.13.44.103</v>
      </c>
      <c r="D202" s="66"/>
      <c r="E202" s="121" t="s">
        <v>209</v>
      </c>
    </row>
    <row r="203" spans="2:5" ht="20" customHeight="1" x14ac:dyDescent="0.2">
      <c r="B203" s="23" t="s">
        <v>210</v>
      </c>
      <c r="C203" s="153" t="str">
        <f>IF(cluster_wld_domain_chosen&lt;&gt;"MGMT Workload Domain",CONCATENATE(prefix_wld_az1_rack_cidr,"44.104"),CONCATENATE(prefix_mgmt_az1_cidr,"44.104"))</f>
        <v>10.13.44.104</v>
      </c>
      <c r="D203" s="66"/>
      <c r="E203" s="121" t="s">
        <v>211</v>
      </c>
    </row>
    <row r="204" spans="2:5" ht="20" customHeight="1" x14ac:dyDescent="0.2">
      <c r="B204" s="23" t="s">
        <v>212</v>
      </c>
      <c r="C204" s="153" t="str">
        <f>IF(cluster_wld_domain_chosen&lt;&gt;"MGMT Workload Domain",CONCATENATE(prefix_wld_az1_rack_cidr,"44.105"),CONCATENATE(prefix_mgmt_az1_cidr,"44.105"))</f>
        <v>10.13.44.105</v>
      </c>
      <c r="D204" s="66"/>
      <c r="E204" s="121" t="s">
        <v>213</v>
      </c>
    </row>
    <row r="205" spans="2:5" ht="20" customHeight="1" x14ac:dyDescent="0.2">
      <c r="B205" s="23" t="s">
        <v>214</v>
      </c>
      <c r="C205" s="153" t="str">
        <f>IF(cluster_wld_domain_chosen&lt;&gt;"MGMT Workload Domain",CONCATENATE(prefix_wld_az1_rack_cidr,"44.106"),CONCATENATE(prefix_mgmt_az1_cidr,"44.106"))</f>
        <v>10.13.44.106</v>
      </c>
      <c r="D205" s="66"/>
      <c r="E205" s="121" t="s">
        <v>215</v>
      </c>
    </row>
    <row r="206" spans="2:5" ht="20" customHeight="1" x14ac:dyDescent="0.2">
      <c r="B206" s="23" t="s">
        <v>216</v>
      </c>
      <c r="C206" s="153" t="str">
        <f>IF(cluster_wld_domain_chosen&lt;&gt;"MGMT Workload Domain",CONCATENATE(prefix_wld_az1_rack_cidr,"44.107"),CONCATENATE(prefix_mgmt_az1_cidr,"44.107"))</f>
        <v>10.13.44.107</v>
      </c>
      <c r="D206" s="66"/>
      <c r="E206" s="121" t="s">
        <v>217</v>
      </c>
    </row>
    <row r="207" spans="2:5" ht="20" customHeight="1" x14ac:dyDescent="0.2">
      <c r="B207" s="23" t="s">
        <v>218</v>
      </c>
      <c r="C207" s="153" t="str">
        <f>IF(cluster_wld_domain_chosen&lt;&gt;"MGMT Workload Domain",CONCATENATE(prefix_wld_az1_rack_cidr,"44.108"),CONCATENATE(prefix_mgmt_az1_cidr,"44.108"))</f>
        <v>10.13.44.108</v>
      </c>
      <c r="D207" s="66"/>
      <c r="E207" s="121" t="s">
        <v>219</v>
      </c>
    </row>
    <row r="208" spans="2:5" ht="20" customHeight="1" x14ac:dyDescent="0.2">
      <c r="B208" s="23" t="s">
        <v>220</v>
      </c>
      <c r="C208" s="153" t="str">
        <f>IF(cluster_wld_domain_chosen&lt;&gt;"MGMT Workload Domain",CONCATENATE(prefix_wld_az1_rack_cidr,"44.109"),CONCATENATE(prefix_mgmt_az1_cidr,"44.109"))</f>
        <v>10.13.44.109</v>
      </c>
      <c r="D208" s="66"/>
      <c r="E208" s="121" t="s">
        <v>221</v>
      </c>
    </row>
    <row r="209" spans="2:5" ht="20" customHeight="1" x14ac:dyDescent="0.2">
      <c r="B209" s="23" t="s">
        <v>222</v>
      </c>
      <c r="C209" s="153" t="str">
        <f>IF(cluster_wld_domain_chosen&lt;&gt;"MGMT Workload Domain",CONCATENATE(prefix_wld_az1_rack_cidr,"44.110"),CONCATENATE(prefix_mgmt_az1_cidr,"44.110"))</f>
        <v>10.13.44.110</v>
      </c>
      <c r="D209" s="66"/>
      <c r="E209" s="121" t="s">
        <v>223</v>
      </c>
    </row>
    <row r="210" spans="2:5" ht="20" customHeight="1" x14ac:dyDescent="0.2">
      <c r="B210" s="23" t="s">
        <v>224</v>
      </c>
      <c r="C210" s="153" t="str">
        <f>IF(cluster_wld_domain_chosen&lt;&gt;"MGMT Workload Domain",CONCATENATE(prefix_wld_az1_rack_cidr,"44.111"),CONCATENATE(prefix_mgmt_az1_cidr,"44.111"))</f>
        <v>10.13.44.111</v>
      </c>
      <c r="D210" s="66"/>
      <c r="E210" s="121" t="s">
        <v>225</v>
      </c>
    </row>
    <row r="211" spans="2:5" ht="20" customHeight="1" x14ac:dyDescent="0.2">
      <c r="B211" s="23" t="s">
        <v>226</v>
      </c>
      <c r="C211" s="153" t="str">
        <f>IF(cluster_wld_domain_chosen&lt;&gt;"MGMT Workload Domain",CONCATENATE(prefix_wld_az1_rack_cidr,"44.112"),CONCATENATE(prefix_mgmt_az1_cidr,"44.112"))</f>
        <v>10.13.44.112</v>
      </c>
      <c r="D211" s="66"/>
      <c r="E211" s="121" t="s">
        <v>227</v>
      </c>
    </row>
    <row r="212" spans="2:5" ht="20" customHeight="1" x14ac:dyDescent="0.2">
      <c r="B212" s="23" t="s">
        <v>228</v>
      </c>
      <c r="C212" s="153" t="str">
        <f>IF(cluster_wld_domain_chosen&lt;&gt;"MGMT Workload Domain",CONCATENATE(prefix_wld_az1_rack_cidr,"44.113"),CONCATENATE(prefix_mgmt_az1_cidr,"44.113"))</f>
        <v>10.13.44.113</v>
      </c>
      <c r="D212" s="66"/>
      <c r="E212" s="121" t="s">
        <v>229</v>
      </c>
    </row>
    <row r="213" spans="2:5" ht="20" customHeight="1" x14ac:dyDescent="0.2">
      <c r="B213" s="23" t="s">
        <v>230</v>
      </c>
      <c r="C213" s="153" t="str">
        <f>IF(cluster_wld_domain_chosen&lt;&gt;"MGMT Workload Domain",CONCATENATE(prefix_wld_az1_rack_cidr,"44.114"),CONCATENATE(prefix_mgmt_az1_cidr,"44.114"))</f>
        <v>10.13.44.114</v>
      </c>
      <c r="D213" s="66"/>
      <c r="E213" s="121" t="s">
        <v>231</v>
      </c>
    </row>
    <row r="214" spans="2:5" ht="20" customHeight="1" x14ac:dyDescent="0.2">
      <c r="B214" s="23" t="s">
        <v>232</v>
      </c>
      <c r="C214" s="153" t="str">
        <f>IF(cluster_wld_domain_chosen&lt;&gt;"MGMT Workload Domain",CONCATENATE(prefix_wld_az1_rack_cidr,"44.115"),CONCATENATE(prefix_mgmt_az1_cidr,"44.115"))</f>
        <v>10.13.44.115</v>
      </c>
      <c r="D214" s="66"/>
      <c r="E214" s="121" t="s">
        <v>233</v>
      </c>
    </row>
    <row r="215" spans="2:5" ht="20" customHeight="1" x14ac:dyDescent="0.2">
      <c r="B215" s="23" t="s">
        <v>234</v>
      </c>
      <c r="C215" s="153" t="str">
        <f>IF(cluster_wld_domain_chosen&lt;&gt;"MGMT Workload Domain",CONCATENATE(prefix_wld_az1_rack_cidr,"44.116"),CONCATENATE(prefix_mgmt_az1_cidr,"44.116"))</f>
        <v>10.13.44.116</v>
      </c>
      <c r="D215" s="66"/>
      <c r="E215" s="121" t="s">
        <v>235</v>
      </c>
    </row>
    <row r="216" spans="2:5" ht="16" customHeight="1" x14ac:dyDescent="0.2">
      <c r="B216" s="9"/>
      <c r="C216" s="9"/>
      <c r="D216" s="9"/>
      <c r="E216" s="9"/>
    </row>
    <row r="217" spans="2:5" ht="34" customHeight="1" x14ac:dyDescent="0.2">
      <c r="B217" s="559" t="s">
        <v>2348</v>
      </c>
      <c r="C217" s="560"/>
      <c r="D217" s="560"/>
      <c r="E217" s="561"/>
    </row>
    <row r="218" spans="2:5" ht="20" customHeight="1" x14ac:dyDescent="0.2">
      <c r="B218" s="62" t="s">
        <v>250</v>
      </c>
      <c r="C218" s="62" t="s">
        <v>251</v>
      </c>
      <c r="D218" s="160" t="s">
        <v>20</v>
      </c>
      <c r="E218" s="62" t="s">
        <v>252</v>
      </c>
    </row>
    <row r="219" spans="2:5" ht="20" customHeight="1" x14ac:dyDescent="0.2">
      <c r="B219" s="4" t="s">
        <v>2329</v>
      </c>
      <c r="C219" s="65" t="s">
        <v>238</v>
      </c>
      <c r="D219" s="154" t="s">
        <v>238</v>
      </c>
      <c r="E219" s="4" t="str">
        <f>IF(wld_az1_rack4_reuse_vcf_networkpool_chosen="Re-use an existing  VCF Network Pool","An exisiting VCF Network Pool will be reused for Host TEP assignment","A new VCF Network Pool will be created")</f>
        <v>A new VCF Network Pool will be created</v>
      </c>
    </row>
    <row r="220" spans="2:5" ht="20" customHeight="1" x14ac:dyDescent="0.2">
      <c r="B220" s="23" t="s">
        <v>239</v>
      </c>
      <c r="C220" s="109" t="str">
        <f>IF(cluster_wld_domain_chosen="Workload Domain",CONCATENATE(this_instance,"01-w0",wld_domain_number_chosen,"-r04-network-pool-01"),CONCATENATE(this_instance,"01-m01","-r04-network-pool-01"))</f>
        <v>sfo01-w01-r04-network-pool-01</v>
      </c>
      <c r="D220" s="66"/>
      <c r="E220" s="42"/>
    </row>
    <row r="221" spans="2:5" ht="20" customHeight="1" x14ac:dyDescent="0.2">
      <c r="B221" s="521" t="s">
        <v>240</v>
      </c>
      <c r="C221" s="522"/>
      <c r="D221" s="522"/>
      <c r="E221" s="523"/>
    </row>
    <row r="222" spans="2:5" ht="20" customHeight="1" x14ac:dyDescent="0.2">
      <c r="B222" s="4" t="s">
        <v>85</v>
      </c>
      <c r="C222" s="65" t="str">
        <f>IF(cluster_wld_domain_chosen&lt;&gt;"MGMT Workload Domain",CONCATENATE(prefix_wld_az1_rack_vlan,"45"),CONCATENATE(prefix_mgmt_az1_vlan,"45"))</f>
        <v>1345</v>
      </c>
      <c r="D222" s="66"/>
      <c r="E222" s="113"/>
    </row>
    <row r="223" spans="2:5" ht="20" customHeight="1" x14ac:dyDescent="0.2">
      <c r="B223" s="4" t="s">
        <v>155</v>
      </c>
      <c r="C223" s="65">
        <v>9000</v>
      </c>
      <c r="D223" s="66"/>
      <c r="E223" s="42"/>
    </row>
    <row r="224" spans="2:5" ht="20" customHeight="1" x14ac:dyDescent="0.2">
      <c r="B224" s="4" t="s">
        <v>181</v>
      </c>
      <c r="C224" s="153" t="str">
        <f>IF(cluster_wld_domain_chosen&lt;&gt;"MGMT Workload Domain",CONCATENATE(prefix_wld_az1_rack_cidr,"45.0"),CONCATENATE(prefix_mgmt_az1_cidr,"45.0"))</f>
        <v>10.13.45.0</v>
      </c>
      <c r="D224" s="66"/>
      <c r="E224" s="42"/>
    </row>
    <row r="225" spans="2:5" ht="20" customHeight="1" x14ac:dyDescent="0.2">
      <c r="B225" s="4" t="s">
        <v>274</v>
      </c>
      <c r="C225" s="153" t="s">
        <v>126</v>
      </c>
      <c r="D225" s="66"/>
      <c r="E225" s="42"/>
    </row>
    <row r="226" spans="2:5" ht="20" customHeight="1" x14ac:dyDescent="0.2">
      <c r="B226" s="4" t="s">
        <v>180</v>
      </c>
      <c r="C226" s="65" t="str">
        <f>IF(cluster_wld_domain_chosen&lt;&gt;"MGMT Workload Domain",CONCATENATE(prefix_wld_az1_rack_cidr,"45.1"),CONCATENATE(prefix_mgmt_az1_cidr,"45.1"))</f>
        <v>10.13.45.1</v>
      </c>
      <c r="D226" s="66"/>
      <c r="E226" s="42"/>
    </row>
    <row r="227" spans="2:5" ht="20" customHeight="1" x14ac:dyDescent="0.2">
      <c r="B227" s="23" t="s">
        <v>244</v>
      </c>
      <c r="C227" s="65" t="str">
        <f>IF(cluster_wld_domain_chosen&lt;&gt;"MGMT Workload Domain",CONCATENATE(prefix_wld_az1_rack_cidr,"45.101"),CONCATENATE(prefix_mgmt_az1_cidr,"45.101"))</f>
        <v>10.13.45.101</v>
      </c>
      <c r="D227" s="66"/>
      <c r="E227" s="121" t="s">
        <v>2349</v>
      </c>
    </row>
    <row r="228" spans="2:5" ht="20" customHeight="1" x14ac:dyDescent="0.2">
      <c r="B228" s="23" t="s">
        <v>245</v>
      </c>
      <c r="C228" s="65" t="str">
        <f>IF(cluster_wld_domain_chosen&lt;&gt;"MGMT Workload Domain",CONCATENATE(prefix_wld_az1_rack_cidr,"45.116"),CONCATENATE(prefix_mgmt_az1_cidr,"45.116"))</f>
        <v>10.13.45.116</v>
      </c>
      <c r="D228" s="66"/>
      <c r="E228" s="121" t="s">
        <v>2350</v>
      </c>
    </row>
    <row r="229" spans="2:5" ht="20" customHeight="1" x14ac:dyDescent="0.2">
      <c r="B229" s="521" t="s">
        <v>246</v>
      </c>
      <c r="C229" s="522"/>
      <c r="D229" s="522"/>
      <c r="E229" s="523"/>
    </row>
    <row r="230" spans="2:5" ht="20" customHeight="1" x14ac:dyDescent="0.2">
      <c r="B230" s="4" t="s">
        <v>85</v>
      </c>
      <c r="C230" s="65" t="str">
        <f>IF(cluster_wld_domain_chosen&lt;&gt;"MGMT Workload Domain",CONCATENATE(prefix_wld_az1_rack_vlan,"46"),CONCATENATE(prefix_mgmt_az1_vlan,"46"))</f>
        <v>1346</v>
      </c>
      <c r="D230" s="66"/>
      <c r="E230" s="42"/>
    </row>
    <row r="231" spans="2:5" ht="20" customHeight="1" x14ac:dyDescent="0.2">
      <c r="B231" s="4" t="s">
        <v>155</v>
      </c>
      <c r="C231" s="65">
        <v>9000</v>
      </c>
      <c r="D231" s="66"/>
      <c r="E231" s="42"/>
    </row>
    <row r="232" spans="2:5" ht="20" customHeight="1" x14ac:dyDescent="0.2">
      <c r="B232" s="4" t="s">
        <v>181</v>
      </c>
      <c r="C232" s="153" t="str">
        <f>IF(cluster_wld_domain_chosen&lt;&gt;"MGMT Workload Domain",CONCATENATE(prefix_wld_az1_rack_cidr,"46.0"),CONCATENATE(prefix_mgmt_az1_cidr,"46.0"))</f>
        <v>10.13.46.0</v>
      </c>
      <c r="D232" s="66"/>
      <c r="E232" s="80"/>
    </row>
    <row r="233" spans="2:5" ht="20" customHeight="1" x14ac:dyDescent="0.2">
      <c r="B233" s="4" t="s">
        <v>274</v>
      </c>
      <c r="C233" s="153" t="s">
        <v>126</v>
      </c>
      <c r="D233" s="66"/>
      <c r="E233" s="42"/>
    </row>
    <row r="234" spans="2:5" ht="20" customHeight="1" x14ac:dyDescent="0.2">
      <c r="B234" s="4" t="s">
        <v>180</v>
      </c>
      <c r="C234" s="65" t="str">
        <f>IF(cluster_wld_domain_chosen&lt;&gt;"MGMT Workload Domain",CONCATENATE(prefix_wld_az1_rack_cidr,"46.1"),CONCATENATE(prefix_mgmt_az1_cidr,"46.1"))</f>
        <v>10.13.46.1</v>
      </c>
      <c r="D234" s="66"/>
      <c r="E234" s="42" t="str">
        <f>IF(AND(mgmt_stretched_cluster_result="Included",mgmt_dpg_reuse_result="Excluded"),"Stretched L2","")</f>
        <v/>
      </c>
    </row>
    <row r="235" spans="2:5" ht="20" customHeight="1" x14ac:dyDescent="0.2">
      <c r="B235" s="23" t="s">
        <v>244</v>
      </c>
      <c r="C235" s="65" t="str">
        <f>IF(cluster_wld_domain_chosen&lt;&gt;"MGMT Workload Domain",CONCATENATE(prefix_wld_az1_rack_cidr,"46.101"),CONCATENATE(prefix_mgmt_az1_cidr,"46.101"))</f>
        <v>10.13.46.101</v>
      </c>
      <c r="D235" s="66"/>
      <c r="E235" s="121" t="s">
        <v>2332</v>
      </c>
    </row>
    <row r="236" spans="2:5" ht="20" customHeight="1" x14ac:dyDescent="0.2">
      <c r="B236" s="23" t="s">
        <v>245</v>
      </c>
      <c r="C236" s="65" t="str">
        <f>IF(cluster_wld_domain_chosen&lt;&gt;"MGMT Workload Domain",CONCATENATE(prefix_wld_az1_rack_cidr,"46.116"),CONCATENATE(prefix_mgmt_az1_cidr,"46.116"))</f>
        <v>10.13.46.116</v>
      </c>
      <c r="D236" s="66"/>
      <c r="E236" s="121" t="s">
        <v>2333</v>
      </c>
    </row>
    <row r="237" spans="2:5" ht="16" customHeight="1" x14ac:dyDescent="0.2">
      <c r="B237" s="9"/>
      <c r="C237" s="9"/>
      <c r="D237" s="9"/>
      <c r="E237" s="9"/>
    </row>
    <row r="238" spans="2:5" ht="34" customHeight="1" x14ac:dyDescent="0.2">
      <c r="B238" s="559" t="s">
        <v>2351</v>
      </c>
      <c r="C238" s="560"/>
      <c r="D238" s="560"/>
      <c r="E238" s="561"/>
    </row>
    <row r="239" spans="2:5" ht="20" customHeight="1" x14ac:dyDescent="0.2">
      <c r="B239" s="62" t="s">
        <v>250</v>
      </c>
      <c r="C239" s="62" t="s">
        <v>251</v>
      </c>
      <c r="D239" s="160" t="s">
        <v>20</v>
      </c>
      <c r="E239" s="62" t="s">
        <v>252</v>
      </c>
    </row>
    <row r="240" spans="2:5" ht="20" customHeight="1" x14ac:dyDescent="0.2">
      <c r="B240" s="23" t="s">
        <v>204</v>
      </c>
      <c r="C240" s="153" t="str">
        <f>IF(cluster_wld_domain_chosen&lt;&gt;"MGMT Workload Domain",CONCATENATE(this_instance,"01-w0",wld_domain_number_chosen,"-r04-esx01",".",sample_child_dns_zone),CONCATENATE(this_instance,"01-m01-r04-esx01",".",sample_child_dns_zone))</f>
        <v>sfo01-w01-r04-esx01.sfo.rainpole.io</v>
      </c>
      <c r="D240" s="66"/>
      <c r="E240" s="42"/>
    </row>
    <row r="241" spans="2:5" ht="20" customHeight="1" x14ac:dyDescent="0.2">
      <c r="B241" s="23" t="s">
        <v>206</v>
      </c>
      <c r="C241" s="153" t="str">
        <f>IF(cluster_wld_domain_chosen&lt;&gt;"MGMT Workload Domain",CONCATENATE(this_instance,"01-w0",wld_domain_number_chosen,"-r04-esx02",".",sample_child_dns_zone),CONCATENATE(this_instance,"01-m01-r04-esx02",".",sample_child_dns_zone))</f>
        <v>sfo01-w01-r04-esx02.sfo.rainpole.io</v>
      </c>
      <c r="D241" s="66"/>
      <c r="E241" s="42"/>
    </row>
    <row r="242" spans="2:5" ht="20" customHeight="1" x14ac:dyDescent="0.2">
      <c r="B242" s="23" t="s">
        <v>208</v>
      </c>
      <c r="C242" s="153" t="str">
        <f>IF(cluster_wld_domain_chosen&lt;&gt;"MGMT Workload Domain",CONCATENATE(this_instance,"01-w0",wld_domain_number_chosen,"-r04-esx03",".",sample_child_dns_zone),CONCATENATE(this_instance,"01-m01-r04-esx03",".",sample_child_dns_zone))</f>
        <v>sfo01-w01-r04-esx03.sfo.rainpole.io</v>
      </c>
      <c r="D242" s="66"/>
      <c r="E242" s="42"/>
    </row>
    <row r="243" spans="2:5" ht="20" customHeight="1" x14ac:dyDescent="0.2">
      <c r="B243" s="23" t="s">
        <v>210</v>
      </c>
      <c r="C243" s="153" t="str">
        <f>IF(cluster_wld_domain_chosen&lt;&gt;"MGMT Workload Domain",CONCATENATE(this_instance,"01-w0",wld_domain_number_chosen,"-r04-esx04",".",sample_child_dns_zone),CONCATENATE(this_instance,"01-m01-r04-esx04",".",sample_child_dns_zone))</f>
        <v>sfo01-w01-r04-esx04.sfo.rainpole.io</v>
      </c>
      <c r="D243" s="66"/>
      <c r="E243" s="42"/>
    </row>
    <row r="244" spans="2:5" ht="20" customHeight="1" x14ac:dyDescent="0.2">
      <c r="B244" s="23" t="s">
        <v>212</v>
      </c>
      <c r="C244" s="153" t="str">
        <f>IF(cluster_wld_domain_chosen&lt;&gt;"MGMT Workload Domain",CONCATENATE(this_instance,"01-w0",wld_domain_number_chosen,"-r04-esx05",".",sample_child_dns_zone),CONCATENATE(this_instance,"01-m01-r04-esx05",".",sample_child_dns_zone))</f>
        <v>sfo01-w01-r04-esx05.sfo.rainpole.io</v>
      </c>
      <c r="D244" s="66"/>
      <c r="E244" s="42"/>
    </row>
    <row r="245" spans="2:5" ht="20" customHeight="1" x14ac:dyDescent="0.2">
      <c r="B245" s="23" t="s">
        <v>214</v>
      </c>
      <c r="C245" s="153" t="str">
        <f>IF(cluster_wld_domain_chosen&lt;&gt;"MGMT Workload Domain",CONCATENATE(this_instance,"01-w0",wld_domain_number_chosen,"-r04-esx06",".",sample_child_dns_zone),CONCATENATE(this_instance,"01-m01-r04-esx06",".",sample_child_dns_zone))</f>
        <v>sfo01-w01-r04-esx06.sfo.rainpole.io</v>
      </c>
      <c r="D245" s="66"/>
      <c r="E245" s="42"/>
    </row>
    <row r="246" spans="2:5" ht="20" customHeight="1" x14ac:dyDescent="0.2">
      <c r="B246" s="23" t="s">
        <v>216</v>
      </c>
      <c r="C246" s="153" t="str">
        <f>IF(cluster_wld_domain_chosen&lt;&gt;"MGMT Workload Domain",CONCATENATE(this_instance,"01-w0",wld_domain_number_chosen,"-r04-esx07",".",sample_child_dns_zone),CONCATENATE(this_instance,"01-m01-r04-esx07",".",sample_child_dns_zone))</f>
        <v>sfo01-w01-r04-esx07.sfo.rainpole.io</v>
      </c>
      <c r="D246" s="66"/>
      <c r="E246" s="42"/>
    </row>
    <row r="247" spans="2:5" ht="20" customHeight="1" x14ac:dyDescent="0.2">
      <c r="B247" s="23" t="s">
        <v>218</v>
      </c>
      <c r="C247" s="153" t="str">
        <f>IF(cluster_wld_domain_chosen&lt;&gt;"MGMT Workload Domain",CONCATENATE(this_instance,"01-w0",wld_domain_number_chosen,"-r04-esx08",".",sample_child_dns_zone),CONCATENATE(this_instance,"01-m01-r04-esx08",".",sample_child_dns_zone))</f>
        <v>sfo01-w01-r04-esx08.sfo.rainpole.io</v>
      </c>
      <c r="D247" s="66"/>
      <c r="E247" s="42"/>
    </row>
    <row r="248" spans="2:5" ht="20" customHeight="1" x14ac:dyDescent="0.2">
      <c r="B248" s="23" t="s">
        <v>220</v>
      </c>
      <c r="C248" s="153" t="str">
        <f>IF(cluster_wld_domain_chosen&lt;&gt;"MGMT Workload Domain",CONCATENATE(this_instance,"01-w0",wld_domain_number_chosen,"-r04-esx09",".",sample_child_dns_zone),CONCATENATE(this_instance,"01-m01-r04-esx09",".",sample_child_dns_zone))</f>
        <v>sfo01-w01-r04-esx09.sfo.rainpole.io</v>
      </c>
      <c r="D248" s="66"/>
      <c r="E248" s="42"/>
    </row>
    <row r="249" spans="2:5" ht="20" customHeight="1" x14ac:dyDescent="0.2">
      <c r="B249" s="23" t="s">
        <v>222</v>
      </c>
      <c r="C249" s="153" t="str">
        <f>IF(cluster_wld_domain_chosen&lt;&gt;"MGMT Workload Domain",CONCATENATE(this_instance,"01-w0",wld_domain_number_chosen,"-r04-esx10",".",sample_child_dns_zone),CONCATENATE(this_instance,"01-m01-r04-esx10",".",sample_child_dns_zone))</f>
        <v>sfo01-w01-r04-esx10.sfo.rainpole.io</v>
      </c>
      <c r="D249" s="66"/>
      <c r="E249" s="42"/>
    </row>
    <row r="250" spans="2:5" ht="20" customHeight="1" x14ac:dyDescent="0.2">
      <c r="B250" s="23" t="s">
        <v>224</v>
      </c>
      <c r="C250" s="153" t="str">
        <f>IF(cluster_wld_domain_chosen&lt;&gt;"MGMT Workload Domain",CONCATENATE(this_instance,"01-w0",wld_domain_number_chosen,"-r04-esx11",".",sample_child_dns_zone),CONCATENATE(this_instance,"01-m01-r04-esx11",".",sample_child_dns_zone))</f>
        <v>sfo01-w01-r04-esx11.sfo.rainpole.io</v>
      </c>
      <c r="D250" s="66"/>
      <c r="E250" s="42"/>
    </row>
    <row r="251" spans="2:5" ht="20" customHeight="1" x14ac:dyDescent="0.2">
      <c r="B251" s="23" t="s">
        <v>226</v>
      </c>
      <c r="C251" s="153" t="str">
        <f>IF(cluster_wld_domain_chosen&lt;&gt;"MGMT Workload Domain",CONCATENATE(this_instance,"01-w0",wld_domain_number_chosen,"-r04-esx12",".",sample_child_dns_zone),CONCATENATE(this_instance,"01-m01-r04-esx12",".",sample_child_dns_zone))</f>
        <v>sfo01-w01-r04-esx12.sfo.rainpole.io</v>
      </c>
      <c r="D251" s="66"/>
      <c r="E251" s="42"/>
    </row>
    <row r="252" spans="2:5" ht="20" customHeight="1" x14ac:dyDescent="0.2">
      <c r="B252" s="23" t="s">
        <v>228</v>
      </c>
      <c r="C252" s="153" t="str">
        <f>IF(cluster_wld_domain_chosen&lt;&gt;"MGMT Workload Domain",CONCATENATE(this_instance,"01-w0",wld_domain_number_chosen,"-r04-esx13",".",sample_child_dns_zone),CONCATENATE(this_instance,"01-m01-r04-esx13",".",sample_child_dns_zone))</f>
        <v>sfo01-w01-r04-esx13.sfo.rainpole.io</v>
      </c>
      <c r="D252" s="66"/>
      <c r="E252" s="42"/>
    </row>
    <row r="253" spans="2:5" ht="20" customHeight="1" x14ac:dyDescent="0.2">
      <c r="B253" s="23" t="s">
        <v>230</v>
      </c>
      <c r="C253" s="153" t="str">
        <f>IF(cluster_wld_domain_chosen&lt;&gt;"MGMT Workload Domain",CONCATENATE(this_instance,"01-w0",wld_domain_number_chosen,"-r04-esx14",".",sample_child_dns_zone),CONCATENATE(this_instance,"01-m01-r04-esx14",".",sample_child_dns_zone))</f>
        <v>sfo01-w01-r04-esx14.sfo.rainpole.io</v>
      </c>
      <c r="D253" s="66"/>
      <c r="E253" s="42"/>
    </row>
    <row r="254" spans="2:5" ht="20" customHeight="1" x14ac:dyDescent="0.2">
      <c r="B254" s="23" t="s">
        <v>232</v>
      </c>
      <c r="C254" s="153" t="str">
        <f>IF(cluster_wld_domain_chosen&lt;&gt;"MGMT Workload Domain",CONCATENATE(this_instance,"01-w0",wld_domain_number_chosen,"-r04-esx14",".",sample_child_dns_zone),CONCATENATE(this_instance,"01-m01-r04-esx15",".",sample_child_dns_zone))</f>
        <v>sfo01-w01-r04-esx14.sfo.rainpole.io</v>
      </c>
      <c r="D254" s="66"/>
      <c r="E254" s="42"/>
    </row>
    <row r="255" spans="2:5" ht="20" customHeight="1" x14ac:dyDescent="0.2">
      <c r="B255" s="23" t="s">
        <v>234</v>
      </c>
      <c r="C255" s="153" t="str">
        <f>IF(cluster_wld_domain_chosen&lt;&gt;"MGMT Workload Domain",CONCATENATE(this_instance,"01-w0",wld_domain_number_chosen,"-r04-esx16",".",sample_child_dns_zone),CONCATENATE(this_instance,"01-m01-r04-esx16",".",sample_child_dns_zone))</f>
        <v>sfo01-w01-r04-esx16.sfo.rainpole.io</v>
      </c>
      <c r="D255" s="66"/>
      <c r="E255" s="42"/>
    </row>
    <row r="256" spans="2:5" ht="20" customHeight="1" x14ac:dyDescent="0.2">
      <c r="B256" s="23" t="s">
        <v>253</v>
      </c>
      <c r="C256" s="153" t="s">
        <v>647</v>
      </c>
      <c r="D256" s="8" t="s">
        <v>254</v>
      </c>
      <c r="E256" s="42"/>
    </row>
    <row r="257" spans="2:5" ht="20" customHeight="1" x14ac:dyDescent="0.2">
      <c r="B257" s="23" t="s">
        <v>255</v>
      </c>
      <c r="C257" s="153" t="s">
        <v>256</v>
      </c>
      <c r="D257"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257" s="4"/>
    </row>
    <row r="258" spans="2:5" ht="20" customHeight="1" x14ac:dyDescent="0.2">
      <c r="B258" s="23" t="s">
        <v>257</v>
      </c>
      <c r="C258" s="153" t="s">
        <v>154</v>
      </c>
      <c r="D258" s="8" t="str">
        <f>IF(AND(vcf_granular_option_chosen="Create Cluster",cluster_principal_storage_chosen="vSAN-ESA"),"Selected",
IF(AND(vcf_granular_option_chosen="Create Workload Domain",wld_principal_storage_chosen="vSAN-ESA"),"Selected","Unselected"))</f>
        <v>Unselected</v>
      </c>
      <c r="E258" s="42"/>
    </row>
    <row r="259" spans="2:5" ht="20" customHeight="1" x14ac:dyDescent="0.2">
      <c r="B259" s="23" t="s">
        <v>239</v>
      </c>
      <c r="C259" s="153" t="str">
        <f>sample_wld_az1_rack4_pool_name</f>
        <v>sfo01-w01-r04-network-pool-01</v>
      </c>
      <c r="D259" s="8" t="str">
        <f>wld_az1_rack4_pool_name</f>
        <v>Value Missing</v>
      </c>
      <c r="E259" s="42"/>
    </row>
    <row r="260" spans="2:5" ht="20" customHeight="1" x14ac:dyDescent="0.2">
      <c r="B260" s="23" t="s">
        <v>47</v>
      </c>
      <c r="C260" s="153" t="s">
        <v>258</v>
      </c>
      <c r="D260"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260" s="42"/>
    </row>
    <row r="261" spans="2:5" ht="20" customHeight="1" x14ac:dyDescent="0.2">
      <c r="B261" s="23" t="s">
        <v>30</v>
      </c>
      <c r="C261" s="153" t="s">
        <v>31</v>
      </c>
      <c r="D261"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261" s="42"/>
    </row>
    <row r="262" spans="2:5" ht="16" customHeight="1" x14ac:dyDescent="0.2"/>
    <row r="263" spans="2:5" ht="34" customHeight="1" x14ac:dyDescent="0.2">
      <c r="B263" s="559" t="s">
        <v>2352</v>
      </c>
      <c r="C263" s="560"/>
      <c r="D263" s="560"/>
      <c r="E263" s="561"/>
    </row>
    <row r="264" spans="2:5" ht="20" customHeight="1" x14ac:dyDescent="0.2">
      <c r="B264" s="4" t="s">
        <v>325</v>
      </c>
      <c r="C264" s="109" t="str">
        <f>IF(vcf_granular_option_chosen="Create Cluster",CONCATENATE(this_instance,"01-",sample_cluster_name,"-r04-network-profile"),
IF(cluster_wld_domain_chosen="Workload Domain",CONCATENATE(this_instance,"01-",sample_wld_cl01_cluster,"-r04-network-profile"),
CONCATENATE(this_instance,"01-",sample_mgmt_cl01_cluster,"-r04-network-profile")))</f>
        <v>sfo01-sfo-w01-cl01-r04-network-profile</v>
      </c>
      <c r="D264" s="66"/>
      <c r="E264" s="103"/>
    </row>
    <row r="265" spans="2:5" ht="20" customHeight="1" x14ac:dyDescent="0.2">
      <c r="B265" s="4" t="s">
        <v>2336</v>
      </c>
      <c r="C265" s="65" t="s">
        <v>327</v>
      </c>
      <c r="D265" s="154" t="s">
        <v>327</v>
      </c>
      <c r="E265" s="4" t="str">
        <f>IF(wld_az1_rack4_host_overlay_new_pool_chosen="Re-use an existing Pool","An exisitng Pool will be reused for Host TEP assignment","A new Pool will be created for Host TEP assignment")</f>
        <v>A new Pool will be created for Host TEP assignment</v>
      </c>
    </row>
    <row r="266" spans="2:5" ht="20" customHeight="1" x14ac:dyDescent="0.2">
      <c r="B266" s="4" t="s">
        <v>328</v>
      </c>
      <c r="C266" s="109" t="str">
        <f>IF(cluster_wld_domain_chosen="Workload Domain",CONCATENATE(this_instance,"01-w0",wld_domain_number_chosen,"-r04-ip-pool01-host"),CONCATENATE(this_instance,"01-m01","-r04-ip-pool01-host"))</f>
        <v>sfo01-w01-r04-ip-pool01-host</v>
      </c>
      <c r="D266" s="66"/>
      <c r="E266" s="103"/>
    </row>
    <row r="267" spans="2:5" ht="20" customHeight="1" x14ac:dyDescent="0.2">
      <c r="B267" s="4" t="s">
        <v>329</v>
      </c>
      <c r="C267" s="109" t="str">
        <f>IF(cluster_wld_domain_chosen="Workload Domain",CONCATENATE(this_instance,"01-w0",wld_domain_number_chosen,"-r04-uplink-profile01"),CONCATENATE(this_instance,"01-m01","-r04-uplink-profile01"))</f>
        <v>sfo01-w01-r04-uplink-profile01</v>
      </c>
      <c r="D267" s="66"/>
      <c r="E267" s="103"/>
    </row>
    <row r="268" spans="2:5" ht="20" customHeight="1" x14ac:dyDescent="0.2">
      <c r="B268" s="4" t="s">
        <v>2337</v>
      </c>
      <c r="C268" s="109" t="str">
        <f>IF(cluster_wld_domain_chosen="Workload Domain",CONCATENATE(this_instance,"01-w0",wld_domain_number_chosen,"-r04-ip-pool02-edge"),CONCATENATE(this_instance,"01-m01","-r04-ip-pool02-edge"))</f>
        <v>sfo01-w01-r04-ip-pool02-edge</v>
      </c>
      <c r="D268" s="66"/>
      <c r="E268" s="103"/>
    </row>
    <row r="269" spans="2:5" ht="20" customHeight="1" x14ac:dyDescent="0.2">
      <c r="B269" s="4" t="s">
        <v>2338</v>
      </c>
      <c r="C269" s="109" t="str">
        <f>IF(cluster_wld_domain_chosen="Workload Domain",CONCATENATE(this_instance,"01-w0",wld_domain_number_chosen,"-r02-ip-pool04-rtep"),CONCATENATE(this_instance,"01-m01","-r04-ip-pool03-rtep"))</f>
        <v>sfo01-w01-r02-ip-pool04-rtep</v>
      </c>
      <c r="D269" s="66"/>
      <c r="E269" s="103"/>
    </row>
    <row r="270" spans="2:5" ht="20" customHeight="1" x14ac:dyDescent="0.2">
      <c r="B270" s="521" t="s">
        <v>708</v>
      </c>
      <c r="C270" s="522"/>
      <c r="D270" s="522"/>
      <c r="E270" s="523"/>
    </row>
    <row r="271" spans="2:5" ht="20" customHeight="1" x14ac:dyDescent="0.2">
      <c r="B271" s="241" t="s">
        <v>250</v>
      </c>
      <c r="C271" s="241" t="s">
        <v>251</v>
      </c>
      <c r="D271" s="247" t="s">
        <v>20</v>
      </c>
      <c r="E271" s="241" t="s">
        <v>21</v>
      </c>
    </row>
    <row r="272" spans="2:5" ht="20" customHeight="1" x14ac:dyDescent="0.2">
      <c r="B272" s="4" t="s">
        <v>1198</v>
      </c>
      <c r="C272" s="103" t="str">
        <f>IF(cluster_wld_domain_chosen&lt;&gt;"MGMT Workload Domain",CONCATENATE(this_instance,"-w0",wld_domain_number_chosen,"-r04","-vsan-fault-domain"),CONCATENATE(this_instance,"-m01","-r04","-vsan-fault-domain"))</f>
        <v>sfo-w01-r04-vsan-fault-domain</v>
      </c>
      <c r="D272" s="66"/>
      <c r="E272" s="8"/>
    </row>
    <row r="273" spans="2:5" ht="16" customHeight="1" x14ac:dyDescent="0.2"/>
    <row r="274" spans="2:5" ht="34" customHeight="1" x14ac:dyDescent="0.2">
      <c r="B274" s="559" t="s">
        <v>2353</v>
      </c>
      <c r="C274" s="560"/>
      <c r="D274" s="560"/>
      <c r="E274" s="561"/>
    </row>
    <row r="275" spans="2:5" ht="20" customHeight="1" x14ac:dyDescent="0.2">
      <c r="B275" s="62" t="s">
        <v>250</v>
      </c>
      <c r="C275" s="62" t="s">
        <v>251</v>
      </c>
      <c r="D275" s="160" t="s">
        <v>20</v>
      </c>
      <c r="E275" s="62" t="s">
        <v>21</v>
      </c>
    </row>
    <row r="276" spans="2:5" ht="20" customHeight="1" x14ac:dyDescent="0.2">
      <c r="B276" s="521" t="s">
        <v>794</v>
      </c>
      <c r="C276" s="522"/>
      <c r="D276" s="522"/>
      <c r="E276" s="523"/>
    </row>
    <row r="277" spans="2:5" ht="20" customHeight="1" x14ac:dyDescent="0.2">
      <c r="B277" s="4" t="s">
        <v>85</v>
      </c>
      <c r="C277" s="65" t="str">
        <f>IF(cluster_wld_domain_chosen&lt;&gt;"MGMT Workload Domain",CONCATENATE(prefix_wld_az1_rack_vlan,"47"),CONCATENATE(prefix_mgmt_az1_vlan,"47"))</f>
        <v>1347</v>
      </c>
      <c r="D277" s="66"/>
      <c r="E277" s="113"/>
    </row>
    <row r="278" spans="2:5" ht="20" customHeight="1" x14ac:dyDescent="0.2">
      <c r="B278" s="4" t="s">
        <v>155</v>
      </c>
      <c r="C278" s="65">
        <v>9000</v>
      </c>
      <c r="D278" s="66"/>
      <c r="E278" s="42"/>
    </row>
    <row r="279" spans="2:5" ht="20" customHeight="1" x14ac:dyDescent="0.2">
      <c r="B279" s="4" t="s">
        <v>181</v>
      </c>
      <c r="C279" s="65" t="str">
        <f>IF(cluster_wld_domain_chosen&lt;&gt;"MGMT Workload Domain",CONCATENATE(prefix_wld_az1_rack_cidr,"47.0"),CONCATENATE(prefix_mgmt_az1_cidr,"47.0"))</f>
        <v>10.13.47.0</v>
      </c>
      <c r="D279" s="66"/>
      <c r="E279" s="42"/>
    </row>
    <row r="280" spans="2:5" ht="20" customHeight="1" x14ac:dyDescent="0.2">
      <c r="B280" s="4" t="s">
        <v>274</v>
      </c>
      <c r="C280" s="153" t="s">
        <v>126</v>
      </c>
      <c r="D280" s="66"/>
      <c r="E280" s="42"/>
    </row>
    <row r="281" spans="2:5" ht="20" customHeight="1" x14ac:dyDescent="0.2">
      <c r="B281" s="4" t="s">
        <v>180</v>
      </c>
      <c r="C281" s="65" t="str">
        <f>IF(cluster_wld_domain_chosen&lt;&gt;"MGMT Workload Domain",CONCATENATE(prefix_wld_az1_rack_cidr,"47.1"),CONCATENATE(prefix_mgmt_az1_cidr,"47.1"))</f>
        <v>10.13.47.1</v>
      </c>
      <c r="D281" s="66"/>
      <c r="E281" s="42"/>
    </row>
    <row r="282" spans="2:5" ht="20" customHeight="1" x14ac:dyDescent="0.2">
      <c r="B282" s="23" t="s">
        <v>244</v>
      </c>
      <c r="C282" s="65" t="str">
        <f>IF(cluster_wld_domain_chosen&lt;&gt;"MGMT Workload Domain",CONCATENATE(prefix_wld_az1_rack_cidr,"47.101"),CONCATENATE(prefix_mgmt_az1_cidr,"47.101"))</f>
        <v>10.13.47.101</v>
      </c>
      <c r="D282" s="66"/>
      <c r="E282" s="121" t="s">
        <v>2340</v>
      </c>
    </row>
    <row r="283" spans="2:5" ht="20" customHeight="1" x14ac:dyDescent="0.2">
      <c r="B283" s="23" t="s">
        <v>245</v>
      </c>
      <c r="C283" s="65" t="str">
        <f>IF(cluster_wld_domain_chosen&lt;&gt;"MGMT Workload Domain",CONCATENATE(prefix_wld_az1_rack_cidr,"47.132"),CONCATENATE(prefix_mgmt_az1_cidr,"47.132"))</f>
        <v>10.13.47.132</v>
      </c>
      <c r="D283" s="66"/>
      <c r="E283" s="121" t="s">
        <v>2354</v>
      </c>
    </row>
    <row r="284" spans="2:5" ht="16" customHeight="1" x14ac:dyDescent="0.2"/>
    <row r="285" spans="2:5" ht="34" customHeight="1" x14ac:dyDescent="0.2">
      <c r="B285" s="559" t="s">
        <v>2355</v>
      </c>
      <c r="C285" s="560"/>
      <c r="D285" s="560"/>
      <c r="E285" s="561"/>
    </row>
    <row r="286" spans="2:5" ht="20" customHeight="1" x14ac:dyDescent="0.2">
      <c r="B286" s="62" t="s">
        <v>250</v>
      </c>
      <c r="C286" s="62" t="s">
        <v>251</v>
      </c>
      <c r="D286" s="160" t="s">
        <v>20</v>
      </c>
      <c r="E286" s="62" t="s">
        <v>252</v>
      </c>
    </row>
    <row r="287" spans="2:5" ht="20" customHeight="1" x14ac:dyDescent="0.2">
      <c r="B287" s="521" t="s">
        <v>202</v>
      </c>
      <c r="C287" s="522"/>
      <c r="D287" s="522"/>
      <c r="E287" s="523"/>
    </row>
    <row r="288" spans="2:5" ht="20" customHeight="1" x14ac:dyDescent="0.2">
      <c r="B288" s="4" t="s">
        <v>85</v>
      </c>
      <c r="C288" s="65" t="str">
        <f>IF(cluster_wld_domain_chosen&lt;&gt;"MGMT Workload Domain",CONCATENATE(prefix_wld_az1_rack_vlan,"55"),CONCATENATE(prefix_mgmt_az1_vlan,"55"))</f>
        <v>1355</v>
      </c>
      <c r="D288" s="66"/>
      <c r="E288" s="113"/>
    </row>
    <row r="289" spans="2:5" ht="20" customHeight="1" x14ac:dyDescent="0.2">
      <c r="B289" s="4" t="s">
        <v>180</v>
      </c>
      <c r="C289" s="65" t="str">
        <f>IF(cluster_wld_domain_chosen&lt;&gt;"MGMT Workload Domain",CONCATENATE(prefix_wld_az1_rack_cidr,"55.1"),CONCATENATE(prefix_mgmt_az1_cidr,"55.1"))</f>
        <v>10.13.55.1</v>
      </c>
      <c r="D289" s="66"/>
      <c r="E289" s="42"/>
    </row>
    <row r="290" spans="2:5" ht="20" customHeight="1" x14ac:dyDescent="0.2">
      <c r="B290" s="4" t="s">
        <v>181</v>
      </c>
      <c r="C290" s="65" t="str">
        <f>IF(cluster_wld_domain_chosen&lt;&gt;"MGMT Workload Domain",CONCATENATE(prefix_wld_az1_rack_cidr,"55.0/24"),CONCATENATE(prefix_mgmt_az1_cidr,"55.0/24"))</f>
        <v>10.13.55.0/24</v>
      </c>
      <c r="D290" s="66"/>
      <c r="E290" s="42"/>
    </row>
    <row r="291" spans="2:5" ht="20" customHeight="1" x14ac:dyDescent="0.2">
      <c r="B291" s="4" t="s">
        <v>155</v>
      </c>
      <c r="C291" s="65">
        <v>1500</v>
      </c>
      <c r="D291" s="66"/>
      <c r="E291" s="42"/>
    </row>
    <row r="292" spans="2:5" ht="20" customHeight="1" x14ac:dyDescent="0.2">
      <c r="B292" s="546" t="s">
        <v>203</v>
      </c>
      <c r="C292" s="547"/>
      <c r="D292" s="547"/>
      <c r="E292" s="548"/>
    </row>
    <row r="293" spans="2:5" ht="20" customHeight="1" x14ac:dyDescent="0.2">
      <c r="B293" s="23" t="s">
        <v>204</v>
      </c>
      <c r="C293" s="153" t="str">
        <f>IF(cluster_wld_domain_chosen&lt;&gt;"MGMT Workload Domain",CONCATENATE(prefix_wld_az1_rack_cidr,"55.101"),CONCATENATE(prefix_mgmt_az1_cidr,"55.101"))</f>
        <v>10.13.55.101</v>
      </c>
      <c r="D293" s="66"/>
      <c r="E293" s="121" t="s">
        <v>205</v>
      </c>
    </row>
    <row r="294" spans="2:5" ht="20" customHeight="1" x14ac:dyDescent="0.2">
      <c r="B294" s="23" t="s">
        <v>206</v>
      </c>
      <c r="C294" s="153" t="str">
        <f>IF(cluster_wld_domain_chosen&lt;&gt;"MGMT Workload Domain",CONCATENATE(prefix_wld_az1_rack_cidr,"55.102"),CONCATENATE(prefix_mgmt_az1_cidr,"55.102"))</f>
        <v>10.13.55.102</v>
      </c>
      <c r="D294" s="66"/>
      <c r="E294" s="121" t="s">
        <v>207</v>
      </c>
    </row>
    <row r="295" spans="2:5" ht="20" customHeight="1" x14ac:dyDescent="0.2">
      <c r="B295" s="23" t="s">
        <v>208</v>
      </c>
      <c r="C295" s="153" t="str">
        <f>IF(cluster_wld_domain_chosen&lt;&gt;"MGMT Workload Domain",CONCATENATE(prefix_wld_az1_rack_cidr,"55.103"),CONCATENATE(prefix_mgmt_az1_cidr,"55.103"))</f>
        <v>10.13.55.103</v>
      </c>
      <c r="D295" s="66"/>
      <c r="E295" s="121" t="s">
        <v>209</v>
      </c>
    </row>
    <row r="296" spans="2:5" ht="20" customHeight="1" x14ac:dyDescent="0.2">
      <c r="B296" s="23" t="s">
        <v>210</v>
      </c>
      <c r="C296" s="153" t="str">
        <f>IF(cluster_wld_domain_chosen&lt;&gt;"MGMT Workload Domain",CONCATENATE(prefix_wld_az1_rack_cidr,"55.104"),CONCATENATE(prefix_mgmt_az1_cidr,"55.104"))</f>
        <v>10.13.55.104</v>
      </c>
      <c r="D296" s="66"/>
      <c r="E296" s="121" t="s">
        <v>211</v>
      </c>
    </row>
    <row r="297" spans="2:5" ht="20" customHeight="1" x14ac:dyDescent="0.2">
      <c r="B297" s="23" t="s">
        <v>212</v>
      </c>
      <c r="C297" s="153" t="str">
        <f>IF(cluster_wld_domain_chosen&lt;&gt;"MGMT Workload Domain",CONCATENATE(prefix_wld_az1_rack_cidr,"55.105"),CONCATENATE(prefix_mgmt_az1_cidr,"55.105"))</f>
        <v>10.13.55.105</v>
      </c>
      <c r="D297" s="66"/>
      <c r="E297" s="121" t="s">
        <v>213</v>
      </c>
    </row>
    <row r="298" spans="2:5" ht="20" customHeight="1" x14ac:dyDescent="0.2">
      <c r="B298" s="23" t="s">
        <v>214</v>
      </c>
      <c r="C298" s="153" t="str">
        <f>IF(cluster_wld_domain_chosen&lt;&gt;"MGMT Workload Domain",CONCATENATE(prefix_wld_az1_rack_cidr,"55.106"),CONCATENATE(prefix_mgmt_az1_cidr,"55.106"))</f>
        <v>10.13.55.106</v>
      </c>
      <c r="D298" s="66"/>
      <c r="E298" s="121" t="s">
        <v>215</v>
      </c>
    </row>
    <row r="299" spans="2:5" ht="20" customHeight="1" x14ac:dyDescent="0.2">
      <c r="B299" s="23" t="s">
        <v>216</v>
      </c>
      <c r="C299" s="153" t="str">
        <f>IF(cluster_wld_domain_chosen&lt;&gt;"MGMT Workload Domain",CONCATENATE(prefix_wld_az1_rack_cidr,"55.107"),CONCATENATE(prefix_mgmt_az1_cidr,"55.107"))</f>
        <v>10.13.55.107</v>
      </c>
      <c r="D299" s="66"/>
      <c r="E299" s="121" t="s">
        <v>217</v>
      </c>
    </row>
    <row r="300" spans="2:5" ht="20" customHeight="1" x14ac:dyDescent="0.2">
      <c r="B300" s="23" t="s">
        <v>218</v>
      </c>
      <c r="C300" s="153" t="str">
        <f>IF(cluster_wld_domain_chosen&lt;&gt;"MGMT Workload Domain",CONCATENATE(prefix_wld_az1_rack_cidr,"55.108"),CONCATENATE(prefix_mgmt_az1_cidr,"55.108"))</f>
        <v>10.13.55.108</v>
      </c>
      <c r="D300" s="66"/>
      <c r="E300" s="121" t="s">
        <v>219</v>
      </c>
    </row>
    <row r="301" spans="2:5" ht="20" customHeight="1" x14ac:dyDescent="0.2">
      <c r="B301" s="23" t="s">
        <v>220</v>
      </c>
      <c r="C301" s="153" t="str">
        <f>IF(cluster_wld_domain_chosen&lt;&gt;"MGMT Workload Domain",CONCATENATE(prefix_wld_az1_rack_cidr,"55.109"),CONCATENATE(prefix_mgmt_az1_cidr,"55.109"))</f>
        <v>10.13.55.109</v>
      </c>
      <c r="D301" s="66"/>
      <c r="E301" s="121" t="s">
        <v>221</v>
      </c>
    </row>
    <row r="302" spans="2:5" ht="20" customHeight="1" x14ac:dyDescent="0.2">
      <c r="B302" s="23" t="s">
        <v>222</v>
      </c>
      <c r="C302" s="153" t="str">
        <f>IF(cluster_wld_domain_chosen&lt;&gt;"MGMT Workload Domain",CONCATENATE(prefix_wld_az1_rack_cidr,"55.110"),CONCATENATE(prefix_mgmt_az1_cidr,"55.110"))</f>
        <v>10.13.55.110</v>
      </c>
      <c r="D302" s="66"/>
      <c r="E302" s="121" t="s">
        <v>223</v>
      </c>
    </row>
    <row r="303" spans="2:5" ht="20" customHeight="1" x14ac:dyDescent="0.2">
      <c r="B303" s="23" t="s">
        <v>224</v>
      </c>
      <c r="C303" s="153" t="str">
        <f>IF(cluster_wld_domain_chosen&lt;&gt;"MGMT Workload Domain",CONCATENATE(prefix_wld_az1_rack_cidr,"55.111"),CONCATENATE(prefix_mgmt_az1_cidr,"55.111"))</f>
        <v>10.13.55.111</v>
      </c>
      <c r="D303" s="66"/>
      <c r="E303" s="121" t="s">
        <v>225</v>
      </c>
    </row>
    <row r="304" spans="2:5" ht="20" customHeight="1" x14ac:dyDescent="0.2">
      <c r="B304" s="23" t="s">
        <v>226</v>
      </c>
      <c r="C304" s="153" t="str">
        <f>IF(cluster_wld_domain_chosen&lt;&gt;"MGMT Workload Domain",CONCATENATE(prefix_wld_az1_rack_cidr,"55.112"),CONCATENATE(prefix_mgmt_az1_cidr,"55.112"))</f>
        <v>10.13.55.112</v>
      </c>
      <c r="D304" s="66"/>
      <c r="E304" s="121" t="s">
        <v>227</v>
      </c>
    </row>
    <row r="305" spans="2:5" ht="20" customHeight="1" x14ac:dyDescent="0.2">
      <c r="B305" s="23" t="s">
        <v>228</v>
      </c>
      <c r="C305" s="153" t="str">
        <f>IF(cluster_wld_domain_chosen&lt;&gt;"MGMT Workload Domain",CONCATENATE(prefix_wld_az1_rack_cidr,"55.113"),CONCATENATE(prefix_mgmt_az1_cidr,"55.113"))</f>
        <v>10.13.55.113</v>
      </c>
      <c r="D305" s="66"/>
      <c r="E305" s="121" t="s">
        <v>229</v>
      </c>
    </row>
    <row r="306" spans="2:5" ht="20" customHeight="1" x14ac:dyDescent="0.2">
      <c r="B306" s="23" t="s">
        <v>230</v>
      </c>
      <c r="C306" s="153" t="str">
        <f>IF(cluster_wld_domain_chosen&lt;&gt;"MGMT Workload Domain",CONCATENATE(prefix_wld_az1_rack_cidr,"55.114"),CONCATENATE(prefix_mgmt_az1_cidr,"55.114"))</f>
        <v>10.13.55.114</v>
      </c>
      <c r="D306" s="66"/>
      <c r="E306" s="121" t="s">
        <v>231</v>
      </c>
    </row>
    <row r="307" spans="2:5" ht="20" customHeight="1" x14ac:dyDescent="0.2">
      <c r="B307" s="23" t="s">
        <v>232</v>
      </c>
      <c r="C307" s="153" t="str">
        <f>IF(cluster_wld_domain_chosen&lt;&gt;"MGMT Workload Domain",CONCATENATE(prefix_wld_az1_rack_cidr,"55.115"),CONCATENATE(prefix_mgmt_az1_cidr,"55.115"))</f>
        <v>10.13.55.115</v>
      </c>
      <c r="D307" s="66"/>
      <c r="E307" s="121" t="s">
        <v>233</v>
      </c>
    </row>
    <row r="308" spans="2:5" ht="20" customHeight="1" x14ac:dyDescent="0.2">
      <c r="B308" s="23" t="s">
        <v>234</v>
      </c>
      <c r="C308" s="153" t="str">
        <f>IF(cluster_wld_domain_chosen&lt;&gt;"MGMT Workload Domain",CONCATENATE(prefix_wld_az1_rack_cidr,"55.116"),CONCATENATE(prefix_mgmt_az1_cidr,"55.116"))</f>
        <v>10.13.55.116</v>
      </c>
      <c r="D308" s="66"/>
      <c r="E308" s="121" t="s">
        <v>235</v>
      </c>
    </row>
    <row r="309" spans="2:5" ht="16" customHeight="1" x14ac:dyDescent="0.2">
      <c r="B309" s="9"/>
      <c r="C309" s="9"/>
      <c r="D309" s="9"/>
      <c r="E309" s="9"/>
    </row>
    <row r="310" spans="2:5" ht="34" customHeight="1" x14ac:dyDescent="0.2">
      <c r="B310" s="559" t="s">
        <v>2356</v>
      </c>
      <c r="C310" s="560"/>
      <c r="D310" s="560"/>
      <c r="E310" s="561"/>
    </row>
    <row r="311" spans="2:5" ht="20" customHeight="1" x14ac:dyDescent="0.2">
      <c r="B311" s="62" t="s">
        <v>250</v>
      </c>
      <c r="C311" s="62" t="s">
        <v>251</v>
      </c>
      <c r="D311" s="160" t="s">
        <v>20</v>
      </c>
      <c r="E311" s="62" t="s">
        <v>252</v>
      </c>
    </row>
    <row r="312" spans="2:5" ht="20" customHeight="1" x14ac:dyDescent="0.2">
      <c r="B312" s="4" t="s">
        <v>2329</v>
      </c>
      <c r="C312" s="65" t="s">
        <v>238</v>
      </c>
      <c r="D312" s="154" t="s">
        <v>238</v>
      </c>
      <c r="E312" s="4" t="str">
        <f>IF(wld_az1_rack5_reuse_vcf_networkpool_chosen="Re-use an existing  VCF Network Pool","An exisiting VCF Network Pool will be reused for Host TEP assignment","A new VCF Network Pool will be created")</f>
        <v>A new VCF Network Pool will be created</v>
      </c>
    </row>
    <row r="313" spans="2:5" ht="20" customHeight="1" x14ac:dyDescent="0.2">
      <c r="B313" s="23" t="s">
        <v>239</v>
      </c>
      <c r="C313" s="109" t="str">
        <f>IF(cluster_wld_domain_chosen="Workload Domain",CONCATENATE(this_instance,"01-w0",wld_domain_number_chosen,"-r05-network-pool-01"),CONCATENATE(this_instance,"01-m01","-r05-network-pool-01"))</f>
        <v>sfo01-w01-r05-network-pool-01</v>
      </c>
      <c r="D313" s="66"/>
      <c r="E313" s="42"/>
    </row>
    <row r="314" spans="2:5" ht="20" customHeight="1" x14ac:dyDescent="0.2">
      <c r="B314" s="521" t="s">
        <v>240</v>
      </c>
      <c r="C314" s="522"/>
      <c r="D314" s="522"/>
      <c r="E314" s="523"/>
    </row>
    <row r="315" spans="2:5" ht="20" customHeight="1" x14ac:dyDescent="0.2">
      <c r="B315" s="4" t="s">
        <v>85</v>
      </c>
      <c r="C315" s="65" t="str">
        <f>IF(cluster_wld_domain_chosen&lt;&gt;"MGMT Workload Domain",CONCATENATE(prefix_wld_az1_rack_vlan,"56"),CONCATENATE(prefix_mgmt_az1_vlan,"56"))</f>
        <v>1356</v>
      </c>
      <c r="D315" s="66"/>
      <c r="E315" s="113"/>
    </row>
    <row r="316" spans="2:5" ht="20" customHeight="1" x14ac:dyDescent="0.2">
      <c r="B316" s="4" t="s">
        <v>155</v>
      </c>
      <c r="C316" s="65">
        <v>9000</v>
      </c>
      <c r="D316" s="66"/>
      <c r="E316" s="42"/>
    </row>
    <row r="317" spans="2:5" ht="20" customHeight="1" x14ac:dyDescent="0.2">
      <c r="B317" s="4" t="s">
        <v>181</v>
      </c>
      <c r="C317" s="153" t="str">
        <f>IF(cluster_wld_domain_chosen&lt;&gt;"MGMT Workload Domain",CONCATENATE(prefix_wld_az1_rack_cidr,"56.0"),CONCATENATE(prefix_mgmt_az1_cidr,"56.0"))</f>
        <v>10.13.56.0</v>
      </c>
      <c r="D317" s="66"/>
      <c r="E317" s="42"/>
    </row>
    <row r="318" spans="2:5" ht="20" customHeight="1" x14ac:dyDescent="0.2">
      <c r="B318" s="4" t="s">
        <v>274</v>
      </c>
      <c r="C318" s="153" t="s">
        <v>126</v>
      </c>
      <c r="D318" s="66"/>
      <c r="E318" s="42"/>
    </row>
    <row r="319" spans="2:5" ht="20" customHeight="1" x14ac:dyDescent="0.2">
      <c r="B319" s="4" t="s">
        <v>180</v>
      </c>
      <c r="C319" s="65" t="str">
        <f>IF(cluster_wld_domain_chosen&lt;&gt;"MGMT Workload Domain",CONCATENATE(prefix_wld_az1_rack_cidr,"56.1"),CONCATENATE(prefix_mgmt_az1_cidr,"56.1"))</f>
        <v>10.13.56.1</v>
      </c>
      <c r="D319" s="66"/>
      <c r="E319" s="42"/>
    </row>
    <row r="320" spans="2:5" ht="20" customHeight="1" x14ac:dyDescent="0.2">
      <c r="B320" s="23" t="s">
        <v>244</v>
      </c>
      <c r="C320" s="65" t="str">
        <f>IF(cluster_wld_domain_chosen&lt;&gt;"MGMT Workload Domain",CONCATENATE(prefix_wld_az1_rack_cidr,"56.101"),CONCATENATE(prefix_mgmt_az1_cidr,"56.101"))</f>
        <v>10.13.56.101</v>
      </c>
      <c r="D320" s="66"/>
      <c r="E320" s="121" t="s">
        <v>2349</v>
      </c>
    </row>
    <row r="321" spans="2:5" ht="20" customHeight="1" x14ac:dyDescent="0.2">
      <c r="B321" s="23" t="s">
        <v>245</v>
      </c>
      <c r="C321" s="65" t="str">
        <f>IF(cluster_wld_domain_chosen&lt;&gt;"MGMT Workload Domain",CONCATENATE(prefix_wld_az1_rack_cidr,"56.116"),CONCATENATE(prefix_mgmt_az1_cidr,"56.116"))</f>
        <v>10.13.56.116</v>
      </c>
      <c r="D321" s="66"/>
      <c r="E321" s="121" t="s">
        <v>2350</v>
      </c>
    </row>
    <row r="322" spans="2:5" ht="20" customHeight="1" x14ac:dyDescent="0.2">
      <c r="B322" s="521" t="s">
        <v>246</v>
      </c>
      <c r="C322" s="522"/>
      <c r="D322" s="522"/>
      <c r="E322" s="523"/>
    </row>
    <row r="323" spans="2:5" ht="20" customHeight="1" x14ac:dyDescent="0.2">
      <c r="B323" s="4" t="s">
        <v>85</v>
      </c>
      <c r="C323" s="65" t="str">
        <f>IF(cluster_wld_domain_chosen&lt;&gt;"MGMT Workload Domain",CONCATENATE(prefix_wld_az1_rack_vlan,"57"),CONCATENATE(prefix_mgmt_az1_vlan,"57"))</f>
        <v>1357</v>
      </c>
      <c r="D323" s="66"/>
      <c r="E323" s="42"/>
    </row>
    <row r="324" spans="2:5" ht="20" customHeight="1" x14ac:dyDescent="0.2">
      <c r="B324" s="4" t="s">
        <v>155</v>
      </c>
      <c r="C324" s="65">
        <v>9000</v>
      </c>
      <c r="D324" s="66"/>
      <c r="E324" s="42"/>
    </row>
    <row r="325" spans="2:5" ht="20" customHeight="1" x14ac:dyDescent="0.2">
      <c r="B325" s="4" t="s">
        <v>181</v>
      </c>
      <c r="C325" s="153" t="str">
        <f>IF(cluster_wld_domain_chosen&lt;&gt;"MGMT Workload Domain",CONCATENATE(prefix_wld_az1_rack_cidr,"57.0"),CONCATENATE(prefix_mgmt_az1_cidr,"57.0"))</f>
        <v>10.13.57.0</v>
      </c>
      <c r="D325" s="66"/>
      <c r="E325" s="80"/>
    </row>
    <row r="326" spans="2:5" ht="20" customHeight="1" x14ac:dyDescent="0.2">
      <c r="B326" s="4" t="s">
        <v>274</v>
      </c>
      <c r="C326" s="153" t="s">
        <v>126</v>
      </c>
      <c r="D326" s="66"/>
      <c r="E326" s="42"/>
    </row>
    <row r="327" spans="2:5" ht="20" customHeight="1" x14ac:dyDescent="0.2">
      <c r="B327" s="4" t="s">
        <v>180</v>
      </c>
      <c r="C327" s="65" t="str">
        <f>IF(cluster_wld_domain_chosen&lt;&gt;"MGMT Workload Domain",CONCATENATE(prefix_wld_az1_rack_cidr,"57.1"),CONCATENATE(prefix_mgmt_az1_cidr,"57.1"))</f>
        <v>10.13.57.1</v>
      </c>
      <c r="D327" s="66"/>
      <c r="E327" s="42" t="str">
        <f>IF(AND(mgmt_stretched_cluster_result="Included",mgmt_dpg_reuse_result="Excluded"),"Stretched L2","")</f>
        <v/>
      </c>
    </row>
    <row r="328" spans="2:5" ht="20" customHeight="1" x14ac:dyDescent="0.2">
      <c r="B328" s="23" t="s">
        <v>244</v>
      </c>
      <c r="C328" s="65" t="str">
        <f>IF(cluster_wld_domain_chosen&lt;&gt;"MGMT Workload Domain",CONCATENATE(prefix_wld_az1_rack_cidr,"57.101"),CONCATENATE(prefix_mgmt_az1_cidr,"57.101"))</f>
        <v>10.13.57.101</v>
      </c>
      <c r="D328" s="66"/>
      <c r="E328" s="121" t="s">
        <v>2332</v>
      </c>
    </row>
    <row r="329" spans="2:5" ht="20" customHeight="1" x14ac:dyDescent="0.2">
      <c r="B329" s="23" t="s">
        <v>245</v>
      </c>
      <c r="C329" s="65" t="str">
        <f>IF(cluster_wld_domain_chosen&lt;&gt;"MGMT Workload Domain",CONCATENATE(prefix_wld_az1_rack_cidr,"57.116"),CONCATENATE(prefix_mgmt_az1_cidr,"57.116"))</f>
        <v>10.13.57.116</v>
      </c>
      <c r="D329" s="66"/>
      <c r="E329" s="121" t="s">
        <v>2333</v>
      </c>
    </row>
    <row r="330" spans="2:5" ht="16" customHeight="1" x14ac:dyDescent="0.2">
      <c r="B330" s="9"/>
      <c r="C330" s="9"/>
      <c r="D330" s="9"/>
      <c r="E330" s="9"/>
    </row>
    <row r="331" spans="2:5" ht="34" customHeight="1" x14ac:dyDescent="0.2">
      <c r="B331" s="559" t="s">
        <v>2357</v>
      </c>
      <c r="C331" s="560"/>
      <c r="D331" s="560"/>
      <c r="E331" s="561"/>
    </row>
    <row r="332" spans="2:5" ht="20" customHeight="1" x14ac:dyDescent="0.2">
      <c r="B332" s="62" t="s">
        <v>250</v>
      </c>
      <c r="C332" s="62" t="s">
        <v>251</v>
      </c>
      <c r="D332" s="160" t="s">
        <v>20</v>
      </c>
      <c r="E332" s="62" t="s">
        <v>252</v>
      </c>
    </row>
    <row r="333" spans="2:5" ht="20" customHeight="1" x14ac:dyDescent="0.2">
      <c r="B333" s="23" t="s">
        <v>204</v>
      </c>
      <c r="C333" s="153" t="str">
        <f>IF(cluster_wld_domain_chosen&lt;&gt;"MGMT Workload Domain",CONCATENATE(this_instance,"01-w0",wld_domain_number_chosen,"-r05-esx01",".",sample_child_dns_zone),CONCATENATE(this_instance,"01-m01-r05-esx01",".",sample_child_dns_zone))</f>
        <v>sfo01-w01-r05-esx01.sfo.rainpole.io</v>
      </c>
      <c r="D333" s="66"/>
      <c r="E333" s="42"/>
    </row>
    <row r="334" spans="2:5" ht="20" customHeight="1" x14ac:dyDescent="0.2">
      <c r="B334" s="23" t="s">
        <v>206</v>
      </c>
      <c r="C334" s="153" t="str">
        <f>IF(cluster_wld_domain_chosen&lt;&gt;"MGMT Workload Domain",CONCATENATE(this_instance,"01-w0",wld_domain_number_chosen,"-r05-esx02",".",sample_child_dns_zone),CONCATENATE(this_instance,"01-m01-r05-esx02",".",sample_child_dns_zone))</f>
        <v>sfo01-w01-r05-esx02.sfo.rainpole.io</v>
      </c>
      <c r="D334" s="66"/>
      <c r="E334" s="42"/>
    </row>
    <row r="335" spans="2:5" ht="20" customHeight="1" x14ac:dyDescent="0.2">
      <c r="B335" s="23" t="s">
        <v>208</v>
      </c>
      <c r="C335" s="153" t="str">
        <f>IF(cluster_wld_domain_chosen&lt;&gt;"MGMT Workload Domain",CONCATENATE(this_instance,"01-w0",wld_domain_number_chosen,"-r05-esx03",".",sample_child_dns_zone),CONCATENATE(this_instance,"01-m01-r05-esx03",".",sample_child_dns_zone))</f>
        <v>sfo01-w01-r05-esx03.sfo.rainpole.io</v>
      </c>
      <c r="D335" s="66"/>
      <c r="E335" s="42"/>
    </row>
    <row r="336" spans="2:5" ht="20" customHeight="1" x14ac:dyDescent="0.2">
      <c r="B336" s="23" t="s">
        <v>210</v>
      </c>
      <c r="C336" s="153" t="str">
        <f>IF(cluster_wld_domain_chosen&lt;&gt;"MGMT Workload Domain",CONCATENATE(this_instance,"01-w0",wld_domain_number_chosen,"-r05-esx04",".",sample_child_dns_zone),CONCATENATE(this_instance,"01-m01-r05-esx04",".",sample_child_dns_zone))</f>
        <v>sfo01-w01-r05-esx04.sfo.rainpole.io</v>
      </c>
      <c r="D336" s="66"/>
      <c r="E336" s="42"/>
    </row>
    <row r="337" spans="2:5" ht="20" customHeight="1" x14ac:dyDescent="0.2">
      <c r="B337" s="23" t="s">
        <v>212</v>
      </c>
      <c r="C337" s="153" t="str">
        <f>IF(cluster_wld_domain_chosen&lt;&gt;"MGMT Workload Domain",CONCATENATE(this_instance,"01-w0",wld_domain_number_chosen,"-r05-esx05",".",sample_child_dns_zone),CONCATENATE(this_instance,"01-m01-r05-esx05",".",sample_child_dns_zone))</f>
        <v>sfo01-w01-r05-esx05.sfo.rainpole.io</v>
      </c>
      <c r="D337" s="66"/>
      <c r="E337" s="42"/>
    </row>
    <row r="338" spans="2:5" ht="20" customHeight="1" x14ac:dyDescent="0.2">
      <c r="B338" s="23" t="s">
        <v>214</v>
      </c>
      <c r="C338" s="153" t="str">
        <f>IF(cluster_wld_domain_chosen&lt;&gt;"MGMT Workload Domain",CONCATENATE(this_instance,"01-w0",wld_domain_number_chosen,"-r05-esx06",".",sample_child_dns_zone),CONCATENATE(this_instance,"01-m01-r05-esx06",".",sample_child_dns_zone))</f>
        <v>sfo01-w01-r05-esx06.sfo.rainpole.io</v>
      </c>
      <c r="D338" s="66"/>
      <c r="E338" s="42"/>
    </row>
    <row r="339" spans="2:5" ht="20" customHeight="1" x14ac:dyDescent="0.2">
      <c r="B339" s="23" t="s">
        <v>216</v>
      </c>
      <c r="C339" s="153" t="str">
        <f>IF(cluster_wld_domain_chosen&lt;&gt;"MGMT Workload Domain",CONCATENATE(this_instance,"01-w0",wld_domain_number_chosen,"-r05-esx07",".",sample_child_dns_zone),CONCATENATE(this_instance,"01-m01-r05-esx07",".",sample_child_dns_zone))</f>
        <v>sfo01-w01-r05-esx07.sfo.rainpole.io</v>
      </c>
      <c r="D339" s="66"/>
      <c r="E339" s="42"/>
    </row>
    <row r="340" spans="2:5" ht="20" customHeight="1" x14ac:dyDescent="0.2">
      <c r="B340" s="23" t="s">
        <v>218</v>
      </c>
      <c r="C340" s="153" t="str">
        <f>IF(cluster_wld_domain_chosen&lt;&gt;"MGMT Workload Domain",CONCATENATE(this_instance,"01-w0",wld_domain_number_chosen,"-r05-esx08",".",sample_child_dns_zone),CONCATENATE(this_instance,"01-m01-r05-esx08",".",sample_child_dns_zone))</f>
        <v>sfo01-w01-r05-esx08.sfo.rainpole.io</v>
      </c>
      <c r="D340" s="66"/>
      <c r="E340" s="42"/>
    </row>
    <row r="341" spans="2:5" ht="20" customHeight="1" x14ac:dyDescent="0.2">
      <c r="B341" s="23" t="s">
        <v>220</v>
      </c>
      <c r="C341" s="153" t="str">
        <f>IF(cluster_wld_domain_chosen&lt;&gt;"MGMT Workload Domain",CONCATENATE(this_instance,"01-w0",wld_domain_number_chosen,"-r05-esx09",".",sample_child_dns_zone),CONCATENATE(this_instance,"01-m01-r05-esx09",".",sample_child_dns_zone))</f>
        <v>sfo01-w01-r05-esx09.sfo.rainpole.io</v>
      </c>
      <c r="D341" s="66"/>
      <c r="E341" s="42"/>
    </row>
    <row r="342" spans="2:5" ht="20" customHeight="1" x14ac:dyDescent="0.2">
      <c r="B342" s="23" t="s">
        <v>222</v>
      </c>
      <c r="C342" s="153" t="str">
        <f>IF(cluster_wld_domain_chosen&lt;&gt;"MGMT Workload Domain",CONCATENATE(this_instance,"01-w0",wld_domain_number_chosen,"-r05-esx10",".",sample_child_dns_zone),CONCATENATE(this_instance,"01-m01-r05-esx10",".",sample_child_dns_zone))</f>
        <v>sfo01-w01-r05-esx10.sfo.rainpole.io</v>
      </c>
      <c r="D342" s="66"/>
      <c r="E342" s="42"/>
    </row>
    <row r="343" spans="2:5" ht="20" customHeight="1" x14ac:dyDescent="0.2">
      <c r="B343" s="23" t="s">
        <v>224</v>
      </c>
      <c r="C343" s="153" t="str">
        <f>IF(cluster_wld_domain_chosen&lt;&gt;"MGMT Workload Domain",CONCATENATE(this_instance,"01-w0",wld_domain_number_chosen,"-r05-esx11",".",sample_child_dns_zone),CONCATENATE(this_instance,"01-m01-r05-esx11",".",sample_child_dns_zone))</f>
        <v>sfo01-w01-r05-esx11.sfo.rainpole.io</v>
      </c>
      <c r="D343" s="66"/>
      <c r="E343" s="42"/>
    </row>
    <row r="344" spans="2:5" ht="20" customHeight="1" x14ac:dyDescent="0.2">
      <c r="B344" s="23" t="s">
        <v>226</v>
      </c>
      <c r="C344" s="153" t="str">
        <f>IF(cluster_wld_domain_chosen&lt;&gt;"MGMT Workload Domain",CONCATENATE(this_instance,"01-w0",wld_domain_number_chosen,"-r05-esx12",".",sample_child_dns_zone),CONCATENATE(this_instance,"01-m01-r05-esx12",".",sample_child_dns_zone))</f>
        <v>sfo01-w01-r05-esx12.sfo.rainpole.io</v>
      </c>
      <c r="D344" s="66"/>
      <c r="E344" s="42"/>
    </row>
    <row r="345" spans="2:5" ht="20" customHeight="1" x14ac:dyDescent="0.2">
      <c r="B345" s="23" t="s">
        <v>228</v>
      </c>
      <c r="C345" s="153" t="str">
        <f>IF(cluster_wld_domain_chosen&lt;&gt;"MGMT Workload Domain",CONCATENATE(this_instance,"01-w0",wld_domain_number_chosen,"-r05-esx13",".",sample_child_dns_zone),CONCATENATE(this_instance,"01-m01-r05-esx13",".",sample_child_dns_zone))</f>
        <v>sfo01-w01-r05-esx13.sfo.rainpole.io</v>
      </c>
      <c r="D345" s="66"/>
      <c r="E345" s="42"/>
    </row>
    <row r="346" spans="2:5" ht="20" customHeight="1" x14ac:dyDescent="0.2">
      <c r="B346" s="23" t="s">
        <v>230</v>
      </c>
      <c r="C346" s="153" t="str">
        <f>IF(cluster_wld_domain_chosen&lt;&gt;"MGMT Workload Domain",CONCATENATE(this_instance,"01-w0",wld_domain_number_chosen,"-r05-esx14",".",sample_child_dns_zone),CONCATENATE(this_instance,"01-m01-r05-esx14",".",sample_child_dns_zone))</f>
        <v>sfo01-w01-r05-esx14.sfo.rainpole.io</v>
      </c>
      <c r="D346" s="66"/>
      <c r="E346" s="42"/>
    </row>
    <row r="347" spans="2:5" ht="20" customHeight="1" x14ac:dyDescent="0.2">
      <c r="B347" s="23" t="s">
        <v>232</v>
      </c>
      <c r="C347" s="153" t="str">
        <f>IF(cluster_wld_domain_chosen&lt;&gt;"MGMT Workload Domain",CONCATENATE(this_instance,"01-w0",wld_domain_number_chosen,"-r05-esx14",".",sample_child_dns_zone),CONCATENATE(this_instance,"01-m01-r05-esx15",".",sample_child_dns_zone))</f>
        <v>sfo01-w01-r05-esx14.sfo.rainpole.io</v>
      </c>
      <c r="D347" s="66"/>
      <c r="E347" s="42"/>
    </row>
    <row r="348" spans="2:5" ht="20" customHeight="1" x14ac:dyDescent="0.2">
      <c r="B348" s="23" t="s">
        <v>234</v>
      </c>
      <c r="C348" s="153" t="str">
        <f>IF(cluster_wld_domain_chosen&lt;&gt;"MGMT Workload Domain",CONCATENATE(this_instance,"01-w0",wld_domain_number_chosen,"-r05-esx16",".",sample_child_dns_zone),CONCATENATE(this_instance,"01-m01-r05-esx16",".",sample_child_dns_zone))</f>
        <v>sfo01-w01-r05-esx16.sfo.rainpole.io</v>
      </c>
      <c r="D348" s="66"/>
      <c r="E348" s="42"/>
    </row>
    <row r="349" spans="2:5" ht="20" customHeight="1" x14ac:dyDescent="0.2">
      <c r="B349" s="23" t="s">
        <v>253</v>
      </c>
      <c r="C349" s="153" t="s">
        <v>647</v>
      </c>
      <c r="D349" s="8" t="s">
        <v>254</v>
      </c>
      <c r="E349" s="42"/>
    </row>
    <row r="350" spans="2:5" ht="20" customHeight="1" x14ac:dyDescent="0.2">
      <c r="B350" s="23" t="s">
        <v>255</v>
      </c>
      <c r="C350" s="153" t="s">
        <v>256</v>
      </c>
      <c r="D350"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350" s="4"/>
    </row>
    <row r="351" spans="2:5" ht="20" customHeight="1" x14ac:dyDescent="0.2">
      <c r="B351" s="23" t="s">
        <v>257</v>
      </c>
      <c r="C351" s="153" t="s">
        <v>154</v>
      </c>
      <c r="D351" s="8" t="str">
        <f>IF(AND(vcf_granular_option_chosen="Create Cluster",cluster_principal_storage_chosen="vSAN-ESA"),"Selected",
IF(AND(vcf_granular_option_chosen="Create Workload Domain",wld_principal_storage_chosen="vSAN-ESA"),"Selected","Unselected"))</f>
        <v>Unselected</v>
      </c>
      <c r="E351" s="42"/>
    </row>
    <row r="352" spans="2:5" ht="20" customHeight="1" x14ac:dyDescent="0.2">
      <c r="B352" s="23" t="s">
        <v>239</v>
      </c>
      <c r="C352" s="153" t="str">
        <f>sample_wld_az1_rack5_pool_name</f>
        <v>sfo01-w01-r05-network-pool-01</v>
      </c>
      <c r="D352" s="8" t="str">
        <f>wld_az1_rack5_pool_name</f>
        <v>Value Missing</v>
      </c>
      <c r="E352" s="42"/>
    </row>
    <row r="353" spans="2:5" ht="20" customHeight="1" x14ac:dyDescent="0.2">
      <c r="B353" s="23" t="s">
        <v>47</v>
      </c>
      <c r="C353" s="153" t="s">
        <v>258</v>
      </c>
      <c r="D353"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353" s="42"/>
    </row>
    <row r="354" spans="2:5" ht="20" customHeight="1" x14ac:dyDescent="0.2">
      <c r="B354" s="23" t="s">
        <v>30</v>
      </c>
      <c r="C354" s="153" t="s">
        <v>31</v>
      </c>
      <c r="D354"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354" s="42"/>
    </row>
    <row r="355" spans="2:5" ht="16" customHeight="1" x14ac:dyDescent="0.2"/>
    <row r="356" spans="2:5" ht="34" customHeight="1" x14ac:dyDescent="0.2">
      <c r="B356" s="559" t="s">
        <v>2358</v>
      </c>
      <c r="C356" s="560"/>
      <c r="D356" s="560"/>
      <c r="E356" s="561"/>
    </row>
    <row r="357" spans="2:5" ht="20" customHeight="1" x14ac:dyDescent="0.2">
      <c r="B357" s="4" t="s">
        <v>325</v>
      </c>
      <c r="C357" s="109" t="str">
        <f>IF(vcf_granular_option_chosen="Create Cluster",CONCATENATE(this_instance,"01-",sample_cluster_name,"-r05-network-profile"),
IF(cluster_wld_domain_chosen="Workload Domain",CONCATENATE(this_instance,"01-",sample_wld_cl01_cluster,"-r05-network-profile"),
CONCATENATE(this_instance,"01-",sample_mgmt_cl01_cluster,"-r05-network-profile")))</f>
        <v>sfo01-sfo-w01-cl01-r05-network-profile</v>
      </c>
      <c r="D357" s="66"/>
      <c r="E357" s="103"/>
    </row>
    <row r="358" spans="2:5" ht="20" customHeight="1" x14ac:dyDescent="0.2">
      <c r="B358" s="4" t="s">
        <v>2336</v>
      </c>
      <c r="C358" s="65" t="s">
        <v>327</v>
      </c>
      <c r="D358" s="154" t="s">
        <v>327</v>
      </c>
      <c r="E358" s="4" t="str">
        <f>IF(wld_az1_rack5_host_overlay_new_pool_chosen="Re-use an existing Pool","An exisitng Pool will be reused for Host TEP assignment","A new Pool will be created for Host TEP assignment")</f>
        <v>A new Pool will be created for Host TEP assignment</v>
      </c>
    </row>
    <row r="359" spans="2:5" ht="20" customHeight="1" x14ac:dyDescent="0.2">
      <c r="B359" s="4" t="s">
        <v>328</v>
      </c>
      <c r="C359" s="109" t="str">
        <f>IF(cluster_wld_domain_chosen="Workload Domain",CONCATENATE(this_instance,"01-w0",wld_domain_number_chosen,"-r05-ip-pool01-host"),CONCATENATE(this_instance,"01-m01","-r05-ip-pool01-host"))</f>
        <v>sfo01-w01-r05-ip-pool01-host</v>
      </c>
      <c r="D359" s="66"/>
      <c r="E359" s="103"/>
    </row>
    <row r="360" spans="2:5" ht="20" customHeight="1" x14ac:dyDescent="0.2">
      <c r="B360" s="4" t="s">
        <v>329</v>
      </c>
      <c r="C360" s="109" t="str">
        <f>IF(cluster_wld_domain_chosen="Workload Domain",CONCATENATE(this_instance,"01-w0",wld_domain_number_chosen,"-r05-uplink-profile01"),CONCATENATE(this_instance,"01-m01","-r05-uplink-profile01"))</f>
        <v>sfo01-w01-r05-uplink-profile01</v>
      </c>
      <c r="D360" s="66"/>
      <c r="E360" s="103"/>
    </row>
    <row r="361" spans="2:5" ht="20" customHeight="1" x14ac:dyDescent="0.2">
      <c r="B361" s="4" t="s">
        <v>2337</v>
      </c>
      <c r="C361" s="109" t="str">
        <f>IF(cluster_wld_domain_chosen="Workload Domain",CONCATENATE(this_instance,"01-w0",wld_domain_number_chosen,"-r05-ip-pool02-edge"),CONCATENATE(this_instance,"01-m01","-r05-ip-pool02-edge"))</f>
        <v>sfo01-w01-r05-ip-pool02-edge</v>
      </c>
      <c r="D361" s="66"/>
      <c r="E361" s="103"/>
    </row>
    <row r="362" spans="2:5" ht="20" customHeight="1" x14ac:dyDescent="0.2">
      <c r="B362" s="4" t="s">
        <v>2338</v>
      </c>
      <c r="C362" s="109" t="str">
        <f>IF(cluster_wld_domain_chosen="Workload Domain",CONCATENATE(this_instance,"01-w0",wld_domain_number_chosen,"-r05-ip-pool03-rtep"),CONCATENATE(this_instance,"01-m01","-r05-ip-pool03-rtep"))</f>
        <v>sfo01-w01-r05-ip-pool03-rtep</v>
      </c>
      <c r="D362" s="66"/>
      <c r="E362" s="103"/>
    </row>
    <row r="363" spans="2:5" ht="20" customHeight="1" x14ac:dyDescent="0.2">
      <c r="B363" s="521" t="s">
        <v>708</v>
      </c>
      <c r="C363" s="522"/>
      <c r="D363" s="522"/>
      <c r="E363" s="523"/>
    </row>
    <row r="364" spans="2:5" ht="20" customHeight="1" x14ac:dyDescent="0.2">
      <c r="B364" s="241" t="s">
        <v>250</v>
      </c>
      <c r="C364" s="241" t="s">
        <v>251</v>
      </c>
      <c r="D364" s="247" t="s">
        <v>20</v>
      </c>
      <c r="E364" s="241" t="s">
        <v>21</v>
      </c>
    </row>
    <row r="365" spans="2:5" ht="20" customHeight="1" x14ac:dyDescent="0.2">
      <c r="B365" s="4" t="s">
        <v>1198</v>
      </c>
      <c r="C365" s="103" t="str">
        <f>IF(cluster_wld_domain_chosen&lt;&gt;"MGMT Workload Domain",CONCATENATE(this_instance,"-w0",wld_domain_number_chosen,"-r05","-vsan-fault-domain"),CONCATENATE(this_instance,"-m01","-r05","-vsan-fault-domain"))</f>
        <v>sfo-w01-r05-vsan-fault-domain</v>
      </c>
      <c r="D365" s="66"/>
      <c r="E365" s="8"/>
    </row>
    <row r="366" spans="2:5" ht="16" customHeight="1" x14ac:dyDescent="0.2"/>
    <row r="367" spans="2:5" ht="34" customHeight="1" x14ac:dyDescent="0.2">
      <c r="B367" s="559" t="s">
        <v>2359</v>
      </c>
      <c r="C367" s="560"/>
      <c r="D367" s="560"/>
      <c r="E367" s="561"/>
    </row>
    <row r="368" spans="2:5" ht="20" customHeight="1" x14ac:dyDescent="0.2">
      <c r="B368" s="62" t="s">
        <v>250</v>
      </c>
      <c r="C368" s="62" t="s">
        <v>251</v>
      </c>
      <c r="D368" s="160" t="s">
        <v>20</v>
      </c>
      <c r="E368" s="62" t="s">
        <v>21</v>
      </c>
    </row>
    <row r="369" spans="2:5" ht="20" customHeight="1" x14ac:dyDescent="0.2">
      <c r="B369" s="521" t="s">
        <v>794</v>
      </c>
      <c r="C369" s="522"/>
      <c r="D369" s="522"/>
      <c r="E369" s="523"/>
    </row>
    <row r="370" spans="2:5" ht="20" customHeight="1" x14ac:dyDescent="0.2">
      <c r="B370" s="4" t="s">
        <v>85</v>
      </c>
      <c r="C370" s="65" t="str">
        <f>IF(cluster_wld_domain_chosen&lt;&gt;"MGMT Workload Domain",CONCATENATE(prefix_wld_az1_rack_vlan,"58"),CONCATENATE(prefix_mgmt_az1_vlan,"58"))</f>
        <v>1358</v>
      </c>
      <c r="D370" s="66"/>
      <c r="E370" s="113"/>
    </row>
    <row r="371" spans="2:5" ht="20" customHeight="1" x14ac:dyDescent="0.2">
      <c r="B371" s="4" t="s">
        <v>155</v>
      </c>
      <c r="C371" s="65">
        <v>9000</v>
      </c>
      <c r="D371" s="66"/>
      <c r="E371" s="42"/>
    </row>
    <row r="372" spans="2:5" ht="20" customHeight="1" x14ac:dyDescent="0.2">
      <c r="B372" s="4" t="s">
        <v>181</v>
      </c>
      <c r="C372" s="65" t="str">
        <f>IF(cluster_wld_domain_chosen&lt;&gt;"MGMT Workload Domain",CONCATENATE(prefix_wld_az1_rack_cidr,"58.0"),CONCATENATE(prefix_mgmt_az1_cidr,"58.0"))</f>
        <v>10.13.58.0</v>
      </c>
      <c r="D372" s="66"/>
      <c r="E372" s="42"/>
    </row>
    <row r="373" spans="2:5" ht="20" customHeight="1" x14ac:dyDescent="0.2">
      <c r="B373" s="4" t="s">
        <v>274</v>
      </c>
      <c r="C373" s="65" t="s">
        <v>126</v>
      </c>
      <c r="D373" s="66"/>
      <c r="E373" s="42"/>
    </row>
    <row r="374" spans="2:5" ht="20" customHeight="1" x14ac:dyDescent="0.2">
      <c r="B374" s="4" t="s">
        <v>180</v>
      </c>
      <c r="C374" s="65" t="str">
        <f>IF(cluster_wld_domain_chosen&lt;&gt;"MGMT Workload Domain",CONCATENATE(prefix_wld_az1_rack_cidr,"58.1"),CONCATENATE(prefix_mgmt_az1_cidr,"58.1"))</f>
        <v>10.13.58.1</v>
      </c>
      <c r="D374" s="66"/>
      <c r="E374" s="42"/>
    </row>
    <row r="375" spans="2:5" ht="20" customHeight="1" x14ac:dyDescent="0.2">
      <c r="B375" s="23" t="s">
        <v>244</v>
      </c>
      <c r="C375" s="65" t="str">
        <f>IF(cluster_wld_domain_chosen&lt;&gt;"MGMT Workload Domain",CONCATENATE(prefix_wld_az1_rack_cidr,"58.101"),CONCATENATE(prefix_mgmt_az1_cidr,"58.101"))</f>
        <v>10.13.58.101</v>
      </c>
      <c r="D375" s="66"/>
      <c r="E375" s="121" t="s">
        <v>2340</v>
      </c>
    </row>
    <row r="376" spans="2:5" ht="20" customHeight="1" x14ac:dyDescent="0.2">
      <c r="B376" s="23" t="s">
        <v>245</v>
      </c>
      <c r="C376" s="65" t="str">
        <f>IF(cluster_wld_domain_chosen&lt;&gt;"MGMT Workload Domain",CONCATENATE(prefix_wld_az1_rack_cidr,"58.116"),CONCATENATE(prefix_mgmt_az1_cidr,"58.116"))</f>
        <v>10.13.58.116</v>
      </c>
      <c r="D376" s="66"/>
      <c r="E376" s="121" t="s">
        <v>2341</v>
      </c>
    </row>
    <row r="377" spans="2:5" ht="16" customHeight="1" x14ac:dyDescent="0.2"/>
    <row r="378" spans="2:5" ht="34" customHeight="1" x14ac:dyDescent="0.2">
      <c r="B378" s="559" t="s">
        <v>2360</v>
      </c>
      <c r="C378" s="560"/>
      <c r="D378" s="560"/>
      <c r="E378" s="561"/>
    </row>
    <row r="379" spans="2:5" ht="20" customHeight="1" x14ac:dyDescent="0.2">
      <c r="B379" s="62" t="s">
        <v>250</v>
      </c>
      <c r="C379" s="62" t="s">
        <v>251</v>
      </c>
      <c r="D379" s="160" t="s">
        <v>20</v>
      </c>
      <c r="E379" s="62" t="s">
        <v>252</v>
      </c>
    </row>
    <row r="380" spans="2:5" ht="20" customHeight="1" x14ac:dyDescent="0.2">
      <c r="B380" s="521" t="s">
        <v>202</v>
      </c>
      <c r="C380" s="522"/>
      <c r="D380" s="522"/>
      <c r="E380" s="523"/>
    </row>
    <row r="381" spans="2:5" ht="20" customHeight="1" x14ac:dyDescent="0.2">
      <c r="B381" s="4" t="s">
        <v>85</v>
      </c>
      <c r="C381" s="65" t="str">
        <f>IF(cluster_wld_domain_chosen&lt;&gt;"MGMT Workload Domain",CONCATENATE(prefix_wld_az1_rack_vlan,"66"),CONCATENATE(prefix_mgmt_az1_vlan,"66"))</f>
        <v>1366</v>
      </c>
      <c r="D381" s="66"/>
      <c r="E381" s="113"/>
    </row>
    <row r="382" spans="2:5" ht="20" customHeight="1" x14ac:dyDescent="0.2">
      <c r="B382" s="4" t="s">
        <v>180</v>
      </c>
      <c r="C382" s="65" t="str">
        <f>IF(cluster_wld_domain_chosen&lt;&gt;"MGMT Workload Domain",CONCATENATE(prefix_wld_az1_rack_cidr,"66.1"),CONCATENATE(prefix_mgmt_az1_cidr,"66.1"))</f>
        <v>10.13.66.1</v>
      </c>
      <c r="D382" s="66"/>
      <c r="E382" s="42"/>
    </row>
    <row r="383" spans="2:5" ht="20" customHeight="1" x14ac:dyDescent="0.2">
      <c r="B383" s="4" t="s">
        <v>181</v>
      </c>
      <c r="C383" s="65" t="str">
        <f>IF(cluster_wld_domain_chosen&lt;&gt;"MGMT Workload Domain",CONCATENATE(prefix_wld_az1_rack_cidr,"66.0/24"),CONCATENATE(prefix_mgmt_az1_cidr,"66.0/24"))</f>
        <v>10.13.66.0/24</v>
      </c>
      <c r="D383" s="66"/>
      <c r="E383" s="42"/>
    </row>
    <row r="384" spans="2:5" ht="20" customHeight="1" x14ac:dyDescent="0.2">
      <c r="B384" s="4" t="s">
        <v>155</v>
      </c>
      <c r="C384" s="65">
        <v>1500</v>
      </c>
      <c r="D384" s="66"/>
      <c r="E384" s="42"/>
    </row>
    <row r="385" spans="2:5" ht="20" customHeight="1" x14ac:dyDescent="0.2">
      <c r="B385" s="546" t="s">
        <v>203</v>
      </c>
      <c r="C385" s="547"/>
      <c r="D385" s="547"/>
      <c r="E385" s="548"/>
    </row>
    <row r="386" spans="2:5" ht="20" customHeight="1" x14ac:dyDescent="0.2">
      <c r="B386" s="23" t="s">
        <v>204</v>
      </c>
      <c r="C386" s="153" t="str">
        <f>IF(cluster_wld_domain_chosen&lt;&gt;"MGMT Workload Domain",CONCATENATE(prefix_wld_az1_rack_cidr,"66.101"),CONCATENATE(prefix_mgmt_az1_cidr,"66.101"))</f>
        <v>10.13.66.101</v>
      </c>
      <c r="D386" s="66"/>
      <c r="E386" s="121" t="s">
        <v>205</v>
      </c>
    </row>
    <row r="387" spans="2:5" ht="20" customHeight="1" x14ac:dyDescent="0.2">
      <c r="B387" s="23" t="s">
        <v>206</v>
      </c>
      <c r="C387" s="153" t="str">
        <f>IF(cluster_wld_domain_chosen&lt;&gt;"MGMT Workload Domain",CONCATENATE(prefix_wld_az1_rack_cidr,"66.102"),CONCATENATE(prefix_mgmt_az1_cidr,"66.102"))</f>
        <v>10.13.66.102</v>
      </c>
      <c r="D387" s="66"/>
      <c r="E387" s="121" t="s">
        <v>207</v>
      </c>
    </row>
    <row r="388" spans="2:5" ht="20" customHeight="1" x14ac:dyDescent="0.2">
      <c r="B388" s="23" t="s">
        <v>208</v>
      </c>
      <c r="C388" s="153" t="str">
        <f>IF(cluster_wld_domain_chosen&lt;&gt;"MGMT Workload Domain",CONCATENATE(prefix_wld_az1_rack_cidr,"66.103"),CONCATENATE(prefix_mgmt_az1_cidr,"66.103"))</f>
        <v>10.13.66.103</v>
      </c>
      <c r="D388" s="66"/>
      <c r="E388" s="121" t="s">
        <v>209</v>
      </c>
    </row>
    <row r="389" spans="2:5" ht="20" customHeight="1" x14ac:dyDescent="0.2">
      <c r="B389" s="23" t="s">
        <v>210</v>
      </c>
      <c r="C389" s="153" t="str">
        <f>IF(cluster_wld_domain_chosen&lt;&gt;"MGMT Workload Domain",CONCATENATE(prefix_wld_az1_rack_cidr,"66.104"),CONCATENATE(prefix_mgmt_az1_cidr,"66.104"))</f>
        <v>10.13.66.104</v>
      </c>
      <c r="D389" s="66"/>
      <c r="E389" s="121" t="s">
        <v>211</v>
      </c>
    </row>
    <row r="390" spans="2:5" ht="20" customHeight="1" x14ac:dyDescent="0.2">
      <c r="B390" s="23" t="s">
        <v>212</v>
      </c>
      <c r="C390" s="153" t="str">
        <f>IF(cluster_wld_domain_chosen&lt;&gt;"MGMT Workload Domain",CONCATENATE(prefix_wld_az1_rack_cidr,"66.105"),CONCATENATE(prefix_mgmt_az1_cidr,"66.105"))</f>
        <v>10.13.66.105</v>
      </c>
      <c r="D390" s="66"/>
      <c r="E390" s="121" t="s">
        <v>213</v>
      </c>
    </row>
    <row r="391" spans="2:5" ht="20" customHeight="1" x14ac:dyDescent="0.2">
      <c r="B391" s="23" t="s">
        <v>214</v>
      </c>
      <c r="C391" s="153" t="str">
        <f>IF(cluster_wld_domain_chosen&lt;&gt;"MGMT Workload Domain",CONCATENATE(prefix_wld_az1_rack_cidr,"66.106"),CONCATENATE(prefix_mgmt_az1_cidr,"66.106"))</f>
        <v>10.13.66.106</v>
      </c>
      <c r="D391" s="66"/>
      <c r="E391" s="121" t="s">
        <v>215</v>
      </c>
    </row>
    <row r="392" spans="2:5" ht="20" customHeight="1" x14ac:dyDescent="0.2">
      <c r="B392" s="23" t="s">
        <v>216</v>
      </c>
      <c r="C392" s="153" t="str">
        <f>IF(cluster_wld_domain_chosen&lt;&gt;"MGMT Workload Domain",CONCATENATE(prefix_wld_az1_rack_cidr,"66.107"),CONCATENATE(prefix_mgmt_az1_cidr,"66.107"))</f>
        <v>10.13.66.107</v>
      </c>
      <c r="D392" s="66"/>
      <c r="E392" s="121" t="s">
        <v>217</v>
      </c>
    </row>
    <row r="393" spans="2:5" ht="20" customHeight="1" x14ac:dyDescent="0.2">
      <c r="B393" s="23" t="s">
        <v>218</v>
      </c>
      <c r="C393" s="153" t="str">
        <f>IF(cluster_wld_domain_chosen&lt;&gt;"MGMT Workload Domain",CONCATENATE(prefix_wld_az1_rack_cidr,"66.108"),CONCATENATE(prefix_mgmt_az1_cidr,"66.108"))</f>
        <v>10.13.66.108</v>
      </c>
      <c r="D393" s="66"/>
      <c r="E393" s="121" t="s">
        <v>219</v>
      </c>
    </row>
    <row r="394" spans="2:5" ht="20" customHeight="1" x14ac:dyDescent="0.2">
      <c r="B394" s="23" t="s">
        <v>220</v>
      </c>
      <c r="C394" s="153" t="str">
        <f>IF(cluster_wld_domain_chosen&lt;&gt;"MGMT Workload Domain",CONCATENATE(prefix_wld_az1_rack_cidr,"66.109"),CONCATENATE(prefix_mgmt_az1_cidr,"66.109"))</f>
        <v>10.13.66.109</v>
      </c>
      <c r="D394" s="66"/>
      <c r="E394" s="121" t="s">
        <v>221</v>
      </c>
    </row>
    <row r="395" spans="2:5" ht="20" customHeight="1" x14ac:dyDescent="0.2">
      <c r="B395" s="23" t="s">
        <v>222</v>
      </c>
      <c r="C395" s="153" t="str">
        <f>IF(cluster_wld_domain_chosen&lt;&gt;"MGMT Workload Domain",CONCATENATE(prefix_wld_az1_rack_cidr,"66.110"),CONCATENATE(prefix_mgmt_az1_cidr,"66.110"))</f>
        <v>10.13.66.110</v>
      </c>
      <c r="D395" s="66"/>
      <c r="E395" s="121" t="s">
        <v>223</v>
      </c>
    </row>
    <row r="396" spans="2:5" ht="20" customHeight="1" x14ac:dyDescent="0.2">
      <c r="B396" s="23" t="s">
        <v>224</v>
      </c>
      <c r="C396" s="153" t="str">
        <f>IF(cluster_wld_domain_chosen&lt;&gt;"MGMT Workload Domain",CONCATENATE(prefix_wld_az1_rack_cidr,"66.111"),CONCATENATE(prefix_mgmt_az1_cidr,"66.111"))</f>
        <v>10.13.66.111</v>
      </c>
      <c r="D396" s="66"/>
      <c r="E396" s="121" t="s">
        <v>225</v>
      </c>
    </row>
    <row r="397" spans="2:5" ht="20" customHeight="1" x14ac:dyDescent="0.2">
      <c r="B397" s="23" t="s">
        <v>226</v>
      </c>
      <c r="C397" s="153" t="str">
        <f>IF(cluster_wld_domain_chosen&lt;&gt;"MGMT Workload Domain",CONCATENATE(prefix_wld_az1_rack_cidr,"66.112"),CONCATENATE(prefix_mgmt_az1_cidr,"66.112"))</f>
        <v>10.13.66.112</v>
      </c>
      <c r="D397" s="66"/>
      <c r="E397" s="121" t="s">
        <v>227</v>
      </c>
    </row>
    <row r="398" spans="2:5" ht="20" customHeight="1" x14ac:dyDescent="0.2">
      <c r="B398" s="23" t="s">
        <v>228</v>
      </c>
      <c r="C398" s="153" t="str">
        <f>IF(cluster_wld_domain_chosen&lt;&gt;"MGMT Workload Domain",CONCATENATE(prefix_wld_az1_rack_cidr,"66.113"),CONCATENATE(prefix_mgmt_az1_cidr,"66.113"))</f>
        <v>10.13.66.113</v>
      </c>
      <c r="D398" s="66"/>
      <c r="E398" s="121" t="s">
        <v>229</v>
      </c>
    </row>
    <row r="399" spans="2:5" ht="20" customHeight="1" x14ac:dyDescent="0.2">
      <c r="B399" s="23" t="s">
        <v>230</v>
      </c>
      <c r="C399" s="153" t="str">
        <f>IF(cluster_wld_domain_chosen&lt;&gt;"MGMT Workload Domain",CONCATENATE(prefix_wld_az1_rack_cidr,"66.114"),CONCATENATE(prefix_mgmt_az1_cidr,"66.114"))</f>
        <v>10.13.66.114</v>
      </c>
      <c r="D399" s="66"/>
      <c r="E399" s="121" t="s">
        <v>231</v>
      </c>
    </row>
    <row r="400" spans="2:5" ht="20" customHeight="1" x14ac:dyDescent="0.2">
      <c r="B400" s="23" t="s">
        <v>232</v>
      </c>
      <c r="C400" s="153" t="str">
        <f>IF(cluster_wld_domain_chosen&lt;&gt;"MGMT Workload Domain",CONCATENATE(prefix_wld_az1_rack_cidr,"66.115"),CONCATENATE(prefix_mgmt_az1_cidr,"66.115"))</f>
        <v>10.13.66.115</v>
      </c>
      <c r="D400" s="66"/>
      <c r="E400" s="121" t="s">
        <v>233</v>
      </c>
    </row>
    <row r="401" spans="2:5" ht="20" customHeight="1" x14ac:dyDescent="0.2">
      <c r="B401" s="23" t="s">
        <v>234</v>
      </c>
      <c r="C401" s="153" t="str">
        <f>IF(cluster_wld_domain_chosen&lt;&gt;"MGMT Workload Domain",CONCATENATE(prefix_wld_az1_rack_cidr,"66.116"),CONCATENATE(prefix_mgmt_az1_cidr,"66.116"))</f>
        <v>10.13.66.116</v>
      </c>
      <c r="D401" s="66"/>
      <c r="E401" s="121" t="s">
        <v>235</v>
      </c>
    </row>
    <row r="402" spans="2:5" ht="16" customHeight="1" x14ac:dyDescent="0.2">
      <c r="B402" s="9"/>
      <c r="C402" s="9"/>
      <c r="D402" s="9"/>
      <c r="E402" s="9"/>
    </row>
    <row r="403" spans="2:5" ht="34" customHeight="1" x14ac:dyDescent="0.2">
      <c r="B403" s="559" t="s">
        <v>2361</v>
      </c>
      <c r="C403" s="560"/>
      <c r="D403" s="560"/>
      <c r="E403" s="561"/>
    </row>
    <row r="404" spans="2:5" ht="20" customHeight="1" x14ac:dyDescent="0.2">
      <c r="B404" s="62" t="s">
        <v>250</v>
      </c>
      <c r="C404" s="62" t="s">
        <v>251</v>
      </c>
      <c r="D404" s="160" t="s">
        <v>20</v>
      </c>
      <c r="E404" s="62" t="s">
        <v>252</v>
      </c>
    </row>
    <row r="405" spans="2:5" ht="20" customHeight="1" x14ac:dyDescent="0.2">
      <c r="B405" s="4" t="s">
        <v>2329</v>
      </c>
      <c r="C405" s="65" t="s">
        <v>238</v>
      </c>
      <c r="D405" s="154" t="s">
        <v>238</v>
      </c>
      <c r="E405" s="4" t="str">
        <f>IF(wld_az1_rack6_reuse_vcf_networkpool_chosen="Re-use an existing  VCF Network Pool","An exisiting VCF Network Pool will be reused for Host TEP assignment","A new VCF Network Pool will be created")</f>
        <v>A new VCF Network Pool will be created</v>
      </c>
    </row>
    <row r="406" spans="2:5" ht="20" customHeight="1" x14ac:dyDescent="0.2">
      <c r="B406" s="23" t="s">
        <v>239</v>
      </c>
      <c r="C406" s="109" t="str">
        <f>IF(cluster_wld_domain_chosen="Workload Domain",CONCATENATE(this_instance,"01-w0",wld_domain_number_chosen,"-r06-network-pool-01"),CONCATENATE(this_instance,"01-m01","-r06-network-pool-01"))</f>
        <v>sfo01-w01-r06-network-pool-01</v>
      </c>
      <c r="D406" s="66"/>
      <c r="E406" s="42"/>
    </row>
    <row r="407" spans="2:5" ht="20" customHeight="1" x14ac:dyDescent="0.2">
      <c r="B407" s="521" t="s">
        <v>240</v>
      </c>
      <c r="C407" s="522"/>
      <c r="D407" s="522"/>
      <c r="E407" s="523"/>
    </row>
    <row r="408" spans="2:5" ht="20" customHeight="1" x14ac:dyDescent="0.2">
      <c r="B408" s="4" t="s">
        <v>85</v>
      </c>
      <c r="C408" s="65" t="str">
        <f>IF(cluster_wld_domain_chosen&lt;&gt;"MGMT Workload Domain",CONCATENATE(prefix_wld_az1_rack_vlan,"67"),CONCATENATE(prefix_mgmt_az1_vlan,"67"))</f>
        <v>1367</v>
      </c>
      <c r="D408" s="66"/>
      <c r="E408" s="113"/>
    </row>
    <row r="409" spans="2:5" ht="20" customHeight="1" x14ac:dyDescent="0.2">
      <c r="B409" s="4" t="s">
        <v>155</v>
      </c>
      <c r="C409" s="65">
        <v>9000</v>
      </c>
      <c r="D409" s="66"/>
      <c r="E409" s="42"/>
    </row>
    <row r="410" spans="2:5" ht="20" customHeight="1" x14ac:dyDescent="0.2">
      <c r="B410" s="4" t="s">
        <v>181</v>
      </c>
      <c r="C410" s="153" t="str">
        <f>IF(cluster_wld_domain_chosen&lt;&gt;"MGMT Workload Domain",CONCATENATE(prefix_wld_az1_rack_cidr,"67.0"),CONCATENATE(prefix_mgmt_az1_cidr,"67.0"))</f>
        <v>10.13.67.0</v>
      </c>
      <c r="D410" s="66"/>
      <c r="E410" s="42"/>
    </row>
    <row r="411" spans="2:5" ht="20" customHeight="1" x14ac:dyDescent="0.2">
      <c r="B411" s="4" t="s">
        <v>274</v>
      </c>
      <c r="C411" s="153" t="s">
        <v>126</v>
      </c>
      <c r="D411" s="66"/>
      <c r="E411" s="42"/>
    </row>
    <row r="412" spans="2:5" ht="20" customHeight="1" x14ac:dyDescent="0.2">
      <c r="B412" s="4" t="s">
        <v>180</v>
      </c>
      <c r="C412" s="65" t="str">
        <f>IF(cluster_wld_domain_chosen&lt;&gt;"MGMT Workload Domain",CONCATENATE(prefix_wld_az1_rack_cidr,"67.1"),CONCATENATE(prefix_mgmt_az1_cidr,"67.1"))</f>
        <v>10.13.67.1</v>
      </c>
      <c r="D412" s="66"/>
      <c r="E412" s="42"/>
    </row>
    <row r="413" spans="2:5" ht="20" customHeight="1" x14ac:dyDescent="0.2">
      <c r="B413" s="23" t="s">
        <v>244</v>
      </c>
      <c r="C413" s="65" t="str">
        <f>IF(cluster_wld_domain_chosen&lt;&gt;"MGMT Workload Domain",CONCATENATE(prefix_wld_az1_rack_cidr,"67.101"),CONCATENATE(prefix_mgmt_az1_cidr,"67.101"))</f>
        <v>10.13.67.101</v>
      </c>
      <c r="D413" s="66"/>
      <c r="E413" s="121" t="s">
        <v>2330</v>
      </c>
    </row>
    <row r="414" spans="2:5" ht="20" customHeight="1" x14ac:dyDescent="0.2">
      <c r="B414" s="23" t="s">
        <v>245</v>
      </c>
      <c r="C414" s="65" t="str">
        <f>IF(cluster_wld_domain_chosen&lt;&gt;"MGMT Workload Domain",CONCATENATE(prefix_wld_az1_rack_cidr,"67.116"),CONCATENATE(prefix_mgmt_az1_cidr,"67.116"))</f>
        <v>10.13.67.116</v>
      </c>
      <c r="D414" s="66"/>
      <c r="E414" s="121" t="s">
        <v>2331</v>
      </c>
    </row>
    <row r="415" spans="2:5" ht="20" customHeight="1" x14ac:dyDescent="0.2">
      <c r="B415" s="521" t="s">
        <v>246</v>
      </c>
      <c r="C415" s="522"/>
      <c r="D415" s="522"/>
      <c r="E415" s="523"/>
    </row>
    <row r="416" spans="2:5" ht="20" customHeight="1" x14ac:dyDescent="0.2">
      <c r="B416" s="4" t="s">
        <v>85</v>
      </c>
      <c r="C416" s="65" t="str">
        <f>IF(cluster_wld_domain_chosen&lt;&gt;"MGMT Workload Domain",CONCATENATE(prefix_wld_az1_rack_vlan,"68"),CONCATENATE(prefix_mgmt_az1_vlan,"68"))</f>
        <v>1368</v>
      </c>
      <c r="D416" s="66"/>
      <c r="E416" s="42"/>
    </row>
    <row r="417" spans="2:5" ht="20" customHeight="1" x14ac:dyDescent="0.2">
      <c r="B417" s="4" t="s">
        <v>155</v>
      </c>
      <c r="C417" s="65">
        <v>9000</v>
      </c>
      <c r="D417" s="66"/>
      <c r="E417" s="42"/>
    </row>
    <row r="418" spans="2:5" ht="20" customHeight="1" x14ac:dyDescent="0.2">
      <c r="B418" s="4" t="s">
        <v>181</v>
      </c>
      <c r="C418" s="153" t="str">
        <f>IF(cluster_wld_domain_chosen&lt;&gt;"MGMT Workload Domain",CONCATENATE(prefix_wld_az1_rack_cidr,"68.0"),CONCATENATE(prefix_mgmt_az1_cidr,"68.0"))</f>
        <v>10.13.68.0</v>
      </c>
      <c r="D418" s="66"/>
      <c r="E418" s="80"/>
    </row>
    <row r="419" spans="2:5" ht="20" customHeight="1" x14ac:dyDescent="0.2">
      <c r="B419" s="4" t="s">
        <v>274</v>
      </c>
      <c r="C419" s="153" t="s">
        <v>126</v>
      </c>
      <c r="D419" s="66"/>
      <c r="E419" s="42"/>
    </row>
    <row r="420" spans="2:5" ht="20" customHeight="1" x14ac:dyDescent="0.2">
      <c r="B420" s="4" t="s">
        <v>180</v>
      </c>
      <c r="C420" s="65" t="str">
        <f>IF(cluster_wld_domain_chosen&lt;&gt;"MGMT Workload Domain",CONCATENATE(prefix_wld_az1_rack_cidr,"68.1"),CONCATENATE(prefix_mgmt_az1_cidr,"68.1"))</f>
        <v>10.13.68.1</v>
      </c>
      <c r="D420" s="66"/>
      <c r="E420" s="42" t="str">
        <f>IF(AND(mgmt_stretched_cluster_result="Included",mgmt_dpg_reuse_result="Excluded"),"Stretched L2","")</f>
        <v/>
      </c>
    </row>
    <row r="421" spans="2:5" ht="20" customHeight="1" x14ac:dyDescent="0.2">
      <c r="B421" s="23" t="s">
        <v>244</v>
      </c>
      <c r="C421" s="65" t="str">
        <f>IF(cluster_wld_domain_chosen&lt;&gt;"MGMT Workload Domain",CONCATENATE(prefix_wld_az1_rack_cidr,"68.101"),CONCATENATE(prefix_mgmt_az1_cidr,"68.101"))</f>
        <v>10.13.68.101</v>
      </c>
      <c r="D421" s="66"/>
      <c r="E421" s="121" t="s">
        <v>2332</v>
      </c>
    </row>
    <row r="422" spans="2:5" ht="20" customHeight="1" x14ac:dyDescent="0.2">
      <c r="B422" s="23" t="s">
        <v>245</v>
      </c>
      <c r="C422" s="65" t="str">
        <f>IF(cluster_wld_domain_chosen&lt;&gt;"MGMT Workload Domain",CONCATENATE(prefix_wld_az1_rack_cidr,"68.116"),CONCATENATE(prefix_mgmt_az1_cidr,"68.116"))</f>
        <v>10.13.68.116</v>
      </c>
      <c r="D422" s="66"/>
      <c r="E422" s="121" t="s">
        <v>2333</v>
      </c>
    </row>
    <row r="423" spans="2:5" ht="16" customHeight="1" x14ac:dyDescent="0.2">
      <c r="B423" s="9"/>
      <c r="C423" s="9"/>
      <c r="D423" s="9"/>
      <c r="E423" s="9"/>
    </row>
    <row r="424" spans="2:5" ht="34" customHeight="1" x14ac:dyDescent="0.2">
      <c r="B424" s="559" t="s">
        <v>2362</v>
      </c>
      <c r="C424" s="560"/>
      <c r="D424" s="560"/>
      <c r="E424" s="561"/>
    </row>
    <row r="425" spans="2:5" ht="20" customHeight="1" x14ac:dyDescent="0.2">
      <c r="B425" s="62" t="s">
        <v>250</v>
      </c>
      <c r="C425" s="62" t="s">
        <v>251</v>
      </c>
      <c r="D425" s="160" t="s">
        <v>20</v>
      </c>
      <c r="E425" s="62" t="s">
        <v>252</v>
      </c>
    </row>
    <row r="426" spans="2:5" ht="20" customHeight="1" x14ac:dyDescent="0.2">
      <c r="B426" s="23" t="s">
        <v>204</v>
      </c>
      <c r="C426" s="153" t="str">
        <f>IF(cluster_wld_domain_chosen&lt;&gt;"MGMT Workload Domain",CONCATENATE(this_instance,"01-w0",wld_domain_number_chosen,"-r06-esx01",".",sample_child_dns_zone),CONCATENATE(this_instance,"01-m01-r06-esx01",".",sample_child_dns_zone))</f>
        <v>sfo01-w01-r06-esx01.sfo.rainpole.io</v>
      </c>
      <c r="D426" s="66"/>
      <c r="E426" s="42"/>
    </row>
    <row r="427" spans="2:5" ht="20" customHeight="1" x14ac:dyDescent="0.2">
      <c r="B427" s="23" t="s">
        <v>206</v>
      </c>
      <c r="C427" s="153" t="str">
        <f>IF(cluster_wld_domain_chosen&lt;&gt;"MGMT Workload Domain",CONCATENATE(this_instance,"01-w0",wld_domain_number_chosen,"-r06-esx02",".",sample_child_dns_zone),CONCATENATE(this_instance,"01-m01-r06-esx02",".",sample_child_dns_zone))</f>
        <v>sfo01-w01-r06-esx02.sfo.rainpole.io</v>
      </c>
      <c r="D427" s="66"/>
      <c r="E427" s="42"/>
    </row>
    <row r="428" spans="2:5" ht="20" customHeight="1" x14ac:dyDescent="0.2">
      <c r="B428" s="23" t="s">
        <v>208</v>
      </c>
      <c r="C428" s="153" t="str">
        <f>IF(cluster_wld_domain_chosen&lt;&gt;"MGMT Workload Domain",CONCATENATE(this_instance,"01-w0",wld_domain_number_chosen,"-r06-esx03",".",sample_child_dns_zone),CONCATENATE(this_instance,"01-m01-r06-esx03",".",sample_child_dns_zone))</f>
        <v>sfo01-w01-r06-esx03.sfo.rainpole.io</v>
      </c>
      <c r="D428" s="66"/>
      <c r="E428" s="42"/>
    </row>
    <row r="429" spans="2:5" ht="20" customHeight="1" x14ac:dyDescent="0.2">
      <c r="B429" s="23" t="s">
        <v>210</v>
      </c>
      <c r="C429" s="153" t="str">
        <f>IF(cluster_wld_domain_chosen&lt;&gt;"MGMT Workload Domain",CONCATENATE(this_instance,"01-w0",wld_domain_number_chosen,"-r06-esx04",".",sample_child_dns_zone),CONCATENATE(this_instance,"01-m01-r06-esx04",".",sample_child_dns_zone))</f>
        <v>sfo01-w01-r06-esx04.sfo.rainpole.io</v>
      </c>
      <c r="D429" s="66"/>
      <c r="E429" s="42"/>
    </row>
    <row r="430" spans="2:5" ht="20" customHeight="1" x14ac:dyDescent="0.2">
      <c r="B430" s="23" t="s">
        <v>212</v>
      </c>
      <c r="C430" s="153" t="str">
        <f>IF(cluster_wld_domain_chosen&lt;&gt;"MGMT Workload Domain",CONCATENATE(this_instance,"01-w0",wld_domain_number_chosen,"-r06-esx05",".",sample_child_dns_zone),CONCATENATE(this_instance,"01-m01-r06-esx05",".",sample_child_dns_zone))</f>
        <v>sfo01-w01-r06-esx05.sfo.rainpole.io</v>
      </c>
      <c r="D430" s="66"/>
      <c r="E430" s="42"/>
    </row>
    <row r="431" spans="2:5" ht="20" customHeight="1" x14ac:dyDescent="0.2">
      <c r="B431" s="23" t="s">
        <v>214</v>
      </c>
      <c r="C431" s="153" t="str">
        <f>IF(cluster_wld_domain_chosen&lt;&gt;"MGMT Workload Domain",CONCATENATE(this_instance,"01-w0",wld_domain_number_chosen,"-r06-esx06",".",sample_child_dns_zone),CONCATENATE(this_instance,"01-m01-r06-esx06",".",sample_child_dns_zone))</f>
        <v>sfo01-w01-r06-esx06.sfo.rainpole.io</v>
      </c>
      <c r="D431" s="66"/>
      <c r="E431" s="42"/>
    </row>
    <row r="432" spans="2:5" ht="20" customHeight="1" x14ac:dyDescent="0.2">
      <c r="B432" s="23" t="s">
        <v>216</v>
      </c>
      <c r="C432" s="153" t="str">
        <f>IF(cluster_wld_domain_chosen&lt;&gt;"MGMT Workload Domain",CONCATENATE(this_instance,"01-w0",wld_domain_number_chosen,"-r06-esx07",".",sample_child_dns_zone),CONCATENATE(this_instance,"01-m01-r06-esx07",".",sample_child_dns_zone))</f>
        <v>sfo01-w01-r06-esx07.sfo.rainpole.io</v>
      </c>
      <c r="D432" s="66"/>
      <c r="E432" s="42"/>
    </row>
    <row r="433" spans="2:5" ht="20" customHeight="1" x14ac:dyDescent="0.2">
      <c r="B433" s="23" t="s">
        <v>218</v>
      </c>
      <c r="C433" s="153" t="str">
        <f>IF(cluster_wld_domain_chosen&lt;&gt;"MGMT Workload Domain",CONCATENATE(this_instance,"01-w0",wld_domain_number_chosen,"-r06-esx08",".",sample_child_dns_zone),CONCATENATE(this_instance,"01-m01-r06-esx08",".",sample_child_dns_zone))</f>
        <v>sfo01-w01-r06-esx08.sfo.rainpole.io</v>
      </c>
      <c r="D433" s="66"/>
      <c r="E433" s="42"/>
    </row>
    <row r="434" spans="2:5" ht="20" customHeight="1" x14ac:dyDescent="0.2">
      <c r="B434" s="23" t="s">
        <v>220</v>
      </c>
      <c r="C434" s="153" t="str">
        <f>IF(cluster_wld_domain_chosen&lt;&gt;"MGMT Workload Domain",CONCATENATE(this_instance,"01-w0",wld_domain_number_chosen,"-r06-esx09",".",sample_child_dns_zone),CONCATENATE(this_instance,"01-m01-r06-esx09",".",sample_child_dns_zone))</f>
        <v>sfo01-w01-r06-esx09.sfo.rainpole.io</v>
      </c>
      <c r="D434" s="66"/>
      <c r="E434" s="42"/>
    </row>
    <row r="435" spans="2:5" ht="20" customHeight="1" x14ac:dyDescent="0.2">
      <c r="B435" s="23" t="s">
        <v>222</v>
      </c>
      <c r="C435" s="153" t="str">
        <f>IF(cluster_wld_domain_chosen&lt;&gt;"MGMT Workload Domain",CONCATENATE(this_instance,"01-w0",wld_domain_number_chosen,"-r06-esx10",".",sample_child_dns_zone),CONCATENATE(this_instance,"01-m01-r06-esx10",".",sample_child_dns_zone))</f>
        <v>sfo01-w01-r06-esx10.sfo.rainpole.io</v>
      </c>
      <c r="D435" s="66"/>
      <c r="E435" s="42"/>
    </row>
    <row r="436" spans="2:5" ht="20" customHeight="1" x14ac:dyDescent="0.2">
      <c r="B436" s="23" t="s">
        <v>224</v>
      </c>
      <c r="C436" s="153" t="str">
        <f>IF(cluster_wld_domain_chosen&lt;&gt;"MGMT Workload Domain",CONCATENATE(this_instance,"01-w0",wld_domain_number_chosen,"-r06-esx11",".",sample_child_dns_zone),CONCATENATE(this_instance,"01-m01-r06-esx11",".",sample_child_dns_zone))</f>
        <v>sfo01-w01-r06-esx11.sfo.rainpole.io</v>
      </c>
      <c r="D436" s="66"/>
      <c r="E436" s="42"/>
    </row>
    <row r="437" spans="2:5" ht="20" customHeight="1" x14ac:dyDescent="0.2">
      <c r="B437" s="23" t="s">
        <v>226</v>
      </c>
      <c r="C437" s="153" t="str">
        <f>IF(cluster_wld_domain_chosen&lt;&gt;"MGMT Workload Domain",CONCATENATE(this_instance,"01-w0",wld_domain_number_chosen,"-r06-esx12",".",sample_child_dns_zone),CONCATENATE(this_instance,"01-m01-r06-esx12",".",sample_child_dns_zone))</f>
        <v>sfo01-w01-r06-esx12.sfo.rainpole.io</v>
      </c>
      <c r="D437" s="66"/>
      <c r="E437" s="42"/>
    </row>
    <row r="438" spans="2:5" ht="20" customHeight="1" x14ac:dyDescent="0.2">
      <c r="B438" s="23" t="s">
        <v>228</v>
      </c>
      <c r="C438" s="153" t="str">
        <f>IF(cluster_wld_domain_chosen&lt;&gt;"MGMT Workload Domain",CONCATENATE(this_instance,"01-w0",wld_domain_number_chosen,"-r06-esx13",".",sample_child_dns_zone),CONCATENATE(this_instance,"01-m01-r06-esx13",".",sample_child_dns_zone))</f>
        <v>sfo01-w01-r06-esx13.sfo.rainpole.io</v>
      </c>
      <c r="D438" s="66"/>
      <c r="E438" s="42"/>
    </row>
    <row r="439" spans="2:5" ht="20" customHeight="1" x14ac:dyDescent="0.2">
      <c r="B439" s="23" t="s">
        <v>230</v>
      </c>
      <c r="C439" s="153" t="str">
        <f>IF(cluster_wld_domain_chosen&lt;&gt;"MGMT Workload Domain",CONCATENATE(this_instance,"01-w0",wld_domain_number_chosen,"-r06-esx14",".",sample_child_dns_zone),CONCATENATE(this_instance,"01-m01-r06-esx14",".",sample_child_dns_zone))</f>
        <v>sfo01-w01-r06-esx14.sfo.rainpole.io</v>
      </c>
      <c r="D439" s="66"/>
      <c r="E439" s="42"/>
    </row>
    <row r="440" spans="2:5" ht="20" customHeight="1" x14ac:dyDescent="0.2">
      <c r="B440" s="23" t="s">
        <v>232</v>
      </c>
      <c r="C440" s="153" t="str">
        <f>IF(cluster_wld_domain_chosen&lt;&gt;"MGMT Workload Domain",CONCATENATE(this_instance,"01-w0",wld_domain_number_chosen,"-r06-esx14",".",sample_child_dns_zone),CONCATENATE(this_instance,"01-m01-r06-esx15",".",sample_child_dns_zone))</f>
        <v>sfo01-w01-r06-esx14.sfo.rainpole.io</v>
      </c>
      <c r="D440" s="66"/>
      <c r="E440" s="42"/>
    </row>
    <row r="441" spans="2:5" ht="20" customHeight="1" x14ac:dyDescent="0.2">
      <c r="B441" s="23" t="s">
        <v>234</v>
      </c>
      <c r="C441" s="153" t="str">
        <f>IF(cluster_wld_domain_chosen&lt;&gt;"MGMT Workload Domain",CONCATENATE(this_instance,"01-w0",wld_domain_number_chosen,"-r06-esx16",".",sample_child_dns_zone),CONCATENATE(this_instance,"01-m01-r06-esx16",".",sample_child_dns_zone))</f>
        <v>sfo01-w01-r06-esx16.sfo.rainpole.io</v>
      </c>
      <c r="D441" s="66"/>
      <c r="E441" s="42"/>
    </row>
    <row r="442" spans="2:5" ht="20" customHeight="1" x14ac:dyDescent="0.2">
      <c r="B442" s="23" t="s">
        <v>253</v>
      </c>
      <c r="C442" s="153" t="s">
        <v>647</v>
      </c>
      <c r="D442" s="8" t="s">
        <v>254</v>
      </c>
      <c r="E442" s="42"/>
    </row>
    <row r="443" spans="2:5" ht="20" customHeight="1" x14ac:dyDescent="0.2">
      <c r="B443" s="23" t="s">
        <v>255</v>
      </c>
      <c r="C443" s="153" t="s">
        <v>256</v>
      </c>
      <c r="D443"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443" s="4"/>
    </row>
    <row r="444" spans="2:5" ht="20" customHeight="1" x14ac:dyDescent="0.2">
      <c r="B444" s="23" t="s">
        <v>257</v>
      </c>
      <c r="C444" s="153" t="s">
        <v>154</v>
      </c>
      <c r="D444" s="8" t="str">
        <f>IF(AND(vcf_granular_option_chosen="Create Cluster",cluster_principal_storage_chosen="vSAN-ESA"),"Selected",
IF(AND(vcf_granular_option_chosen="Create Workload Domain",wld_principal_storage_chosen="vSAN-ESA"),"Selected","Unselected"))</f>
        <v>Unselected</v>
      </c>
      <c r="E444" s="42"/>
    </row>
    <row r="445" spans="2:5" ht="20" customHeight="1" x14ac:dyDescent="0.2">
      <c r="B445" s="23" t="s">
        <v>239</v>
      </c>
      <c r="C445" s="153" t="str">
        <f>sample_wld_az1_rack6_pool_name</f>
        <v>sfo01-w01-r06-network-pool-01</v>
      </c>
      <c r="D445" s="8" t="str">
        <f>wld_az1_rack6_pool_name</f>
        <v>Value Missing</v>
      </c>
      <c r="E445" s="42"/>
    </row>
    <row r="446" spans="2:5" ht="20" customHeight="1" x14ac:dyDescent="0.2">
      <c r="B446" s="23" t="s">
        <v>47</v>
      </c>
      <c r="C446" s="153" t="s">
        <v>258</v>
      </c>
      <c r="D446"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446" s="42"/>
    </row>
    <row r="447" spans="2:5" ht="20" customHeight="1" x14ac:dyDescent="0.2">
      <c r="B447" s="23" t="s">
        <v>30</v>
      </c>
      <c r="C447" s="153" t="s">
        <v>31</v>
      </c>
      <c r="D447"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447" s="42"/>
    </row>
    <row r="448" spans="2:5" ht="16" customHeight="1" x14ac:dyDescent="0.2"/>
    <row r="449" spans="2:5" ht="34" customHeight="1" x14ac:dyDescent="0.2">
      <c r="B449" s="559" t="s">
        <v>2363</v>
      </c>
      <c r="C449" s="560"/>
      <c r="D449" s="560"/>
      <c r="E449" s="561"/>
    </row>
    <row r="450" spans="2:5" ht="20" customHeight="1" x14ac:dyDescent="0.2">
      <c r="B450" s="4" t="s">
        <v>325</v>
      </c>
      <c r="C450" s="109" t="str">
        <f>IF(vcf_granular_option_chosen="Create Cluster",CONCATENATE(this_instance,"01-",sample_cluster_name,"-r06-network-profile"),
IF(cluster_wld_domain_chosen="Workload Domain",CONCATENATE(this_instance,"01-",sample_wld_cl01_cluster,"-r06-network-profile"),
CONCATENATE(this_instance,"01-",sample_mgmt_cl01_cluster,"-r06-network-profile")))</f>
        <v>sfo01-sfo-w01-cl01-r06-network-profile</v>
      </c>
      <c r="D450" s="66"/>
      <c r="E450" s="103"/>
    </row>
    <row r="451" spans="2:5" ht="20" customHeight="1" x14ac:dyDescent="0.2">
      <c r="B451" s="4" t="s">
        <v>2336</v>
      </c>
      <c r="C451" s="65" t="s">
        <v>327</v>
      </c>
      <c r="D451" s="154" t="s">
        <v>327</v>
      </c>
      <c r="E451" s="4" t="str">
        <f>IF(wld_az1_rack6_host_overlay_new_pool_chosen="Re-use an existing Pool","An exisitng Pool will be reused for Host TEP assignment","A new Pool will be created for Host TEP assignment")</f>
        <v>A new Pool will be created for Host TEP assignment</v>
      </c>
    </row>
    <row r="452" spans="2:5" ht="20" customHeight="1" x14ac:dyDescent="0.2">
      <c r="B452" s="4" t="s">
        <v>328</v>
      </c>
      <c r="C452" s="109" t="str">
        <f>IF(cluster_wld_domain_chosen="Workload Domain",CONCATENATE(this_instance,"01-w0",wld_domain_number_chosen,"-r06-ip-pool01-host"),CONCATENATE(this_instance,"01-m01","-r06-ip-pool01-host"))</f>
        <v>sfo01-w01-r06-ip-pool01-host</v>
      </c>
      <c r="D452" s="66"/>
      <c r="E452" s="103"/>
    </row>
    <row r="453" spans="2:5" ht="20" customHeight="1" x14ac:dyDescent="0.2">
      <c r="B453" s="4" t="s">
        <v>329</v>
      </c>
      <c r="C453" s="109" t="str">
        <f>IF(cluster_wld_domain_chosen="Workload Domain",CONCATENATE(this_instance,"01-w0",wld_domain_number_chosen,"-r06-uplink-profile01"),CONCATENATE(this_instance,"01-m01","-r06-uplink-profile01"))</f>
        <v>sfo01-w01-r06-uplink-profile01</v>
      </c>
      <c r="D453" s="66"/>
      <c r="E453" s="103"/>
    </row>
    <row r="454" spans="2:5" ht="20" customHeight="1" x14ac:dyDescent="0.2">
      <c r="B454" s="4" t="s">
        <v>2337</v>
      </c>
      <c r="C454" s="109" t="str">
        <f>IF(cluster_wld_domain_chosen="Workload Domain",CONCATENATE(this_instance,"01-w0",wld_domain_number_chosen,"-r06-ip-pool02-edge"),CONCATENATE(this_instance,"01-m01","-r06-ip-pool02-edge"))</f>
        <v>sfo01-w01-r06-ip-pool02-edge</v>
      </c>
      <c r="D454" s="66"/>
      <c r="E454" s="103"/>
    </row>
    <row r="455" spans="2:5" ht="20" customHeight="1" x14ac:dyDescent="0.2">
      <c r="B455" s="4" t="s">
        <v>2338</v>
      </c>
      <c r="C455" s="109" t="str">
        <f>IF(cluster_wld_domain_chosen="Workload Domain",CONCATENATE(this_instance,"01-w0",wld_domain_number_chosen,"-r06-ip-pool03-rtep"),CONCATENATE(this_instance,"01-m01","-r06-ip-pool03-rtep"))</f>
        <v>sfo01-w01-r06-ip-pool03-rtep</v>
      </c>
      <c r="D455" s="66"/>
      <c r="E455" s="103"/>
    </row>
    <row r="456" spans="2:5" ht="20" customHeight="1" x14ac:dyDescent="0.2">
      <c r="B456" s="546" t="s">
        <v>708</v>
      </c>
      <c r="C456" s="547"/>
      <c r="D456" s="547"/>
      <c r="E456" s="548"/>
    </row>
    <row r="457" spans="2:5" ht="20" customHeight="1" x14ac:dyDescent="0.2">
      <c r="B457" s="241" t="s">
        <v>250</v>
      </c>
      <c r="C457" s="241" t="s">
        <v>251</v>
      </c>
      <c r="D457" s="247" t="s">
        <v>20</v>
      </c>
      <c r="E457" s="241" t="s">
        <v>21</v>
      </c>
    </row>
    <row r="458" spans="2:5" ht="20" customHeight="1" x14ac:dyDescent="0.2">
      <c r="B458" s="4" t="s">
        <v>1198</v>
      </c>
      <c r="C458" s="103" t="str">
        <f>IF(cluster_wld_domain_chosen&lt;&gt;"MGMT Workload Domain",CONCATENATE(this_instance,"-w0",wld_domain_number_chosen,"-r06","-vsan-fault-domain"),CONCATENATE(this_instance,"-m01","-r06","-vsan-fault-domain"))</f>
        <v>sfo-w01-r06-vsan-fault-domain</v>
      </c>
      <c r="D458" s="66"/>
      <c r="E458" s="8"/>
    </row>
    <row r="459" spans="2:5" ht="16" customHeight="1" x14ac:dyDescent="0.2"/>
    <row r="460" spans="2:5" ht="34" customHeight="1" x14ac:dyDescent="0.2">
      <c r="B460" s="559" t="s">
        <v>2364</v>
      </c>
      <c r="C460" s="560"/>
      <c r="D460" s="560"/>
      <c r="E460" s="561"/>
    </row>
    <row r="461" spans="2:5" ht="20" customHeight="1" x14ac:dyDescent="0.2">
      <c r="B461" s="62" t="s">
        <v>250</v>
      </c>
      <c r="C461" s="62" t="s">
        <v>251</v>
      </c>
      <c r="D461" s="160" t="s">
        <v>20</v>
      </c>
      <c r="E461" s="62" t="s">
        <v>21</v>
      </c>
    </row>
    <row r="462" spans="2:5" ht="20" customHeight="1" x14ac:dyDescent="0.2">
      <c r="B462" s="521" t="s">
        <v>794</v>
      </c>
      <c r="C462" s="522"/>
      <c r="D462" s="522"/>
      <c r="E462" s="523"/>
    </row>
    <row r="463" spans="2:5" ht="20" customHeight="1" x14ac:dyDescent="0.2">
      <c r="B463" s="4" t="s">
        <v>85</v>
      </c>
      <c r="C463" s="65" t="str">
        <f>IF(cluster_wld_domain_chosen&lt;&gt;"MGMT Workload Domain",CONCATENATE(prefix_wld_az1_rack_vlan,"69"),CONCATENATE(prefix_mgmt_az1_vlan,"69"))</f>
        <v>1369</v>
      </c>
      <c r="D463" s="66"/>
      <c r="E463" s="113"/>
    </row>
    <row r="464" spans="2:5" ht="20" customHeight="1" x14ac:dyDescent="0.2">
      <c r="B464" s="4" t="s">
        <v>155</v>
      </c>
      <c r="C464" s="65">
        <v>9000</v>
      </c>
      <c r="D464" s="66"/>
      <c r="E464" s="42"/>
    </row>
    <row r="465" spans="2:5" ht="20" customHeight="1" x14ac:dyDescent="0.2">
      <c r="B465" s="4" t="s">
        <v>181</v>
      </c>
      <c r="C465" s="65" t="str">
        <f>IF(cluster_wld_domain_chosen&lt;&gt;"MGMT Workload Domain",CONCATENATE(prefix_wld_az1_rack_cidr,"69.0"),CONCATENATE(prefix_mgmt_az1_cidr,"69.0"))</f>
        <v>10.13.69.0</v>
      </c>
      <c r="D465" s="66"/>
      <c r="E465" s="42"/>
    </row>
    <row r="466" spans="2:5" ht="20" customHeight="1" x14ac:dyDescent="0.2">
      <c r="B466" s="4" t="s">
        <v>274</v>
      </c>
      <c r="C466" s="65" t="s">
        <v>126</v>
      </c>
      <c r="D466" s="66"/>
      <c r="E466" s="42"/>
    </row>
    <row r="467" spans="2:5" ht="20" customHeight="1" x14ac:dyDescent="0.2">
      <c r="B467" s="4" t="s">
        <v>180</v>
      </c>
      <c r="C467" s="65" t="str">
        <f>IF(cluster_wld_domain_chosen&lt;&gt;"MGMT Workload Domain",CONCATENATE(prefix_wld_az1_rack_cidr,"69.1"),CONCATENATE(prefix_mgmt_az1_cidr,"69.1"))</f>
        <v>10.13.69.1</v>
      </c>
      <c r="D467" s="66"/>
      <c r="E467" s="42"/>
    </row>
    <row r="468" spans="2:5" ht="20" customHeight="1" x14ac:dyDescent="0.2">
      <c r="B468" s="23" t="s">
        <v>244</v>
      </c>
      <c r="C468" s="65" t="str">
        <f>IF(cluster_wld_domain_chosen&lt;&gt;"MGMT Workload Domain",CONCATENATE(prefix_wld_az1_rack_cidr,"69.101"),CONCATENATE(prefix_mgmt_az1_cidr,"69.101"))</f>
        <v>10.13.69.101</v>
      </c>
      <c r="D468" s="66"/>
      <c r="E468" s="121" t="s">
        <v>2340</v>
      </c>
    </row>
    <row r="469" spans="2:5" ht="20" customHeight="1" x14ac:dyDescent="0.2">
      <c r="B469" s="23" t="s">
        <v>245</v>
      </c>
      <c r="C469" s="65" t="str">
        <f>IF(cluster_wld_domain_chosen&lt;&gt;"MGMT Workload Domain",CONCATENATE(prefix_wld_az1_rack_cidr,"69.116"),CONCATENATE(prefix_mgmt_az1_cidr,"69.116"))</f>
        <v>10.13.69.116</v>
      </c>
      <c r="D469" s="66"/>
      <c r="E469" s="121" t="s">
        <v>2341</v>
      </c>
    </row>
    <row r="470" spans="2:5" ht="16" customHeight="1" x14ac:dyDescent="0.2"/>
    <row r="471" spans="2:5" ht="34" customHeight="1" x14ac:dyDescent="0.2">
      <c r="B471" s="559" t="s">
        <v>2365</v>
      </c>
      <c r="C471" s="560"/>
      <c r="D471" s="560"/>
      <c r="E471" s="561"/>
    </row>
    <row r="472" spans="2:5" ht="20" customHeight="1" x14ac:dyDescent="0.2">
      <c r="B472" s="62" t="s">
        <v>250</v>
      </c>
      <c r="C472" s="62" t="s">
        <v>251</v>
      </c>
      <c r="D472" s="160" t="s">
        <v>20</v>
      </c>
      <c r="E472" s="62" t="s">
        <v>21</v>
      </c>
    </row>
    <row r="473" spans="2:5" ht="20" customHeight="1" x14ac:dyDescent="0.2">
      <c r="B473" s="521" t="s">
        <v>202</v>
      </c>
      <c r="C473" s="522"/>
      <c r="D473" s="522"/>
      <c r="E473" s="523"/>
    </row>
    <row r="474" spans="2:5" ht="20" customHeight="1" x14ac:dyDescent="0.2">
      <c r="B474" s="4" t="s">
        <v>85</v>
      </c>
      <c r="C474" s="65" t="str">
        <f>IF(cluster_wld_domain_chosen&lt;&gt;"MGMT Workload Domain",CONCATENATE(prefix_wld_az1_rack_vlan,"77"),CONCATENATE(prefix_mgmt_az1_vlan,"77"))</f>
        <v>1377</v>
      </c>
      <c r="D474" s="66"/>
      <c r="E474" s="113"/>
    </row>
    <row r="475" spans="2:5" ht="20" customHeight="1" x14ac:dyDescent="0.2">
      <c r="B475" s="4" t="s">
        <v>180</v>
      </c>
      <c r="C475" s="65" t="str">
        <f>IF(cluster_wld_domain_chosen&lt;&gt;"MGMT Workload Domain",CONCATENATE(prefix_wld_az1_rack_cidr,"77.1"),CONCATENATE(prefix_mgmt_az1_cidr,"77.1"))</f>
        <v>10.13.77.1</v>
      </c>
      <c r="D475" s="66"/>
      <c r="E475" s="42"/>
    </row>
    <row r="476" spans="2:5" ht="20" customHeight="1" x14ac:dyDescent="0.2">
      <c r="B476" s="4" t="s">
        <v>181</v>
      </c>
      <c r="C476" s="65" t="str">
        <f>IF(cluster_wld_domain_chosen&lt;&gt;"MGMT Workload Domain",CONCATENATE(prefix_wld_az1_rack_cidr,"77.0/24"),CONCATENATE(prefix_mgmt_az1_cidr,"77.0/24"))</f>
        <v>10.13.77.0/24</v>
      </c>
      <c r="D476" s="66"/>
      <c r="E476" s="42"/>
    </row>
    <row r="477" spans="2:5" ht="20" customHeight="1" x14ac:dyDescent="0.2">
      <c r="B477" s="4" t="s">
        <v>155</v>
      </c>
      <c r="C477" s="65">
        <v>1500</v>
      </c>
      <c r="D477" s="66"/>
      <c r="E477" s="42"/>
    </row>
    <row r="478" spans="2:5" ht="20" customHeight="1" x14ac:dyDescent="0.2">
      <c r="B478" s="546" t="s">
        <v>203</v>
      </c>
      <c r="C478" s="547"/>
      <c r="D478" s="547"/>
      <c r="E478" s="548"/>
    </row>
    <row r="479" spans="2:5" ht="20" customHeight="1" x14ac:dyDescent="0.2">
      <c r="B479" s="23" t="s">
        <v>204</v>
      </c>
      <c r="C479" s="153" t="str">
        <f>IF(cluster_wld_domain_chosen&lt;&gt;"MGMT Workload Domain",CONCATENATE(prefix_wld_az1_rack_cidr,"77.101"),CONCATENATE(prefix_mgmt_az1_cidr,"77.101"))</f>
        <v>10.13.77.101</v>
      </c>
      <c r="D479" s="66"/>
      <c r="E479" s="121" t="s">
        <v>205</v>
      </c>
    </row>
    <row r="480" spans="2:5" ht="20" customHeight="1" x14ac:dyDescent="0.2">
      <c r="B480" s="23" t="s">
        <v>206</v>
      </c>
      <c r="C480" s="153" t="str">
        <f>IF(cluster_wld_domain_chosen&lt;&gt;"MGMT Workload Domain",CONCATENATE(prefix_wld_az1_rack_cidr,"77.102"),CONCATENATE(prefix_mgmt_az1_cidr,"77.102"))</f>
        <v>10.13.77.102</v>
      </c>
      <c r="D480" s="66"/>
      <c r="E480" s="121" t="s">
        <v>207</v>
      </c>
    </row>
    <row r="481" spans="2:5" ht="20" customHeight="1" x14ac:dyDescent="0.2">
      <c r="B481" s="23" t="s">
        <v>208</v>
      </c>
      <c r="C481" s="153" t="str">
        <f>IF(cluster_wld_domain_chosen&lt;&gt;"MGMT Workload Domain",CONCATENATE(prefix_wld_az1_rack_cidr,"77.103"),CONCATENATE(prefix_mgmt_az1_cidr,"77.103"))</f>
        <v>10.13.77.103</v>
      </c>
      <c r="D481" s="66"/>
      <c r="E481" s="121" t="s">
        <v>209</v>
      </c>
    </row>
    <row r="482" spans="2:5" ht="20" customHeight="1" x14ac:dyDescent="0.2">
      <c r="B482" s="23" t="s">
        <v>210</v>
      </c>
      <c r="C482" s="153" t="str">
        <f>IF(cluster_wld_domain_chosen&lt;&gt;"MGMT Workload Domain",CONCATENATE(prefix_wld_az1_rack_cidr,"77.104"),CONCATENATE(prefix_mgmt_az1_cidr,"77.104"))</f>
        <v>10.13.77.104</v>
      </c>
      <c r="D482" s="66"/>
      <c r="E482" s="121" t="s">
        <v>211</v>
      </c>
    </row>
    <row r="483" spans="2:5" ht="20" customHeight="1" x14ac:dyDescent="0.2">
      <c r="B483" s="23" t="s">
        <v>212</v>
      </c>
      <c r="C483" s="153" t="str">
        <f>IF(cluster_wld_domain_chosen&lt;&gt;"MGMT Workload Domain",CONCATENATE(prefix_wld_az1_rack_cidr,"77.105"),CONCATENATE(prefix_mgmt_az1_cidr,"77.105"))</f>
        <v>10.13.77.105</v>
      </c>
      <c r="D483" s="66"/>
      <c r="E483" s="121" t="s">
        <v>213</v>
      </c>
    </row>
    <row r="484" spans="2:5" ht="20" customHeight="1" x14ac:dyDescent="0.2">
      <c r="B484" s="23" t="s">
        <v>214</v>
      </c>
      <c r="C484" s="153" t="str">
        <f>IF(cluster_wld_domain_chosen&lt;&gt;"MGMT Workload Domain",CONCATENATE(prefix_wld_az1_rack_cidr,"77.106"),CONCATENATE(prefix_mgmt_az1_cidr,"77.106"))</f>
        <v>10.13.77.106</v>
      </c>
      <c r="D484" s="66"/>
      <c r="E484" s="121" t="s">
        <v>215</v>
      </c>
    </row>
    <row r="485" spans="2:5" ht="20" customHeight="1" x14ac:dyDescent="0.2">
      <c r="B485" s="23" t="s">
        <v>216</v>
      </c>
      <c r="C485" s="153" t="str">
        <f>IF(cluster_wld_domain_chosen&lt;&gt;"MGMT Workload Domain",CONCATENATE(prefix_wld_az1_rack_cidr,"77.107"),CONCATENATE(prefix_mgmt_az1_cidr,"77.107"))</f>
        <v>10.13.77.107</v>
      </c>
      <c r="D485" s="66"/>
      <c r="E485" s="121" t="s">
        <v>217</v>
      </c>
    </row>
    <row r="486" spans="2:5" ht="20" customHeight="1" x14ac:dyDescent="0.2">
      <c r="B486" s="23" t="s">
        <v>218</v>
      </c>
      <c r="C486" s="153" t="str">
        <f>IF(cluster_wld_domain_chosen&lt;&gt;"MGMT Workload Domain",CONCATENATE(prefix_wld_az1_rack_cidr,"77.108"),CONCATENATE(prefix_mgmt_az1_cidr,"77.108"))</f>
        <v>10.13.77.108</v>
      </c>
      <c r="D486" s="66"/>
      <c r="E486" s="121" t="s">
        <v>219</v>
      </c>
    </row>
    <row r="487" spans="2:5" ht="20" customHeight="1" x14ac:dyDescent="0.2">
      <c r="B487" s="23" t="s">
        <v>220</v>
      </c>
      <c r="C487" s="153" t="str">
        <f>IF(cluster_wld_domain_chosen&lt;&gt;"MGMT Workload Domain",CONCATENATE(prefix_wld_az1_rack_cidr,"77.109"),CONCATENATE(prefix_mgmt_az1_cidr,"77.109"))</f>
        <v>10.13.77.109</v>
      </c>
      <c r="D487" s="66"/>
      <c r="E487" s="121" t="s">
        <v>221</v>
      </c>
    </row>
    <row r="488" spans="2:5" ht="20" customHeight="1" x14ac:dyDescent="0.2">
      <c r="B488" s="23" t="s">
        <v>222</v>
      </c>
      <c r="C488" s="153" t="str">
        <f>IF(cluster_wld_domain_chosen&lt;&gt;"MGMT Workload Domain",CONCATENATE(prefix_wld_az1_rack_cidr,"77.110"),CONCATENATE(prefix_mgmt_az1_cidr,"77.110"))</f>
        <v>10.13.77.110</v>
      </c>
      <c r="D488" s="66"/>
      <c r="E488" s="121" t="s">
        <v>223</v>
      </c>
    </row>
    <row r="489" spans="2:5" ht="20" customHeight="1" x14ac:dyDescent="0.2">
      <c r="B489" s="23" t="s">
        <v>224</v>
      </c>
      <c r="C489" s="153" t="str">
        <f>IF(cluster_wld_domain_chosen&lt;&gt;"MGMT Workload Domain",CONCATENATE(prefix_wld_az1_rack_cidr,"77.111"),CONCATENATE(prefix_mgmt_az1_cidr,"77.111"))</f>
        <v>10.13.77.111</v>
      </c>
      <c r="D489" s="66"/>
      <c r="E489" s="121" t="s">
        <v>225</v>
      </c>
    </row>
    <row r="490" spans="2:5" ht="20" customHeight="1" x14ac:dyDescent="0.2">
      <c r="B490" s="23" t="s">
        <v>226</v>
      </c>
      <c r="C490" s="153" t="str">
        <f>IF(cluster_wld_domain_chosen&lt;&gt;"MGMT Workload Domain",CONCATENATE(prefix_wld_az1_rack_cidr,"77.112"),CONCATENATE(prefix_mgmt_az1_cidr,"77.112"))</f>
        <v>10.13.77.112</v>
      </c>
      <c r="D490" s="66"/>
      <c r="E490" s="121" t="s">
        <v>227</v>
      </c>
    </row>
    <row r="491" spans="2:5" ht="20" customHeight="1" x14ac:dyDescent="0.2">
      <c r="B491" s="23" t="s">
        <v>228</v>
      </c>
      <c r="C491" s="153" t="str">
        <f>IF(cluster_wld_domain_chosen&lt;&gt;"MGMT Workload Domain",CONCATENATE(prefix_wld_az1_rack_cidr,"77.113"),CONCATENATE(prefix_mgmt_az1_cidr,"77.113"))</f>
        <v>10.13.77.113</v>
      </c>
      <c r="D491" s="66"/>
      <c r="E491" s="121" t="s">
        <v>229</v>
      </c>
    </row>
    <row r="492" spans="2:5" ht="20" customHeight="1" x14ac:dyDescent="0.2">
      <c r="B492" s="23" t="s">
        <v>230</v>
      </c>
      <c r="C492" s="153" t="str">
        <f>IF(cluster_wld_domain_chosen&lt;&gt;"MGMT Workload Domain",CONCATENATE(prefix_wld_az1_rack_cidr,"77.114"),CONCATENATE(prefix_mgmt_az1_cidr,"77.114"))</f>
        <v>10.13.77.114</v>
      </c>
      <c r="D492" s="66"/>
      <c r="E492" s="121" t="s">
        <v>231</v>
      </c>
    </row>
    <row r="493" spans="2:5" ht="20" customHeight="1" x14ac:dyDescent="0.2">
      <c r="B493" s="23" t="s">
        <v>232</v>
      </c>
      <c r="C493" s="153" t="str">
        <f>IF(cluster_wld_domain_chosen&lt;&gt;"MGMT Workload Domain",CONCATENATE(prefix_wld_az1_rack_cidr,"77.115"),CONCATENATE(prefix_mgmt_az1_cidr,"77.115"))</f>
        <v>10.13.77.115</v>
      </c>
      <c r="D493" s="66"/>
      <c r="E493" s="121" t="s">
        <v>233</v>
      </c>
    </row>
    <row r="494" spans="2:5" ht="20" customHeight="1" x14ac:dyDescent="0.2">
      <c r="B494" s="23" t="s">
        <v>234</v>
      </c>
      <c r="C494" s="153" t="str">
        <f>IF(cluster_wld_domain_chosen&lt;&gt;"MGMT Workload Domain",CONCATENATE(prefix_wld_az1_rack_cidr,"77.116"),CONCATENATE(prefix_mgmt_az1_cidr,"77.116"))</f>
        <v>10.13.77.116</v>
      </c>
      <c r="D494" s="66"/>
      <c r="E494" s="121" t="s">
        <v>235</v>
      </c>
    </row>
    <row r="495" spans="2:5" ht="16" customHeight="1" x14ac:dyDescent="0.2">
      <c r="B495" s="9"/>
      <c r="C495" s="9"/>
      <c r="D495" s="9"/>
      <c r="E495" s="9"/>
    </row>
    <row r="496" spans="2:5" ht="34" customHeight="1" x14ac:dyDescent="0.2">
      <c r="B496" s="559" t="s">
        <v>2366</v>
      </c>
      <c r="C496" s="560"/>
      <c r="D496" s="560"/>
      <c r="E496" s="561"/>
    </row>
    <row r="497" spans="2:5" ht="20" customHeight="1" x14ac:dyDescent="0.2">
      <c r="B497" s="62" t="s">
        <v>250</v>
      </c>
      <c r="C497" s="62" t="s">
        <v>251</v>
      </c>
      <c r="D497" s="160" t="s">
        <v>20</v>
      </c>
      <c r="E497" s="62" t="s">
        <v>21</v>
      </c>
    </row>
    <row r="498" spans="2:5" ht="20" customHeight="1" x14ac:dyDescent="0.2">
      <c r="B498" s="4" t="s">
        <v>2329</v>
      </c>
      <c r="C498" s="65" t="s">
        <v>238</v>
      </c>
      <c r="D498" s="154" t="s">
        <v>238</v>
      </c>
      <c r="E498" s="4" t="str">
        <f>IF(wld_az1_rack7_reuse_vcf_networkpool_chosen="Re-use an existing  VCF Network Pool","An exisiting VCF Network Pool will be reused for Host TEP assignment","A new VCF Network Pool will be created")</f>
        <v>A new VCF Network Pool will be created</v>
      </c>
    </row>
    <row r="499" spans="2:5" ht="20" customHeight="1" x14ac:dyDescent="0.2">
      <c r="B499" s="23" t="s">
        <v>239</v>
      </c>
      <c r="C499" s="109" t="str">
        <f>IF(cluster_wld_domain_chosen="Workload Domain",CONCATENATE(this_instance,"01-w0",wld_domain_number_chosen,"-r07-network-pool-01"),CONCATENATE(this_instance,"01-m01","-r07-network-pool-01"))</f>
        <v>sfo01-w01-r07-network-pool-01</v>
      </c>
      <c r="D499" s="66"/>
      <c r="E499" s="42"/>
    </row>
    <row r="500" spans="2:5" ht="20" customHeight="1" x14ac:dyDescent="0.2">
      <c r="B500" s="521" t="s">
        <v>240</v>
      </c>
      <c r="C500" s="522"/>
      <c r="D500" s="522"/>
      <c r="E500" s="523"/>
    </row>
    <row r="501" spans="2:5" ht="20" customHeight="1" x14ac:dyDescent="0.2">
      <c r="B501" s="4" t="s">
        <v>85</v>
      </c>
      <c r="C501" s="65" t="str">
        <f>IF(cluster_wld_domain_chosen&lt;&gt;"MGMT Workload Domain",CONCATENATE(prefix_wld_az1_rack_vlan,"78"),CONCATENATE(prefix_mgmt_az1_vlan,"78"))</f>
        <v>1378</v>
      </c>
      <c r="D501" s="66"/>
      <c r="E501" s="113"/>
    </row>
    <row r="502" spans="2:5" ht="20" customHeight="1" x14ac:dyDescent="0.2">
      <c r="B502" s="4" t="s">
        <v>155</v>
      </c>
      <c r="C502" s="65">
        <v>9000</v>
      </c>
      <c r="D502" s="66"/>
      <c r="E502" s="42"/>
    </row>
    <row r="503" spans="2:5" ht="20" customHeight="1" x14ac:dyDescent="0.2">
      <c r="B503" s="4" t="s">
        <v>181</v>
      </c>
      <c r="C503" s="153" t="str">
        <f>IF(cluster_wld_domain_chosen&lt;&gt;"MGMT Workload Domain",CONCATENATE(prefix_wld_az1_rack_cidr,"78.0"),CONCATENATE(prefix_mgmt_az1_cidr,"78.0"))</f>
        <v>10.13.78.0</v>
      </c>
      <c r="D503" s="66"/>
      <c r="E503" s="42"/>
    </row>
    <row r="504" spans="2:5" ht="20" customHeight="1" x14ac:dyDescent="0.2">
      <c r="B504" s="4" t="s">
        <v>274</v>
      </c>
      <c r="C504" s="153" t="s">
        <v>126</v>
      </c>
      <c r="D504" s="66"/>
      <c r="E504" s="42"/>
    </row>
    <row r="505" spans="2:5" ht="20" customHeight="1" x14ac:dyDescent="0.2">
      <c r="B505" s="4" t="s">
        <v>180</v>
      </c>
      <c r="C505" s="65" t="str">
        <f>IF(cluster_wld_domain_chosen&lt;&gt;"MGMT Workload Domain",CONCATENATE(prefix_wld_az1_rack_cidr,"78.1"),CONCATENATE(prefix_mgmt_az1_cidr,"78.1"))</f>
        <v>10.13.78.1</v>
      </c>
      <c r="D505" s="66"/>
      <c r="E505" s="42"/>
    </row>
    <row r="506" spans="2:5" ht="20" customHeight="1" x14ac:dyDescent="0.2">
      <c r="B506" s="23" t="s">
        <v>244</v>
      </c>
      <c r="C506" s="65" t="str">
        <f>IF(cluster_wld_domain_chosen&lt;&gt;"MGMT Workload Domain",CONCATENATE(prefix_wld_az1_rack_cidr,"78.101"),CONCATENATE(prefix_mgmt_az1_cidr,"78.101"))</f>
        <v>10.13.78.101</v>
      </c>
      <c r="D506" s="66"/>
      <c r="E506" s="121" t="s">
        <v>2330</v>
      </c>
    </row>
    <row r="507" spans="2:5" ht="20" customHeight="1" x14ac:dyDescent="0.2">
      <c r="B507" s="23" t="s">
        <v>245</v>
      </c>
      <c r="C507" s="65" t="str">
        <f>IF(cluster_wld_domain_chosen&lt;&gt;"MGMT Workload Domain",CONCATENATE(prefix_wld_az1_rack_cidr,"78.116"),CONCATENATE(prefix_mgmt_az1_cidr,"78.116"))</f>
        <v>10.13.78.116</v>
      </c>
      <c r="D507" s="66"/>
      <c r="E507" s="121" t="s">
        <v>2331</v>
      </c>
    </row>
    <row r="508" spans="2:5" ht="20" customHeight="1" x14ac:dyDescent="0.2">
      <c r="B508" s="521" t="s">
        <v>246</v>
      </c>
      <c r="C508" s="522"/>
      <c r="D508" s="522"/>
      <c r="E508" s="523"/>
    </row>
    <row r="509" spans="2:5" ht="20" customHeight="1" x14ac:dyDescent="0.2">
      <c r="B509" s="4" t="s">
        <v>85</v>
      </c>
      <c r="C509" s="65" t="str">
        <f>IF(cluster_wld_domain_chosen&lt;&gt;"MGMT Workload Domain",CONCATENATE(prefix_wld_az1_rack_vlan,"79"),CONCATENATE(prefix_mgmt_az1_vlan,"79"))</f>
        <v>1379</v>
      </c>
      <c r="D509" s="66"/>
      <c r="E509" s="42"/>
    </row>
    <row r="510" spans="2:5" ht="20" customHeight="1" x14ac:dyDescent="0.2">
      <c r="B510" s="4" t="s">
        <v>155</v>
      </c>
      <c r="C510" s="65">
        <v>9000</v>
      </c>
      <c r="D510" s="66"/>
      <c r="E510" s="42"/>
    </row>
    <row r="511" spans="2:5" ht="20" customHeight="1" x14ac:dyDescent="0.2">
      <c r="B511" s="4" t="s">
        <v>181</v>
      </c>
      <c r="C511" s="153" t="str">
        <f>IF(cluster_wld_domain_chosen&lt;&gt;"MGMT Workload Domain",CONCATENATE(prefix_wld_az1_rack_cidr,"79.0"),CONCATENATE(prefix_mgmt_az1_cidr,"79.0"))</f>
        <v>10.13.79.0</v>
      </c>
      <c r="D511" s="66"/>
      <c r="E511" s="80"/>
    </row>
    <row r="512" spans="2:5" ht="20" customHeight="1" x14ac:dyDescent="0.2">
      <c r="B512" s="4" t="s">
        <v>274</v>
      </c>
      <c r="C512" s="153" t="s">
        <v>126</v>
      </c>
      <c r="D512" s="66"/>
      <c r="E512" s="42"/>
    </row>
    <row r="513" spans="2:5" ht="20" customHeight="1" x14ac:dyDescent="0.2">
      <c r="B513" s="4" t="s">
        <v>180</v>
      </c>
      <c r="C513" s="65" t="str">
        <f>IF(cluster_wld_domain_chosen&lt;&gt;"MGMT Workload Domain",CONCATENATE(prefix_wld_az1_rack_cidr,"79.1"),CONCATENATE(prefix_mgmt_az1_cidr,"79.1"))</f>
        <v>10.13.79.1</v>
      </c>
      <c r="D513" s="66"/>
      <c r="E513" s="42" t="str">
        <f>IF(AND(mgmt_stretched_cluster_result="Included",mgmt_dpg_reuse_result="Excluded"),"Stretched L2","")</f>
        <v/>
      </c>
    </row>
    <row r="514" spans="2:5" ht="20" customHeight="1" x14ac:dyDescent="0.2">
      <c r="B514" s="23" t="s">
        <v>244</v>
      </c>
      <c r="C514" s="65" t="str">
        <f>IF(cluster_wld_domain_chosen&lt;&gt;"MGMT Workload Domain",CONCATENATE(prefix_wld_az1_rack_cidr,"79.101"),CONCATENATE(prefix_mgmt_az1_cidr,"79.101"))</f>
        <v>10.13.79.101</v>
      </c>
      <c r="D514" s="66"/>
      <c r="E514" s="121" t="s">
        <v>2332</v>
      </c>
    </row>
    <row r="515" spans="2:5" ht="20" customHeight="1" x14ac:dyDescent="0.2">
      <c r="B515" s="23" t="s">
        <v>245</v>
      </c>
      <c r="C515" s="65" t="str">
        <f>IF(cluster_wld_domain_chosen&lt;&gt;"MGMT Workload Domain",CONCATENATE(prefix_wld_az1_rack_cidr,"79.116"),CONCATENATE(prefix_mgmt_az1_cidr,"79.116"))</f>
        <v>10.13.79.116</v>
      </c>
      <c r="D515" s="66"/>
      <c r="E515" s="121" t="s">
        <v>2333</v>
      </c>
    </row>
    <row r="516" spans="2:5" ht="16" customHeight="1" x14ac:dyDescent="0.2">
      <c r="B516" s="9"/>
      <c r="C516" s="9"/>
      <c r="D516" s="9"/>
      <c r="E516" s="9"/>
    </row>
    <row r="517" spans="2:5" ht="34" customHeight="1" x14ac:dyDescent="0.2">
      <c r="B517" s="559" t="s">
        <v>2367</v>
      </c>
      <c r="C517" s="560"/>
      <c r="D517" s="560"/>
      <c r="E517" s="561"/>
    </row>
    <row r="518" spans="2:5" ht="20" customHeight="1" x14ac:dyDescent="0.2">
      <c r="B518" s="62" t="s">
        <v>250</v>
      </c>
      <c r="C518" s="62" t="s">
        <v>251</v>
      </c>
      <c r="D518" s="160" t="s">
        <v>20</v>
      </c>
      <c r="E518" s="62" t="s">
        <v>21</v>
      </c>
    </row>
    <row r="519" spans="2:5" ht="20" customHeight="1" x14ac:dyDescent="0.2">
      <c r="B519" s="23" t="s">
        <v>204</v>
      </c>
      <c r="C519" s="153" t="str">
        <f>IF(cluster_wld_domain_chosen&lt;&gt;"MGMT Workload Domain",CONCATENATE(this_instance,"01-w0",wld_domain_number_chosen,"-r07-esx01",".",sample_child_dns_zone),CONCATENATE(this_instance,"01-m01-r07-esx01",".",sample_child_dns_zone))</f>
        <v>sfo01-w01-r07-esx01.sfo.rainpole.io</v>
      </c>
      <c r="D519" s="66"/>
      <c r="E519" s="42"/>
    </row>
    <row r="520" spans="2:5" ht="20" customHeight="1" x14ac:dyDescent="0.2">
      <c r="B520" s="23" t="s">
        <v>206</v>
      </c>
      <c r="C520" s="153" t="str">
        <f>IF(cluster_wld_domain_chosen&lt;&gt;"MGMT Workload Domain",CONCATENATE(this_instance,"01-w0",wld_domain_number_chosen,"-r07-esx02",".",sample_child_dns_zone),CONCATENATE(this_instance,"01-m01-r07-esx02",".",sample_child_dns_zone))</f>
        <v>sfo01-w01-r07-esx02.sfo.rainpole.io</v>
      </c>
      <c r="D520" s="66"/>
      <c r="E520" s="42"/>
    </row>
    <row r="521" spans="2:5" ht="20" customHeight="1" x14ac:dyDescent="0.2">
      <c r="B521" s="23" t="s">
        <v>208</v>
      </c>
      <c r="C521" s="153" t="str">
        <f>IF(cluster_wld_domain_chosen&lt;&gt;"MGMT Workload Domain",CONCATENATE(this_instance,"01-w0",wld_domain_number_chosen,"-r07-esx03",".",sample_child_dns_zone),CONCATENATE(this_instance,"01-m01-r07-esx03",".",sample_child_dns_zone))</f>
        <v>sfo01-w01-r07-esx03.sfo.rainpole.io</v>
      </c>
      <c r="D521" s="66"/>
      <c r="E521" s="42"/>
    </row>
    <row r="522" spans="2:5" ht="20" customHeight="1" x14ac:dyDescent="0.2">
      <c r="B522" s="23" t="s">
        <v>210</v>
      </c>
      <c r="C522" s="153" t="str">
        <f>IF(cluster_wld_domain_chosen&lt;&gt;"MGMT Workload Domain",CONCATENATE(this_instance,"01-w0",wld_domain_number_chosen,"-r07-esx04",".",sample_child_dns_zone),CONCATENATE(this_instance,"01-m01-r07-esx04",".",sample_child_dns_zone))</f>
        <v>sfo01-w01-r07-esx04.sfo.rainpole.io</v>
      </c>
      <c r="D522" s="66"/>
      <c r="E522" s="42"/>
    </row>
    <row r="523" spans="2:5" ht="20" customHeight="1" x14ac:dyDescent="0.2">
      <c r="B523" s="23" t="s">
        <v>212</v>
      </c>
      <c r="C523" s="153" t="str">
        <f>IF(cluster_wld_domain_chosen&lt;&gt;"MGMT Workload Domain",CONCATENATE(this_instance,"01-w0",wld_domain_number_chosen,"-r07-esx05",".",sample_child_dns_zone),CONCATENATE(this_instance,"01-m01-r07-esx05",".",sample_child_dns_zone))</f>
        <v>sfo01-w01-r07-esx05.sfo.rainpole.io</v>
      </c>
      <c r="D523" s="66"/>
      <c r="E523" s="42"/>
    </row>
    <row r="524" spans="2:5" ht="20" customHeight="1" x14ac:dyDescent="0.2">
      <c r="B524" s="23" t="s">
        <v>214</v>
      </c>
      <c r="C524" s="153" t="str">
        <f>IF(cluster_wld_domain_chosen&lt;&gt;"MGMT Workload Domain",CONCATENATE(this_instance,"01-w0",wld_domain_number_chosen,"-r07-esx06",".",sample_child_dns_zone),CONCATENATE(this_instance,"01-m01-r07-esx06",".",sample_child_dns_zone))</f>
        <v>sfo01-w01-r07-esx06.sfo.rainpole.io</v>
      </c>
      <c r="D524" s="66"/>
      <c r="E524" s="42"/>
    </row>
    <row r="525" spans="2:5" ht="20" customHeight="1" x14ac:dyDescent="0.2">
      <c r="B525" s="23" t="s">
        <v>216</v>
      </c>
      <c r="C525" s="153" t="str">
        <f>IF(cluster_wld_domain_chosen&lt;&gt;"MGMT Workload Domain",CONCATENATE(this_instance,"01-w0",wld_domain_number_chosen,"-r07-esx07",".",sample_child_dns_zone),CONCATENATE(this_instance,"01-m01-r07-esx07",".",sample_child_dns_zone))</f>
        <v>sfo01-w01-r07-esx07.sfo.rainpole.io</v>
      </c>
      <c r="D525" s="66"/>
      <c r="E525" s="42"/>
    </row>
    <row r="526" spans="2:5" ht="20" customHeight="1" x14ac:dyDescent="0.2">
      <c r="B526" s="23" t="s">
        <v>218</v>
      </c>
      <c r="C526" s="153" t="str">
        <f>IF(cluster_wld_domain_chosen&lt;&gt;"MGMT Workload Domain",CONCATENATE(this_instance,"01-w0",wld_domain_number_chosen,"-r07-esx08",".",sample_child_dns_zone),CONCATENATE(this_instance,"01-m01-r07-esx08",".",sample_child_dns_zone))</f>
        <v>sfo01-w01-r07-esx08.sfo.rainpole.io</v>
      </c>
      <c r="D526" s="66"/>
      <c r="E526" s="42"/>
    </row>
    <row r="527" spans="2:5" ht="20" customHeight="1" x14ac:dyDescent="0.2">
      <c r="B527" s="23" t="s">
        <v>220</v>
      </c>
      <c r="C527" s="153" t="str">
        <f>IF(cluster_wld_domain_chosen&lt;&gt;"MGMT Workload Domain",CONCATENATE(this_instance,"01-w0",wld_domain_number_chosen,"-r07-esx09",".",sample_child_dns_zone),CONCATENATE(this_instance,"01-m01-r07-esx09",".",sample_child_dns_zone))</f>
        <v>sfo01-w01-r07-esx09.sfo.rainpole.io</v>
      </c>
      <c r="D527" s="66"/>
      <c r="E527" s="42"/>
    </row>
    <row r="528" spans="2:5" ht="20" customHeight="1" x14ac:dyDescent="0.2">
      <c r="B528" s="23" t="s">
        <v>222</v>
      </c>
      <c r="C528" s="153" t="str">
        <f>IF(cluster_wld_domain_chosen&lt;&gt;"MGMT Workload Domain",CONCATENATE(this_instance,"01-w0",wld_domain_number_chosen,"-r07-esx10",".",sample_child_dns_zone),CONCATENATE(this_instance,"01-m01-r07-esx10",".",sample_child_dns_zone))</f>
        <v>sfo01-w01-r07-esx10.sfo.rainpole.io</v>
      </c>
      <c r="D528" s="66"/>
      <c r="E528" s="42"/>
    </row>
    <row r="529" spans="2:5" ht="20" customHeight="1" x14ac:dyDescent="0.2">
      <c r="B529" s="23" t="s">
        <v>224</v>
      </c>
      <c r="C529" s="153" t="str">
        <f>IF(cluster_wld_domain_chosen&lt;&gt;"MGMT Workload Domain",CONCATENATE(this_instance,"01-w0",wld_domain_number_chosen,"-r07-esx11",".",sample_child_dns_zone),CONCATENATE(this_instance,"01-m01-r07-esx11",".",sample_child_dns_zone))</f>
        <v>sfo01-w01-r07-esx11.sfo.rainpole.io</v>
      </c>
      <c r="D529" s="66"/>
      <c r="E529" s="42"/>
    </row>
    <row r="530" spans="2:5" ht="20" customHeight="1" x14ac:dyDescent="0.2">
      <c r="B530" s="23" t="s">
        <v>226</v>
      </c>
      <c r="C530" s="153" t="str">
        <f>IF(cluster_wld_domain_chosen&lt;&gt;"MGMT Workload Domain",CONCATENATE(this_instance,"01-w0",wld_domain_number_chosen,"-r07-esx12",".",sample_child_dns_zone),CONCATENATE(this_instance,"01-m01-r07-esx12",".",sample_child_dns_zone))</f>
        <v>sfo01-w01-r07-esx12.sfo.rainpole.io</v>
      </c>
      <c r="D530" s="66"/>
      <c r="E530" s="42"/>
    </row>
    <row r="531" spans="2:5" ht="20" customHeight="1" x14ac:dyDescent="0.2">
      <c r="B531" s="23" t="s">
        <v>228</v>
      </c>
      <c r="C531" s="153" t="str">
        <f>IF(cluster_wld_domain_chosen&lt;&gt;"MGMT Workload Domain",CONCATENATE(this_instance,"01-w0",wld_domain_number_chosen,"-r07-esx13",".",sample_child_dns_zone),CONCATENATE(this_instance,"01-m01-r07-esx13",".",sample_child_dns_zone))</f>
        <v>sfo01-w01-r07-esx13.sfo.rainpole.io</v>
      </c>
      <c r="D531" s="66"/>
      <c r="E531" s="42"/>
    </row>
    <row r="532" spans="2:5" ht="20" customHeight="1" x14ac:dyDescent="0.2">
      <c r="B532" s="23" t="s">
        <v>230</v>
      </c>
      <c r="C532" s="153" t="str">
        <f>IF(cluster_wld_domain_chosen&lt;&gt;"MGMT Workload Domain",CONCATENATE(this_instance,"01-w0",wld_domain_number_chosen,"-r07-esx14",".",sample_child_dns_zone),CONCATENATE(this_instance,"01-m01-r07-esx14",".",sample_child_dns_zone))</f>
        <v>sfo01-w01-r07-esx14.sfo.rainpole.io</v>
      </c>
      <c r="D532" s="66"/>
      <c r="E532" s="42"/>
    </row>
    <row r="533" spans="2:5" ht="20" customHeight="1" x14ac:dyDescent="0.2">
      <c r="B533" s="23" t="s">
        <v>232</v>
      </c>
      <c r="C533" s="153" t="str">
        <f>IF(cluster_wld_domain_chosen&lt;&gt;"MGMT Workload Domain",CONCATENATE(this_instance,"01-w0",wld_domain_number_chosen,"-r07-esx14",".",sample_child_dns_zone),CONCATENATE(this_instance,"01-m01-r07-esx15",".",sample_child_dns_zone))</f>
        <v>sfo01-w01-r07-esx14.sfo.rainpole.io</v>
      </c>
      <c r="D533" s="66"/>
      <c r="E533" s="42"/>
    </row>
    <row r="534" spans="2:5" ht="20" customHeight="1" x14ac:dyDescent="0.2">
      <c r="B534" s="23" t="s">
        <v>234</v>
      </c>
      <c r="C534" s="153" t="str">
        <f>IF(cluster_wld_domain_chosen&lt;&gt;"MGMT Workload Domain",CONCATENATE(this_instance,"01-w0",wld_domain_number_chosen,"-r07-esx16",".",sample_child_dns_zone),CONCATENATE(this_instance,"01-m01-r07-esx16",".",sample_child_dns_zone))</f>
        <v>sfo01-w01-r07-esx16.sfo.rainpole.io</v>
      </c>
      <c r="D534" s="66"/>
      <c r="E534" s="42"/>
    </row>
    <row r="535" spans="2:5" ht="20" customHeight="1" x14ac:dyDescent="0.2">
      <c r="B535" s="23" t="s">
        <v>253</v>
      </c>
      <c r="C535" s="153" t="s">
        <v>647</v>
      </c>
      <c r="D535" s="8" t="s">
        <v>254</v>
      </c>
      <c r="E535" s="42"/>
    </row>
    <row r="536" spans="2:5" ht="20" customHeight="1" x14ac:dyDescent="0.2">
      <c r="B536" s="23" t="s">
        <v>255</v>
      </c>
      <c r="C536" s="153" t="s">
        <v>256</v>
      </c>
      <c r="D536"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536" s="4"/>
    </row>
    <row r="537" spans="2:5" ht="20" customHeight="1" x14ac:dyDescent="0.2">
      <c r="B537" s="23" t="s">
        <v>257</v>
      </c>
      <c r="C537" s="153" t="s">
        <v>154</v>
      </c>
      <c r="D537" s="8" t="str">
        <f>IF(AND(vcf_granular_option_chosen="Create Cluster",cluster_principal_storage_chosen="vSAN-ESA"),"Selected",
IF(AND(vcf_granular_option_chosen="Create Workload Domain",wld_principal_storage_chosen="vSAN-ESA"),"Selected","Unselected"))</f>
        <v>Unselected</v>
      </c>
      <c r="E537" s="42"/>
    </row>
    <row r="538" spans="2:5" ht="20" customHeight="1" x14ac:dyDescent="0.2">
      <c r="B538" s="23" t="s">
        <v>239</v>
      </c>
      <c r="C538" s="153" t="str">
        <f>sample_wld_az1_rack7_pool_name</f>
        <v>sfo01-w01-r07-network-pool-01</v>
      </c>
      <c r="D538" s="8" t="str">
        <f>wld_az1_rack7_pool_name</f>
        <v>Value Missing</v>
      </c>
      <c r="E538" s="42"/>
    </row>
    <row r="539" spans="2:5" ht="20" customHeight="1" x14ac:dyDescent="0.2">
      <c r="B539" s="23" t="s">
        <v>47</v>
      </c>
      <c r="C539" s="153" t="s">
        <v>258</v>
      </c>
      <c r="D539"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539" s="42"/>
    </row>
    <row r="540" spans="2:5" ht="20" customHeight="1" x14ac:dyDescent="0.2">
      <c r="B540" s="23" t="s">
        <v>30</v>
      </c>
      <c r="C540" s="153" t="s">
        <v>31</v>
      </c>
      <c r="D540"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540" s="42"/>
    </row>
    <row r="541" spans="2:5" ht="16" customHeight="1" x14ac:dyDescent="0.2"/>
    <row r="542" spans="2:5" ht="34" customHeight="1" x14ac:dyDescent="0.2">
      <c r="B542" s="559" t="s">
        <v>2368</v>
      </c>
      <c r="C542" s="560"/>
      <c r="D542" s="560"/>
      <c r="E542" s="561"/>
    </row>
    <row r="543" spans="2:5" ht="20" customHeight="1" x14ac:dyDescent="0.2">
      <c r="B543" s="4" t="s">
        <v>325</v>
      </c>
      <c r="C543" s="109" t="str">
        <f>IF(vcf_granular_option_chosen="Create Cluster",CONCATENATE(this_instance,"01-",sample_cluster_name,"-r07-network-profile"),
IF(cluster_wld_domain_chosen="Workload Domain",CONCATENATE(this_instance,"01-",sample_wld_cl01_cluster,"-r07-network-profile"),
CONCATENATE(this_instance,"01-",sample_mgmt_cl01_cluster,"-r07-network-profile")))</f>
        <v>sfo01-sfo-w01-cl01-r07-network-profile</v>
      </c>
      <c r="D543" s="66"/>
      <c r="E543" s="103"/>
    </row>
    <row r="544" spans="2:5" ht="20" customHeight="1" x14ac:dyDescent="0.2">
      <c r="B544" s="4" t="s">
        <v>2336</v>
      </c>
      <c r="C544" s="65" t="s">
        <v>327</v>
      </c>
      <c r="D544" s="154" t="s">
        <v>327</v>
      </c>
      <c r="E544" s="4" t="str">
        <f>IF(wld_az1_rack7_host_overlay_new_pool_chosen="Re-use an existing Pool","An exisitng Pool will be reused for Host TEP assignment","A new Pool will be created for Host TEP assignment")</f>
        <v>A new Pool will be created for Host TEP assignment</v>
      </c>
    </row>
    <row r="545" spans="2:5" ht="20" customHeight="1" x14ac:dyDescent="0.2">
      <c r="B545" s="4" t="s">
        <v>328</v>
      </c>
      <c r="C545" s="109" t="str">
        <f>IF(cluster_wld_domain_chosen="Workload Domain",CONCATENATE(this_instance,"01-w0",wld_domain_number_chosen,"-r07-ip-pool01-host"),CONCATENATE(this_instance,"01-m01","-r07-ip-pool01-host"))</f>
        <v>sfo01-w01-r07-ip-pool01-host</v>
      </c>
      <c r="D545" s="66"/>
      <c r="E545" s="103"/>
    </row>
    <row r="546" spans="2:5" ht="20" customHeight="1" x14ac:dyDescent="0.2">
      <c r="B546" s="4" t="s">
        <v>329</v>
      </c>
      <c r="C546" s="109" t="str">
        <f>IF(cluster_wld_domain_chosen="Workload Domain",CONCATENATE(this_instance,"01-w0",wld_domain_number_chosen,"-r07-uplink-profile01"),CONCATENATE(this_instance,"01-m01","-r07-uplink-profile01"))</f>
        <v>sfo01-w01-r07-uplink-profile01</v>
      </c>
      <c r="D546" s="66"/>
      <c r="E546" s="103"/>
    </row>
    <row r="547" spans="2:5" ht="20" customHeight="1" x14ac:dyDescent="0.2">
      <c r="B547" s="4" t="s">
        <v>2337</v>
      </c>
      <c r="C547" s="109" t="str">
        <f>IF(cluster_wld_domain_chosen="Workload Domain",CONCATENATE(this_instance,"01-w0",wld_domain_number_chosen,"-r07-ip-pool02-edge"),CONCATENATE(this_instance,"01-m01","-r07-ip-pool02-edge"))</f>
        <v>sfo01-w01-r07-ip-pool02-edge</v>
      </c>
      <c r="D547" s="66"/>
      <c r="E547" s="103"/>
    </row>
    <row r="548" spans="2:5" ht="20" customHeight="1" x14ac:dyDescent="0.2">
      <c r="B548" s="4" t="s">
        <v>2338</v>
      </c>
      <c r="C548" s="109" t="str">
        <f>IF(cluster_wld_domain_chosen="Workload Domain",CONCATENATE(this_instance,"01-w0",wld_domain_number_chosen,"-r07-ip-pool03-rtep"),CONCATENATE(this_instance,"01-m01","-r07-ip-pool03-rtep"))</f>
        <v>sfo01-w01-r07-ip-pool03-rtep</v>
      </c>
      <c r="D548" s="66"/>
      <c r="E548" s="103"/>
    </row>
    <row r="549" spans="2:5" ht="20" customHeight="1" x14ac:dyDescent="0.2">
      <c r="B549" s="546" t="s">
        <v>708</v>
      </c>
      <c r="C549" s="547"/>
      <c r="D549" s="547"/>
      <c r="E549" s="548"/>
    </row>
    <row r="550" spans="2:5" ht="20" customHeight="1" x14ac:dyDescent="0.2">
      <c r="B550" s="241" t="s">
        <v>250</v>
      </c>
      <c r="C550" s="241" t="s">
        <v>251</v>
      </c>
      <c r="D550" s="247" t="s">
        <v>20</v>
      </c>
      <c r="E550" s="241" t="s">
        <v>21</v>
      </c>
    </row>
    <row r="551" spans="2:5" ht="20" customHeight="1" x14ac:dyDescent="0.2">
      <c r="B551" s="4" t="s">
        <v>1198</v>
      </c>
      <c r="C551" s="103" t="str">
        <f>IF(cluster_wld_domain_chosen&lt;&gt;"MGMT Workload Domain",CONCATENATE(this_instance,"-w0",wld_domain_number_chosen,"-r07","-vsan-fault-domain"),CONCATENATE(this_instance,"-m01","-r07","-vsan-fault-domain"))</f>
        <v>sfo-w01-r07-vsan-fault-domain</v>
      </c>
      <c r="D551" s="66"/>
      <c r="E551" s="8"/>
    </row>
    <row r="552" spans="2:5" ht="16" customHeight="1" x14ac:dyDescent="0.2"/>
    <row r="553" spans="2:5" ht="34" customHeight="1" x14ac:dyDescent="0.2">
      <c r="B553" s="559" t="s">
        <v>2369</v>
      </c>
      <c r="C553" s="560"/>
      <c r="D553" s="560"/>
      <c r="E553" s="561"/>
    </row>
    <row r="554" spans="2:5" ht="20" customHeight="1" x14ac:dyDescent="0.2">
      <c r="B554" s="62" t="s">
        <v>250</v>
      </c>
      <c r="C554" s="62" t="s">
        <v>251</v>
      </c>
      <c r="D554" s="160" t="s">
        <v>20</v>
      </c>
      <c r="E554" s="62" t="s">
        <v>21</v>
      </c>
    </row>
    <row r="555" spans="2:5" ht="20" customHeight="1" x14ac:dyDescent="0.2">
      <c r="B555" s="521" t="s">
        <v>794</v>
      </c>
      <c r="C555" s="522"/>
      <c r="D555" s="522"/>
      <c r="E555" s="523"/>
    </row>
    <row r="556" spans="2:5" ht="20" customHeight="1" x14ac:dyDescent="0.2">
      <c r="B556" s="4" t="s">
        <v>85</v>
      </c>
      <c r="C556" s="65" t="str">
        <f>IF(cluster_wld_domain_chosen&lt;&gt;"MGMT Workload Domain",CONCATENATE(prefix_wld_az1_rack_vlan,"80"),CONCATENATE(prefix_mgmt_az1_vlan,"80"))</f>
        <v>1380</v>
      </c>
      <c r="D556" s="66"/>
      <c r="E556" s="113"/>
    </row>
    <row r="557" spans="2:5" ht="20" customHeight="1" x14ac:dyDescent="0.2">
      <c r="B557" s="4" t="s">
        <v>155</v>
      </c>
      <c r="C557" s="65">
        <v>9000</v>
      </c>
      <c r="D557" s="66"/>
      <c r="E557" s="42"/>
    </row>
    <row r="558" spans="2:5" ht="20" customHeight="1" x14ac:dyDescent="0.2">
      <c r="B558" s="4" t="s">
        <v>181</v>
      </c>
      <c r="C558" s="65" t="str">
        <f>IF(cluster_wld_domain_chosen&lt;&gt;"MGMT Workload Domain",CONCATENATE(prefix_wld_az1_rack_cidr,"80.0"),CONCATENATE(prefix_mgmt_az1_cidr,"80.0"))</f>
        <v>10.13.80.0</v>
      </c>
      <c r="D558" s="66"/>
      <c r="E558" s="42"/>
    </row>
    <row r="559" spans="2:5" ht="20" customHeight="1" x14ac:dyDescent="0.2">
      <c r="B559" s="4" t="s">
        <v>274</v>
      </c>
      <c r="C559" s="65" t="s">
        <v>126</v>
      </c>
      <c r="D559" s="66"/>
      <c r="E559" s="42"/>
    </row>
    <row r="560" spans="2:5" ht="20" customHeight="1" x14ac:dyDescent="0.2">
      <c r="B560" s="4" t="s">
        <v>180</v>
      </c>
      <c r="C560" s="65" t="str">
        <f>IF(cluster_wld_domain_chosen&lt;&gt;"MGMT Workload Domain",CONCATENATE(prefix_wld_az1_rack_cidr,"80.1"),CONCATENATE(prefix_mgmt_az1_cidr,"80.1"))</f>
        <v>10.13.80.1</v>
      </c>
      <c r="D560" s="66"/>
      <c r="E560" s="42"/>
    </row>
    <row r="561" spans="2:5" ht="20" customHeight="1" x14ac:dyDescent="0.2">
      <c r="B561" s="23" t="s">
        <v>244</v>
      </c>
      <c r="C561" s="65" t="str">
        <f>IF(cluster_wld_domain_chosen&lt;&gt;"MGMT Workload Domain",CONCATENATE(prefix_wld_az1_rack_cidr,"80.101"),CONCATENATE(prefix_mgmt_az1_cidr,"80.101"))</f>
        <v>10.13.80.101</v>
      </c>
      <c r="D561" s="66"/>
      <c r="E561" s="121" t="s">
        <v>2370</v>
      </c>
    </row>
    <row r="562" spans="2:5" ht="20" customHeight="1" x14ac:dyDescent="0.2">
      <c r="B562" s="23" t="s">
        <v>245</v>
      </c>
      <c r="C562" s="65" t="str">
        <f>IF(cluster_wld_domain_chosen&lt;&gt;"MGMT Workload Domain",CONCATENATE(prefix_wld_az1_rack_cidr,"80.116"),CONCATENATE(prefix_mgmt_az1_cidr,"80.116"))</f>
        <v>10.13.80.116</v>
      </c>
      <c r="D562" s="66"/>
      <c r="E562" s="121" t="s">
        <v>2371</v>
      </c>
    </row>
    <row r="563" spans="2:5" ht="16" customHeight="1" x14ac:dyDescent="0.2"/>
    <row r="564" spans="2:5" ht="34" customHeight="1" x14ac:dyDescent="0.2">
      <c r="B564" s="559" t="s">
        <v>2372</v>
      </c>
      <c r="C564" s="560"/>
      <c r="D564" s="560"/>
      <c r="E564" s="561"/>
    </row>
    <row r="565" spans="2:5" ht="20" customHeight="1" x14ac:dyDescent="0.2">
      <c r="B565" s="62" t="s">
        <v>250</v>
      </c>
      <c r="C565" s="62" t="s">
        <v>251</v>
      </c>
      <c r="D565" s="160" t="s">
        <v>20</v>
      </c>
      <c r="E565" s="62" t="s">
        <v>21</v>
      </c>
    </row>
    <row r="566" spans="2:5" ht="20" customHeight="1" x14ac:dyDescent="0.2">
      <c r="B566" s="521" t="s">
        <v>202</v>
      </c>
      <c r="C566" s="522"/>
      <c r="D566" s="522"/>
      <c r="E566" s="523"/>
    </row>
    <row r="567" spans="2:5" ht="20" customHeight="1" x14ac:dyDescent="0.2">
      <c r="B567" s="4" t="s">
        <v>85</v>
      </c>
      <c r="C567" s="65" t="str">
        <f>IF(cluster_wld_domain_chosen&lt;&gt;"MGMT Workload Domain",CONCATENATE(prefix_wld_az1_rack_vlan,"88"),CONCATENATE(prefix_mgmt_az1_vlan,"88"))</f>
        <v>1388</v>
      </c>
      <c r="D567" s="66"/>
      <c r="E567" s="113"/>
    </row>
    <row r="568" spans="2:5" ht="20" customHeight="1" x14ac:dyDescent="0.2">
      <c r="B568" s="4" t="s">
        <v>180</v>
      </c>
      <c r="C568" s="65" t="str">
        <f>IF(cluster_wld_domain_chosen&lt;&gt;"MGMT Workload Domain",CONCATENATE(prefix_wld_az1_rack_cidr,"88.1"),CONCATENATE(prefix_mgmt_az1_cidr,"88.1"))</f>
        <v>10.13.88.1</v>
      </c>
      <c r="D568" s="66"/>
      <c r="E568" s="42"/>
    </row>
    <row r="569" spans="2:5" ht="20" customHeight="1" x14ac:dyDescent="0.2">
      <c r="B569" s="4" t="s">
        <v>181</v>
      </c>
      <c r="C569" s="65" t="str">
        <f>IF(cluster_wld_domain_chosen&lt;&gt;"MGMT Workload Domain",CONCATENATE(prefix_wld_az1_rack_cidr,"88.0/24"),CONCATENATE(prefix_mgmt_az1_cidr,"88.0/24"))</f>
        <v>10.13.88.0/24</v>
      </c>
      <c r="D569" s="66"/>
      <c r="E569" s="42"/>
    </row>
    <row r="570" spans="2:5" ht="20" customHeight="1" x14ac:dyDescent="0.2">
      <c r="B570" s="4" t="s">
        <v>155</v>
      </c>
      <c r="C570" s="65">
        <v>1500</v>
      </c>
      <c r="D570" s="66"/>
      <c r="E570" s="42"/>
    </row>
    <row r="571" spans="2:5" ht="20" customHeight="1" x14ac:dyDescent="0.2">
      <c r="B571" s="546" t="s">
        <v>203</v>
      </c>
      <c r="C571" s="547"/>
      <c r="D571" s="547"/>
      <c r="E571" s="548"/>
    </row>
    <row r="572" spans="2:5" ht="20" customHeight="1" x14ac:dyDescent="0.2">
      <c r="B572" s="23" t="s">
        <v>204</v>
      </c>
      <c r="C572" s="153" t="str">
        <f>IF(cluster_wld_domain_chosen&lt;&gt;"MGMT Workload Domain",CONCATENATE(prefix_wld_az1_rack_cidr,"88.101"),CONCATENATE(prefix_mgmt_az1_cidr,"88.101"))</f>
        <v>10.13.88.101</v>
      </c>
      <c r="D572" s="66"/>
      <c r="E572" s="121" t="s">
        <v>205</v>
      </c>
    </row>
    <row r="573" spans="2:5" ht="20" customHeight="1" x14ac:dyDescent="0.2">
      <c r="B573" s="23" t="s">
        <v>206</v>
      </c>
      <c r="C573" s="153" t="str">
        <f>IF(cluster_wld_domain_chosen&lt;&gt;"MGMT Workload Domain",CONCATENATE(prefix_wld_az1_rack_cidr,"88.102"),CONCATENATE(prefix_mgmt_az1_cidr,"88.102"))</f>
        <v>10.13.88.102</v>
      </c>
      <c r="D573" s="66"/>
      <c r="E573" s="121" t="s">
        <v>207</v>
      </c>
    </row>
    <row r="574" spans="2:5" ht="20" customHeight="1" x14ac:dyDescent="0.2">
      <c r="B574" s="23" t="s">
        <v>208</v>
      </c>
      <c r="C574" s="153" t="str">
        <f>IF(cluster_wld_domain_chosen&lt;&gt;"MGMT Workload Domain",CONCATENATE(prefix_wld_az1_rack_cidr,"88.103"),CONCATENATE(prefix_mgmt_az1_cidr,"88.103"))</f>
        <v>10.13.88.103</v>
      </c>
      <c r="D574" s="66"/>
      <c r="E574" s="121" t="s">
        <v>209</v>
      </c>
    </row>
    <row r="575" spans="2:5" ht="20" customHeight="1" x14ac:dyDescent="0.2">
      <c r="B575" s="23" t="s">
        <v>210</v>
      </c>
      <c r="C575" s="153" t="str">
        <f>IF(cluster_wld_domain_chosen&lt;&gt;"MGMT Workload Domain",CONCATENATE(prefix_wld_az1_rack_cidr,"88.104"),CONCATENATE(prefix_mgmt_az1_cidr,"88.104"))</f>
        <v>10.13.88.104</v>
      </c>
      <c r="D575" s="66"/>
      <c r="E575" s="121" t="s">
        <v>211</v>
      </c>
    </row>
    <row r="576" spans="2:5" ht="20" customHeight="1" x14ac:dyDescent="0.2">
      <c r="B576" s="23" t="s">
        <v>212</v>
      </c>
      <c r="C576" s="153" t="str">
        <f>IF(cluster_wld_domain_chosen&lt;&gt;"MGMT Workload Domain",CONCATENATE(prefix_wld_az1_rack_cidr,"88.105"),CONCATENATE(prefix_mgmt_az1_cidr,"88.105"))</f>
        <v>10.13.88.105</v>
      </c>
      <c r="D576" s="66"/>
      <c r="E576" s="121" t="s">
        <v>213</v>
      </c>
    </row>
    <row r="577" spans="2:5" ht="20" customHeight="1" x14ac:dyDescent="0.2">
      <c r="B577" s="23" t="s">
        <v>214</v>
      </c>
      <c r="C577" s="153" t="str">
        <f>IF(cluster_wld_domain_chosen&lt;&gt;"MGMT Workload Domain",CONCATENATE(prefix_wld_az1_rack_cidr,"88.106"),CONCATENATE(prefix_mgmt_az1_cidr,"88.106"))</f>
        <v>10.13.88.106</v>
      </c>
      <c r="D577" s="66"/>
      <c r="E577" s="121" t="s">
        <v>215</v>
      </c>
    </row>
    <row r="578" spans="2:5" ht="20" customHeight="1" x14ac:dyDescent="0.2">
      <c r="B578" s="23" t="s">
        <v>216</v>
      </c>
      <c r="C578" s="153" t="str">
        <f>IF(cluster_wld_domain_chosen&lt;&gt;"MGMT Workload Domain",CONCATENATE(prefix_wld_az1_rack_cidr,"88.107"),CONCATENATE(prefix_mgmt_az1_cidr,"88.107"))</f>
        <v>10.13.88.107</v>
      </c>
      <c r="D578" s="66"/>
      <c r="E578" s="121" t="s">
        <v>217</v>
      </c>
    </row>
    <row r="579" spans="2:5" ht="20" customHeight="1" x14ac:dyDescent="0.2">
      <c r="B579" s="23" t="s">
        <v>218</v>
      </c>
      <c r="C579" s="153" t="str">
        <f>IF(cluster_wld_domain_chosen&lt;&gt;"MGMT Workload Domain",CONCATENATE(prefix_wld_az1_rack_cidr,"88.108"),CONCATENATE(prefix_mgmt_az1_cidr,"88.108"))</f>
        <v>10.13.88.108</v>
      </c>
      <c r="D579" s="66"/>
      <c r="E579" s="121" t="s">
        <v>219</v>
      </c>
    </row>
    <row r="580" spans="2:5" ht="20" customHeight="1" x14ac:dyDescent="0.2">
      <c r="B580" s="23" t="s">
        <v>220</v>
      </c>
      <c r="C580" s="153" t="str">
        <f>IF(cluster_wld_domain_chosen&lt;&gt;"MGMT Workload Domain",CONCATENATE(prefix_wld_az1_rack_cidr,"88.109"),CONCATENATE(prefix_mgmt_az1_cidr,"88.109"))</f>
        <v>10.13.88.109</v>
      </c>
      <c r="D580" s="66"/>
      <c r="E580" s="121" t="s">
        <v>221</v>
      </c>
    </row>
    <row r="581" spans="2:5" ht="20" customHeight="1" x14ac:dyDescent="0.2">
      <c r="B581" s="23" t="s">
        <v>222</v>
      </c>
      <c r="C581" s="153" t="str">
        <f>IF(cluster_wld_domain_chosen&lt;&gt;"MGMT Workload Domain",CONCATENATE(prefix_wld_az1_rack_cidr,"88.110"),CONCATENATE(prefix_mgmt_az1_cidr,"88.110"))</f>
        <v>10.13.88.110</v>
      </c>
      <c r="D581" s="66"/>
      <c r="E581" s="121" t="s">
        <v>223</v>
      </c>
    </row>
    <row r="582" spans="2:5" ht="20" customHeight="1" x14ac:dyDescent="0.2">
      <c r="B582" s="23" t="s">
        <v>224</v>
      </c>
      <c r="C582" s="153" t="str">
        <f>IF(cluster_wld_domain_chosen&lt;&gt;"MGMT Workload Domain",CONCATENATE(prefix_wld_az1_rack_cidr,"88.111"),CONCATENATE(prefix_mgmt_az1_cidr,"88.111"))</f>
        <v>10.13.88.111</v>
      </c>
      <c r="D582" s="66"/>
      <c r="E582" s="121" t="s">
        <v>225</v>
      </c>
    </row>
    <row r="583" spans="2:5" ht="20" customHeight="1" x14ac:dyDescent="0.2">
      <c r="B583" s="23" t="s">
        <v>226</v>
      </c>
      <c r="C583" s="153" t="str">
        <f>IF(cluster_wld_domain_chosen&lt;&gt;"MGMT Workload Domain",CONCATENATE(prefix_wld_az1_rack_cidr,"88.112"),CONCATENATE(prefix_mgmt_az1_cidr,"88.112"))</f>
        <v>10.13.88.112</v>
      </c>
      <c r="D583" s="66"/>
      <c r="E583" s="121" t="s">
        <v>227</v>
      </c>
    </row>
    <row r="584" spans="2:5" ht="20" customHeight="1" x14ac:dyDescent="0.2">
      <c r="B584" s="23" t="s">
        <v>228</v>
      </c>
      <c r="C584" s="153" t="str">
        <f>IF(cluster_wld_domain_chosen&lt;&gt;"MGMT Workload Domain",CONCATENATE(prefix_wld_az1_rack_cidr,"88.113"),CONCATENATE(prefix_mgmt_az1_cidr,"88.113"))</f>
        <v>10.13.88.113</v>
      </c>
      <c r="D584" s="66"/>
      <c r="E584" s="121" t="s">
        <v>229</v>
      </c>
    </row>
    <row r="585" spans="2:5" ht="20" customHeight="1" x14ac:dyDescent="0.2">
      <c r="B585" s="23" t="s">
        <v>230</v>
      </c>
      <c r="C585" s="153" t="str">
        <f>IF(cluster_wld_domain_chosen&lt;&gt;"MGMT Workload Domain",CONCATENATE(prefix_wld_az1_rack_cidr,"88.114"),CONCATENATE(prefix_mgmt_az1_cidr,"88.114"))</f>
        <v>10.13.88.114</v>
      </c>
      <c r="D585" s="66"/>
      <c r="E585" s="121" t="s">
        <v>231</v>
      </c>
    </row>
    <row r="586" spans="2:5" ht="20" customHeight="1" x14ac:dyDescent="0.2">
      <c r="B586" s="23" t="s">
        <v>232</v>
      </c>
      <c r="C586" s="153" t="str">
        <f>IF(cluster_wld_domain_chosen&lt;&gt;"MGMT Workload Domain",CONCATENATE(prefix_wld_az1_rack_cidr,"88.115"),CONCATENATE(prefix_mgmt_az1_cidr,"88.115"))</f>
        <v>10.13.88.115</v>
      </c>
      <c r="D586" s="66"/>
      <c r="E586" s="121" t="s">
        <v>233</v>
      </c>
    </row>
    <row r="587" spans="2:5" ht="20" customHeight="1" x14ac:dyDescent="0.2">
      <c r="B587" s="23" t="s">
        <v>234</v>
      </c>
      <c r="C587" s="153" t="str">
        <f>IF(cluster_wld_domain_chosen&lt;&gt;"MGMT Workload Domain",CONCATENATE(prefix_wld_az1_rack_cidr,"88.116"),CONCATENATE(prefix_mgmt_az1_cidr,"88.116"))</f>
        <v>10.13.88.116</v>
      </c>
      <c r="D587" s="66"/>
      <c r="E587" s="121" t="s">
        <v>235</v>
      </c>
    </row>
    <row r="588" spans="2:5" ht="16" customHeight="1" x14ac:dyDescent="0.2">
      <c r="B588" s="9"/>
      <c r="C588" s="9"/>
      <c r="D588" s="9"/>
      <c r="E588" s="9"/>
    </row>
    <row r="589" spans="2:5" ht="34" customHeight="1" x14ac:dyDescent="0.2">
      <c r="B589" s="559" t="s">
        <v>2373</v>
      </c>
      <c r="C589" s="560"/>
      <c r="D589" s="560"/>
      <c r="E589" s="561"/>
    </row>
    <row r="590" spans="2:5" ht="20" customHeight="1" x14ac:dyDescent="0.2">
      <c r="B590" s="62" t="s">
        <v>250</v>
      </c>
      <c r="C590" s="62" t="s">
        <v>251</v>
      </c>
      <c r="D590" s="160" t="s">
        <v>20</v>
      </c>
      <c r="E590" s="62" t="s">
        <v>21</v>
      </c>
    </row>
    <row r="591" spans="2:5" ht="20" customHeight="1" x14ac:dyDescent="0.2">
      <c r="B591" s="4" t="s">
        <v>2329</v>
      </c>
      <c r="C591" s="65" t="s">
        <v>238</v>
      </c>
      <c r="D591" s="154" t="s">
        <v>238</v>
      </c>
      <c r="E591" s="4" t="str">
        <f>IF(wld_az1_rack7_reuse_vcf_networkpool_chosen="Re-use an existing  VCF Network Pool","An exisiting VCF Network Pool will be reused for Host TEP assignment","A new VCF Network Pool will be created")</f>
        <v>A new VCF Network Pool will be created</v>
      </c>
    </row>
    <row r="592" spans="2:5" ht="20" customHeight="1" x14ac:dyDescent="0.2">
      <c r="B592" s="23" t="s">
        <v>239</v>
      </c>
      <c r="C592" s="109" t="str">
        <f>IF(cluster_wld_domain_chosen="Workload Domain",CONCATENATE(this_instance,"01-w0",wld_domain_number_chosen,"-r08-network-pool-01"),CONCATENATE(this_instance,"01-m01","-r08-network-pool-01"))</f>
        <v>sfo01-w01-r08-network-pool-01</v>
      </c>
      <c r="D592" s="66"/>
      <c r="E592" s="42"/>
    </row>
    <row r="593" spans="2:5" ht="20" customHeight="1" x14ac:dyDescent="0.2">
      <c r="B593" s="521" t="s">
        <v>240</v>
      </c>
      <c r="C593" s="522"/>
      <c r="D593" s="522"/>
      <c r="E593" s="523"/>
    </row>
    <row r="594" spans="2:5" ht="20" customHeight="1" x14ac:dyDescent="0.2">
      <c r="B594" s="4" t="s">
        <v>85</v>
      </c>
      <c r="C594" s="65" t="str">
        <f>IF(cluster_wld_domain_chosen&lt;&gt;"MGMT Workload Domain",CONCATENATE(prefix_wld_az1_rack_vlan,"89"),CONCATENATE(prefix_mgmt_az1_vlan,"89"))</f>
        <v>1389</v>
      </c>
      <c r="D594" s="66"/>
      <c r="E594" s="113"/>
    </row>
    <row r="595" spans="2:5" ht="20" customHeight="1" x14ac:dyDescent="0.2">
      <c r="B595" s="4" t="s">
        <v>155</v>
      </c>
      <c r="C595" s="65">
        <v>9000</v>
      </c>
      <c r="D595" s="66"/>
      <c r="E595" s="42"/>
    </row>
    <row r="596" spans="2:5" ht="20" customHeight="1" x14ac:dyDescent="0.2">
      <c r="B596" s="4" t="s">
        <v>181</v>
      </c>
      <c r="C596" s="153" t="str">
        <f>IF(cluster_wld_domain_chosen&lt;&gt;"MGMT Workload Domain",CONCATENATE(prefix_wld_az1_rack_cidr,"89.0"),CONCATENATE(prefix_mgmt_az1_cidr,"89.0"))</f>
        <v>10.13.89.0</v>
      </c>
      <c r="D596" s="66"/>
      <c r="E596" s="42"/>
    </row>
    <row r="597" spans="2:5" ht="20" customHeight="1" x14ac:dyDescent="0.2">
      <c r="B597" s="4" t="s">
        <v>274</v>
      </c>
      <c r="C597" s="153" t="s">
        <v>126</v>
      </c>
      <c r="D597" s="66"/>
      <c r="E597" s="42"/>
    </row>
    <row r="598" spans="2:5" ht="20" customHeight="1" x14ac:dyDescent="0.2">
      <c r="B598" s="4" t="s">
        <v>180</v>
      </c>
      <c r="C598" s="65" t="str">
        <f>IF(cluster_wld_domain_chosen&lt;&gt;"MGMT Workload Domain",CONCATENATE(prefix_wld_az1_rack_cidr,"89.1"),CONCATENATE(prefix_mgmt_az1_cidr,"89.1"))</f>
        <v>10.13.89.1</v>
      </c>
      <c r="D598" s="66"/>
      <c r="E598" s="42"/>
    </row>
    <row r="599" spans="2:5" ht="20" customHeight="1" x14ac:dyDescent="0.2">
      <c r="B599" s="23" t="s">
        <v>244</v>
      </c>
      <c r="C599" s="65" t="str">
        <f>IF(cluster_wld_domain_chosen&lt;&gt;"MGMT Workload Domain",CONCATENATE(prefix_wld_az1_rack_cidr,"89.101"),CONCATENATE(prefix_mgmt_az1_cidr,"89.101"))</f>
        <v>10.13.89.101</v>
      </c>
      <c r="D599" s="66"/>
      <c r="E599" s="121" t="s">
        <v>2349</v>
      </c>
    </row>
    <row r="600" spans="2:5" ht="20" customHeight="1" x14ac:dyDescent="0.2">
      <c r="B600" s="23" t="s">
        <v>245</v>
      </c>
      <c r="C600" s="65" t="str">
        <f>IF(cluster_wld_domain_chosen&lt;&gt;"MGMT Workload Domain",CONCATENATE(prefix_wld_az1_rack_cidr,"89.116"),CONCATENATE(prefix_mgmt_az1_cidr,"89.116"))</f>
        <v>10.13.89.116</v>
      </c>
      <c r="D600" s="66"/>
      <c r="E600" s="121" t="s">
        <v>2350</v>
      </c>
    </row>
    <row r="601" spans="2:5" ht="20" customHeight="1" x14ac:dyDescent="0.2">
      <c r="B601" s="521" t="s">
        <v>246</v>
      </c>
      <c r="C601" s="522"/>
      <c r="D601" s="522"/>
      <c r="E601" s="523"/>
    </row>
    <row r="602" spans="2:5" ht="20" customHeight="1" x14ac:dyDescent="0.2">
      <c r="B602" s="4" t="s">
        <v>85</v>
      </c>
      <c r="C602" s="65" t="str">
        <f>IF(cluster_wld_domain_chosen&lt;&gt;"MGMT Workload Domain",CONCATENATE(prefix_wld_az1_rack_vlan,"90"),CONCATENATE(prefix_mgmt_az1_vlan,"90"))</f>
        <v>1390</v>
      </c>
      <c r="D602" s="66"/>
      <c r="E602" s="42"/>
    </row>
    <row r="603" spans="2:5" ht="20" customHeight="1" x14ac:dyDescent="0.2">
      <c r="B603" s="4" t="s">
        <v>155</v>
      </c>
      <c r="C603" s="65">
        <v>9000</v>
      </c>
      <c r="D603" s="66"/>
      <c r="E603" s="42"/>
    </row>
    <row r="604" spans="2:5" ht="20" customHeight="1" x14ac:dyDescent="0.2">
      <c r="B604" s="4" t="s">
        <v>181</v>
      </c>
      <c r="C604" s="153" t="str">
        <f>IF(cluster_wld_domain_chosen&lt;&gt;"MGMT Workload Domain",CONCATENATE(prefix_wld_az1_rack_cidr,"90.0"),CONCATENATE(prefix_mgmt_az1_cidr,"90.0"))</f>
        <v>10.13.90.0</v>
      </c>
      <c r="D604" s="66"/>
      <c r="E604" s="80"/>
    </row>
    <row r="605" spans="2:5" ht="20" customHeight="1" x14ac:dyDescent="0.2">
      <c r="B605" s="4" t="s">
        <v>274</v>
      </c>
      <c r="C605" s="153" t="s">
        <v>126</v>
      </c>
      <c r="D605" s="66"/>
      <c r="E605" s="42"/>
    </row>
    <row r="606" spans="2:5" ht="20" customHeight="1" x14ac:dyDescent="0.2">
      <c r="B606" s="4" t="s">
        <v>180</v>
      </c>
      <c r="C606" s="65" t="str">
        <f>IF(cluster_wld_domain_chosen&lt;&gt;"MGMT Workload Domain",CONCATENATE(prefix_wld_az1_rack_cidr,"90.1"),CONCATENATE(prefix_mgmt_az1_cidr,"90.1"))</f>
        <v>10.13.90.1</v>
      </c>
      <c r="D606" s="66"/>
      <c r="E606" s="42" t="str">
        <f>IF(AND(mgmt_stretched_cluster_result="Included",mgmt_dpg_reuse_result="Excluded"),"Stretched L2","")</f>
        <v/>
      </c>
    </row>
    <row r="607" spans="2:5" ht="20" customHeight="1" x14ac:dyDescent="0.2">
      <c r="B607" s="23" t="s">
        <v>244</v>
      </c>
      <c r="C607" s="65" t="str">
        <f>IF(cluster_wld_domain_chosen&lt;&gt;"MGMT Workload Domain",CONCATENATE(prefix_wld_az1_rack_cidr,"90.101"),CONCATENATE(prefix_mgmt_az1_cidr,"90.101"))</f>
        <v>10.13.90.101</v>
      </c>
      <c r="D607" s="66"/>
      <c r="E607" s="121" t="s">
        <v>2374</v>
      </c>
    </row>
    <row r="608" spans="2:5" ht="20" customHeight="1" x14ac:dyDescent="0.2">
      <c r="B608" s="23" t="s">
        <v>245</v>
      </c>
      <c r="C608" s="65" t="str">
        <f>IF(cluster_wld_domain_chosen&lt;&gt;"MGMT Workload Domain",CONCATENATE(prefix_wld_az1_rack_cidr,"90.116"),CONCATENATE(prefix_mgmt_az1_cidr,"90.116"))</f>
        <v>10.13.90.116</v>
      </c>
      <c r="D608" s="66"/>
      <c r="E608" s="121" t="s">
        <v>2375</v>
      </c>
    </row>
    <row r="609" spans="2:5" ht="16" customHeight="1" x14ac:dyDescent="0.2">
      <c r="B609" s="9"/>
      <c r="C609" s="9"/>
      <c r="D609" s="9"/>
      <c r="E609" s="9"/>
    </row>
    <row r="610" spans="2:5" ht="34" customHeight="1" x14ac:dyDescent="0.2">
      <c r="B610" s="559" t="s">
        <v>2376</v>
      </c>
      <c r="C610" s="560"/>
      <c r="D610" s="560"/>
      <c r="E610" s="561"/>
    </row>
    <row r="611" spans="2:5" ht="20" customHeight="1" x14ac:dyDescent="0.2">
      <c r="B611" s="62" t="s">
        <v>250</v>
      </c>
      <c r="C611" s="62" t="s">
        <v>251</v>
      </c>
      <c r="D611" s="160" t="s">
        <v>20</v>
      </c>
      <c r="E611" s="62" t="s">
        <v>21</v>
      </c>
    </row>
    <row r="612" spans="2:5" ht="20" customHeight="1" x14ac:dyDescent="0.2">
      <c r="B612" s="23" t="s">
        <v>204</v>
      </c>
      <c r="C612" s="153" t="str">
        <f>IF(cluster_wld_domain_chosen&lt;&gt;"MGMT Workload Domain",CONCATENATE(this_instance,"01-w0",wld_domain_number_chosen,"-r08-esx01",".",sample_child_dns_zone),CONCATENATE(this_instance,"01-m01-r08-esx01",".",sample_child_dns_zone))</f>
        <v>sfo01-w01-r08-esx01.sfo.rainpole.io</v>
      </c>
      <c r="D612" s="66"/>
      <c r="E612" s="42"/>
    </row>
    <row r="613" spans="2:5" ht="20" customHeight="1" x14ac:dyDescent="0.2">
      <c r="B613" s="23" t="s">
        <v>206</v>
      </c>
      <c r="C613" s="153" t="str">
        <f>IF(cluster_wld_domain_chosen&lt;&gt;"MGMT Workload Domain",CONCATENATE(this_instance,"01-w0",wld_domain_number_chosen,"-r08-esx02",".",sample_child_dns_zone),CONCATENATE(this_instance,"01-m01-r08-esx02",".",sample_child_dns_zone))</f>
        <v>sfo01-w01-r08-esx02.sfo.rainpole.io</v>
      </c>
      <c r="D613" s="66"/>
      <c r="E613" s="42"/>
    </row>
    <row r="614" spans="2:5" ht="20" customHeight="1" x14ac:dyDescent="0.2">
      <c r="B614" s="23" t="s">
        <v>208</v>
      </c>
      <c r="C614" s="153" t="str">
        <f>IF(cluster_wld_domain_chosen&lt;&gt;"MGMT Workload Domain",CONCATENATE(this_instance,"01-w0",wld_domain_number_chosen,"-r08-esx03",".",sample_child_dns_zone),CONCATENATE(this_instance,"01-m01-r08-esx03",".",sample_child_dns_zone))</f>
        <v>sfo01-w01-r08-esx03.sfo.rainpole.io</v>
      </c>
      <c r="D614" s="66"/>
      <c r="E614" s="42"/>
    </row>
    <row r="615" spans="2:5" ht="20" customHeight="1" x14ac:dyDescent="0.2">
      <c r="B615" s="23" t="s">
        <v>210</v>
      </c>
      <c r="C615" s="153" t="str">
        <f>IF(cluster_wld_domain_chosen&lt;&gt;"MGMT Workload Domain",CONCATENATE(this_instance,"01-w0",wld_domain_number_chosen,"-r08-esx04",".",sample_child_dns_zone),CONCATENATE(this_instance,"01-m01-r08-esx04",".",sample_child_dns_zone))</f>
        <v>sfo01-w01-r08-esx04.sfo.rainpole.io</v>
      </c>
      <c r="D615" s="66"/>
      <c r="E615" s="42"/>
    </row>
    <row r="616" spans="2:5" ht="20" customHeight="1" x14ac:dyDescent="0.2">
      <c r="B616" s="23" t="s">
        <v>212</v>
      </c>
      <c r="C616" s="153" t="str">
        <f>IF(cluster_wld_domain_chosen&lt;&gt;"MGMT Workload Domain",CONCATENATE(this_instance,"01-w0",wld_domain_number_chosen,"-r08-esx05",".",sample_child_dns_zone),CONCATENATE(this_instance,"01-m01-r08-esx05",".",sample_child_dns_zone))</f>
        <v>sfo01-w01-r08-esx05.sfo.rainpole.io</v>
      </c>
      <c r="D616" s="66"/>
      <c r="E616" s="42"/>
    </row>
    <row r="617" spans="2:5" ht="20" customHeight="1" x14ac:dyDescent="0.2">
      <c r="B617" s="23" t="s">
        <v>214</v>
      </c>
      <c r="C617" s="153" t="str">
        <f>IF(cluster_wld_domain_chosen&lt;&gt;"MGMT Workload Domain",CONCATENATE(this_instance,"01-w0",wld_domain_number_chosen,"-r08-esx06",".",sample_child_dns_zone),CONCATENATE(this_instance,"01-m01-r08-esx06",".",sample_child_dns_zone))</f>
        <v>sfo01-w01-r08-esx06.sfo.rainpole.io</v>
      </c>
      <c r="D617" s="66"/>
      <c r="E617" s="42"/>
    </row>
    <row r="618" spans="2:5" ht="20" customHeight="1" x14ac:dyDescent="0.2">
      <c r="B618" s="23" t="s">
        <v>216</v>
      </c>
      <c r="C618" s="153" t="str">
        <f>IF(cluster_wld_domain_chosen&lt;&gt;"MGMT Workload Domain",CONCATENATE(this_instance,"01-w0",wld_domain_number_chosen,"-r08-esx07",".",sample_child_dns_zone),CONCATENATE(this_instance,"01-m01-r08-esx07",".",sample_child_dns_zone))</f>
        <v>sfo01-w01-r08-esx07.sfo.rainpole.io</v>
      </c>
      <c r="D618" s="66"/>
      <c r="E618" s="42"/>
    </row>
    <row r="619" spans="2:5" ht="20" customHeight="1" x14ac:dyDescent="0.2">
      <c r="B619" s="23" t="s">
        <v>218</v>
      </c>
      <c r="C619" s="153" t="str">
        <f>IF(cluster_wld_domain_chosen&lt;&gt;"MGMT Workload Domain",CONCATENATE(this_instance,"01-w0",wld_domain_number_chosen,"-r08-esx08",".",sample_child_dns_zone),CONCATENATE(this_instance,"01-m01-r08-esx08",".",sample_child_dns_zone))</f>
        <v>sfo01-w01-r08-esx08.sfo.rainpole.io</v>
      </c>
      <c r="D619" s="66"/>
      <c r="E619" s="42"/>
    </row>
    <row r="620" spans="2:5" ht="20" customHeight="1" x14ac:dyDescent="0.2">
      <c r="B620" s="23" t="s">
        <v>220</v>
      </c>
      <c r="C620" s="153" t="str">
        <f>IF(cluster_wld_domain_chosen&lt;&gt;"MGMT Workload Domain",CONCATENATE(this_instance,"01-w0",wld_domain_number_chosen,"-r08-esx09",".",sample_child_dns_zone),CONCATENATE(this_instance,"01-m01-r08-esx09",".",sample_child_dns_zone))</f>
        <v>sfo01-w01-r08-esx09.sfo.rainpole.io</v>
      </c>
      <c r="D620" s="66"/>
      <c r="E620" s="42"/>
    </row>
    <row r="621" spans="2:5" ht="20" customHeight="1" x14ac:dyDescent="0.2">
      <c r="B621" s="23" t="s">
        <v>222</v>
      </c>
      <c r="C621" s="153" t="str">
        <f>IF(cluster_wld_domain_chosen&lt;&gt;"MGMT Workload Domain",CONCATENATE(this_instance,"01-w0",wld_domain_number_chosen,"-r08-esx10",".",sample_child_dns_zone),CONCATENATE(this_instance,"01-m01-r08-esx10",".",sample_child_dns_zone))</f>
        <v>sfo01-w01-r08-esx10.sfo.rainpole.io</v>
      </c>
      <c r="D621" s="66"/>
      <c r="E621" s="42"/>
    </row>
    <row r="622" spans="2:5" ht="20" customHeight="1" x14ac:dyDescent="0.2">
      <c r="B622" s="23" t="s">
        <v>224</v>
      </c>
      <c r="C622" s="153" t="str">
        <f>IF(cluster_wld_domain_chosen&lt;&gt;"MGMT Workload Domain",CONCATENATE(this_instance,"01-w0",wld_domain_number_chosen,"-r08-esx11",".",sample_child_dns_zone),CONCATENATE(this_instance,"01-m01-r08-esx11",".",sample_child_dns_zone))</f>
        <v>sfo01-w01-r08-esx11.sfo.rainpole.io</v>
      </c>
      <c r="D622" s="66"/>
      <c r="E622" s="42"/>
    </row>
    <row r="623" spans="2:5" ht="20" customHeight="1" x14ac:dyDescent="0.2">
      <c r="B623" s="23" t="s">
        <v>226</v>
      </c>
      <c r="C623" s="153" t="str">
        <f>IF(cluster_wld_domain_chosen&lt;&gt;"MGMT Workload Domain",CONCATENATE(this_instance,"01-w0",wld_domain_number_chosen,"-r08-esx12",".",sample_child_dns_zone),CONCATENATE(this_instance,"01-m01-r08-esx12",".",sample_child_dns_zone))</f>
        <v>sfo01-w01-r08-esx12.sfo.rainpole.io</v>
      </c>
      <c r="D623" s="66"/>
      <c r="E623" s="42"/>
    </row>
    <row r="624" spans="2:5" ht="20" customHeight="1" x14ac:dyDescent="0.2">
      <c r="B624" s="23" t="s">
        <v>228</v>
      </c>
      <c r="C624" s="153" t="str">
        <f>IF(cluster_wld_domain_chosen&lt;&gt;"MGMT Workload Domain",CONCATENATE(this_instance,"01-w0",wld_domain_number_chosen,"-r08-esx13",".",sample_child_dns_zone),CONCATENATE(this_instance,"01-m01-r08-esx13",".",sample_child_dns_zone))</f>
        <v>sfo01-w01-r08-esx13.sfo.rainpole.io</v>
      </c>
      <c r="D624" s="66"/>
      <c r="E624" s="42"/>
    </row>
    <row r="625" spans="2:5" ht="20" customHeight="1" x14ac:dyDescent="0.2">
      <c r="B625" s="23" t="s">
        <v>230</v>
      </c>
      <c r="C625" s="153" t="str">
        <f>IF(cluster_wld_domain_chosen&lt;&gt;"MGMT Workload Domain",CONCATENATE(this_instance,"01-w0",wld_domain_number_chosen,"-r08-esx14",".",sample_child_dns_zone),CONCATENATE(this_instance,"01-m01-r08-esx14",".",sample_child_dns_zone))</f>
        <v>sfo01-w01-r08-esx14.sfo.rainpole.io</v>
      </c>
      <c r="D625" s="66"/>
      <c r="E625" s="42"/>
    </row>
    <row r="626" spans="2:5" ht="20" customHeight="1" x14ac:dyDescent="0.2">
      <c r="B626" s="23" t="s">
        <v>232</v>
      </c>
      <c r="C626" s="153" t="str">
        <f>IF(cluster_wld_domain_chosen&lt;&gt;"MGMT Workload Domain",CONCATENATE(this_instance,"01-w0",wld_domain_number_chosen,"-r08-esx14",".",sample_child_dns_zone),CONCATENATE(this_instance,"01-m01-r08-esx15",".",sample_child_dns_zone))</f>
        <v>sfo01-w01-r08-esx14.sfo.rainpole.io</v>
      </c>
      <c r="D626" s="66"/>
      <c r="E626" s="42"/>
    </row>
    <row r="627" spans="2:5" ht="20" customHeight="1" x14ac:dyDescent="0.2">
      <c r="B627" s="23" t="s">
        <v>234</v>
      </c>
      <c r="C627" s="153" t="str">
        <f>IF(cluster_wld_domain_chosen&lt;&gt;"MGMT Workload Domain",CONCATENATE(this_instance,"01-w0",wld_domain_number_chosen,"-r08-esx16",".",sample_child_dns_zone),CONCATENATE(this_instance,"01-m01-r08-esx16",".",sample_child_dns_zone))</f>
        <v>sfo01-w01-r08-esx16.sfo.rainpole.io</v>
      </c>
      <c r="D627" s="66"/>
      <c r="E627" s="42"/>
    </row>
    <row r="628" spans="2:5" ht="20" customHeight="1" x14ac:dyDescent="0.2">
      <c r="B628" s="23" t="s">
        <v>253</v>
      </c>
      <c r="C628" s="109" t="s">
        <v>647</v>
      </c>
      <c r="D628" s="8" t="s">
        <v>254</v>
      </c>
      <c r="E628" s="42"/>
    </row>
    <row r="629" spans="2:5" ht="20" customHeight="1" x14ac:dyDescent="0.2">
      <c r="B629" s="23" t="s">
        <v>255</v>
      </c>
      <c r="C629" s="109" t="s">
        <v>256</v>
      </c>
      <c r="D629"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629" s="4"/>
    </row>
    <row r="630" spans="2:5" ht="20" customHeight="1" x14ac:dyDescent="0.2">
      <c r="B630" s="23" t="s">
        <v>257</v>
      </c>
      <c r="C630" s="109" t="s">
        <v>154</v>
      </c>
      <c r="D630" s="8" t="str">
        <f>IF(AND(vcf_granular_option_chosen="Create Cluster",cluster_principal_storage_chosen="vSAN-ESA"),"Selected",
IF(AND(vcf_granular_option_chosen="Create Workload Domain",wld_principal_storage_chosen="vSAN-ESA"),"Selected","Unselected"))</f>
        <v>Unselected</v>
      </c>
      <c r="E630" s="42"/>
    </row>
    <row r="631" spans="2:5" ht="20" customHeight="1" x14ac:dyDescent="0.2">
      <c r="B631" s="23" t="s">
        <v>239</v>
      </c>
      <c r="C631" s="109" t="str">
        <f>sample_wld_az1_rack8_pool_name</f>
        <v>sfo01-w01-r08-network-pool-01</v>
      </c>
      <c r="D631" s="8" t="str">
        <f>wld_az1_rack8_pool_name</f>
        <v>Value Missing</v>
      </c>
      <c r="E631" s="42"/>
    </row>
    <row r="632" spans="2:5" ht="20" customHeight="1" x14ac:dyDescent="0.2">
      <c r="B632" s="23" t="s">
        <v>47</v>
      </c>
      <c r="C632" s="109" t="s">
        <v>258</v>
      </c>
      <c r="D632"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632" s="42"/>
    </row>
    <row r="633" spans="2:5" ht="20" customHeight="1" x14ac:dyDescent="0.2">
      <c r="B633" s="23" t="s">
        <v>30</v>
      </c>
      <c r="C633" s="109" t="s">
        <v>31</v>
      </c>
      <c r="D633" s="8" t="str">
        <f>IF(cluster_chosen="Deploy a Multi-Rack Layer 3 Cluster",cluster_esx_root_password,
IF(wld_domain_chosen="Deploy Workload Domain with a Multi-Rack Layer 3 Cluster",wld_esx_root_password,"Mulitrack deployment type (Cluster/WLD not set"))</f>
        <v>Mulitrack deployment type (Cluster/WLD not set</v>
      </c>
      <c r="E633" s="42"/>
    </row>
    <row r="634" spans="2:5" ht="20" customHeight="1" x14ac:dyDescent="0.2"/>
    <row r="635" spans="2:5" ht="34" customHeight="1" x14ac:dyDescent="0.2">
      <c r="B635" s="559" t="s">
        <v>2377</v>
      </c>
      <c r="C635" s="560"/>
      <c r="D635" s="560"/>
      <c r="E635" s="561"/>
    </row>
    <row r="636" spans="2:5" ht="20" customHeight="1" x14ac:dyDescent="0.2">
      <c r="B636" s="4" t="s">
        <v>325</v>
      </c>
      <c r="C636" s="109" t="str">
        <f>IF(vcf_granular_option_chosen="Create Cluster",CONCATENATE(this_instance,"01-",sample_cluster_name,"-r08-network-profile"),
IF(cluster_wld_domain_chosen="Workload Domain",CONCATENATE(this_instance,"01-",sample_wld_cl01_cluster,"-r08-network-profile"),
CONCATENATE(this_instance,"01-",sample_mgmt_cl01_cluster,"-r08-network-profile")))</f>
        <v>sfo01-sfo-w01-cl01-r08-network-profile</v>
      </c>
      <c r="D636" s="66"/>
      <c r="E636" s="103"/>
    </row>
    <row r="637" spans="2:5" ht="20" customHeight="1" x14ac:dyDescent="0.2">
      <c r="B637" s="4" t="s">
        <v>2336</v>
      </c>
      <c r="C637" s="65" t="s">
        <v>327</v>
      </c>
      <c r="D637" s="154" t="s">
        <v>327</v>
      </c>
      <c r="E637" s="4" t="str">
        <f>IF(wld_az1_rack8_host_overlay_new_pool_chosen="Re-use an existing Pool","An existing Pool will be reused for Host TEP assignment","A new Pool will be created for Host TEP assignment")</f>
        <v>A new Pool will be created for Host TEP assignment</v>
      </c>
    </row>
    <row r="638" spans="2:5" ht="20" customHeight="1" x14ac:dyDescent="0.2">
      <c r="B638" s="4" t="s">
        <v>328</v>
      </c>
      <c r="C638" s="109" t="str">
        <f>IF(cluster_wld_domain_chosen="Workload Domain",CONCATENATE(this_instance,"01-w0",wld_domain_number_chosen,"-r08-ip-pool01-host"),CONCATENATE(this_instance,"01-m01","-r08-ip-pool01-host"))</f>
        <v>sfo01-w01-r08-ip-pool01-host</v>
      </c>
      <c r="D638" s="66"/>
      <c r="E638" s="103"/>
    </row>
    <row r="639" spans="2:5" ht="20" customHeight="1" x14ac:dyDescent="0.2">
      <c r="B639" s="4" t="s">
        <v>329</v>
      </c>
      <c r="C639" s="109" t="str">
        <f>IF(cluster_wld_domain_chosen="Workload Domain",CONCATENATE(this_instance,"01-w0",wld_domain_number_chosen,"-r08-uplink-profile01"),CONCATENATE(this_instance,"01-m01","-r08-uplink-profile01"))</f>
        <v>sfo01-w01-r08-uplink-profile01</v>
      </c>
      <c r="D639" s="66"/>
      <c r="E639" s="103"/>
    </row>
    <row r="640" spans="2:5" ht="20" customHeight="1" x14ac:dyDescent="0.2">
      <c r="B640" s="4" t="s">
        <v>2337</v>
      </c>
      <c r="C640" s="109" t="str">
        <f>IF(cluster_wld_domain_chosen="Workload Domain",CONCATENATE(this_instance,"01-w0",wld_domain_number_chosen,"-r08-ip-pool02-edge"),CONCATENATE(this_instance,"01-m01","-r08-ip-pool02-edge"))</f>
        <v>sfo01-w01-r08-ip-pool02-edge</v>
      </c>
      <c r="D640" s="66"/>
      <c r="E640" s="103"/>
    </row>
    <row r="641" spans="2:5" ht="20" customHeight="1" x14ac:dyDescent="0.2">
      <c r="B641" s="4" t="s">
        <v>2338</v>
      </c>
      <c r="C641" s="109" t="str">
        <f>IF(cluster_wld_domain_chosen="Workload Domain",CONCATENATE(this_instance,"01-w0",wld_domain_number_chosen,"-r08-ip-pool03-rtep"),CONCATENATE(this_instance,"01-m01","-r08-ip-pool03-rtep"))</f>
        <v>sfo01-w01-r08-ip-pool03-rtep</v>
      </c>
      <c r="D641" s="66"/>
      <c r="E641" s="103"/>
    </row>
    <row r="642" spans="2:5" ht="20" customHeight="1" x14ac:dyDescent="0.2">
      <c r="B642" s="521" t="s">
        <v>708</v>
      </c>
      <c r="C642" s="522"/>
      <c r="D642" s="522"/>
      <c r="E642" s="523"/>
    </row>
    <row r="643" spans="2:5" ht="20" customHeight="1" x14ac:dyDescent="0.2">
      <c r="B643" s="241" t="s">
        <v>250</v>
      </c>
      <c r="C643" s="241" t="s">
        <v>251</v>
      </c>
      <c r="D643" s="247" t="s">
        <v>20</v>
      </c>
      <c r="E643" s="241" t="s">
        <v>21</v>
      </c>
    </row>
    <row r="644" spans="2:5" ht="20" customHeight="1" x14ac:dyDescent="0.2">
      <c r="B644" s="4" t="s">
        <v>1198</v>
      </c>
      <c r="C644" s="103" t="str">
        <f>IF(cluster_wld_domain_chosen&lt;&gt;"MGMT Workload Domain",CONCATENATE(this_instance,"-w0",wld_domain_number_chosen,"-r08","-vsan-fault-domain"),CONCATENATE(this_instance,"-m01","-r08","-vsan-fault-domain"))</f>
        <v>sfo-w01-r08-vsan-fault-domain</v>
      </c>
      <c r="D644" s="66"/>
      <c r="E644" s="8"/>
    </row>
    <row r="645" spans="2:5" ht="16" customHeight="1" x14ac:dyDescent="0.2"/>
    <row r="646" spans="2:5" ht="34" customHeight="1" x14ac:dyDescent="0.2">
      <c r="B646" s="559" t="s">
        <v>2378</v>
      </c>
      <c r="C646" s="560"/>
      <c r="D646" s="560"/>
      <c r="E646" s="561"/>
    </row>
    <row r="647" spans="2:5" ht="20" customHeight="1" x14ac:dyDescent="0.2">
      <c r="B647" s="62" t="s">
        <v>250</v>
      </c>
      <c r="C647" s="62" t="s">
        <v>251</v>
      </c>
      <c r="D647" s="160" t="s">
        <v>20</v>
      </c>
      <c r="E647" s="62" t="s">
        <v>21</v>
      </c>
    </row>
    <row r="648" spans="2:5" ht="20" customHeight="1" x14ac:dyDescent="0.2">
      <c r="B648" s="521" t="s">
        <v>794</v>
      </c>
      <c r="C648" s="522"/>
      <c r="D648" s="522"/>
      <c r="E648" s="523"/>
    </row>
    <row r="649" spans="2:5" ht="20" customHeight="1" x14ac:dyDescent="0.2">
      <c r="B649" s="4" t="s">
        <v>85</v>
      </c>
      <c r="C649" s="65" t="str">
        <f>IF(cluster_wld_domain_chosen&lt;&gt;"MGMT Workload Domain",CONCATENATE(prefix_wld_az1_rack_vlan,"91"),CONCATENATE(prefix_mgmt_az1_vlan,"91"))</f>
        <v>1391</v>
      </c>
      <c r="D649" s="66"/>
      <c r="E649" s="113"/>
    </row>
    <row r="650" spans="2:5" ht="20" customHeight="1" x14ac:dyDescent="0.2">
      <c r="B650" s="4" t="s">
        <v>155</v>
      </c>
      <c r="C650" s="65">
        <v>9000</v>
      </c>
      <c r="D650" s="66"/>
      <c r="E650" s="42"/>
    </row>
    <row r="651" spans="2:5" ht="20" customHeight="1" x14ac:dyDescent="0.2">
      <c r="B651" s="4" t="s">
        <v>181</v>
      </c>
      <c r="C651" s="153" t="str">
        <f>IF(cluster_wld_domain_chosen&lt;&gt;"MGMT Workload Domain",CONCATENATE(prefix_wld_az1_rack_cidr,"91.0"),CONCATENATE(prefix_mgmt_az1_cidr,"91.0"))</f>
        <v>10.13.91.0</v>
      </c>
      <c r="D651" s="66"/>
      <c r="E651" s="42"/>
    </row>
    <row r="652" spans="2:5" ht="20" customHeight="1" x14ac:dyDescent="0.2">
      <c r="B652" s="4" t="s">
        <v>274</v>
      </c>
      <c r="C652" s="153" t="s">
        <v>126</v>
      </c>
      <c r="D652" s="66"/>
      <c r="E652" s="42"/>
    </row>
    <row r="653" spans="2:5" ht="20" customHeight="1" x14ac:dyDescent="0.2">
      <c r="B653" s="4" t="s">
        <v>180</v>
      </c>
      <c r="C653" s="65" t="str">
        <f>IF(cluster_wld_domain_chosen&lt;&gt;"MGMT Workload Domain",CONCATENATE(prefix_wld_az1_rack_cidr,"91.1"),CONCATENATE(prefix_mgmt_az1_cidr,"91.1"))</f>
        <v>10.13.91.1</v>
      </c>
      <c r="D653" s="66"/>
      <c r="E653" s="42"/>
    </row>
    <row r="654" spans="2:5" ht="20" customHeight="1" x14ac:dyDescent="0.2">
      <c r="B654" s="23" t="s">
        <v>244</v>
      </c>
      <c r="C654" s="65" t="str">
        <f>IF(cluster_wld_domain_chosen&lt;&gt;"MGMT Workload Domain",CONCATENATE(prefix_wld_az1_rack_cidr,"91.101"),CONCATENATE(prefix_mgmt_az1_cidr,"91.101"))</f>
        <v>10.13.91.101</v>
      </c>
      <c r="D654" s="66"/>
      <c r="E654" s="121" t="s">
        <v>2370</v>
      </c>
    </row>
    <row r="655" spans="2:5" ht="20" customHeight="1" x14ac:dyDescent="0.2">
      <c r="B655" s="23" t="s">
        <v>245</v>
      </c>
      <c r="C655" s="65" t="str">
        <f>IF(cluster_wld_domain_chosen&lt;&gt;"MGMT Workload Domain",CONCATENATE(prefix_wld_az1_rack_cidr,"91.116"),CONCATENATE(prefix_mgmt_az1_cidr,"91.116"))</f>
        <v>10.13.91.116</v>
      </c>
      <c r="D655" s="66"/>
      <c r="E655" s="121" t="s">
        <v>2371</v>
      </c>
    </row>
    <row r="656" spans="2:5" ht="20" customHeight="1" x14ac:dyDescent="0.2"/>
  </sheetData>
  <sheetProtection algorithmName="SHA-512" hashValue="RCYv8mNDY0nmPoIzrgotP53ys4a5mSI6WyZyj9uZ144aeI8dGB983g3b1nVSsZFkB7IPXESkGEONqdFoxLEFeg==" saltValue="TEpStyyjRlDjggz95MMc8w==" spinCount="100000" sheet="1" selectLockedCells="1"/>
  <mergeCells count="79">
    <mergeCell ref="B646:E646"/>
    <mergeCell ref="B648:E648"/>
    <mergeCell ref="B88:E88"/>
    <mergeCell ref="B90:E90"/>
    <mergeCell ref="B181:E181"/>
    <mergeCell ref="B183:E183"/>
    <mergeCell ref="B274:E274"/>
    <mergeCell ref="B276:E276"/>
    <mergeCell ref="B367:E367"/>
    <mergeCell ref="B369:E369"/>
    <mergeCell ref="B460:E460"/>
    <mergeCell ref="B462:E462"/>
    <mergeCell ref="B553:E553"/>
    <mergeCell ref="B555:E555"/>
    <mergeCell ref="B601:E601"/>
    <mergeCell ref="B610:E610"/>
    <mergeCell ref="B635:E635"/>
    <mergeCell ref="B642:E642"/>
    <mergeCell ref="B564:E564"/>
    <mergeCell ref="B566:E566"/>
    <mergeCell ref="B571:E571"/>
    <mergeCell ref="B589:E589"/>
    <mergeCell ref="B593:E593"/>
    <mergeCell ref="B508:E508"/>
    <mergeCell ref="B517:E517"/>
    <mergeCell ref="B542:E542"/>
    <mergeCell ref="B549:E549"/>
    <mergeCell ref="B471:E471"/>
    <mergeCell ref="B473:E473"/>
    <mergeCell ref="B478:E478"/>
    <mergeCell ref="B496:E496"/>
    <mergeCell ref="B500:E500"/>
    <mergeCell ref="B415:E415"/>
    <mergeCell ref="B424:E424"/>
    <mergeCell ref="B449:E449"/>
    <mergeCell ref="B456:E456"/>
    <mergeCell ref="B378:E378"/>
    <mergeCell ref="B380:E380"/>
    <mergeCell ref="B385:E385"/>
    <mergeCell ref="B403:E403"/>
    <mergeCell ref="B407:E407"/>
    <mergeCell ref="B363:E363"/>
    <mergeCell ref="B314:E314"/>
    <mergeCell ref="B322:E322"/>
    <mergeCell ref="B331:E331"/>
    <mergeCell ref="B356:E356"/>
    <mergeCell ref="B285:E285"/>
    <mergeCell ref="B287:E287"/>
    <mergeCell ref="B292:E292"/>
    <mergeCell ref="B310:E310"/>
    <mergeCell ref="B35:E35"/>
    <mergeCell ref="B43:E43"/>
    <mergeCell ref="B52:E52"/>
    <mergeCell ref="B106:E106"/>
    <mergeCell ref="B124:E124"/>
    <mergeCell ref="B128:E128"/>
    <mergeCell ref="B136:E136"/>
    <mergeCell ref="B145:E145"/>
    <mergeCell ref="B192:E192"/>
    <mergeCell ref="B194:E194"/>
    <mergeCell ref="B199:E199"/>
    <mergeCell ref="B170:E170"/>
    <mergeCell ref="B2:E2"/>
    <mergeCell ref="B3:E3"/>
    <mergeCell ref="B6:E6"/>
    <mergeCell ref="B8:E8"/>
    <mergeCell ref="B13:E13"/>
    <mergeCell ref="B31:E31"/>
    <mergeCell ref="B84:E84"/>
    <mergeCell ref="B77:E77"/>
    <mergeCell ref="B99:E99"/>
    <mergeCell ref="B101:E101"/>
    <mergeCell ref="B177:E177"/>
    <mergeCell ref="B263:E263"/>
    <mergeCell ref="B270:E270"/>
    <mergeCell ref="B217:E217"/>
    <mergeCell ref="B221:E221"/>
    <mergeCell ref="B229:E229"/>
    <mergeCell ref="B238:E238"/>
  </mergeCells>
  <conditionalFormatting sqref="D9:D12 D14:D29 D33:D34 D36:D42 D44:D50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expression" dxfId="262" priority="26">
      <formula>wld_multirack_result="Excluded"</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D36:D42 D44:D50">
    <cfRule type="containsBlanks" dxfId="261" priority="1432">
      <formula>LEN(TRIM(D9))=0</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notContainsBlanks" dxfId="260" priority="1431">
      <formula>LEN(TRIM(D9))&gt;0</formula>
    </cfRule>
  </conditionalFormatting>
  <conditionalFormatting sqref="D15 D55 D108 D148 D201 D241 D294 D334 D387 D427 D480 D520 D573 D613">
    <cfRule type="expression" dxfId="259" priority="27">
      <formula>AND((cluster_compute_hosts_per_rack_chosen&lt;2),(vcf_granular_option_chosen="Create Cluster"))</formula>
    </cfRule>
    <cfRule type="expression" dxfId="258" priority="46">
      <formula>AND((wld_compute_hosts_per_rack_chosen&lt;2),(vcf_granular_option_chosen="Create VI Workload Domain"))</formula>
    </cfRule>
  </conditionalFormatting>
  <conditionalFormatting sqref="D16 D56 D109 D149 D202 D242 D295 D335 D388 D428 D481 D521 D574 D614">
    <cfRule type="expression" dxfId="257" priority="28">
      <formula>AND((cluster_compute_hosts_per_rack_chosen&lt;3),(vcf_granular_option_chosen="Create Cluster"))</formula>
    </cfRule>
    <cfRule type="expression" dxfId="256" priority="47">
      <formula>AND((wld_compute_hosts_per_rack_chosen&lt;3),(vcf_granular_option_chosen="Create VI Workload Domain"))</formula>
    </cfRule>
  </conditionalFormatting>
  <conditionalFormatting sqref="D17 D57 D110 D150 D203 D243 D296 D336 D389 D429 D482 D522 D575 D615">
    <cfRule type="expression" dxfId="255" priority="29">
      <formula>AND((cluster_compute_hosts_per_rack_chosen&lt;4),(vcf_granular_option_chosen="Create Cluster"))</formula>
    </cfRule>
    <cfRule type="expression" dxfId="254" priority="48">
      <formula>AND((wld_compute_hosts_per_rack_chosen&lt;4),(vcf_granular_option_chosen="Create VI Workload Domain"))</formula>
    </cfRule>
  </conditionalFormatting>
  <conditionalFormatting sqref="D18 D58 D111 D151 D204 D244 D297 D337 D390 D430 D483 D523 D576 D616">
    <cfRule type="expression" dxfId="253" priority="30">
      <formula>AND((cluster_compute_hosts_per_rack_chosen&lt;5),(vcf_granular_option_chosen="Create Cluster"))</formula>
    </cfRule>
    <cfRule type="expression" dxfId="252" priority="49">
      <formula>AND((wld_compute_hosts_per_rack_chosen&lt;5),(vcf_granular_option_chosen="Create VI Workload Domain"))</formula>
    </cfRule>
  </conditionalFormatting>
  <conditionalFormatting sqref="D19 D59 D112 D152 D205 D245 D298 D338 D391 D431 D484 D524 D577 D617">
    <cfRule type="expression" dxfId="251" priority="31">
      <formula>AND((cluster_compute_hosts_per_rack_chosen&lt;6),(vcf_granular_option_chosen="Create Cluster"))</formula>
    </cfRule>
    <cfRule type="expression" dxfId="250" priority="50">
      <formula>AND((wld_compute_hosts_per_rack_chosen&lt;6),(vcf_granular_option_chosen="Create VI Workload Domain"))</formula>
    </cfRule>
  </conditionalFormatting>
  <conditionalFormatting sqref="D20 D60 D113 D153 D206 D246 D299 D339 D392 D432 D485 D525 D578 D618">
    <cfRule type="expression" dxfId="249" priority="32">
      <formula>AND((cluster_compute_hosts_per_rack_chosen&lt;7),(vcf_granular_option_chosen="Create Cluster"))</formula>
    </cfRule>
    <cfRule type="expression" dxfId="248" priority="51">
      <formula>AND((wld_compute_hosts_per_rack_chosen&lt;7),(vcf_granular_option_chosen="Create VI Workload Domain"))</formula>
    </cfRule>
  </conditionalFormatting>
  <conditionalFormatting sqref="D21 D61 D114 D154 D207 D247 D300 D340 D393 D433 D486 D526 D579 D619">
    <cfRule type="expression" dxfId="247" priority="33">
      <formula>AND((cluster_compute_hosts_per_rack_chosen&lt;8),(vcf_granular_option_chosen="Create Cluster"))</formula>
    </cfRule>
    <cfRule type="expression" dxfId="246" priority="52">
      <formula>AND((wld_compute_hosts_per_rack_chosen&lt;8),(vcf_granular_option_chosen="Create VI Workload Domain"))</formula>
    </cfRule>
  </conditionalFormatting>
  <conditionalFormatting sqref="D22 D62 D115 D155 D208 D248 D301 D341 D394 D434 D487 D527 D580 D620">
    <cfRule type="expression" dxfId="245" priority="34">
      <formula>AND((cluster_compute_hosts_per_rack_chosen&lt;9),(vcf_granular_option_chosen="Create Cluster"))</formula>
    </cfRule>
    <cfRule type="expression" dxfId="244" priority="53">
      <formula>AND((wld_compute_hosts_per_rack_chosen&lt;9),(vcf_granular_option_chosen="Create VI Workload Domain"))</formula>
    </cfRule>
  </conditionalFormatting>
  <conditionalFormatting sqref="D23 D63 D116 D156 D209 D249 D302 D342 D395 D435 D488 D528 D581 D621">
    <cfRule type="expression" dxfId="243" priority="35">
      <formula>AND((cluster_compute_hosts_per_rack_chosen&lt;10),(vcf_granular_option_chosen="Create Cluster"))</formula>
    </cfRule>
    <cfRule type="expression" dxfId="242" priority="54">
      <formula>AND((wld_compute_hosts_per_rack_chosen&lt;10),(vcf_granular_option_chosen="Create VI Workload Domain"))</formula>
    </cfRule>
  </conditionalFormatting>
  <conditionalFormatting sqref="D24 D64 D117 D157 D210 D250 D303 D343 D396 D436 D489 D529 D582 D622">
    <cfRule type="expression" dxfId="241" priority="36">
      <formula>AND((cluster_compute_hosts_per_rack_chosen&lt;11),(vcf_granular_option_chosen="Create Cluster"))</formula>
    </cfRule>
    <cfRule type="expression" dxfId="240" priority="55">
      <formula>AND((wld_compute_hosts_per_rack_chosen&lt;11),(vcf_granular_option_chosen="Create VI Workload Domain"))</formula>
    </cfRule>
  </conditionalFormatting>
  <conditionalFormatting sqref="D25 D65 D118 D158 D211 D251 D304 D344 D397 D437 D490 D530 D583 D623">
    <cfRule type="expression" dxfId="239" priority="37">
      <formula>AND((cluster_compute_hosts_per_rack_chosen&lt;12),(vcf_granular_option_chosen="Create Cluster"))</formula>
    </cfRule>
    <cfRule type="expression" dxfId="238" priority="56">
      <formula>AND((wld_compute_hosts_per_rack_chosen&lt;12),(vcf_granular_option_chosen="Create VI Workload Domain"))</formula>
    </cfRule>
  </conditionalFormatting>
  <conditionalFormatting sqref="D26 D66 D119 D159 D212 D252 D305 D345 D398 D438 D491 D531 D584 D624">
    <cfRule type="expression" dxfId="237" priority="38">
      <formula>AND((cluster_compute_hosts_per_rack_chosen&lt;13),(vcf_granular_option_chosen="Create Cluster"))</formula>
    </cfRule>
    <cfRule type="expression" dxfId="236" priority="57">
      <formula>AND((wld_compute_hosts_per_rack_chosen&lt;13),(vcf_granular_option_chosen="Create VI Workload Domain"))</formula>
    </cfRule>
  </conditionalFormatting>
  <conditionalFormatting sqref="D27 D67 D120 D160 D213 D253 D306 D346 D399 D439 D492 D532 D585 D625">
    <cfRule type="expression" dxfId="235" priority="39">
      <formula>AND((cluster_compute_hosts_per_rack_chosen&lt;14),(vcf_granular_option_chosen="Create Cluster"))</formula>
    </cfRule>
    <cfRule type="expression" dxfId="234" priority="58">
      <formula>AND((wld_compute_hosts_per_rack_chosen&lt;14),(vcf_granular_option_chosen="Create VI Workload Domain"))</formula>
    </cfRule>
  </conditionalFormatting>
  <conditionalFormatting sqref="D28 D68 D121 D161 D214 D254 D307 D347 D400 D440 D493 D533 D586 D626">
    <cfRule type="expression" dxfId="233" priority="40">
      <formula>AND((cluster_compute_hosts_per_rack_chosen&lt;15),(vcf_granular_option_chosen="Create Cluster"))</formula>
    </cfRule>
    <cfRule type="expression" dxfId="232" priority="59">
      <formula>AND((wld_compute_hosts_per_rack_chosen&lt;15),(vcf_granular_option_chosen="Create VI Workload Domain"))</formula>
    </cfRule>
  </conditionalFormatting>
  <conditionalFormatting sqref="D29 D69 D122 D162 D215 D255 D308 D348 D401 D441 D494 D534 D587 D627">
    <cfRule type="expression" dxfId="231" priority="41">
      <formula>AND((cluster_compute_hosts_per_rack_chosen&lt;16),(vcf_granular_option_chosen="Create Cluster"))</formula>
    </cfRule>
    <cfRule type="expression" dxfId="230" priority="60">
      <formula>AND((wld_compute_hosts_per_rack_chosen&lt;16),(vcf_granular_option_chosen="Create VI Workload Domain"))</formula>
    </cfRule>
  </conditionalFormatting>
  <conditionalFormatting sqref="D36:D42 D44:D50">
    <cfRule type="expression" dxfId="229" priority="7">
      <formula>wld_az1_rack2_reuse_vcf_networkpool_chosen="Re-use an existing VCF Network Pool"</formula>
    </cfRule>
  </conditionalFormatting>
  <conditionalFormatting sqref="D36:D50">
    <cfRule type="notContainsBlanks" dxfId="228" priority="1394">
      <formula>LEN(TRIM(D36))&gt;0</formula>
    </cfRule>
  </conditionalFormatting>
  <conditionalFormatting sqref="D43">
    <cfRule type="expression" dxfId="227" priority="1391">
      <formula>mgmt_domain_existing_vcenter_chosen="Selected"</formula>
    </cfRule>
    <cfRule type="containsBlanks" dxfId="225" priority="1393">
      <formula>LEN(TRIM(D43))=0</formula>
    </cfRule>
  </conditionalFormatting>
  <conditionalFormatting sqref="D91:D97">
    <cfRule type="expression" dxfId="224" priority="14">
      <formula>wld_az1_rack2_host_overlay_new_pool_chosen="Re-use an existing Pool"</formula>
    </cfRule>
  </conditionalFormatting>
  <conditionalFormatting sqref="D129:D135 D137:D143">
    <cfRule type="expression" dxfId="223" priority="6">
      <formula>wld_az1_rack3_reuse_vcf_networkpool_chosen="Re-use an existing VCF Network Pool"</formula>
    </cfRule>
  </conditionalFormatting>
  <conditionalFormatting sqref="D184:D190">
    <cfRule type="expression" dxfId="222" priority="13">
      <formula>wld_az1_rack3_host_overlay_new_pool_chosen="Re-use an existing Pool"</formula>
    </cfRule>
  </conditionalFormatting>
  <conditionalFormatting sqref="D222:D228 D230:D236">
    <cfRule type="expression" dxfId="221" priority="5">
      <formula>wld_az1_rack4_reuse_vcf_networkpool_chosen="Re-use an existing VCF Network Pool"</formula>
    </cfRule>
  </conditionalFormatting>
  <conditionalFormatting sqref="D277:D283">
    <cfRule type="expression" dxfId="220" priority="12">
      <formula>wld_az1_rack3_host_overlay_new_pool_chosen="Re-use an existing Pool"</formula>
    </cfRule>
  </conditionalFormatting>
  <conditionalFormatting sqref="D293:D308 D333:D354 D288:D291 D312:D313 D315:D321 D323:D329 D357:D362 D365 D370:D376">
    <cfRule type="expression" dxfId="219" priority="61">
      <formula>wld_multi_rack_count_chosen&lt;4</formula>
    </cfRule>
  </conditionalFormatting>
  <conditionalFormatting sqref="D315:D321 D323:D329">
    <cfRule type="expression" dxfId="218" priority="4">
      <formula>wld_az1_rack5_reuse_vcf_networkpool_chosen="Re-use an existing VCF Network Pool"</formula>
    </cfRule>
  </conditionalFormatting>
  <conditionalFormatting sqref="D370:D376">
    <cfRule type="expression" dxfId="217" priority="8">
      <formula>wld_az1_rack5_host_overlay_new_pool_chosen="Re-use an existing Pool"</formula>
    </cfRule>
  </conditionalFormatting>
  <conditionalFormatting sqref="D386:D401 D426:D447 D479:D494 D381:D384 D405:D406 D408:D414 D416:D422 D450:D455 D458 D463:D469 D474:D477">
    <cfRule type="expression" dxfId="216" priority="62">
      <formula>wld_multi_rack_count_chosen&lt;5</formula>
    </cfRule>
  </conditionalFormatting>
  <conditionalFormatting sqref="D408:D414 D416:D422">
    <cfRule type="expression" dxfId="215" priority="3">
      <formula>wld_az1_rack6_reuse_vcf_networkpool_chosen="Re-use an existing VCF Network Pool"</formula>
    </cfRule>
  </conditionalFormatting>
  <conditionalFormatting sqref="D463:D469">
    <cfRule type="expression" dxfId="214" priority="9">
      <formula>wld_az1_rack6_host_overlay_new_pool_chosen="Re-use an existing Pool"</formula>
    </cfRule>
  </conditionalFormatting>
  <conditionalFormatting sqref="D479:D494 D519:D540 D572:D587 D474:D477 D498:D507 D509:D515 D543:D548 D551 D556:D562 D567:D570">
    <cfRule type="expression" dxfId="213" priority="68">
      <formula>wld_multi_rack_count_chosen&lt;6</formula>
    </cfRule>
  </conditionalFormatting>
  <conditionalFormatting sqref="D501:D507 D509:D515">
    <cfRule type="expression" dxfId="212" priority="2">
      <formula>wld_az1_rack7_reuse_vcf_networkpool_chosen="Re-use an existing VCF Network Pool"</formula>
    </cfRule>
  </conditionalFormatting>
  <conditionalFormatting sqref="D556:D562">
    <cfRule type="expression" dxfId="211" priority="10">
      <formula>wld_az1_rack7_host_overlay_new_pool_chosen="Re-use an existing Pool"</formula>
    </cfRule>
  </conditionalFormatting>
  <conditionalFormatting sqref="D594:D600 D602:D608">
    <cfRule type="expression" dxfId="209" priority="1">
      <formula>wld_az1_rack8_reuse_vcf_networkpool_chosen="Re-use an existing VCF Network Pool"</formula>
    </cfRule>
  </conditionalFormatting>
  <conditionalFormatting sqref="D612:D633 D591:D600 D602:D608 D636:D641 D644 D649:D655">
    <cfRule type="expression" dxfId="208" priority="69">
      <formula>wld_multi_rack_count_chosen&lt;7</formula>
    </cfRule>
  </conditionalFormatting>
  <conditionalFormatting sqref="D649:D655">
    <cfRule type="expression" dxfId="207" priority="11">
      <formula>wld_az1_rack8_host_overlay_new_pool_chosen="Re-use an existing Pool"</formula>
    </cfRule>
  </conditionalFormatting>
  <dataValidations count="2">
    <dataValidation type="list" allowBlank="1" showInputMessage="1" showErrorMessage="1" sqref="D79 D172 D265 D358 D451 D544 D637" xr:uid="{989746BE-20D3-B04B-B241-5D8673966251}">
      <formula1>"Re-use an existing Pool,Create New Static IP Pool"</formula1>
    </dataValidation>
    <dataValidation type="list" allowBlank="1" showInputMessage="1" showErrorMessage="1" sqref="D33 D126 D219 D312 D405 D498 D591" xr:uid="{25988990-77E1-0A4B-8C16-FB6FFFFE0B19}">
      <formula1>"Re-use an existing VCF Network Pool,Create a new VCF Network Pool"</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92" stopIfTrue="1" operator="containsText" id="{B65623A2-5B9B-B54D-B3DC-68BAF6D50331}">
            <xm:f>NOT(ISERROR(SEARCH("Value Missing",D43)))</xm:f>
            <xm:f>"Value Missing"</xm:f>
            <x14:dxf>
              <font>
                <color rgb="FF0E223A"/>
              </font>
              <fill>
                <patternFill>
                  <bgColor rgb="FFFFBE29"/>
                </patternFill>
              </fill>
            </x14:dxf>
          </x14:cfRule>
          <xm:sqref>D43</xm:sqref>
        </x14:conditionalFormatting>
        <x14:conditionalFormatting xmlns:xm="http://schemas.microsoft.com/office/excel/2006/main">
          <x14:cfRule type="containsText" priority="70" operator="containsText" id="{99B7F492-99A1-FA46-BA20-5FB217EB571B}">
            <xm:f>NOT(ISERROR(SEARCH("Value Missing",D9)))</xm:f>
            <xm:f>"Value Missing"</xm:f>
            <x14:dxf>
              <font>
                <color rgb="FF0E223A"/>
              </font>
              <fill>
                <patternFill>
                  <bgColor rgb="FFFFBE29"/>
                </patternFill>
              </fill>
            </x14:dxf>
          </x14:cfRule>
          <xm:sqref>D591:D592 D594:D600 D602:D608 D612:D633 D636:D641 D644 D649:D655 D474:D477 D479:D494 D498:D499 D501:D507 D509:D515 D519:D540 D543:D548 D551 D556:D562 D567:D570 D572:D587 D381:D384 D386:D401 D405:D406 D408:D414 D416:D422 D426:D447 D450:D455 D458 D463:D469 D288:D291 D293:D308 D312:D313 D315:D321 D323:D329 D333:D354 D357:D362 D365 D370:D376 D14:D29 D54:D75 D107:D122 D147:D168 D200:D215 D240:D261 D9:D12 D33:D34 D36:D42 D44:D50 D78:D83 D86 D91:D97 D102:D105 D126:D127 D129:D135 D137:D143 D171:D176 D179 D184:D190 D195:D198 D219:D220 D222:D228 D230:D236 D264:D269 D272 D277:D283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1579-A873-4E44-8245-E84045B02140}">
  <sheetPr codeName="Sheet25">
    <tabColor theme="8" tint="0.39997558519241921"/>
  </sheetPr>
  <dimension ref="A1:L551"/>
  <sheetViews>
    <sheetView showGridLines="0" zoomScaleNormal="100" workbookViewId="0">
      <pane ySplit="6" topLeftCell="A372" activePane="bottomLeft" state="frozen"/>
      <selection pane="bottomLeft" activeCell="D376" sqref="D376"/>
    </sheetView>
  </sheetViews>
  <sheetFormatPr baseColWidth="10" defaultColWidth="11" defaultRowHeight="16" x14ac:dyDescent="0.2"/>
  <cols>
    <col min="1" max="1" width="2.83203125" style="9" customWidth="1"/>
    <col min="2" max="2" width="79.83203125" style="2" customWidth="1"/>
    <col min="3" max="3" width="70.83203125" style="9" customWidth="1"/>
    <col min="4" max="4" width="70.83203125" style="2" customWidth="1"/>
    <col min="5" max="5" width="83.6640625" style="9" customWidth="1"/>
    <col min="6" max="6" width="24" style="9" bestFit="1" customWidth="1"/>
    <col min="7" max="7" width="10.83203125" style="9" customWidth="1"/>
    <col min="8" max="10" width="11" style="9" customWidth="1"/>
    <col min="11" max="16384" width="11" style="9"/>
  </cols>
  <sheetData>
    <row r="1" spans="1:10" s="2" customFormat="1" ht="16" customHeight="1" x14ac:dyDescent="0.2">
      <c r="A1" s="318"/>
      <c r="F1" s="9"/>
      <c r="G1" s="9"/>
      <c r="H1" s="9"/>
      <c r="I1" s="9"/>
      <c r="J1" s="9"/>
    </row>
    <row r="2" spans="1:10" s="2" customFormat="1" ht="54" customHeight="1" x14ac:dyDescent="0.2">
      <c r="B2" s="647" t="s">
        <v>3376</v>
      </c>
      <c r="C2" s="648"/>
      <c r="D2" s="648"/>
      <c r="E2" s="649"/>
      <c r="F2" s="9"/>
      <c r="G2" s="9"/>
      <c r="H2" s="9"/>
      <c r="I2" s="9"/>
      <c r="J2" s="9"/>
    </row>
    <row r="3" spans="1:10" s="2" customFormat="1" ht="20" customHeight="1" x14ac:dyDescent="0.2">
      <c r="B3" s="650" t="s">
        <v>3377</v>
      </c>
      <c r="C3" s="651"/>
      <c r="D3" s="651"/>
      <c r="E3" s="652"/>
      <c r="F3" s="9"/>
      <c r="G3" s="9"/>
      <c r="H3" s="9"/>
      <c r="I3" s="9"/>
      <c r="J3" s="9"/>
    </row>
    <row r="5" spans="1:10" ht="34" customHeight="1" x14ac:dyDescent="0.2">
      <c r="B5" s="242" t="s">
        <v>2124</v>
      </c>
      <c r="C5" s="242" t="s">
        <v>2379</v>
      </c>
      <c r="D5" s="301"/>
      <c r="E5" s="301"/>
    </row>
    <row r="6" spans="1:10" s="2" customFormat="1" x14ac:dyDescent="0.2">
      <c r="D6" s="11"/>
      <c r="E6" s="3"/>
      <c r="F6" s="3"/>
    </row>
    <row r="7" spans="1:10" ht="16" customHeight="1" x14ac:dyDescent="0.2"/>
    <row r="8" spans="1:10" ht="34" customHeight="1" x14ac:dyDescent="0.2">
      <c r="B8" s="599" t="s">
        <v>2124</v>
      </c>
      <c r="C8" s="600"/>
      <c r="D8" s="600"/>
      <c r="E8" s="600"/>
    </row>
    <row r="10" spans="1:10" ht="30" customHeight="1" x14ac:dyDescent="0.2">
      <c r="B10" s="600" t="s">
        <v>2380</v>
      </c>
      <c r="C10" s="600"/>
      <c r="D10" s="600"/>
      <c r="E10" s="600"/>
    </row>
    <row r="11" spans="1:10" ht="20" customHeight="1" x14ac:dyDescent="0.2">
      <c r="B11" s="592"/>
      <c r="C11" s="592"/>
      <c r="D11" s="592"/>
      <c r="E11" s="592"/>
    </row>
    <row r="12" spans="1:10" ht="20" customHeight="1" x14ac:dyDescent="0.2">
      <c r="B12" s="314" t="s">
        <v>18</v>
      </c>
      <c r="C12" s="315" t="s">
        <v>19</v>
      </c>
      <c r="D12" s="315" t="s">
        <v>20</v>
      </c>
      <c r="E12" s="315" t="s">
        <v>21</v>
      </c>
    </row>
    <row r="13" spans="1:10" ht="20" customHeight="1" x14ac:dyDescent="0.2">
      <c r="B13" s="4" t="s">
        <v>2381</v>
      </c>
      <c r="C13" s="65" t="str">
        <f>CONCATENATE(prefix_portable_component,"-fm01.",sample_vvs_dr_parent_dns_zone)</f>
        <v>flt-fm01.rainpole.io</v>
      </c>
      <c r="D13" s="66"/>
      <c r="E13" s="42"/>
    </row>
    <row r="14" spans="1:10" ht="20" customHeight="1" x14ac:dyDescent="0.2">
      <c r="B14" s="568" t="s">
        <v>2382</v>
      </c>
      <c r="C14" s="569"/>
      <c r="D14" s="569"/>
      <c r="E14" s="570"/>
    </row>
    <row r="15" spans="1:10" ht="20" customHeight="1" x14ac:dyDescent="0.2">
      <c r="B15" s="4" t="s">
        <v>1064</v>
      </c>
      <c r="C15" s="65" t="str">
        <f>CONCATENATE("DNS=",sample_vvs_dr_dns1_ip)</f>
        <v>DNS=10.21.10.4</v>
      </c>
      <c r="D15" s="66"/>
      <c r="E15" s="42"/>
    </row>
    <row r="16" spans="1:10" ht="20" customHeight="1" x14ac:dyDescent="0.2">
      <c r="B16" s="568" t="s">
        <v>2383</v>
      </c>
      <c r="C16" s="569"/>
      <c r="D16" s="569"/>
      <c r="E16" s="570"/>
    </row>
    <row r="17" spans="2:5" ht="20" customHeight="1" x14ac:dyDescent="0.2">
      <c r="B17" s="28" t="s">
        <v>2384</v>
      </c>
      <c r="C17" s="65" t="s">
        <v>1360</v>
      </c>
      <c r="D17" s="66"/>
      <c r="E17" s="42"/>
    </row>
    <row r="18" spans="2:5" ht="16" customHeight="1" x14ac:dyDescent="0.2"/>
    <row r="19" spans="2:5" ht="30" customHeight="1" x14ac:dyDescent="0.2">
      <c r="B19" s="600" t="s">
        <v>2385</v>
      </c>
      <c r="C19" s="600"/>
      <c r="D19" s="600"/>
      <c r="E19" s="600"/>
    </row>
    <row r="20" spans="2:5" ht="20" customHeight="1" x14ac:dyDescent="0.2">
      <c r="B20" s="314" t="s">
        <v>18</v>
      </c>
      <c r="C20" s="315" t="s">
        <v>19</v>
      </c>
      <c r="D20" s="315" t="s">
        <v>20</v>
      </c>
      <c r="E20" s="315" t="s">
        <v>21</v>
      </c>
    </row>
    <row r="21" spans="2:5" ht="20" customHeight="1" x14ac:dyDescent="0.2">
      <c r="B21" s="4" t="s">
        <v>2386</v>
      </c>
      <c r="C21" s="65" t="str">
        <f>CONCATENATE(prefix_portable_component,"-ops01a.",sample_vvs_dr_parent_dns_zone)</f>
        <v>flt-ops01a.rainpole.io</v>
      </c>
      <c r="D21" s="66"/>
      <c r="E21" s="42"/>
    </row>
    <row r="22" spans="2:5" ht="20" customHeight="1" x14ac:dyDescent="0.2">
      <c r="B22" s="4" t="s">
        <v>250</v>
      </c>
      <c r="C22" s="65" t="s">
        <v>2387</v>
      </c>
      <c r="D22" s="66"/>
      <c r="E22" s="42"/>
    </row>
    <row r="23" spans="2:5" ht="20" customHeight="1" x14ac:dyDescent="0.2">
      <c r="B23" s="4" t="s">
        <v>2388</v>
      </c>
      <c r="C23" s="65" t="str">
        <f>CONCATENATE("ntp0",".",other_instance,".",sample_vvs_dr_parent_dns_zone)</f>
        <v>ntp0.lax.rainpole.io</v>
      </c>
      <c r="D23" s="66"/>
      <c r="E23" s="42"/>
    </row>
    <row r="24" spans="2:5" ht="16" customHeight="1" x14ac:dyDescent="0.2"/>
    <row r="25" spans="2:5" ht="30" customHeight="1" x14ac:dyDescent="0.2">
      <c r="B25" s="600" t="s">
        <v>2389</v>
      </c>
      <c r="C25" s="600"/>
      <c r="D25" s="600"/>
      <c r="E25" s="600"/>
    </row>
    <row r="26" spans="2:5" ht="20" customHeight="1" x14ac:dyDescent="0.2">
      <c r="B26" s="592"/>
      <c r="C26" s="592"/>
      <c r="D26" s="592"/>
      <c r="E26" s="592"/>
    </row>
    <row r="27" spans="2:5" ht="20" customHeight="1" x14ac:dyDescent="0.2">
      <c r="B27" s="314" t="s">
        <v>18</v>
      </c>
      <c r="C27" s="315" t="s">
        <v>19</v>
      </c>
      <c r="D27" s="315" t="s">
        <v>20</v>
      </c>
      <c r="E27" s="315" t="s">
        <v>21</v>
      </c>
    </row>
    <row r="28" spans="2:5" ht="20" customHeight="1" x14ac:dyDescent="0.2">
      <c r="B28" s="4" t="s">
        <v>2386</v>
      </c>
      <c r="C28" s="65" t="str">
        <f>sample_vvs_dr_flt_ops_nodea_fqdn</f>
        <v>flt-ops01a.rainpole.io</v>
      </c>
      <c r="D28" s="8" t="str">
        <f>vvs_dr_flt_ops_nodea_fqdn</f>
        <v>Value Missing</v>
      </c>
      <c r="E28" s="42"/>
    </row>
    <row r="29" spans="2:5" ht="20" customHeight="1" x14ac:dyDescent="0.2">
      <c r="B29" s="568" t="s">
        <v>2382</v>
      </c>
      <c r="C29" s="569"/>
      <c r="D29" s="569"/>
      <c r="E29" s="570"/>
    </row>
    <row r="30" spans="2:5" ht="20" customHeight="1" x14ac:dyDescent="0.2">
      <c r="B30" s="4" t="s">
        <v>1064</v>
      </c>
      <c r="C30" s="65" t="str">
        <f>CONCATENATE("DNS=",sample_vvs_dr_dns1_ip)</f>
        <v>DNS=10.21.10.4</v>
      </c>
      <c r="D30" s="8" t="str">
        <f>IF(ISBLANK(D15),"Value Missing",D15)</f>
        <v>Value Missing</v>
      </c>
      <c r="E30" s="42"/>
    </row>
    <row r="31" spans="2:5" ht="20" customHeight="1" x14ac:dyDescent="0.2">
      <c r="B31" s="568" t="s">
        <v>2383</v>
      </c>
      <c r="C31" s="569"/>
      <c r="D31" s="569"/>
      <c r="E31" s="570"/>
    </row>
    <row r="32" spans="2:5" ht="20" customHeight="1" x14ac:dyDescent="0.2">
      <c r="B32" s="28" t="s">
        <v>2384</v>
      </c>
      <c r="C32" s="65" t="str">
        <f>sample_vvs_dr_parent_dns_zone</f>
        <v>rainpole.io</v>
      </c>
      <c r="D32" s="8" t="str">
        <f t="array" ref="D32">vvs_dr_parent_dns_zone</f>
        <v>Value Missing</v>
      </c>
      <c r="E32" s="42"/>
    </row>
    <row r="33" spans="2:5" ht="20" customHeight="1" x14ac:dyDescent="0.2">
      <c r="B33" s="4" t="s">
        <v>1661</v>
      </c>
      <c r="C33" s="65" t="str">
        <f>CONCATENATE(prefix_portable_component,"-ops01b.",sample_vvs_dr_parent_dns_zone)</f>
        <v>flt-ops01b.rainpole.io</v>
      </c>
      <c r="D33" s="66"/>
      <c r="E33" s="42"/>
    </row>
    <row r="34" spans="2:5" ht="20" customHeight="1" x14ac:dyDescent="0.2">
      <c r="B34" s="4" t="s">
        <v>1666</v>
      </c>
      <c r="C34" s="65" t="str">
        <f>CONCATENATE(prefix_portable_component,"-ops01c.",sample_vvs_dr_parent_dns_zone)</f>
        <v>flt-ops01c.rainpole.io</v>
      </c>
      <c r="D34" s="66"/>
      <c r="E34" s="42"/>
    </row>
    <row r="35" spans="2:5" ht="20" customHeight="1" x14ac:dyDescent="0.2">
      <c r="B35" s="4" t="s">
        <v>1670</v>
      </c>
      <c r="C35" s="65" t="str">
        <f>CONCATENATE(prefix_portable_component,"-logs01a",".",sample_vvs_dr_parent_dns_zone)</f>
        <v>flt-logs01a.rainpole.io</v>
      </c>
      <c r="D35" s="66"/>
      <c r="E35" s="42"/>
    </row>
    <row r="36" spans="2:5" ht="20" customHeight="1" x14ac:dyDescent="0.2">
      <c r="B36" s="4" t="s">
        <v>1673</v>
      </c>
      <c r="C36" s="65" t="str">
        <f>CONCATENATE(prefix_portable_component,"-logs01b",".",sample_vvs_dr_parent_dns_zone)</f>
        <v>flt-logs01b.rainpole.io</v>
      </c>
      <c r="D36" s="66"/>
      <c r="E36" s="42"/>
    </row>
    <row r="37" spans="2:5" ht="20" customHeight="1" x14ac:dyDescent="0.2">
      <c r="B37" s="4" t="s">
        <v>1676</v>
      </c>
      <c r="C37" s="65" t="str">
        <f>CONCATENATE(prefix_portable_component,"-logs01c",".",sample_vvs_dr_parent_dns_zone)</f>
        <v>flt-logs01c.rainpole.io</v>
      </c>
      <c r="D37" s="66"/>
      <c r="E37" s="42"/>
    </row>
    <row r="38" spans="2:5" ht="20" customHeight="1" x14ac:dyDescent="0.2">
      <c r="B38" s="4" t="s">
        <v>1679</v>
      </c>
      <c r="C38" s="65" t="str">
        <f>CONCATENATE(prefix_portable_component,"-net01a",".",sample_vvs_dr_parent_dns_zone)</f>
        <v>flt-net01a.rainpole.io</v>
      </c>
      <c r="D38" s="66"/>
      <c r="E38" s="42"/>
    </row>
    <row r="39" spans="2:5" ht="20" customHeight="1" x14ac:dyDescent="0.2">
      <c r="B39" s="4" t="s">
        <v>1683</v>
      </c>
      <c r="C39" s="65" t="str">
        <f>CONCATENATE(prefix_portable_component,"-net01b",".",sample_vvs_dr_parent_dns_zone)</f>
        <v>flt-net01b.rainpole.io</v>
      </c>
      <c r="D39" s="66"/>
      <c r="E39" s="42"/>
    </row>
    <row r="40" spans="2:5" ht="20" customHeight="1" x14ac:dyDescent="0.2">
      <c r="B40" s="4" t="s">
        <v>1687</v>
      </c>
      <c r="C40" s="65" t="str">
        <f>CONCATENATE(prefix_portable_component,"-net01c",".",sample_vvs_dr_parent_dns_zone)</f>
        <v>flt-net01c.rainpole.io</v>
      </c>
      <c r="D40" s="66"/>
      <c r="E40" s="42"/>
    </row>
    <row r="41" spans="2:5" ht="16" customHeight="1" x14ac:dyDescent="0.2"/>
    <row r="42" spans="2:5" ht="30" customHeight="1" x14ac:dyDescent="0.2">
      <c r="B42" s="600" t="s">
        <v>2390</v>
      </c>
      <c r="C42" s="600"/>
      <c r="D42" s="600"/>
      <c r="E42" s="600"/>
    </row>
    <row r="43" spans="2:5" ht="20" customHeight="1" x14ac:dyDescent="0.2">
      <c r="B43" s="592"/>
      <c r="C43" s="592"/>
      <c r="D43" s="592"/>
      <c r="E43" s="592"/>
    </row>
    <row r="44" spans="2:5" ht="20" customHeight="1" x14ac:dyDescent="0.2">
      <c r="B44" s="314" t="s">
        <v>18</v>
      </c>
      <c r="C44" s="315" t="s">
        <v>19</v>
      </c>
      <c r="D44" s="315" t="s">
        <v>20</v>
      </c>
      <c r="E44" s="315" t="s">
        <v>21</v>
      </c>
    </row>
    <row r="45" spans="2:5" ht="20" customHeight="1" x14ac:dyDescent="0.2">
      <c r="B45" s="4" t="s">
        <v>2386</v>
      </c>
      <c r="C45" s="65" t="str">
        <f>sample_vvs_dr_flt_ops_nodea_fqdn</f>
        <v>flt-ops01a.rainpole.io</v>
      </c>
      <c r="D45" s="8" t="str">
        <f>vvs_dr_flt_ops_nodea_fqdn</f>
        <v>Value Missing</v>
      </c>
      <c r="E45" s="42"/>
    </row>
    <row r="46" spans="2:5" ht="20" customHeight="1" x14ac:dyDescent="0.2">
      <c r="B46" s="4" t="s">
        <v>2391</v>
      </c>
      <c r="C46" s="65" t="str">
        <f>sample_vvs_dr_ntp1_server</f>
        <v>ntp0.lax.rainpole.io</v>
      </c>
      <c r="D46" s="8" t="str">
        <f>vvs_dr_ntp1_server</f>
        <v>Value Missing</v>
      </c>
      <c r="E46" s="42"/>
    </row>
    <row r="47" spans="2:5" ht="16" customHeight="1" x14ac:dyDescent="0.2"/>
    <row r="48" spans="2:5" ht="30" customHeight="1" x14ac:dyDescent="0.2">
      <c r="B48" s="600" t="s">
        <v>2392</v>
      </c>
      <c r="C48" s="600"/>
      <c r="D48" s="600"/>
      <c r="E48" s="600"/>
    </row>
    <row r="49" spans="2:5" ht="20" customHeight="1" x14ac:dyDescent="0.2">
      <c r="B49" s="592"/>
      <c r="C49" s="592"/>
      <c r="D49" s="592"/>
      <c r="E49" s="592"/>
    </row>
    <row r="50" spans="2:5" ht="20" customHeight="1" x14ac:dyDescent="0.2">
      <c r="B50" s="314" t="s">
        <v>18</v>
      </c>
      <c r="C50" s="315" t="s">
        <v>19</v>
      </c>
      <c r="D50" s="315" t="s">
        <v>20</v>
      </c>
      <c r="E50" s="315" t="s">
        <v>21</v>
      </c>
    </row>
    <row r="51" spans="2:5" ht="20" customHeight="1" x14ac:dyDescent="0.2">
      <c r="B51" s="4" t="s">
        <v>1670</v>
      </c>
      <c r="C51" s="65" t="str">
        <f>sample_vvs_dr_flt_logs_nodea_fqdn</f>
        <v>flt-logs01a.rainpole.io</v>
      </c>
      <c r="D51" s="8" t="str">
        <f>vvs_dr_flt_logs_nodea_fqdn</f>
        <v>Value Missing</v>
      </c>
      <c r="E51" s="42"/>
    </row>
    <row r="52" spans="2:5" ht="20" customHeight="1" x14ac:dyDescent="0.2">
      <c r="B52" s="4" t="s">
        <v>2391</v>
      </c>
      <c r="C52" s="65" t="str">
        <f>sample_vvs_dr_ntp1_server</f>
        <v>ntp0.lax.rainpole.io</v>
      </c>
      <c r="D52" s="8" t="str">
        <f>vvs_dr_ntp1_server</f>
        <v>Value Missing</v>
      </c>
      <c r="E52" s="42"/>
    </row>
    <row r="53" spans="2:5" ht="20" customHeight="1" x14ac:dyDescent="0.2">
      <c r="B53" s="4" t="s">
        <v>1673</v>
      </c>
      <c r="C53" s="65" t="str">
        <f>sample_vvs_dr_flt_logs_nodeb_fqdn</f>
        <v>flt-logs01b.rainpole.io</v>
      </c>
      <c r="D53" s="8" t="str">
        <f>vvs_dr_flt_logs_nodeb_fqdn</f>
        <v>Value Missing</v>
      </c>
      <c r="E53" s="42"/>
    </row>
    <row r="54" spans="2:5" ht="20" customHeight="1" x14ac:dyDescent="0.2">
      <c r="B54" s="4" t="s">
        <v>1676</v>
      </c>
      <c r="C54" s="65" t="str">
        <f>sample_vvs_dr_flt_logs_nodec_fqdn</f>
        <v>flt-logs01c.rainpole.io</v>
      </c>
      <c r="D54" s="8" t="str">
        <f>vvs_dr_flt_logs_nodec_fqdn</f>
        <v>Value Missing</v>
      </c>
      <c r="E54" s="42"/>
    </row>
    <row r="55" spans="2:5" ht="16" customHeight="1" x14ac:dyDescent="0.2"/>
    <row r="56" spans="2:5" ht="30" customHeight="1" x14ac:dyDescent="0.2">
      <c r="B56" s="600" t="s">
        <v>2393</v>
      </c>
      <c r="C56" s="600"/>
      <c r="D56" s="600"/>
      <c r="E56" s="600"/>
    </row>
    <row r="57" spans="2:5" ht="20" customHeight="1" x14ac:dyDescent="0.2">
      <c r="B57" s="592"/>
      <c r="C57" s="592"/>
      <c r="D57" s="592"/>
      <c r="E57" s="592"/>
    </row>
    <row r="58" spans="2:5" ht="20" customHeight="1" x14ac:dyDescent="0.2">
      <c r="B58" s="314" t="s">
        <v>18</v>
      </c>
      <c r="C58" s="315" t="s">
        <v>19</v>
      </c>
      <c r="D58" s="315" t="s">
        <v>20</v>
      </c>
      <c r="E58" s="315" t="s">
        <v>21</v>
      </c>
    </row>
    <row r="59" spans="2:5" ht="20" customHeight="1" x14ac:dyDescent="0.2">
      <c r="B59" s="4" t="s">
        <v>1679</v>
      </c>
      <c r="C59" s="65" t="str">
        <f>sample_vvs_dr_flt_net_nodea_fqdn</f>
        <v>flt-net01a.rainpole.io</v>
      </c>
      <c r="D59" s="8" t="str">
        <f>vvs_dr_flt_net_nodea_fqdn</f>
        <v>Value Missing</v>
      </c>
      <c r="E59" s="42"/>
    </row>
    <row r="60" spans="2:5" ht="20" customHeight="1" x14ac:dyDescent="0.2">
      <c r="B60" s="4" t="s">
        <v>2391</v>
      </c>
      <c r="C60" s="65" t="str">
        <f>sample_vvs_dr_ntp1_server</f>
        <v>ntp0.lax.rainpole.io</v>
      </c>
      <c r="D60" s="8" t="str">
        <f>vvs_dr_ntp1_server</f>
        <v>Value Missing</v>
      </c>
      <c r="E60" s="42"/>
    </row>
    <row r="61" spans="2:5" ht="20" customHeight="1" x14ac:dyDescent="0.2">
      <c r="B61" s="4" t="s">
        <v>1683</v>
      </c>
      <c r="C61" s="65" t="str">
        <f>sample_vvs_dr_flt_net_nodeb_fqdn</f>
        <v>flt-net01b.rainpole.io</v>
      </c>
      <c r="D61" s="8" t="str">
        <f>vvs_dr_flt_net_nodeb_fqdn</f>
        <v>Value Missing</v>
      </c>
      <c r="E61" s="42"/>
    </row>
    <row r="62" spans="2:5" ht="20" customHeight="1" x14ac:dyDescent="0.2">
      <c r="B62" s="4" t="s">
        <v>1687</v>
      </c>
      <c r="C62" s="65" t="str">
        <f>sample_vvs_dr_flt_net_nodec_fqdn</f>
        <v>flt-net01c.rainpole.io</v>
      </c>
      <c r="D62" s="8" t="str">
        <f>vvs_dr_flt_net_nodec_fqdn</f>
        <v>Value Missing</v>
      </c>
      <c r="E62" s="42"/>
    </row>
    <row r="63" spans="2:5" ht="16" customHeight="1" x14ac:dyDescent="0.2"/>
    <row r="64" spans="2:5" ht="30" customHeight="1" x14ac:dyDescent="0.2">
      <c r="B64" s="600" t="s">
        <v>2394</v>
      </c>
      <c r="C64" s="600"/>
      <c r="D64" s="600"/>
      <c r="E64" s="600"/>
    </row>
    <row r="65" spans="2:5" ht="20" customHeight="1" x14ac:dyDescent="0.2">
      <c r="B65" s="592"/>
      <c r="C65" s="592"/>
      <c r="D65" s="592"/>
      <c r="E65" s="592"/>
    </row>
    <row r="66" spans="2:5" ht="20" customHeight="1" x14ac:dyDescent="0.2">
      <c r="B66" s="314" t="s">
        <v>18</v>
      </c>
      <c r="C66" s="315" t="s">
        <v>19</v>
      </c>
      <c r="D66" s="315" t="s">
        <v>20</v>
      </c>
      <c r="E66" s="315" t="s">
        <v>21</v>
      </c>
    </row>
    <row r="67" spans="2:5" ht="20" customHeight="1" x14ac:dyDescent="0.2">
      <c r="B67" s="4" t="s">
        <v>2395</v>
      </c>
      <c r="C67" s="65" t="str">
        <f>CONCATENATE(prefix_portable_component,"-auto01",".",sample_vvs_dr_parent_dns_zone)</f>
        <v>flt-auto01.rainpole.io</v>
      </c>
      <c r="D67" s="66"/>
      <c r="E67" s="42"/>
    </row>
    <row r="68" spans="2:5" ht="20" customHeight="1" x14ac:dyDescent="0.2">
      <c r="B68" s="4" t="s">
        <v>2396</v>
      </c>
      <c r="C68" s="65" t="s">
        <v>2397</v>
      </c>
      <c r="D68" s="8" t="str">
        <f>C68</f>
        <v>automation</v>
      </c>
      <c r="E68" s="42"/>
    </row>
    <row r="69" spans="2:5" ht="20" customHeight="1" x14ac:dyDescent="0.2">
      <c r="B69" s="4" t="s">
        <v>2398</v>
      </c>
      <c r="C69" s="65" t="str">
        <f>CONCATENATE(prefix_other_region_az1_cidr,"10.4")</f>
        <v>10.21.10.4</v>
      </c>
      <c r="D69" s="66"/>
      <c r="E69" s="42"/>
    </row>
    <row r="70" spans="2:5" ht="20" customHeight="1" x14ac:dyDescent="0.2">
      <c r="B70" s="4" t="s">
        <v>2398</v>
      </c>
      <c r="C70" s="65" t="str">
        <f>CONCATENATE(prefix_other_region_az1_cidr,"10.5")</f>
        <v>10.21.10.5</v>
      </c>
      <c r="D70" s="66"/>
      <c r="E70" s="42"/>
    </row>
    <row r="71" spans="2:5" ht="16" customHeight="1" x14ac:dyDescent="0.2"/>
    <row r="72" spans="2:5" ht="34" customHeight="1" x14ac:dyDescent="0.2">
      <c r="B72" s="600" t="s">
        <v>2399</v>
      </c>
      <c r="C72" s="600"/>
      <c r="D72" s="600"/>
      <c r="E72" s="600"/>
    </row>
    <row r="73" spans="2:5" ht="20" customHeight="1" x14ac:dyDescent="0.2">
      <c r="B73" s="592"/>
      <c r="C73" s="592"/>
      <c r="D73" s="592"/>
      <c r="E73" s="592"/>
    </row>
    <row r="74" spans="2:5" ht="20" customHeight="1" x14ac:dyDescent="0.2">
      <c r="B74" s="314" t="s">
        <v>18</v>
      </c>
      <c r="C74" s="315" t="s">
        <v>19</v>
      </c>
      <c r="D74" s="315" t="s">
        <v>20</v>
      </c>
      <c r="E74" s="315" t="s">
        <v>21</v>
      </c>
    </row>
    <row r="75" spans="2:5" ht="20" customHeight="1" x14ac:dyDescent="0.2">
      <c r="B75" s="4" t="s">
        <v>2400</v>
      </c>
      <c r="C75" s="65" t="str">
        <f>sample_xreg_vra_virtual_fqdn</f>
        <v>flt-auto01.rainpole.io</v>
      </c>
      <c r="D75" s="8" t="str">
        <f>vvs_dr_flt_auto_fqdn</f>
        <v>Value Missing</v>
      </c>
      <c r="E75" s="42"/>
    </row>
    <row r="76" spans="2:5" ht="20" customHeight="1" x14ac:dyDescent="0.2">
      <c r="B76" s="4" t="s">
        <v>2396</v>
      </c>
      <c r="C76" s="65" t="s">
        <v>2397</v>
      </c>
      <c r="D76" s="8" t="str">
        <f>C76</f>
        <v>automation</v>
      </c>
      <c r="E76" s="42"/>
    </row>
    <row r="77" spans="2:5" ht="20" customHeight="1" x14ac:dyDescent="0.2">
      <c r="B77" s="4" t="s">
        <v>2401</v>
      </c>
      <c r="C77" s="65" t="str">
        <f>sample_vvs_dr_ntp1_server</f>
        <v>ntp0.lax.rainpole.io</v>
      </c>
      <c r="D77" s="8" t="str">
        <f>vvs_dr_ntp1_server</f>
        <v>Value Missing</v>
      </c>
      <c r="E77" s="42"/>
    </row>
    <row r="78" spans="2:5" ht="16" customHeight="1" x14ac:dyDescent="0.2"/>
    <row r="79" spans="2:5" ht="30" customHeight="1" x14ac:dyDescent="0.2">
      <c r="B79" s="600" t="s">
        <v>2402</v>
      </c>
      <c r="C79" s="600"/>
      <c r="D79" s="600"/>
      <c r="E79" s="600"/>
    </row>
    <row r="80" spans="2:5" ht="20" customHeight="1" x14ac:dyDescent="0.2">
      <c r="B80" s="592"/>
      <c r="C80" s="592"/>
      <c r="D80" s="592"/>
      <c r="E80" s="592"/>
    </row>
    <row r="81" spans="2:5" ht="20" customHeight="1" x14ac:dyDescent="0.2">
      <c r="B81" s="314" t="s">
        <v>18</v>
      </c>
      <c r="C81" s="315" t="s">
        <v>19</v>
      </c>
      <c r="D81" s="315" t="s">
        <v>20</v>
      </c>
      <c r="E81" s="315" t="s">
        <v>21</v>
      </c>
    </row>
    <row r="82" spans="2:5" ht="20" customHeight="1" x14ac:dyDescent="0.2">
      <c r="B82" s="4" t="s">
        <v>2395</v>
      </c>
      <c r="C82" s="65" t="str">
        <f>sample_vvs_dr_flt_ops_nodea_fqdn</f>
        <v>flt-ops01a.rainpole.io</v>
      </c>
      <c r="D82" s="8" t="str">
        <f>vvs_dr_flt_ops_nodea_fqdn</f>
        <v>Value Missing</v>
      </c>
      <c r="E82" s="42"/>
    </row>
    <row r="83" spans="2:5" ht="20" customHeight="1" x14ac:dyDescent="0.2">
      <c r="B83" s="4" t="s">
        <v>2396</v>
      </c>
      <c r="C83" s="65" t="s">
        <v>2403</v>
      </c>
      <c r="D83" s="8" t="s">
        <v>2403</v>
      </c>
      <c r="E83" s="42"/>
    </row>
    <row r="84" spans="2:5" ht="20" customHeight="1" x14ac:dyDescent="0.2">
      <c r="B84" s="4" t="s">
        <v>2398</v>
      </c>
      <c r="C84" s="65" t="str">
        <f>CONCATENATE(prefix_other_region_az1_cidr,"10.4")</f>
        <v>10.21.10.4</v>
      </c>
      <c r="D84" s="8" t="str">
        <f>vvs_dr_dns1_ip</f>
        <v>Value Missing</v>
      </c>
      <c r="E84" s="42"/>
    </row>
    <row r="85" spans="2:5" ht="20" customHeight="1" x14ac:dyDescent="0.2">
      <c r="B85" s="4" t="s">
        <v>2398</v>
      </c>
      <c r="C85" s="65" t="str">
        <f>sample_vvs_dr_dns2_ip</f>
        <v>10.21.10.5</v>
      </c>
      <c r="D85" s="8" t="str">
        <f t="array" ref="D85">vvs_dr_dns2_ip</f>
        <v>Value Missing</v>
      </c>
      <c r="E85" s="42"/>
    </row>
    <row r="86" spans="2:5" ht="16" customHeight="1" x14ac:dyDescent="0.2"/>
    <row r="87" spans="2:5" ht="34" customHeight="1" x14ac:dyDescent="0.2">
      <c r="B87" s="600" t="s">
        <v>2404</v>
      </c>
      <c r="C87" s="600"/>
      <c r="D87" s="600"/>
      <c r="E87" s="600"/>
    </row>
    <row r="88" spans="2:5" ht="20" customHeight="1" x14ac:dyDescent="0.2">
      <c r="B88" s="592"/>
      <c r="C88" s="592"/>
      <c r="D88" s="592"/>
      <c r="E88" s="592"/>
    </row>
    <row r="89" spans="2:5" ht="20" customHeight="1" x14ac:dyDescent="0.2">
      <c r="B89" s="314" t="s">
        <v>18</v>
      </c>
      <c r="C89" s="315" t="s">
        <v>19</v>
      </c>
      <c r="D89" s="315" t="s">
        <v>20</v>
      </c>
      <c r="E89" s="315" t="s">
        <v>21</v>
      </c>
    </row>
    <row r="90" spans="2:5" ht="20" customHeight="1" x14ac:dyDescent="0.2">
      <c r="B90" s="4" t="s">
        <v>2395</v>
      </c>
      <c r="C90" s="65" t="str">
        <f>sample_vvs_dr_flt_ops_nodea_fqdn</f>
        <v>flt-ops01a.rainpole.io</v>
      </c>
      <c r="D90" s="8" t="str">
        <f>vvs_dr_flt_ops_nodea_fqdn</f>
        <v>Value Missing</v>
      </c>
      <c r="E90" s="42"/>
    </row>
    <row r="91" spans="2:5" ht="20" customHeight="1" x14ac:dyDescent="0.2">
      <c r="B91" s="4" t="s">
        <v>2396</v>
      </c>
      <c r="C91" s="65" t="s">
        <v>2403</v>
      </c>
      <c r="D91" s="8" t="s">
        <v>2403</v>
      </c>
      <c r="E91" s="42"/>
    </row>
    <row r="92" spans="2:5" ht="20" customHeight="1" x14ac:dyDescent="0.2">
      <c r="B92" s="4" t="s">
        <v>2401</v>
      </c>
      <c r="C92" s="65" t="str">
        <f>sample_vvs_dr_ntp1_server</f>
        <v>ntp0.lax.rainpole.io</v>
      </c>
      <c r="D92" s="8" t="str">
        <f>vvs_dr_ntp1_server</f>
        <v>Value Missing</v>
      </c>
      <c r="E92" s="42"/>
    </row>
    <row r="93" spans="2:5" ht="16" customHeight="1" x14ac:dyDescent="0.2"/>
    <row r="94" spans="2:5" ht="34" customHeight="1" x14ac:dyDescent="0.2">
      <c r="B94" s="599" t="s">
        <v>2405</v>
      </c>
      <c r="C94" s="600"/>
      <c r="D94" s="600"/>
      <c r="E94" s="600"/>
    </row>
    <row r="95" spans="2:5" ht="16" customHeight="1" x14ac:dyDescent="0.2"/>
    <row r="96" spans="2:5" ht="34" customHeight="1" x14ac:dyDescent="0.2">
      <c r="B96" s="600" t="s">
        <v>2406</v>
      </c>
      <c r="C96" s="600"/>
      <c r="D96" s="600"/>
      <c r="E96" s="600"/>
    </row>
    <row r="97" spans="2:6" ht="20" customHeight="1" x14ac:dyDescent="0.2">
      <c r="B97" s="592"/>
      <c r="C97" s="592"/>
      <c r="D97" s="592"/>
      <c r="E97" s="592"/>
    </row>
    <row r="98" spans="2:6" ht="20" customHeight="1" x14ac:dyDescent="0.2">
      <c r="B98" s="314" t="s">
        <v>18</v>
      </c>
      <c r="C98" s="315" t="s">
        <v>19</v>
      </c>
      <c r="D98" s="315" t="s">
        <v>20</v>
      </c>
      <c r="E98" s="315" t="s">
        <v>21</v>
      </c>
    </row>
    <row r="99" spans="2:6" ht="20" customHeight="1" x14ac:dyDescent="0.2">
      <c r="B99" s="4" t="s">
        <v>355</v>
      </c>
      <c r="C99" s="65" t="str">
        <f>CONCATENATE(this_instance,"-m01-vc01.",sample_child_dns_zone)</f>
        <v>sfo-m01-vc01.sfo.rainpole.io</v>
      </c>
      <c r="D99" s="66"/>
      <c r="E99" s="42"/>
    </row>
    <row r="100" spans="2:6" ht="20" customHeight="1" x14ac:dyDescent="0.2">
      <c r="B100" s="28" t="s">
        <v>634</v>
      </c>
      <c r="C100" s="65" t="str">
        <f>CONCATENATE(this_instance,"-m01-cl01")</f>
        <v>sfo-m01-cl01</v>
      </c>
      <c r="D100" s="66"/>
      <c r="E100" s="42"/>
    </row>
    <row r="101" spans="2:6" ht="20" customHeight="1" x14ac:dyDescent="0.2">
      <c r="B101" s="28" t="s">
        <v>2245</v>
      </c>
      <c r="C101" s="109" t="str">
        <f>CONCATENATE(this_instance,"-m01-vlr01")</f>
        <v>sfo-m01-vlr01</v>
      </c>
      <c r="D101" s="66"/>
      <c r="E101" s="42"/>
    </row>
    <row r="102" spans="2:6" ht="20" customHeight="1" x14ac:dyDescent="0.2">
      <c r="B102" s="28" t="s">
        <v>2247</v>
      </c>
      <c r="C102" s="65" t="str">
        <f>sample_vvs_dr_mgmt_cl01_cluster</f>
        <v>sfo-m01-cl01</v>
      </c>
      <c r="D102" s="8" t="str">
        <f>vvs_dr_mgmt_cl01_cluster</f>
        <v>Value Missing</v>
      </c>
      <c r="E102" s="42"/>
    </row>
    <row r="103" spans="2:6" ht="20" customHeight="1" x14ac:dyDescent="0.2">
      <c r="B103" s="28" t="s">
        <v>102</v>
      </c>
      <c r="C103" s="65" t="str">
        <f>CONCATENATE(this_instance,"-m01-cl01-ds-vsan01")</f>
        <v>sfo-m01-cl01-ds-vsan01</v>
      </c>
      <c r="D103" s="66"/>
      <c r="E103" s="42"/>
    </row>
    <row r="104" spans="2:6" ht="20" customHeight="1" x14ac:dyDescent="0.2">
      <c r="B104" s="4" t="s">
        <v>2248</v>
      </c>
      <c r="C104" s="65" t="str">
        <f>CONCATENATE(this_instance,"-m01-cl01-vds01-pg-vm-mgmt")</f>
        <v>sfo-m01-cl01-vds01-pg-vm-mgmt</v>
      </c>
      <c r="D104" s="66"/>
      <c r="E104" s="42"/>
    </row>
    <row r="105" spans="2:6" ht="20" customHeight="1" x14ac:dyDescent="0.2">
      <c r="B105" s="4" t="s">
        <v>291</v>
      </c>
      <c r="C105" s="65" t="str">
        <f>CONCATENATE(sample_vvs_mgmt_dr_vlr_hostname,".",sample_child_dns_zone)</f>
        <v>sfo-m01-vlr01.sfo.rainpole.io</v>
      </c>
      <c r="D105" s="66"/>
      <c r="E105" s="42"/>
      <c r="F105" s="2"/>
    </row>
    <row r="106" spans="2:6" ht="20" customHeight="1" x14ac:dyDescent="0.2">
      <c r="B106" s="4" t="s">
        <v>2249</v>
      </c>
      <c r="C106" s="65" t="str">
        <f>sample_mgmt_vrms_root_password</f>
        <v>VMw@re1!</v>
      </c>
      <c r="D106" s="66"/>
      <c r="E106" s="42"/>
    </row>
    <row r="107" spans="2:6" ht="20" customHeight="1" x14ac:dyDescent="0.2">
      <c r="B107" s="28" t="s">
        <v>2250</v>
      </c>
      <c r="C107" s="65" t="str">
        <f>sample_mgmt_vrms_admin_password</f>
        <v>VMw@re1!</v>
      </c>
      <c r="D107" s="66"/>
      <c r="E107" s="42"/>
    </row>
    <row r="108" spans="2:6" ht="20" customHeight="1" x14ac:dyDescent="0.2">
      <c r="B108" s="28" t="s">
        <v>288</v>
      </c>
      <c r="C108" s="65" t="str">
        <f>CONCATENATE("ntp0.",this_instance,".rainpole.io")</f>
        <v>ntp0.sfo.rainpole.io</v>
      </c>
      <c r="D108" s="8"/>
      <c r="E108" s="42"/>
    </row>
    <row r="109" spans="2:6" ht="20" customHeight="1" x14ac:dyDescent="0.2">
      <c r="B109" s="4" t="s">
        <v>243</v>
      </c>
      <c r="C109" s="65" t="str">
        <f>IF(mgmt_dpg_reuse_result="Included",CONCATENATE(prefix_mgmt_az1_cidr,"10.1"),CONCATENATE(prefix_mgmt_az1_cidr,"11.1"))</f>
        <v>10.11.10.1</v>
      </c>
      <c r="D109" s="66"/>
      <c r="E109" s="42"/>
    </row>
    <row r="110" spans="2:6" ht="20" customHeight="1" x14ac:dyDescent="0.2">
      <c r="B110" s="28" t="s">
        <v>553</v>
      </c>
      <c r="C110" s="65" t="str">
        <f>CONCATENATE(this_instance,".rainpole.io")</f>
        <v>sfo.rainpole.io</v>
      </c>
      <c r="D110" s="66"/>
      <c r="E110" s="42"/>
    </row>
    <row r="111" spans="2:6" ht="20" customHeight="1" x14ac:dyDescent="0.2">
      <c r="B111" s="28" t="s">
        <v>2251</v>
      </c>
      <c r="C111" s="65" t="str">
        <f>CONCATENATE(this_instance,".rainpole.io")</f>
        <v>sfo.rainpole.io</v>
      </c>
      <c r="D111" s="66"/>
      <c r="E111" s="42"/>
    </row>
    <row r="112" spans="2:6" ht="20" customHeight="1" x14ac:dyDescent="0.2">
      <c r="B112" s="28" t="s">
        <v>2252</v>
      </c>
      <c r="C112" s="65" t="str">
        <f>CONCATENATE(sample_region_dns1_ip,",",sample_region_dns2_ip)</f>
        <v>10.11.10.4,10.11.10.5</v>
      </c>
      <c r="D112" s="66"/>
      <c r="E112" s="42"/>
    </row>
    <row r="113" spans="2:5" ht="20" customHeight="1" x14ac:dyDescent="0.2">
      <c r="B113" s="28" t="s">
        <v>2253</v>
      </c>
      <c r="C113" s="109" t="str">
        <f>IF(mgmt_dpg_reuse_result="Included",CONCATENATE(prefix_mgmt_az1_cidr,"10.125"),CONCATENATE(prefix_mgmt_az1_cidr,"11.125"))</f>
        <v>10.11.10.125</v>
      </c>
      <c r="D113" s="66"/>
      <c r="E113" s="121" t="s">
        <v>2407</v>
      </c>
    </row>
    <row r="114" spans="2:5" ht="20" customHeight="1" x14ac:dyDescent="0.2">
      <c r="B114" s="28" t="s">
        <v>2254</v>
      </c>
      <c r="C114" s="65">
        <v>24</v>
      </c>
      <c r="D114" s="66"/>
      <c r="E114" s="42"/>
    </row>
    <row r="115" spans="2:5" ht="16" customHeight="1" x14ac:dyDescent="0.2"/>
    <row r="116" spans="2:5" ht="34" customHeight="1" x14ac:dyDescent="0.2">
      <c r="B116" s="600" t="s">
        <v>2408</v>
      </c>
      <c r="C116" s="600"/>
      <c r="D116" s="600"/>
      <c r="E116" s="600"/>
    </row>
    <row r="117" spans="2:5" ht="20" customHeight="1" x14ac:dyDescent="0.2">
      <c r="B117" s="592"/>
      <c r="C117" s="592"/>
      <c r="D117" s="592"/>
      <c r="E117" s="592"/>
    </row>
    <row r="118" spans="2:5" ht="20" customHeight="1" x14ac:dyDescent="0.2">
      <c r="B118" s="314" t="s">
        <v>18</v>
      </c>
      <c r="C118" s="315" t="s">
        <v>19</v>
      </c>
      <c r="D118" s="315" t="s">
        <v>20</v>
      </c>
      <c r="E118" s="315" t="s">
        <v>21</v>
      </c>
    </row>
    <row r="119" spans="2:5" ht="20" customHeight="1" x14ac:dyDescent="0.2">
      <c r="B119" s="4" t="s">
        <v>2256</v>
      </c>
      <c r="C119" s="65" t="str">
        <f>CONCATENATE(sample_vvs_mgmt_dr_vlr_fqdn,":5480")</f>
        <v>sfo-m01-vlr01.sfo.rainpole.io:5480</v>
      </c>
      <c r="D119" s="8" t="str">
        <f>CONCATENATE(vvs_mgmt_dr_vlr_fqdn,":5480")</f>
        <v>Value Missing:5480</v>
      </c>
      <c r="E119" s="42"/>
    </row>
    <row r="120" spans="2:5" ht="20" customHeight="1" x14ac:dyDescent="0.2">
      <c r="B120" s="4" t="s">
        <v>59</v>
      </c>
      <c r="C120" s="106" t="str">
        <f>sample_ca_organization_unit</f>
        <v>Rainpole</v>
      </c>
      <c r="D120" s="66"/>
      <c r="E120" s="42"/>
    </row>
    <row r="121" spans="2:5" ht="20" customHeight="1" x14ac:dyDescent="0.2">
      <c r="B121" s="4" t="s">
        <v>2409</v>
      </c>
      <c r="C121" s="106" t="str">
        <f>sample_ca_organization</f>
        <v>IT</v>
      </c>
      <c r="D121" s="66"/>
      <c r="E121" s="42"/>
    </row>
    <row r="122" spans="2:5" ht="20" customHeight="1" x14ac:dyDescent="0.2">
      <c r="B122" s="4" t="s">
        <v>67</v>
      </c>
      <c r="C122" s="106" t="str">
        <f>sample_ca_locality</f>
        <v>San Francisco</v>
      </c>
      <c r="D122" s="66"/>
      <c r="E122" s="42"/>
    </row>
    <row r="123" spans="2:5" ht="20" customHeight="1" x14ac:dyDescent="0.2">
      <c r="B123" s="4" t="s">
        <v>65</v>
      </c>
      <c r="C123" s="106" t="str">
        <f>sample_ca_state</f>
        <v>CA</v>
      </c>
      <c r="D123" s="66"/>
      <c r="E123" s="42"/>
    </row>
    <row r="124" spans="2:5" ht="20" customHeight="1" x14ac:dyDescent="0.2">
      <c r="B124" s="4" t="s">
        <v>63</v>
      </c>
      <c r="C124" s="106" t="str">
        <f>sample_ca_country</f>
        <v>US</v>
      </c>
      <c r="D124" s="66"/>
      <c r="E124" s="42"/>
    </row>
    <row r="125" spans="2:5" ht="20" customHeight="1" x14ac:dyDescent="0.2">
      <c r="B125" s="4" t="s">
        <v>39</v>
      </c>
      <c r="C125" s="106" t="str">
        <f>sample_vvs_mgmt_dr_vlr_fqdn</f>
        <v>sfo-m01-vlr01.sfo.rainpole.io</v>
      </c>
      <c r="D125" s="8" t="str">
        <f>vvs_mgmt_dr_vlr_fqdn</f>
        <v>Value Missing</v>
      </c>
      <c r="E125" s="42"/>
    </row>
    <row r="126" spans="2:5" ht="20" customHeight="1" x14ac:dyDescent="0.2">
      <c r="B126" s="4" t="s">
        <v>2410</v>
      </c>
      <c r="C126" s="106" t="str">
        <f>sample_mgmt_vrms_mgmt_ip</f>
        <v>10.11.10.125</v>
      </c>
      <c r="D126" s="8" t="str">
        <f>mgmt_vrms_mgmt_ip</f>
        <v>Value Missing</v>
      </c>
      <c r="E126" s="42"/>
    </row>
    <row r="127" spans="2:5" ht="20" customHeight="1" x14ac:dyDescent="0.2">
      <c r="B127" s="4" t="s">
        <v>2411</v>
      </c>
      <c r="C127" s="65" t="s">
        <v>2412</v>
      </c>
      <c r="D127" s="66"/>
      <c r="E127" s="42"/>
    </row>
    <row r="128" spans="2:5" ht="16" customHeight="1" x14ac:dyDescent="0.2"/>
    <row r="129" spans="2:5" ht="34" customHeight="1" x14ac:dyDescent="0.2">
      <c r="B129" s="600" t="s">
        <v>2413</v>
      </c>
      <c r="C129" s="600"/>
      <c r="D129" s="600"/>
      <c r="E129" s="600"/>
    </row>
    <row r="130" spans="2:5" ht="20" customHeight="1" x14ac:dyDescent="0.2">
      <c r="B130" s="592"/>
      <c r="C130" s="592"/>
      <c r="D130" s="592"/>
      <c r="E130" s="592"/>
    </row>
    <row r="131" spans="2:5" ht="20" customHeight="1" x14ac:dyDescent="0.2">
      <c r="B131" s="314" t="s">
        <v>18</v>
      </c>
      <c r="C131" s="315" t="s">
        <v>19</v>
      </c>
      <c r="D131" s="315" t="s">
        <v>20</v>
      </c>
      <c r="E131" s="315" t="s">
        <v>21</v>
      </c>
    </row>
    <row r="132" spans="2:5" ht="20" customHeight="1" x14ac:dyDescent="0.2">
      <c r="B132" s="28" t="s">
        <v>2414</v>
      </c>
      <c r="C132" s="65" t="str">
        <f>sample_vvs_dr_mgmt_vc_fqdn</f>
        <v>sfo-m01-vc01.sfo.rainpole.io</v>
      </c>
      <c r="D132" s="8" t="str">
        <f>vvs_dr_mgmt_vc_fqdn</f>
        <v>Value Missing</v>
      </c>
      <c r="E132" s="42"/>
    </row>
    <row r="133" spans="2:5" ht="20" customHeight="1" x14ac:dyDescent="0.2">
      <c r="B133" s="28" t="s">
        <v>2126</v>
      </c>
      <c r="C133" s="65" t="s">
        <v>2415</v>
      </c>
      <c r="D133" s="66"/>
      <c r="E133" s="42"/>
    </row>
    <row r="134" spans="2:5" ht="20" customHeight="1" x14ac:dyDescent="0.2">
      <c r="B134" s="28" t="s">
        <v>2416</v>
      </c>
      <c r="C134" s="65" t="str">
        <f>IF(mgmt_domain_chosen="First Instance","svc_sfo-m01-vlr01_sfo-m01-vc01","svc_lax-m01-vlr01_lax-m01-vc01")</f>
        <v>svc_sfo-m01-vlr01_sfo-m01-vc01</v>
      </c>
      <c r="D134" s="66"/>
      <c r="E134" s="42"/>
    </row>
    <row r="135" spans="2:5" ht="20" customHeight="1" x14ac:dyDescent="0.2">
      <c r="B135" s="28" t="s">
        <v>2417</v>
      </c>
      <c r="C135" s="65" t="s">
        <v>31</v>
      </c>
      <c r="D135" s="66"/>
      <c r="E135" s="42"/>
    </row>
    <row r="136" spans="2:5" ht="16" customHeight="1" x14ac:dyDescent="0.2"/>
    <row r="137" spans="2:5" ht="34" customHeight="1" x14ac:dyDescent="0.2">
      <c r="B137" s="600" t="s">
        <v>2418</v>
      </c>
      <c r="C137" s="600"/>
      <c r="D137" s="600"/>
      <c r="E137" s="600"/>
    </row>
    <row r="138" spans="2:5" ht="20" customHeight="1" x14ac:dyDescent="0.2">
      <c r="B138" s="592"/>
      <c r="C138" s="592"/>
      <c r="D138" s="592"/>
      <c r="E138" s="592"/>
    </row>
    <row r="139" spans="2:5" ht="20" customHeight="1" x14ac:dyDescent="0.2">
      <c r="B139" s="314" t="s">
        <v>18</v>
      </c>
      <c r="C139" s="315" t="s">
        <v>19</v>
      </c>
      <c r="D139" s="315" t="s">
        <v>20</v>
      </c>
      <c r="E139" s="315" t="s">
        <v>21</v>
      </c>
    </row>
    <row r="140" spans="2:5" ht="20" customHeight="1" x14ac:dyDescent="0.2">
      <c r="B140" s="28" t="s">
        <v>2414</v>
      </c>
      <c r="C140" s="65" t="str">
        <f>sample_vvs_dr_mgmt_vc_fqdn</f>
        <v>sfo-m01-vc01.sfo.rainpole.io</v>
      </c>
      <c r="D140" s="8" t="str">
        <f>vvs_dr_mgmt_vc_fqdn</f>
        <v>Value Missing</v>
      </c>
      <c r="E140" s="42"/>
    </row>
    <row r="141" spans="2:5" ht="20" customHeight="1" x14ac:dyDescent="0.2">
      <c r="B141" s="28" t="s">
        <v>2126</v>
      </c>
      <c r="C141" s="65" t="str">
        <f>sample_vvs_dr_sso_domain</f>
        <v>vsphere.local</v>
      </c>
      <c r="D141" s="8" t="str">
        <f>vvs_dr_sso_domain</f>
        <v>Value Missing</v>
      </c>
      <c r="E141" s="42"/>
    </row>
    <row r="142" spans="2:5" ht="20" customHeight="1" x14ac:dyDescent="0.2">
      <c r="B142" s="28" t="s">
        <v>2419</v>
      </c>
      <c r="C142" s="65" t="str">
        <f>IF(mgmt_domain_chosen="First Instance","svc_sfo-m01-vlr01_sfo-m01-vc01","svc_lax-m01-vlr01_lax-m01-vc01")</f>
        <v>svc_sfo-m01-vlr01_sfo-m01-vc01</v>
      </c>
      <c r="D142" s="8" t="str">
        <f>vvs_dr_vr_username</f>
        <v>Value Missing</v>
      </c>
      <c r="E142" s="42"/>
    </row>
    <row r="143" spans="2:5" ht="16" customHeight="1" x14ac:dyDescent="0.2">
      <c r="B143" s="32"/>
      <c r="C143" s="172"/>
    </row>
    <row r="144" spans="2:5" ht="34" customHeight="1" x14ac:dyDescent="0.2">
      <c r="B144" s="600" t="s">
        <v>2420</v>
      </c>
      <c r="C144" s="600"/>
      <c r="D144" s="600"/>
      <c r="E144" s="600"/>
    </row>
    <row r="145" spans="2:5" ht="20" customHeight="1" x14ac:dyDescent="0.2">
      <c r="B145" s="592"/>
      <c r="C145" s="592"/>
      <c r="D145" s="592"/>
      <c r="E145" s="592"/>
    </row>
    <row r="146" spans="2:5" ht="20" customHeight="1" x14ac:dyDescent="0.2">
      <c r="B146" s="314" t="s">
        <v>18</v>
      </c>
      <c r="C146" s="315" t="s">
        <v>19</v>
      </c>
      <c r="D146" s="315" t="s">
        <v>20</v>
      </c>
      <c r="E146" s="315" t="s">
        <v>21</v>
      </c>
    </row>
    <row r="147" spans="2:5" ht="20" customHeight="1" x14ac:dyDescent="0.2">
      <c r="B147" s="302" t="s">
        <v>2421</v>
      </c>
      <c r="C147" s="65" t="str">
        <f>sample_vvs_mgmt_dr_vlr_fqdn</f>
        <v>sfo-m01-vlr01.sfo.rainpole.io</v>
      </c>
      <c r="D147" s="8" t="str">
        <f>CONCATENATE(vvs_mgmt_dr_vlr_fqdn,":5480")</f>
        <v>Value Missing:5480</v>
      </c>
      <c r="E147" s="42"/>
    </row>
    <row r="148" spans="2:5" ht="20" customHeight="1" x14ac:dyDescent="0.2">
      <c r="B148" s="302" t="s">
        <v>2259</v>
      </c>
      <c r="C148" s="65" t="str">
        <f>sample_mgmt_vc_fqdn</f>
        <v>sfo-m01-vc01.sfo.rainpole.io</v>
      </c>
      <c r="D148" s="8" t="str">
        <f>vvs_dr_mgmt_vc_fqdn</f>
        <v>Value Missing</v>
      </c>
      <c r="E148" s="42"/>
    </row>
    <row r="149" spans="2:5" ht="20" customHeight="1" x14ac:dyDescent="0.2">
      <c r="B149" s="302" t="s">
        <v>79</v>
      </c>
      <c r="C149" s="65" t="str">
        <f>IF(mgmt_domain_chosen="First Instance","svc_sfo-m01-vlr01_sfo-m01-vc01@vsphere.local","svc_lax-m01-vlr01_lax-m01-vc01@vsphere.local")</f>
        <v>svc_sfo-m01-vlr01_sfo-m01-vc01@vsphere.local</v>
      </c>
      <c r="D149" s="8" t="str">
        <f>CONCATENATE(vvs_dr_vr_username,"@",vvs_dr_sso_domain)</f>
        <v>Value Missing@Value Missing</v>
      </c>
      <c r="E149" s="42"/>
    </row>
    <row r="150" spans="2:5" ht="20" customHeight="1" x14ac:dyDescent="0.2">
      <c r="B150" s="302" t="s">
        <v>30</v>
      </c>
      <c r="C150" s="65" t="s">
        <v>31</v>
      </c>
      <c r="D150" s="8" t="str">
        <f>vvs_dr_vr_password</f>
        <v>Value Missing</v>
      </c>
      <c r="E150" s="42"/>
    </row>
    <row r="151" spans="2:5" ht="20" customHeight="1" x14ac:dyDescent="0.2">
      <c r="B151" s="302" t="s">
        <v>1374</v>
      </c>
      <c r="C151" s="65" t="str">
        <f>sample_mgmt_vc_fqdn</f>
        <v>sfo-m01-vc01.sfo.rainpole.io</v>
      </c>
      <c r="D151" s="8" t="str">
        <f>vvs_dr_mgmt_vc_fqdn</f>
        <v>Value Missing</v>
      </c>
      <c r="E151" s="42"/>
    </row>
    <row r="152" spans="2:5" ht="20" customHeight="1" x14ac:dyDescent="0.2">
      <c r="B152" s="302" t="s">
        <v>2143</v>
      </c>
      <c r="C152" s="65" t="str">
        <f>UPPER(sample_mgmt_sddc_domain)</f>
        <v>SFO-M01</v>
      </c>
      <c r="D152" s="66"/>
      <c r="E152" s="42"/>
    </row>
    <row r="153" spans="2:5" ht="20" customHeight="1" x14ac:dyDescent="0.2">
      <c r="B153" s="302" t="s">
        <v>2260</v>
      </c>
      <c r="C153" s="65" t="str">
        <f>CONCATENATE("vlr-administrator@",sample_parent_dns_zone)</f>
        <v>vlr-administrator@rainpole.io</v>
      </c>
      <c r="D153" s="66"/>
      <c r="E153" s="42"/>
    </row>
    <row r="154" spans="2:5" ht="20" customHeight="1" x14ac:dyDescent="0.2">
      <c r="B154" s="302" t="s">
        <v>2261</v>
      </c>
      <c r="C154" s="105" t="str">
        <f>sample_vvs_mgmt_dr_vlr_fqdn</f>
        <v>sfo-m01-vlr01.sfo.rainpole.io</v>
      </c>
      <c r="D154" s="259" t="str">
        <f>vvs_mgmt_dr_vlr_fqdn</f>
        <v>Value Missing</v>
      </c>
      <c r="E154" s="42"/>
    </row>
    <row r="155" spans="2:5" ht="16" customHeight="1" x14ac:dyDescent="0.2">
      <c r="B155" s="32"/>
      <c r="C155" s="172"/>
    </row>
    <row r="156" spans="2:5" ht="34" customHeight="1" x14ac:dyDescent="0.2">
      <c r="B156" s="600" t="s">
        <v>2422</v>
      </c>
      <c r="C156" s="600"/>
      <c r="D156" s="600"/>
      <c r="E156" s="600"/>
    </row>
    <row r="157" spans="2:5" ht="20" customHeight="1" x14ac:dyDescent="0.2">
      <c r="B157" s="592"/>
      <c r="C157" s="592"/>
      <c r="D157" s="592"/>
      <c r="E157" s="592"/>
    </row>
    <row r="158" spans="2:5" ht="20" customHeight="1" x14ac:dyDescent="0.2">
      <c r="B158" s="314" t="s">
        <v>18</v>
      </c>
      <c r="C158" s="315" t="s">
        <v>19</v>
      </c>
      <c r="D158" s="315" t="s">
        <v>20</v>
      </c>
      <c r="E158" s="315" t="s">
        <v>21</v>
      </c>
    </row>
    <row r="159" spans="2:5" ht="20" customHeight="1" x14ac:dyDescent="0.2">
      <c r="B159" s="28" t="s">
        <v>355</v>
      </c>
      <c r="C159" s="65" t="str">
        <f>sample_vvs_dr_mgmt_vc_fqdn</f>
        <v>sfo-m01-vc01.sfo.rainpole.io</v>
      </c>
      <c r="D159" s="8" t="str">
        <f>vvs_dr_mgmt_vc_fqdn</f>
        <v>Value Missing</v>
      </c>
      <c r="E159" s="42"/>
    </row>
    <row r="160" spans="2:5" ht="20" customHeight="1" x14ac:dyDescent="0.2">
      <c r="B160" s="28" t="s">
        <v>2263</v>
      </c>
      <c r="C160" s="65" t="str">
        <f>sample_mgmt_cl01_vds01_name</f>
        <v>sfo-m01-cl01-vds01</v>
      </c>
      <c r="D160" s="66"/>
      <c r="E160" s="42"/>
    </row>
    <row r="161" spans="2:5" ht="20" customHeight="1" x14ac:dyDescent="0.2">
      <c r="B161" s="540" t="s">
        <v>2264</v>
      </c>
      <c r="C161" s="541"/>
      <c r="D161" s="541"/>
      <c r="E161" s="542"/>
    </row>
    <row r="162" spans="2:5" ht="20" customHeight="1" x14ac:dyDescent="0.2">
      <c r="B162" s="28" t="s">
        <v>250</v>
      </c>
      <c r="C162" s="103" t="str">
        <f>CONCATENATE(this_instance,"01-m01-cl01-vds01-pg-vrms")</f>
        <v>sfo01-m01-cl01-vds01-pg-vrms</v>
      </c>
      <c r="D162" s="66"/>
      <c r="E162" s="42"/>
    </row>
    <row r="163" spans="2:5" ht="20" customHeight="1" x14ac:dyDescent="0.2">
      <c r="B163" s="30" t="s">
        <v>85</v>
      </c>
      <c r="C163" s="103" t="str">
        <f>CONCATENATE(prefix_mgmt_az1_vlan,"09")</f>
        <v>1109</v>
      </c>
      <c r="D163" s="66"/>
      <c r="E163" s="244"/>
    </row>
    <row r="164" spans="2:5" ht="16" customHeight="1" x14ac:dyDescent="0.2"/>
    <row r="165" spans="2:5" ht="34" customHeight="1" x14ac:dyDescent="0.2">
      <c r="B165" s="600" t="s">
        <v>2423</v>
      </c>
      <c r="C165" s="600"/>
      <c r="D165" s="600"/>
      <c r="E165" s="600"/>
    </row>
    <row r="166" spans="2:5" ht="20" customHeight="1" x14ac:dyDescent="0.2">
      <c r="B166" s="592"/>
      <c r="C166" s="592"/>
      <c r="D166" s="592"/>
      <c r="E166" s="592"/>
    </row>
    <row r="167" spans="2:5" ht="20" customHeight="1" x14ac:dyDescent="0.2">
      <c r="B167" s="314" t="s">
        <v>18</v>
      </c>
      <c r="C167" s="315" t="s">
        <v>19</v>
      </c>
      <c r="D167" s="315" t="s">
        <v>20</v>
      </c>
      <c r="E167" s="315" t="s">
        <v>21</v>
      </c>
    </row>
    <row r="168" spans="2:5" ht="20" customHeight="1" x14ac:dyDescent="0.2">
      <c r="B168" s="28" t="s">
        <v>355</v>
      </c>
      <c r="C168" s="65" t="str">
        <f>sample_vvs_dr_mgmt_vc_fqdn</f>
        <v>sfo-m01-vc01.sfo.rainpole.io</v>
      </c>
      <c r="D168" s="8" t="str">
        <f>vvs_dr_mgmt_vc_fqdn</f>
        <v>Value Missing</v>
      </c>
      <c r="E168" s="42"/>
    </row>
    <row r="169" spans="2:5" ht="20" customHeight="1" x14ac:dyDescent="0.2">
      <c r="B169" s="28" t="s">
        <v>634</v>
      </c>
      <c r="C169" s="65" t="str">
        <f>CONCATENATE(this_instance,"-m01-cl01")</f>
        <v>sfo-m01-cl01</v>
      </c>
      <c r="D169" s="66"/>
      <c r="E169" s="42"/>
    </row>
    <row r="170" spans="2:5" ht="20" customHeight="1" x14ac:dyDescent="0.2">
      <c r="B170" s="4" t="s">
        <v>551</v>
      </c>
      <c r="C170" s="65" t="str">
        <f>sample_mgmt_vrms_pg</f>
        <v>sfo01-m01-cl01-vds01-pg-vrms</v>
      </c>
      <c r="D170" s="8" t="str">
        <f>mgmt_vrms_pg</f>
        <v>Value Missing</v>
      </c>
      <c r="E170" s="42"/>
    </row>
    <row r="171" spans="2:5" ht="20" customHeight="1" x14ac:dyDescent="0.2">
      <c r="B171" s="4" t="s">
        <v>181</v>
      </c>
      <c r="C171" s="103" t="str">
        <f>CONCATENATE(prefix_mgmt_az1_cidr,"9.0/24")</f>
        <v>10.11.9.0/24</v>
      </c>
      <c r="D171" s="66"/>
      <c r="E171" s="296"/>
    </row>
    <row r="172" spans="2:5" ht="20" customHeight="1" x14ac:dyDescent="0.2">
      <c r="B172" s="182" t="s">
        <v>242</v>
      </c>
      <c r="C172" s="103" t="s">
        <v>126</v>
      </c>
      <c r="D172" s="66"/>
      <c r="E172" s="296"/>
    </row>
    <row r="173" spans="2:5" ht="20" customHeight="1" x14ac:dyDescent="0.2">
      <c r="B173" s="4" t="s">
        <v>180</v>
      </c>
      <c r="C173" s="103" t="str">
        <f>CONCATENATE(prefix_mgmt_az1_cidr,"9.1")</f>
        <v>10.11.9.1</v>
      </c>
      <c r="D173" s="66"/>
      <c r="E173" s="296"/>
    </row>
    <row r="174" spans="2:5" ht="20" customHeight="1" x14ac:dyDescent="0.2">
      <c r="B174" s="30" t="s">
        <v>155</v>
      </c>
      <c r="C174" s="103">
        <v>9000</v>
      </c>
      <c r="D174" s="66"/>
      <c r="E174" s="296"/>
    </row>
    <row r="175" spans="2:5" ht="20" customHeight="1" x14ac:dyDescent="0.2">
      <c r="B175" s="568" t="s">
        <v>2276</v>
      </c>
      <c r="C175" s="569"/>
      <c r="D175" s="569"/>
      <c r="E175" s="570"/>
    </row>
    <row r="176" spans="2:5" ht="20" customHeight="1" x14ac:dyDescent="0.2">
      <c r="B176" s="28" t="str">
        <f t="array" ref="B176:B191">mgmt_az1_host_fqdns</f>
        <v>Value Missing</v>
      </c>
      <c r="C176" s="109" t="str">
        <f>CONCATENATE(prefix_mgmt_az1_cidr,"9.101")</f>
        <v>10.11.9.101</v>
      </c>
      <c r="D176" s="66"/>
      <c r="E176" s="121" t="s">
        <v>2424</v>
      </c>
    </row>
    <row r="177" spans="2:5" ht="20" customHeight="1" x14ac:dyDescent="0.2">
      <c r="B177" s="28" t="str">
        <v>Value Missing</v>
      </c>
      <c r="C177" s="109" t="str">
        <f>CONCATENATE(prefix_mgmt_az1_cidr,"9.102")</f>
        <v>10.11.9.102</v>
      </c>
      <c r="D177" s="66"/>
      <c r="E177" s="121" t="s">
        <v>2425</v>
      </c>
    </row>
    <row r="178" spans="2:5" ht="20" customHeight="1" x14ac:dyDescent="0.2">
      <c r="B178" s="28" t="str">
        <v>Value Missing</v>
      </c>
      <c r="C178" s="109" t="str">
        <f>CONCATENATE(prefix_mgmt_az1_cidr,"9.103")</f>
        <v>10.11.9.103</v>
      </c>
      <c r="D178" s="66"/>
      <c r="E178" s="121" t="s">
        <v>2426</v>
      </c>
    </row>
    <row r="179" spans="2:5" ht="20" customHeight="1" x14ac:dyDescent="0.2">
      <c r="B179" s="28" t="str">
        <v>Value Missing</v>
      </c>
      <c r="C179" s="109" t="str">
        <f>CONCATENATE(prefix_mgmt_az1_cidr,"9.104")</f>
        <v>10.11.9.104</v>
      </c>
      <c r="D179" s="66"/>
      <c r="E179" s="121" t="s">
        <v>2427</v>
      </c>
    </row>
    <row r="180" spans="2:5" ht="20" customHeight="1" x14ac:dyDescent="0.2">
      <c r="B180" s="28" t="str">
        <v>Value Missing</v>
      </c>
      <c r="C180" s="109" t="str">
        <f>CONCATENATE(prefix_mgmt_az1_cidr,"9.105")</f>
        <v>10.11.9.105</v>
      </c>
      <c r="D180" s="66"/>
      <c r="E180" s="121" t="s">
        <v>2428</v>
      </c>
    </row>
    <row r="181" spans="2:5" ht="20" customHeight="1" x14ac:dyDescent="0.2">
      <c r="B181" s="28" t="str">
        <v>Value Missing</v>
      </c>
      <c r="C181" s="109" t="str">
        <f>CONCATENATE(prefix_mgmt_az1_cidr,"9.106")</f>
        <v>10.11.9.106</v>
      </c>
      <c r="D181" s="66"/>
      <c r="E181" s="121" t="s">
        <v>2429</v>
      </c>
    </row>
    <row r="182" spans="2:5" ht="20" customHeight="1" x14ac:dyDescent="0.2">
      <c r="B182" s="4" t="str">
        <v>Value Missing</v>
      </c>
      <c r="C182" s="109" t="str">
        <f>CONCATENATE(prefix_mgmt_az1_cidr,"9.107")</f>
        <v>10.11.9.107</v>
      </c>
      <c r="D182" s="66"/>
      <c r="E182" s="121" t="s">
        <v>2430</v>
      </c>
    </row>
    <row r="183" spans="2:5" ht="20" customHeight="1" x14ac:dyDescent="0.2">
      <c r="B183" s="4" t="str">
        <v>Value Missing</v>
      </c>
      <c r="C183" s="109" t="str">
        <f>CONCATENATE(prefix_mgmt_az1_cidr,"9.108")</f>
        <v>10.11.9.108</v>
      </c>
      <c r="D183" s="66"/>
      <c r="E183" s="121" t="s">
        <v>2431</v>
      </c>
    </row>
    <row r="184" spans="2:5" ht="20" customHeight="1" x14ac:dyDescent="0.2">
      <c r="B184" s="4" t="str">
        <v>Value Missing</v>
      </c>
      <c r="C184" s="109" t="str">
        <f>CONCATENATE(prefix_mgmt_az1_cidr,"9.109")</f>
        <v>10.11.9.109</v>
      </c>
      <c r="D184" s="66"/>
      <c r="E184" s="121" t="s">
        <v>2432</v>
      </c>
    </row>
    <row r="185" spans="2:5" ht="20" customHeight="1" x14ac:dyDescent="0.2">
      <c r="B185" s="28" t="str">
        <v>Value Missing</v>
      </c>
      <c r="C185" s="109" t="str">
        <f>CONCATENATE(prefix_mgmt_az1_cidr,"9.110")</f>
        <v>10.11.9.110</v>
      </c>
      <c r="D185" s="66"/>
      <c r="E185" s="121" t="s">
        <v>2433</v>
      </c>
    </row>
    <row r="186" spans="2:5" ht="20" customHeight="1" x14ac:dyDescent="0.2">
      <c r="B186" s="28" t="str">
        <v>Value Missing</v>
      </c>
      <c r="C186" s="109" t="str">
        <f>CONCATENATE(prefix_mgmt_az1_cidr,"9.111")</f>
        <v>10.11.9.111</v>
      </c>
      <c r="D186" s="66"/>
      <c r="E186" s="121" t="s">
        <v>2434</v>
      </c>
    </row>
    <row r="187" spans="2:5" ht="20" customHeight="1" x14ac:dyDescent="0.2">
      <c r="B187" s="28" t="str">
        <v>Value Missing</v>
      </c>
      <c r="C187" s="109" t="str">
        <f>CONCATENATE(prefix_mgmt_az1_cidr,"9.112")</f>
        <v>10.11.9.112</v>
      </c>
      <c r="D187" s="66"/>
      <c r="E187" s="121" t="s">
        <v>2435</v>
      </c>
    </row>
    <row r="188" spans="2:5" ht="20" customHeight="1" x14ac:dyDescent="0.2">
      <c r="B188" s="31" t="str">
        <v>Value Missing</v>
      </c>
      <c r="C188" s="109" t="str">
        <f>CONCATENATE(prefix_mgmt_az1_cidr,"9.113")</f>
        <v>10.11.9.113</v>
      </c>
      <c r="D188" s="66"/>
      <c r="E188" s="121" t="s">
        <v>2436</v>
      </c>
    </row>
    <row r="189" spans="2:5" ht="20" customHeight="1" x14ac:dyDescent="0.2">
      <c r="B189" s="31" t="str">
        <v>Value Missing</v>
      </c>
      <c r="C189" s="109" t="str">
        <f>CONCATENATE(prefix_mgmt_az1_cidr,"9.114")</f>
        <v>10.11.9.114</v>
      </c>
      <c r="D189" s="66"/>
      <c r="E189" s="121" t="s">
        <v>2437</v>
      </c>
    </row>
    <row r="190" spans="2:5" ht="20" customHeight="1" x14ac:dyDescent="0.2">
      <c r="B190" s="31" t="str">
        <v>Value Missing</v>
      </c>
      <c r="C190" s="109" t="str">
        <f>CONCATENATE(prefix_mgmt_az1_cidr,"9.115")</f>
        <v>10.11.9.115</v>
      </c>
      <c r="D190" s="66"/>
      <c r="E190" s="121" t="s">
        <v>2438</v>
      </c>
    </row>
    <row r="191" spans="2:5" ht="20" customHeight="1" x14ac:dyDescent="0.2">
      <c r="B191" s="31" t="str">
        <v>Value Missing</v>
      </c>
      <c r="C191" s="109" t="str">
        <f>CONCATENATE(prefix_mgmt_az1_cidr,"9.116")</f>
        <v>10.11.9.116</v>
      </c>
      <c r="D191" s="66"/>
      <c r="E191" s="121" t="s">
        <v>2439</v>
      </c>
    </row>
    <row r="192" spans="2:5" ht="20" customHeight="1" x14ac:dyDescent="0.2">
      <c r="B192" s="568" t="s">
        <v>2293</v>
      </c>
      <c r="C192" s="569"/>
      <c r="D192" s="569"/>
      <c r="E192" s="570"/>
    </row>
    <row r="193" spans="2:5" ht="20" customHeight="1" x14ac:dyDescent="0.2">
      <c r="B193" s="28" t="str">
        <f t="array" ref="B193:B208">mgmt_az2_host_fqdns</f>
        <v>Value Missing</v>
      </c>
      <c r="C193" s="109" t="str">
        <f>CONCATENATE(prefix_mgmt_az1_cidr,"9.201")</f>
        <v>10.11.9.201</v>
      </c>
      <c r="D193" s="66"/>
      <c r="E193" s="121" t="s">
        <v>2424</v>
      </c>
    </row>
    <row r="194" spans="2:5" ht="20" customHeight="1" x14ac:dyDescent="0.2">
      <c r="B194" s="28" t="str">
        <v>Value Missing</v>
      </c>
      <c r="C194" s="109" t="str">
        <f>CONCATENATE(prefix_mgmt_az1_cidr,"9.202")</f>
        <v>10.11.9.202</v>
      </c>
      <c r="D194" s="66"/>
      <c r="E194" s="121" t="s">
        <v>2425</v>
      </c>
    </row>
    <row r="195" spans="2:5" ht="20" customHeight="1" x14ac:dyDescent="0.2">
      <c r="B195" s="28" t="str">
        <v>Value Missing</v>
      </c>
      <c r="C195" s="109" t="str">
        <f>CONCATENATE(prefix_mgmt_az1_cidr,"9.203")</f>
        <v>10.11.9.203</v>
      </c>
      <c r="D195" s="66"/>
      <c r="E195" s="121" t="s">
        <v>2426</v>
      </c>
    </row>
    <row r="196" spans="2:5" ht="20" customHeight="1" x14ac:dyDescent="0.2">
      <c r="B196" s="28" t="str">
        <v>Value Missing</v>
      </c>
      <c r="C196" s="109" t="str">
        <f>CONCATENATE(prefix_mgmt_az1_cidr,"9.204")</f>
        <v>10.11.9.204</v>
      </c>
      <c r="D196" s="66"/>
      <c r="E196" s="121" t="s">
        <v>2427</v>
      </c>
    </row>
    <row r="197" spans="2:5" ht="20" customHeight="1" x14ac:dyDescent="0.2">
      <c r="B197" s="28" t="str">
        <v>Value Missing</v>
      </c>
      <c r="C197" s="109" t="str">
        <f>CONCATENATE(prefix_mgmt_az1_cidr,"9.205")</f>
        <v>10.11.9.205</v>
      </c>
      <c r="D197" s="66"/>
      <c r="E197" s="121" t="s">
        <v>2428</v>
      </c>
    </row>
    <row r="198" spans="2:5" ht="20" customHeight="1" x14ac:dyDescent="0.2">
      <c r="B198" s="28" t="str">
        <v>Value Missing</v>
      </c>
      <c r="C198" s="109" t="str">
        <f>CONCATENATE(prefix_mgmt_az1_cidr,"9.206")</f>
        <v>10.11.9.206</v>
      </c>
      <c r="D198" s="66"/>
      <c r="E198" s="121" t="s">
        <v>2429</v>
      </c>
    </row>
    <row r="199" spans="2:5" ht="20" customHeight="1" x14ac:dyDescent="0.2">
      <c r="B199" s="4" t="str">
        <v>Value Missing</v>
      </c>
      <c r="C199" s="109" t="str">
        <f>CONCATENATE(prefix_mgmt_az1_cidr,"9.207")</f>
        <v>10.11.9.207</v>
      </c>
      <c r="D199" s="66"/>
      <c r="E199" s="121" t="s">
        <v>2430</v>
      </c>
    </row>
    <row r="200" spans="2:5" ht="20" customHeight="1" x14ac:dyDescent="0.2">
      <c r="B200" s="4" t="str">
        <v>Value Missing</v>
      </c>
      <c r="C200" s="109" t="str">
        <f>CONCATENATE(prefix_mgmt_az1_cidr,"9.208")</f>
        <v>10.11.9.208</v>
      </c>
      <c r="D200" s="66"/>
      <c r="E200" s="121" t="s">
        <v>2431</v>
      </c>
    </row>
    <row r="201" spans="2:5" ht="20" customHeight="1" x14ac:dyDescent="0.2">
      <c r="B201" s="4" t="str">
        <v>Value Missing</v>
      </c>
      <c r="C201" s="109" t="str">
        <f>CONCATENATE(prefix_mgmt_az1_cidr,"9.209")</f>
        <v>10.11.9.209</v>
      </c>
      <c r="D201" s="66"/>
      <c r="E201" s="121" t="s">
        <v>2432</v>
      </c>
    </row>
    <row r="202" spans="2:5" ht="20" customHeight="1" x14ac:dyDescent="0.2">
      <c r="B202" s="28" t="str">
        <v>Value Missing</v>
      </c>
      <c r="C202" s="109" t="str">
        <f>CONCATENATE(prefix_mgmt_az1_cidr,"9.210")</f>
        <v>10.11.9.210</v>
      </c>
      <c r="D202" s="66"/>
      <c r="E202" s="121" t="s">
        <v>2433</v>
      </c>
    </row>
    <row r="203" spans="2:5" ht="20" customHeight="1" x14ac:dyDescent="0.2">
      <c r="B203" s="28" t="str">
        <v>Value Missing</v>
      </c>
      <c r="C203" s="109" t="str">
        <f>CONCATENATE(prefix_mgmt_az1_cidr,"9.211")</f>
        <v>10.11.9.211</v>
      </c>
      <c r="D203" s="66"/>
      <c r="E203" s="121" t="s">
        <v>2434</v>
      </c>
    </row>
    <row r="204" spans="2:5" ht="20" customHeight="1" x14ac:dyDescent="0.2">
      <c r="B204" s="28" t="str">
        <v>Value Missing</v>
      </c>
      <c r="C204" s="109" t="str">
        <f>CONCATENATE(prefix_mgmt_az1_cidr,"9.212")</f>
        <v>10.11.9.212</v>
      </c>
      <c r="D204" s="66"/>
      <c r="E204" s="121" t="s">
        <v>2435</v>
      </c>
    </row>
    <row r="205" spans="2:5" ht="20" customHeight="1" x14ac:dyDescent="0.2">
      <c r="B205" s="28" t="str">
        <v>Value Missing</v>
      </c>
      <c r="C205" s="109" t="str">
        <f>CONCATENATE(prefix_mgmt_az1_cidr,"9.213")</f>
        <v>10.11.9.213</v>
      </c>
      <c r="D205" s="66"/>
      <c r="E205" s="121" t="s">
        <v>2436</v>
      </c>
    </row>
    <row r="206" spans="2:5" ht="20" customHeight="1" x14ac:dyDescent="0.2">
      <c r="B206" s="28" t="str">
        <v>Value Missing</v>
      </c>
      <c r="C206" s="109" t="str">
        <f>CONCATENATE(prefix_mgmt_az1_cidr,"9.214")</f>
        <v>10.11.9.214</v>
      </c>
      <c r="D206" s="66"/>
      <c r="E206" s="121" t="s">
        <v>2437</v>
      </c>
    </row>
    <row r="207" spans="2:5" ht="20" customHeight="1" x14ac:dyDescent="0.2">
      <c r="B207" s="28" t="str">
        <v>Value Missing</v>
      </c>
      <c r="C207" s="109" t="str">
        <f>CONCATENATE(prefix_mgmt_az1_cidr,"9.215")</f>
        <v>10.11.9.215</v>
      </c>
      <c r="D207" s="66"/>
      <c r="E207" s="121" t="s">
        <v>2438</v>
      </c>
    </row>
    <row r="208" spans="2:5" ht="20" customHeight="1" x14ac:dyDescent="0.2">
      <c r="B208" s="28" t="str">
        <v>Value Missing</v>
      </c>
      <c r="C208" s="109" t="str">
        <f>CONCATENATE(prefix_mgmt_az1_cidr,"9.216")</f>
        <v>10.11.9.216</v>
      </c>
      <c r="D208" s="66"/>
      <c r="E208" s="121" t="s">
        <v>2439</v>
      </c>
    </row>
    <row r="209" spans="2:5" ht="16" customHeight="1" x14ac:dyDescent="0.2"/>
    <row r="210" spans="2:5" ht="34" customHeight="1" x14ac:dyDescent="0.2">
      <c r="B210" s="599" t="s">
        <v>2440</v>
      </c>
      <c r="C210" s="600"/>
      <c r="D210" s="600"/>
      <c r="E210" s="600"/>
    </row>
    <row r="211" spans="2:5" ht="16" customHeight="1" x14ac:dyDescent="0.2"/>
    <row r="212" spans="2:5" ht="34" customHeight="1" x14ac:dyDescent="0.2">
      <c r="B212" s="600" t="s">
        <v>2441</v>
      </c>
      <c r="C212" s="600"/>
      <c r="D212" s="600"/>
      <c r="E212" s="600"/>
    </row>
    <row r="213" spans="2:5" ht="20" customHeight="1" x14ac:dyDescent="0.2">
      <c r="B213" s="592"/>
      <c r="C213" s="592"/>
      <c r="D213" s="592"/>
      <c r="E213" s="592"/>
    </row>
    <row r="214" spans="2:5" ht="20" customHeight="1" x14ac:dyDescent="0.2">
      <c r="B214" s="314" t="s">
        <v>18</v>
      </c>
      <c r="C214" s="315" t="s">
        <v>19</v>
      </c>
      <c r="D214" s="315" t="s">
        <v>20</v>
      </c>
      <c r="E214" s="315" t="s">
        <v>21</v>
      </c>
    </row>
    <row r="215" spans="2:5" ht="20" customHeight="1" x14ac:dyDescent="0.2">
      <c r="B215" s="302" t="s">
        <v>2442</v>
      </c>
      <c r="C215" s="65" t="str">
        <f>sample_vvs_dr_mgmt_vc_fqdn</f>
        <v>sfo-m01-vc01.sfo.rainpole.io</v>
      </c>
      <c r="D215" s="8" t="str">
        <f>vvs_dr_mgmt_vc_fqdn</f>
        <v>Value Missing</v>
      </c>
      <c r="E215" s="42"/>
    </row>
    <row r="216" spans="2:5" ht="20" customHeight="1" x14ac:dyDescent="0.2">
      <c r="B216" s="302" t="s">
        <v>2322</v>
      </c>
      <c r="C216" s="65" t="str">
        <f>sample_vvs_dr_mgmt_vc_fqdn</f>
        <v>sfo-m01-vc01.sfo.rainpole.io</v>
      </c>
      <c r="D216" s="8" t="str">
        <f>vvs_dr_mgmt_vc_fqdn</f>
        <v>Value Missing</v>
      </c>
      <c r="E216" s="42"/>
    </row>
    <row r="217" spans="2:5" ht="20" customHeight="1" x14ac:dyDescent="0.2">
      <c r="B217" s="302" t="s">
        <v>2259</v>
      </c>
      <c r="C217" s="65" t="str">
        <f>CONCATENATE(other_instance,"-m01-vc01.",other_instance,".",sample_parent_dns_zone)</f>
        <v>lax-m01-vc01.lax.rainpole.io</v>
      </c>
      <c r="D217" s="66"/>
      <c r="E217" s="42"/>
    </row>
    <row r="218" spans="2:5" ht="20" customHeight="1" x14ac:dyDescent="0.2">
      <c r="B218" s="302" t="s">
        <v>79</v>
      </c>
      <c r="C218" s="65" t="str">
        <f>IF(mgmt_domain_chosen="First Instance","svc_lax-m01-vlr01_lax-m01-vc01@vsphere.local","svc_sfo-m01-vlr01_sfo-m01-vc01@vsphere.local")</f>
        <v>svc_lax-m01-vlr01_lax-m01-vc01@vsphere.local</v>
      </c>
      <c r="D218" s="66"/>
      <c r="E218" s="42"/>
    </row>
    <row r="219" spans="2:5" ht="20" customHeight="1" x14ac:dyDescent="0.2">
      <c r="B219" s="302" t="s">
        <v>30</v>
      </c>
      <c r="C219" s="65" t="s">
        <v>31</v>
      </c>
      <c r="D219" s="66"/>
      <c r="E219" s="42"/>
    </row>
    <row r="220" spans="2:5" ht="20" customHeight="1" x14ac:dyDescent="0.2">
      <c r="B220" s="302" t="s">
        <v>2325</v>
      </c>
      <c r="C220" s="65" t="str">
        <f>sample_mgmt_srm_recovery_vcenter_fqdn</f>
        <v>lax-m01-vc01.lax.rainpole.io</v>
      </c>
      <c r="D220" s="8" t="str">
        <f>mgmt_srm_recovery_vcenter_fqdn</f>
        <v>Value Missing</v>
      </c>
      <c r="E220" s="42"/>
    </row>
    <row r="221" spans="2:5" ht="16" customHeight="1" x14ac:dyDescent="0.2">
      <c r="B221" s="305"/>
      <c r="C221" s="172"/>
    </row>
    <row r="222" spans="2:5" ht="34" customHeight="1" x14ac:dyDescent="0.2">
      <c r="B222" s="600" t="s">
        <v>2443</v>
      </c>
      <c r="C222" s="600"/>
      <c r="D222" s="600"/>
      <c r="E222" s="600"/>
    </row>
    <row r="223" spans="2:5" ht="20" customHeight="1" x14ac:dyDescent="0.2">
      <c r="B223" s="592"/>
      <c r="C223" s="592"/>
      <c r="D223" s="592"/>
      <c r="E223" s="592"/>
    </row>
    <row r="224" spans="2:5" ht="20" customHeight="1" x14ac:dyDescent="0.2">
      <c r="B224" s="314" t="s">
        <v>18</v>
      </c>
      <c r="C224" s="315" t="s">
        <v>19</v>
      </c>
      <c r="D224" s="315" t="s">
        <v>20</v>
      </c>
      <c r="E224" s="315" t="s">
        <v>21</v>
      </c>
    </row>
    <row r="225" spans="2:5" ht="20" customHeight="1" x14ac:dyDescent="0.2">
      <c r="B225" s="302" t="s">
        <v>2442</v>
      </c>
      <c r="C225" s="65" t="str">
        <f>sample_vvs_dr_mgmt_vc_fqdn</f>
        <v>sfo-m01-vc01.sfo.rainpole.io</v>
      </c>
      <c r="D225" s="8" t="str">
        <f>vvs_dr_mgmt_vc_fqdn</f>
        <v>Value Missing</v>
      </c>
      <c r="E225" s="42"/>
    </row>
    <row r="226" spans="2:5" ht="20" customHeight="1" x14ac:dyDescent="0.2">
      <c r="B226" s="302" t="s">
        <v>1374</v>
      </c>
      <c r="C226" s="65" t="str">
        <f>sample_vvs_dr_mgmt_vc_fqdn</f>
        <v>sfo-m01-vc01.sfo.rainpole.io</v>
      </c>
      <c r="D226" s="8" t="str">
        <f>vvs_dr_mgmt_vc_fqdn</f>
        <v>Value Missing</v>
      </c>
      <c r="E226" s="42"/>
    </row>
    <row r="227" spans="2:5" ht="20" customHeight="1" x14ac:dyDescent="0.2">
      <c r="B227" s="302" t="s">
        <v>2444</v>
      </c>
      <c r="C227" s="65" t="str">
        <f>sample_vvs_mgmt_dr_vlr_fqdn</f>
        <v>sfo-m01-vlr01.sfo.rainpole.io</v>
      </c>
      <c r="D227" s="8" t="str">
        <f>vvs_mgmt_dr_vlr_fqdn</f>
        <v>Value Missing</v>
      </c>
      <c r="E227" s="42"/>
    </row>
    <row r="228" spans="2:5" ht="20" customHeight="1" x14ac:dyDescent="0.2">
      <c r="B228" s="302" t="s">
        <v>2445</v>
      </c>
      <c r="C228" s="65" t="s">
        <v>2446</v>
      </c>
      <c r="D228" s="66"/>
      <c r="E228" s="42"/>
    </row>
    <row r="229" spans="2:5" ht="20" customHeight="1" x14ac:dyDescent="0.2">
      <c r="B229" s="302" t="s">
        <v>2447</v>
      </c>
      <c r="C229" s="65" t="s">
        <v>2446</v>
      </c>
      <c r="D229" s="66"/>
      <c r="E229" s="42"/>
    </row>
    <row r="230" spans="2:5" ht="16" customHeight="1" x14ac:dyDescent="0.2"/>
    <row r="231" spans="2:5" ht="34" customHeight="1" x14ac:dyDescent="0.2">
      <c r="B231" s="600" t="s">
        <v>2448</v>
      </c>
      <c r="C231" s="600"/>
      <c r="D231" s="600"/>
      <c r="E231" s="600"/>
    </row>
    <row r="232" spans="2:5" ht="20" customHeight="1" x14ac:dyDescent="0.2">
      <c r="B232" s="592"/>
      <c r="C232" s="592"/>
      <c r="D232" s="592"/>
      <c r="E232" s="592"/>
    </row>
    <row r="233" spans="2:5" ht="20" customHeight="1" x14ac:dyDescent="0.2">
      <c r="B233" s="314" t="s">
        <v>18</v>
      </c>
      <c r="C233" s="315" t="s">
        <v>19</v>
      </c>
      <c r="D233" s="315" t="s">
        <v>20</v>
      </c>
      <c r="E233" s="315" t="s">
        <v>21</v>
      </c>
    </row>
    <row r="234" spans="2:5" ht="20" customHeight="1" x14ac:dyDescent="0.2">
      <c r="B234" s="302" t="s">
        <v>2442</v>
      </c>
      <c r="C234" s="65" t="str">
        <f>sample_vvs_dr_mgmt_vc_fqdn</f>
        <v>sfo-m01-vc01.sfo.rainpole.io</v>
      </c>
      <c r="D234" s="8" t="str">
        <f>vvs_dr_mgmt_vc_fqdn</f>
        <v>Value Missing</v>
      </c>
      <c r="E234" s="42"/>
    </row>
    <row r="235" spans="2:5" ht="20" customHeight="1" x14ac:dyDescent="0.2">
      <c r="B235" s="302" t="s">
        <v>2449</v>
      </c>
      <c r="C235" s="65" t="str">
        <f>CONCATENATE(sample_mgmt_vc_fqdn," &lt;--&gt; ",sample_mgmt_srm_recovery_vcenter_fqdn)</f>
        <v>sfo-m01-vc01.sfo.rainpole.io &lt;--&gt; lax-m01-vc01.lax.rainpole.io</v>
      </c>
      <c r="D235" s="8" t="str">
        <f>CONCATENATE(vvs_dr_mgmt_vc_fqdn," &lt;--&gt; ",mgmt_srm_recovery_vcenter_fqdn)</f>
        <v>Value Missing &lt;--&gt; Value Missing</v>
      </c>
      <c r="E235" s="42"/>
    </row>
    <row r="236" spans="2:5" ht="20" customHeight="1" x14ac:dyDescent="0.2">
      <c r="B236" s="4" t="s">
        <v>2450</v>
      </c>
      <c r="C236" s="65"/>
      <c r="D236" s="66"/>
      <c r="E236" s="42"/>
    </row>
    <row r="237" spans="2:5" ht="20" customHeight="1" x14ac:dyDescent="0.2">
      <c r="B237" s="4" t="s">
        <v>2451</v>
      </c>
      <c r="C237" s="65" t="str">
        <f>CONCATENATE(other_instance,"-m01-cl01-vds01"," --&gt; ",other_instance,"-m01-cl01-vds01-pg-vm-fleet")</f>
        <v>lax-m01-cl01-vds01 --&gt; lax-m01-cl01-vds01-pg-vm-fleet</v>
      </c>
      <c r="D237" s="66"/>
      <c r="E237" s="42"/>
    </row>
    <row r="238" spans="2:5" ht="20" customHeight="1" x14ac:dyDescent="0.2">
      <c r="B238" s="4" t="s">
        <v>2452</v>
      </c>
      <c r="C238" s="65" t="str">
        <f>CONCATENATE(sample_mgmt_srm_recovery_vcenter_fqdn," --&gt; ",this_instance,"-m01-DC")</f>
        <v>lax-m01-vc01.lax.rainpole.io --&gt; sfo-m01-DC</v>
      </c>
      <c r="D238" s="66"/>
      <c r="E238" s="42"/>
    </row>
    <row r="239" spans="2:5" ht="20" customHeight="1" x14ac:dyDescent="0.2">
      <c r="B239" s="4" t="s">
        <v>2453</v>
      </c>
      <c r="C239" s="65" t="str">
        <f>CONCATENATE(sample_mgmt_srm_recovery_vcenter_fqdn," --&gt; ",other_instance,"-m01-DC")</f>
        <v>lax-m01-vc01.lax.rainpole.io --&gt; lax-m01-DC</v>
      </c>
      <c r="D239" s="66"/>
      <c r="E239" s="42"/>
    </row>
    <row r="240" spans="2:5" ht="20" customHeight="1" x14ac:dyDescent="0.2">
      <c r="B240" s="4" t="s">
        <v>2454</v>
      </c>
      <c r="C240" s="65" t="str">
        <f>CONCATENATE(this_instance,"-m01-DC"," --&gt; ",this_instance,"-m01-cl01")</f>
        <v>sfo-m01-DC --&gt; sfo-m01-cl01</v>
      </c>
      <c r="D240" s="66"/>
      <c r="E240" s="42"/>
    </row>
    <row r="241" spans="2:5" ht="20" customHeight="1" x14ac:dyDescent="0.2">
      <c r="B241" s="4" t="s">
        <v>2455</v>
      </c>
      <c r="C241" s="65" t="str">
        <f>CONCATENATE(other_instance,"-m01-DC"," --&gt; ",other_instance,"-m01-cl01")</f>
        <v>lax-m01-DC --&gt; lax-m01-cl01</v>
      </c>
      <c r="D241" s="66"/>
      <c r="E241" s="42"/>
    </row>
    <row r="242" spans="2:5" ht="16" customHeight="1" x14ac:dyDescent="0.2"/>
    <row r="243" spans="2:5" ht="34" customHeight="1" x14ac:dyDescent="0.2">
      <c r="B243" s="600" t="s">
        <v>2456</v>
      </c>
      <c r="C243" s="600"/>
      <c r="D243" s="600"/>
      <c r="E243" s="600"/>
    </row>
    <row r="244" spans="2:5" ht="20" customHeight="1" x14ac:dyDescent="0.2">
      <c r="B244" s="592"/>
      <c r="C244" s="592"/>
      <c r="D244" s="592"/>
      <c r="E244" s="592"/>
    </row>
    <row r="245" spans="2:5" ht="20" customHeight="1" x14ac:dyDescent="0.2">
      <c r="B245" s="314" t="s">
        <v>18</v>
      </c>
      <c r="C245" s="315" t="s">
        <v>19</v>
      </c>
      <c r="D245" s="315" t="s">
        <v>20</v>
      </c>
      <c r="E245" s="315" t="s">
        <v>21</v>
      </c>
    </row>
    <row r="246" spans="2:5" ht="20" customHeight="1" x14ac:dyDescent="0.2">
      <c r="B246" s="302" t="s">
        <v>2421</v>
      </c>
      <c r="C246" s="65" t="str">
        <f>sample_vvs_mgmt_dr_vlr_fqdn</f>
        <v>sfo-m01-vlr01.sfo.rainpole.io</v>
      </c>
      <c r="D246" s="8" t="str">
        <f>vvs_mgmt_dr_vlr_fqdn</f>
        <v>Value Missing</v>
      </c>
      <c r="E246" s="42"/>
    </row>
    <row r="247" spans="2:5" ht="20" customHeight="1" x14ac:dyDescent="0.2">
      <c r="B247" s="4" t="s">
        <v>2449</v>
      </c>
      <c r="C247" s="65" t="str">
        <f>CONCATENATE(sample_mgmt_vc_fqdn," &lt;--&gt; ",sample_mgmt_srm_recovery_vcenter_fqdn)</f>
        <v>sfo-m01-vc01.sfo.rainpole.io &lt;--&gt; lax-m01-vc01.lax.rainpole.io</v>
      </c>
      <c r="D247" s="8" t="str">
        <f>vs_dr_site_pair</f>
        <v>Value Missing &lt;--&gt; Value Missing</v>
      </c>
      <c r="E247" s="42"/>
    </row>
    <row r="248" spans="2:5" ht="20" customHeight="1" x14ac:dyDescent="0.2">
      <c r="B248" s="28" t="s">
        <v>2457</v>
      </c>
      <c r="C248" s="65" t="str">
        <f>CONCATENATE(prefix_portable_component,"-fm01")</f>
        <v>flt-fm01</v>
      </c>
      <c r="D248" s="8" t="str">
        <f t="array" ref="D248">vvs_dr_flt_fleet_manager_hostname</f>
        <v>Value Missing</v>
      </c>
      <c r="E248" s="42"/>
    </row>
    <row r="249" spans="2:5" ht="20" customHeight="1" x14ac:dyDescent="0.2">
      <c r="B249" s="28" t="s">
        <v>2457</v>
      </c>
      <c r="C249" s="65" t="str">
        <f>CONCATENATE(prefix_portable_component,"-ops01a")</f>
        <v>flt-ops01a</v>
      </c>
      <c r="D249" s="8" t="str">
        <f t="array" ref="D249">vvs_dr_flt_ops_nodea_hostname</f>
        <v>Value Missing</v>
      </c>
      <c r="E249" s="42"/>
    </row>
    <row r="250" spans="2:5" ht="20" customHeight="1" x14ac:dyDescent="0.2">
      <c r="B250" s="28" t="s">
        <v>2457</v>
      </c>
      <c r="C250" s="65" t="str">
        <f>CONCATENATE(prefix_portable_component,"-ops01b")</f>
        <v>flt-ops01b</v>
      </c>
      <c r="D250" s="8" t="str">
        <f t="array" ref="D250">vvs_dr_flt_ops_nodeb_hostname</f>
        <v>Value Missing</v>
      </c>
      <c r="E250" s="42"/>
    </row>
    <row r="251" spans="2:5" ht="20" customHeight="1" x14ac:dyDescent="0.2">
      <c r="B251" s="28" t="s">
        <v>2457</v>
      </c>
      <c r="C251" s="65" t="str">
        <f>CONCATENATE(prefix_portable_component,"-ops01c")</f>
        <v>flt-ops01c</v>
      </c>
      <c r="D251" s="8" t="str">
        <f t="array" ref="D251">vvs_dr_flt_ops_nodec_hostname</f>
        <v>Value Missing</v>
      </c>
      <c r="E251" s="42"/>
    </row>
    <row r="252" spans="2:5" ht="20" customHeight="1" x14ac:dyDescent="0.2">
      <c r="B252" s="28" t="s">
        <v>2458</v>
      </c>
      <c r="C252" s="65" t="str">
        <f>CONCATENATE(other_instance,"-m01-cl01-ds-vsan01")</f>
        <v>lax-m01-cl01-ds-vsan01</v>
      </c>
      <c r="D252" s="66"/>
      <c r="E252" s="42"/>
    </row>
    <row r="253" spans="2:5" ht="20" customHeight="1" x14ac:dyDescent="0.2">
      <c r="B253" s="28" t="s">
        <v>2459</v>
      </c>
      <c r="C253" s="65">
        <v>15</v>
      </c>
      <c r="D253" s="66"/>
      <c r="E253" s="42"/>
    </row>
    <row r="254" spans="2:5" ht="20" customHeight="1" x14ac:dyDescent="0.2">
      <c r="B254" s="28" t="s">
        <v>1596</v>
      </c>
      <c r="C254" s="65">
        <v>3</v>
      </c>
      <c r="D254" s="66"/>
      <c r="E254" s="42"/>
    </row>
    <row r="255" spans="2:5" ht="20" customHeight="1" x14ac:dyDescent="0.2">
      <c r="B255" s="4" t="s">
        <v>1600</v>
      </c>
      <c r="C255" s="65">
        <v>1</v>
      </c>
      <c r="D255" s="66"/>
      <c r="E255" s="42"/>
    </row>
    <row r="256" spans="2:5" ht="20" customHeight="1" x14ac:dyDescent="0.2">
      <c r="B256" s="4" t="s">
        <v>2460</v>
      </c>
      <c r="C256" s="65" t="s">
        <v>2461</v>
      </c>
      <c r="D256" s="66"/>
      <c r="E256" s="42"/>
    </row>
    <row r="257" spans="2:5" ht="20" customHeight="1" x14ac:dyDescent="0.2">
      <c r="B257" s="28" t="s">
        <v>2462</v>
      </c>
      <c r="C257" s="65" t="s">
        <v>2463</v>
      </c>
      <c r="D257" s="66"/>
      <c r="E257" s="42"/>
    </row>
    <row r="258" spans="2:5" ht="16" customHeight="1" x14ac:dyDescent="0.2"/>
    <row r="259" spans="2:5" ht="34" customHeight="1" x14ac:dyDescent="0.2">
      <c r="B259" s="600" t="s">
        <v>2464</v>
      </c>
      <c r="C259" s="600"/>
      <c r="D259" s="600"/>
      <c r="E259" s="600"/>
    </row>
    <row r="260" spans="2:5" ht="20" customHeight="1" x14ac:dyDescent="0.2">
      <c r="B260" s="592"/>
      <c r="C260" s="592"/>
      <c r="D260" s="592"/>
      <c r="E260" s="592"/>
    </row>
    <row r="261" spans="2:5" ht="20" customHeight="1" x14ac:dyDescent="0.2">
      <c r="B261" s="314" t="s">
        <v>18</v>
      </c>
      <c r="C261" s="315" t="s">
        <v>19</v>
      </c>
      <c r="D261" s="315" t="s">
        <v>20</v>
      </c>
      <c r="E261" s="315" t="s">
        <v>21</v>
      </c>
    </row>
    <row r="262" spans="2:5" ht="20" customHeight="1" x14ac:dyDescent="0.2">
      <c r="B262" s="302" t="s">
        <v>2421</v>
      </c>
      <c r="C262" s="65" t="str">
        <f>CONCATENATE(sample_vvs_mgmt_dr_vlr_fqdn,"/dr")</f>
        <v>sfo-m01-vlr01.sfo.rainpole.io/dr</v>
      </c>
      <c r="D262" s="8" t="str">
        <f>CONCATENATE(vvs_mgmt_dr_vlr_fqdn,"/dr")</f>
        <v>Value Missing/dr</v>
      </c>
      <c r="E262" s="42"/>
    </row>
    <row r="263" spans="2:5" ht="20" customHeight="1" x14ac:dyDescent="0.2">
      <c r="B263" s="302" t="s">
        <v>2449</v>
      </c>
      <c r="C263" s="65" t="str">
        <f>CONCATENATE(sample_mgmt_vc_fqdn," &lt;--&gt; ",sample_mgmt_srm_recovery_vcenter_fqdn)</f>
        <v>sfo-m01-vc01.sfo.rainpole.io &lt;--&gt; lax-m01-vc01.lax.rainpole.io</v>
      </c>
      <c r="D263" s="8" t="str">
        <f>vs_dr_site_pair</f>
        <v>Value Missing &lt;--&gt; Value Missing</v>
      </c>
      <c r="E263" s="42"/>
    </row>
    <row r="264" spans="2:5" ht="20" customHeight="1" x14ac:dyDescent="0.2">
      <c r="B264" s="302" t="s">
        <v>2465</v>
      </c>
      <c r="C264" s="65" t="str">
        <f>sample_mgmt_srm_vrops_rp</f>
        <v>VCF-OPS-RP</v>
      </c>
      <c r="D264" s="8" t="str">
        <f>mgmt_srm_vrops_rp</f>
        <v>Value Missing</v>
      </c>
      <c r="E264" s="42"/>
    </row>
    <row r="265" spans="2:5" ht="20" customHeight="1" x14ac:dyDescent="0.2">
      <c r="B265" s="302" t="s">
        <v>2466</v>
      </c>
      <c r="C265" s="65" t="str">
        <f>CONCATENATE(prefix_portable_component,"-fm01")</f>
        <v>flt-fm01</v>
      </c>
      <c r="D265" s="8" t="str">
        <f>vvs_dr_flt_fleet_manager_hostname</f>
        <v>Value Missing</v>
      </c>
      <c r="E265" s="42"/>
    </row>
    <row r="266" spans="2:5" ht="20" customHeight="1" x14ac:dyDescent="0.2">
      <c r="B266" s="302" t="s">
        <v>2467</v>
      </c>
      <c r="C266" s="65" t="str">
        <f>CONCATENATE(prefix_portable_component,"-ops01a")</f>
        <v>flt-ops01a</v>
      </c>
      <c r="D266" s="8" t="str">
        <f t="array" ref="D266">vvs_dr_flt_ops_nodea_hostname</f>
        <v>Value Missing</v>
      </c>
      <c r="E266" s="42"/>
    </row>
    <row r="267" spans="2:5" ht="20" customHeight="1" x14ac:dyDescent="0.2">
      <c r="B267" s="302" t="s">
        <v>2468</v>
      </c>
      <c r="C267" s="65" t="str">
        <f>CONCATENATE(prefix_portable_component,"-ops01b")</f>
        <v>flt-ops01b</v>
      </c>
      <c r="D267" s="8" t="str">
        <f t="array" ref="D267">vvs_dr_flt_ops_nodeb_hostname</f>
        <v>Value Missing</v>
      </c>
      <c r="E267" s="42"/>
    </row>
    <row r="268" spans="2:5" ht="20" customHeight="1" x14ac:dyDescent="0.2">
      <c r="B268" s="302" t="s">
        <v>2469</v>
      </c>
      <c r="C268" s="65" t="str">
        <f>CONCATENATE(prefix_portable_component,"-ops01c")</f>
        <v>flt-ops01c</v>
      </c>
      <c r="D268" s="8" t="str">
        <f t="array" ref="D268">vvs_dr_flt_ops_nodec_hostname</f>
        <v>Value Missing</v>
      </c>
      <c r="E268" s="42"/>
    </row>
    <row r="269" spans="2:5" ht="16" customHeight="1" x14ac:dyDescent="0.2"/>
    <row r="270" spans="2:5" ht="34" customHeight="1" x14ac:dyDescent="0.2">
      <c r="B270" s="600" t="s">
        <v>2470</v>
      </c>
      <c r="C270" s="600"/>
      <c r="D270" s="600"/>
      <c r="E270" s="600"/>
    </row>
    <row r="271" spans="2:5" ht="20" customHeight="1" x14ac:dyDescent="0.2">
      <c r="B271" s="592"/>
      <c r="C271" s="592"/>
      <c r="D271" s="592"/>
      <c r="E271" s="592"/>
    </row>
    <row r="272" spans="2:5" ht="20" customHeight="1" x14ac:dyDescent="0.2">
      <c r="B272" s="314" t="s">
        <v>18</v>
      </c>
      <c r="C272" s="315" t="s">
        <v>19</v>
      </c>
      <c r="D272" s="315" t="s">
        <v>20</v>
      </c>
      <c r="E272" s="315" t="s">
        <v>21</v>
      </c>
    </row>
    <row r="273" spans="2:5" ht="20" customHeight="1" x14ac:dyDescent="0.2">
      <c r="B273" s="302" t="s">
        <v>2421</v>
      </c>
      <c r="C273" s="65" t="str">
        <f>CONCATENATE(sample_vvs_mgmt_dr_vlr_fqdn,"/dr")</f>
        <v>sfo-m01-vlr01.sfo.rainpole.io/dr</v>
      </c>
      <c r="D273" s="8" t="str">
        <f>CONCATENATE(vvs_mgmt_dr_vlr_fqdn,"/dr")</f>
        <v>Value Missing/dr</v>
      </c>
      <c r="E273" s="42"/>
    </row>
    <row r="274" spans="2:5" ht="20" customHeight="1" x14ac:dyDescent="0.2">
      <c r="B274" s="302" t="s">
        <v>2449</v>
      </c>
      <c r="C274" s="65" t="str">
        <f>CONCATENATE(sample_mgmt_vc_fqdn," &lt;--&gt; ",sample_mgmt_srm_recovery_vcenter_fqdn)</f>
        <v>sfo-m01-vc01.sfo.rainpole.io &lt;--&gt; lax-m01-vc01.lax.rainpole.io</v>
      </c>
      <c r="D274" s="8" t="str">
        <f>vs_dr_site_pair</f>
        <v>Value Missing &lt;--&gt; Value Missing</v>
      </c>
      <c r="E274" s="42"/>
    </row>
    <row r="275" spans="2:5" ht="20" customHeight="1" x14ac:dyDescent="0.2">
      <c r="B275" s="302" t="s">
        <v>2471</v>
      </c>
      <c r="C275" s="65" t="str">
        <f>CONCATENATE(prefix_portable_component,"-logs01a")</f>
        <v>flt-logs01a</v>
      </c>
      <c r="D275" s="8" t="str">
        <f>vvs_dr_flt_logs_nodea_hostname</f>
        <v>Value Missing</v>
      </c>
      <c r="E275" s="42"/>
    </row>
    <row r="276" spans="2:5" ht="20" customHeight="1" x14ac:dyDescent="0.2">
      <c r="B276" s="302" t="s">
        <v>2472</v>
      </c>
      <c r="C276" s="65" t="str">
        <f>CONCATENATE(prefix_portable_component,"-logs01b")</f>
        <v>flt-logs01b</v>
      </c>
      <c r="D276" s="8" t="str">
        <f>vvs_dr_flt_logs_nodeb_hostname</f>
        <v>Value Missing</v>
      </c>
      <c r="E276" s="42"/>
    </row>
    <row r="277" spans="2:5" ht="20" customHeight="1" x14ac:dyDescent="0.2">
      <c r="B277" s="302" t="s">
        <v>2473</v>
      </c>
      <c r="C277" s="65" t="str">
        <f>CONCATENATE(prefix_portable_component,"-logs01c")</f>
        <v>flt-logs01c</v>
      </c>
      <c r="D277" s="8" t="str">
        <f>vvs_dr_flt_logs_nodec_hostname</f>
        <v>Value Missing</v>
      </c>
      <c r="E277" s="42"/>
    </row>
    <row r="278" spans="2:5" ht="20" customHeight="1" x14ac:dyDescent="0.2">
      <c r="B278" s="302" t="s">
        <v>2458</v>
      </c>
      <c r="C278" s="65" t="str">
        <f>sample_mgmt_srm_recovery_datastore</f>
        <v>lax-m01-cl01-ds-vsan01</v>
      </c>
      <c r="D278" s="8" t="str">
        <f>mgmt_srm_recovery_datastore</f>
        <v>Value Missing</v>
      </c>
      <c r="E278" s="42"/>
    </row>
    <row r="279" spans="2:5" ht="20" customHeight="1" x14ac:dyDescent="0.2">
      <c r="B279" s="302" t="s">
        <v>2459</v>
      </c>
      <c r="C279" s="65">
        <f>sample_mgmt_srm_rpo</f>
        <v>15</v>
      </c>
      <c r="D279" s="8" t="str">
        <f>mgmt_srm_rpo</f>
        <v>Value Missing</v>
      </c>
      <c r="E279" s="42"/>
    </row>
    <row r="280" spans="2:5" ht="20" customHeight="1" x14ac:dyDescent="0.2">
      <c r="B280" s="302" t="s">
        <v>1596</v>
      </c>
      <c r="C280" s="65">
        <f>sample_mgmt_srm_instances_per_day</f>
        <v>3</v>
      </c>
      <c r="D280" s="8" t="str">
        <f>mgmt_srm_instances_per_day</f>
        <v>Value Missing</v>
      </c>
      <c r="E280" s="42"/>
    </row>
    <row r="281" spans="2:5" ht="20" customHeight="1" x14ac:dyDescent="0.2">
      <c r="B281" s="302" t="s">
        <v>1600</v>
      </c>
      <c r="C281" s="65">
        <f>sample_mgmt_srm_days</f>
        <v>1</v>
      </c>
      <c r="D281" s="8" t="str">
        <f>mgmt_srm_days</f>
        <v>Value Missing</v>
      </c>
      <c r="E281" s="42"/>
    </row>
    <row r="282" spans="2:5" ht="20" customHeight="1" x14ac:dyDescent="0.2">
      <c r="B282" s="302" t="s">
        <v>2460</v>
      </c>
      <c r="C282" s="65" t="s">
        <v>2474</v>
      </c>
      <c r="D282" s="66"/>
      <c r="E282" s="42"/>
    </row>
    <row r="283" spans="2:5" ht="20" customHeight="1" x14ac:dyDescent="0.2">
      <c r="B283" s="302" t="s">
        <v>2462</v>
      </c>
      <c r="C283" s="65" t="s">
        <v>2475</v>
      </c>
      <c r="D283" s="66"/>
      <c r="E283" s="42"/>
    </row>
    <row r="284" spans="2:5" ht="16" customHeight="1" x14ac:dyDescent="0.2">
      <c r="B284" s="305"/>
      <c r="C284" s="172"/>
    </row>
    <row r="285" spans="2:5" ht="34" customHeight="1" x14ac:dyDescent="0.2">
      <c r="B285" s="600" t="s">
        <v>2476</v>
      </c>
      <c r="C285" s="600"/>
      <c r="D285" s="600"/>
      <c r="E285" s="600"/>
    </row>
    <row r="286" spans="2:5" ht="20" customHeight="1" x14ac:dyDescent="0.2">
      <c r="B286" s="592"/>
      <c r="C286" s="592"/>
      <c r="D286" s="592"/>
      <c r="E286" s="592"/>
    </row>
    <row r="287" spans="2:5" ht="20" customHeight="1" x14ac:dyDescent="0.2">
      <c r="B287" s="62" t="s">
        <v>250</v>
      </c>
      <c r="C287" s="62" t="s">
        <v>251</v>
      </c>
      <c r="D287" s="160" t="s">
        <v>20</v>
      </c>
      <c r="E287" s="62" t="s">
        <v>21</v>
      </c>
    </row>
    <row r="288" spans="2:5" ht="20" customHeight="1" x14ac:dyDescent="0.2">
      <c r="B288" s="302" t="s">
        <v>2421</v>
      </c>
      <c r="C288" s="65" t="str">
        <f>CONCATENATE(sample_vvs_mgmt_dr_vlr_fqdn,"/dr")</f>
        <v>sfo-m01-vlr01.sfo.rainpole.io/dr</v>
      </c>
      <c r="D288" s="8" t="str">
        <f>CONCATENATE(vvs_mgmt_dr_vlr_fqdn,"/dr")</f>
        <v>Value Missing/dr</v>
      </c>
      <c r="E288" s="42"/>
    </row>
    <row r="289" spans="2:5" ht="20" customHeight="1" x14ac:dyDescent="0.2">
      <c r="B289" s="302" t="s">
        <v>2449</v>
      </c>
      <c r="C289" s="65" t="str">
        <f>CONCATENATE(sample_mgmt_vc_fqdn," &lt;--&gt; ",sample_mgmt_srm_recovery_vcenter_fqdn)</f>
        <v>sfo-m01-vc01.sfo.rainpole.io &lt;--&gt; lax-m01-vc01.lax.rainpole.io</v>
      </c>
      <c r="D289" s="8" t="str">
        <f>vs_dr_site_pair</f>
        <v>Value Missing &lt;--&gt; Value Missing</v>
      </c>
      <c r="E289" s="42"/>
    </row>
    <row r="290" spans="2:5" ht="20" customHeight="1" x14ac:dyDescent="0.2">
      <c r="B290" s="302" t="s">
        <v>2465</v>
      </c>
      <c r="C290" s="65" t="str">
        <f>sample_mgmt_srm_logs_rp</f>
        <v>VCF-OPS-LOGS-RP</v>
      </c>
      <c r="D290" s="8" t="str">
        <f t="array" ref="D290">mgmt_srm_logs_rp</f>
        <v>Value Missing</v>
      </c>
      <c r="E290" s="42"/>
    </row>
    <row r="291" spans="2:5" ht="20" customHeight="1" x14ac:dyDescent="0.2">
      <c r="B291" s="302" t="s">
        <v>2471</v>
      </c>
      <c r="C291" s="65" t="str">
        <f>CONCATENATE(prefix_portable_component,"-logs01a")</f>
        <v>flt-logs01a</v>
      </c>
      <c r="D291" s="8" t="str">
        <f>vvs_dr_flt_logs_nodea_hostname</f>
        <v>Value Missing</v>
      </c>
      <c r="E291" s="42"/>
    </row>
    <row r="292" spans="2:5" ht="20" customHeight="1" x14ac:dyDescent="0.2">
      <c r="B292" s="302" t="s">
        <v>2472</v>
      </c>
      <c r="C292" s="65" t="str">
        <f>CONCATENATE(prefix_portable_component,"-logs01b")</f>
        <v>flt-logs01b</v>
      </c>
      <c r="D292" s="8" t="str">
        <f>vvs_dr_flt_logs_nodeb_hostname</f>
        <v>Value Missing</v>
      </c>
      <c r="E292" s="42"/>
    </row>
    <row r="293" spans="2:5" ht="20" customHeight="1" x14ac:dyDescent="0.2">
      <c r="B293" s="302" t="s">
        <v>2473</v>
      </c>
      <c r="C293" s="65" t="str">
        <f>CONCATENATE(prefix_portable_component,"-logs01c")</f>
        <v>flt-logs01c</v>
      </c>
      <c r="D293" s="8" t="str">
        <f>vvs_dr_flt_logs_nodec_hostname</f>
        <v>Value Missing</v>
      </c>
      <c r="E293" s="42"/>
    </row>
    <row r="294" spans="2:5" ht="16" customHeight="1" x14ac:dyDescent="0.2">
      <c r="B294" s="305"/>
      <c r="C294" s="172"/>
    </row>
    <row r="295" spans="2:5" ht="34" customHeight="1" x14ac:dyDescent="0.2">
      <c r="B295" s="600" t="s">
        <v>2477</v>
      </c>
      <c r="C295" s="600"/>
      <c r="D295" s="600"/>
      <c r="E295" s="600"/>
    </row>
    <row r="296" spans="2:5" ht="20" customHeight="1" x14ac:dyDescent="0.2">
      <c r="B296" s="592"/>
      <c r="C296" s="592"/>
      <c r="D296" s="592"/>
      <c r="E296" s="592"/>
    </row>
    <row r="297" spans="2:5" ht="20" customHeight="1" x14ac:dyDescent="0.2">
      <c r="B297" s="314" t="s">
        <v>18</v>
      </c>
      <c r="C297" s="315" t="s">
        <v>19</v>
      </c>
      <c r="D297" s="315" t="s">
        <v>20</v>
      </c>
      <c r="E297" s="315" t="s">
        <v>21</v>
      </c>
    </row>
    <row r="298" spans="2:5" ht="20" customHeight="1" x14ac:dyDescent="0.2">
      <c r="B298" s="302" t="s">
        <v>2421</v>
      </c>
      <c r="C298" s="65" t="str">
        <f>CONCATENATE(sample_vvs_mgmt_dr_vlr_fqdn,"/dr")</f>
        <v>sfo-m01-vlr01.sfo.rainpole.io/dr</v>
      </c>
      <c r="D298" s="8" t="str">
        <f>CONCATENATE(vvs_mgmt_dr_vlr_fqdn,"/dr")</f>
        <v>Value Missing/dr</v>
      </c>
      <c r="E298" s="42"/>
    </row>
    <row r="299" spans="2:5" ht="20" customHeight="1" x14ac:dyDescent="0.2">
      <c r="B299" s="302" t="s">
        <v>2449</v>
      </c>
      <c r="C299" s="65" t="str">
        <f>CONCATENATE(sample_mgmt_vc_fqdn," &lt;--&gt; ",sample_mgmt_srm_recovery_vcenter_fqdn)</f>
        <v>sfo-m01-vc01.sfo.rainpole.io &lt;--&gt; lax-m01-vc01.lax.rainpole.io</v>
      </c>
      <c r="D299" s="8" t="str">
        <f>vs_dr_site_pair</f>
        <v>Value Missing &lt;--&gt; Value Missing</v>
      </c>
      <c r="E299" s="42"/>
    </row>
    <row r="300" spans="2:5" ht="20" customHeight="1" x14ac:dyDescent="0.2">
      <c r="B300" s="302" t="s">
        <v>2478</v>
      </c>
      <c r="C300" s="65" t="str">
        <f>CONCATENATE(prefix_portable_component,"-net01a")</f>
        <v>flt-net01a</v>
      </c>
      <c r="D300" s="8" t="str">
        <f>vvs_dr_flt_net_nodea_hostname</f>
        <v>Value Missing</v>
      </c>
      <c r="E300" s="42"/>
    </row>
    <row r="301" spans="2:5" ht="20" customHeight="1" x14ac:dyDescent="0.2">
      <c r="B301" s="302" t="s">
        <v>2479</v>
      </c>
      <c r="C301" s="65" t="str">
        <f>CONCATENATE(prefix_portable_component,"-net01b")</f>
        <v>flt-net01b</v>
      </c>
      <c r="D301" s="8" t="str">
        <f>vvs_dr_flt_net_nodeb_hostname</f>
        <v>Value Missing</v>
      </c>
      <c r="E301" s="42"/>
    </row>
    <row r="302" spans="2:5" ht="20" customHeight="1" x14ac:dyDescent="0.2">
      <c r="B302" s="302" t="s">
        <v>2480</v>
      </c>
      <c r="C302" s="65" t="str">
        <f>CONCATENATE(prefix_portable_component,"-net01c")</f>
        <v>flt-net01c</v>
      </c>
      <c r="D302" s="8" t="str">
        <f>vvs_dr_flt_net_nodec_hostname</f>
        <v>Value Missing</v>
      </c>
      <c r="E302" s="42"/>
    </row>
    <row r="303" spans="2:5" ht="20" customHeight="1" x14ac:dyDescent="0.2">
      <c r="B303" s="302" t="s">
        <v>2458</v>
      </c>
      <c r="C303" s="65" t="str">
        <f>sample_mgmt_srm_recovery_datastore</f>
        <v>lax-m01-cl01-ds-vsan01</v>
      </c>
      <c r="D303" s="8" t="str">
        <f>mgmt_srm_recovery_datastore</f>
        <v>Value Missing</v>
      </c>
      <c r="E303" s="42"/>
    </row>
    <row r="304" spans="2:5" ht="20" customHeight="1" x14ac:dyDescent="0.2">
      <c r="B304" s="302" t="s">
        <v>2459</v>
      </c>
      <c r="C304" s="65">
        <f>sample_mgmt_srm_rpo</f>
        <v>15</v>
      </c>
      <c r="D304" s="8" t="str">
        <f>mgmt_srm_rpo</f>
        <v>Value Missing</v>
      </c>
      <c r="E304" s="42"/>
    </row>
    <row r="305" spans="2:5" ht="20" customHeight="1" x14ac:dyDescent="0.2">
      <c r="B305" s="302" t="s">
        <v>1596</v>
      </c>
      <c r="C305" s="65">
        <f>sample_mgmt_srm_instances_per_day</f>
        <v>3</v>
      </c>
      <c r="D305" s="8" t="str">
        <f>mgmt_srm_instances_per_day</f>
        <v>Value Missing</v>
      </c>
      <c r="E305" s="42"/>
    </row>
    <row r="306" spans="2:5" ht="20" customHeight="1" x14ac:dyDescent="0.2">
      <c r="B306" s="302" t="s">
        <v>1600</v>
      </c>
      <c r="C306" s="65">
        <f>sample_mgmt_srm_days</f>
        <v>1</v>
      </c>
      <c r="D306" s="8" t="str">
        <f>mgmt_srm_days</f>
        <v>Value Missing</v>
      </c>
      <c r="E306" s="42"/>
    </row>
    <row r="307" spans="2:5" ht="20" customHeight="1" x14ac:dyDescent="0.2">
      <c r="B307" s="302" t="s">
        <v>2460</v>
      </c>
      <c r="C307" s="65" t="s">
        <v>2481</v>
      </c>
      <c r="D307" s="66"/>
      <c r="E307" s="42"/>
    </row>
    <row r="308" spans="2:5" ht="20" customHeight="1" x14ac:dyDescent="0.2">
      <c r="B308" s="302" t="s">
        <v>2462</v>
      </c>
      <c r="C308" s="65" t="s">
        <v>2482</v>
      </c>
      <c r="D308" s="66"/>
      <c r="E308" s="42"/>
    </row>
    <row r="309" spans="2:5" ht="16" customHeight="1" x14ac:dyDescent="0.2">
      <c r="B309" s="305"/>
    </row>
    <row r="310" spans="2:5" ht="34" customHeight="1" x14ac:dyDescent="0.2">
      <c r="B310" s="600" t="s">
        <v>2483</v>
      </c>
      <c r="C310" s="600"/>
      <c r="D310" s="600"/>
      <c r="E310" s="600"/>
    </row>
    <row r="311" spans="2:5" ht="20" customHeight="1" x14ac:dyDescent="0.2">
      <c r="B311" s="592"/>
      <c r="C311" s="592"/>
      <c r="D311" s="592"/>
      <c r="E311" s="592"/>
    </row>
    <row r="312" spans="2:5" ht="20" customHeight="1" x14ac:dyDescent="0.2">
      <c r="B312" s="314" t="s">
        <v>18</v>
      </c>
      <c r="C312" s="315" t="s">
        <v>19</v>
      </c>
      <c r="D312" s="315" t="s">
        <v>20</v>
      </c>
      <c r="E312" s="315" t="s">
        <v>21</v>
      </c>
    </row>
    <row r="313" spans="2:5" ht="20" customHeight="1" x14ac:dyDescent="0.2">
      <c r="B313" s="302" t="s">
        <v>2421</v>
      </c>
      <c r="C313" s="65" t="str">
        <f>CONCATENATE(sample_vvs_mgmt_dr_vlr_fqdn,"/dr")</f>
        <v>sfo-m01-vlr01.sfo.rainpole.io/dr</v>
      </c>
      <c r="D313" s="8" t="str">
        <f>CONCATENATE(vvs_mgmt_dr_vlr_fqdn,"/dr")</f>
        <v>Value Missing/dr</v>
      </c>
      <c r="E313" s="42"/>
    </row>
    <row r="314" spans="2:5" ht="20" customHeight="1" x14ac:dyDescent="0.2">
      <c r="B314" s="302" t="s">
        <v>2449</v>
      </c>
      <c r="C314" s="65" t="str">
        <f>CONCATENATE(sample_mgmt_vc_fqdn," &lt;--&gt; ",sample_mgmt_srm_recovery_vcenter_fqdn)</f>
        <v>sfo-m01-vc01.sfo.rainpole.io &lt;--&gt; lax-m01-vc01.lax.rainpole.io</v>
      </c>
      <c r="D314" s="8" t="str">
        <f>vs_dr_site_pair</f>
        <v>Value Missing &lt;--&gt; Value Missing</v>
      </c>
      <c r="E314" s="42"/>
    </row>
    <row r="315" spans="2:5" ht="20" customHeight="1" x14ac:dyDescent="0.2">
      <c r="B315" s="302" t="s">
        <v>2465</v>
      </c>
      <c r="C315" s="65" t="str">
        <f>sample_mgmt_srm_net_rp</f>
        <v>VCF-OPS-NET-RP</v>
      </c>
      <c r="D315" s="66"/>
      <c r="E315" s="42"/>
    </row>
    <row r="316" spans="2:5" ht="20" customHeight="1" x14ac:dyDescent="0.2">
      <c r="B316" s="302" t="s">
        <v>2478</v>
      </c>
      <c r="C316" s="65" t="str">
        <f>CONCATENATE(prefix_portable_component,"-net01a")</f>
        <v>flt-net01a</v>
      </c>
      <c r="D316" s="8" t="str">
        <f>vvs_dr_flt_net_nodea_hostname</f>
        <v>Value Missing</v>
      </c>
      <c r="E316" s="42"/>
    </row>
    <row r="317" spans="2:5" ht="20" customHeight="1" x14ac:dyDescent="0.2">
      <c r="B317" s="302" t="s">
        <v>2479</v>
      </c>
      <c r="C317" s="65" t="str">
        <f>CONCATENATE(prefix_portable_component,"-net01b")</f>
        <v>flt-net01b</v>
      </c>
      <c r="D317" s="8" t="str">
        <f>vvs_dr_flt_net_nodeb_hostname</f>
        <v>Value Missing</v>
      </c>
      <c r="E317" s="42"/>
    </row>
    <row r="318" spans="2:5" ht="20" customHeight="1" x14ac:dyDescent="0.2">
      <c r="B318" s="302" t="s">
        <v>2480</v>
      </c>
      <c r="C318" s="65" t="str">
        <f>CONCATENATE(prefix_portable_component,"-net01c")</f>
        <v>flt-net01c</v>
      </c>
      <c r="D318" s="8" t="str">
        <f>vvs_dr_flt_net_nodec_hostname</f>
        <v>Value Missing</v>
      </c>
      <c r="E318" s="42"/>
    </row>
    <row r="319" spans="2:5" ht="16" customHeight="1" x14ac:dyDescent="0.2">
      <c r="B319" s="305"/>
      <c r="C319" s="297"/>
    </row>
    <row r="320" spans="2:5" ht="34" customHeight="1" x14ac:dyDescent="0.2">
      <c r="B320" s="600" t="s">
        <v>2484</v>
      </c>
      <c r="C320" s="600"/>
      <c r="D320" s="600"/>
      <c r="E320" s="600"/>
    </row>
    <row r="321" spans="2:5" ht="20" customHeight="1" x14ac:dyDescent="0.2">
      <c r="B321" s="592"/>
      <c r="C321" s="592"/>
      <c r="D321" s="592"/>
      <c r="E321" s="592"/>
    </row>
    <row r="322" spans="2:5" ht="20" customHeight="1" x14ac:dyDescent="0.2">
      <c r="B322" s="314" t="s">
        <v>18</v>
      </c>
      <c r="C322" s="315" t="s">
        <v>19</v>
      </c>
      <c r="D322" s="315" t="s">
        <v>20</v>
      </c>
      <c r="E322" s="315" t="s">
        <v>21</v>
      </c>
    </row>
    <row r="323" spans="2:5" ht="20" customHeight="1" x14ac:dyDescent="0.2">
      <c r="B323" s="302" t="s">
        <v>2167</v>
      </c>
      <c r="C323" s="65" t="str">
        <f>sample_mgmt_srm_recovery_vcenter_fqdn</f>
        <v>lax-m01-vc01.lax.rainpole.io</v>
      </c>
      <c r="D323" s="8" t="str">
        <f>mgmt_srm_recovery_vcenter_fqdn</f>
        <v>Value Missing</v>
      </c>
      <c r="E323" s="42"/>
    </row>
    <row r="324" spans="2:5" ht="20" customHeight="1" x14ac:dyDescent="0.2">
      <c r="B324" s="302" t="s">
        <v>634</v>
      </c>
      <c r="C324" s="65" t="str">
        <f>CONCATENATE(other_instance,"-m01-cl01")</f>
        <v>lax-m01-cl01</v>
      </c>
      <c r="D324" s="66"/>
      <c r="E324" s="42"/>
    </row>
    <row r="325" spans="2:5" ht="20" customHeight="1" x14ac:dyDescent="0.2">
      <c r="B325" s="302" t="s">
        <v>2485</v>
      </c>
      <c r="C325" s="65" t="s">
        <v>2486</v>
      </c>
      <c r="D325" s="66"/>
      <c r="E325" s="42"/>
    </row>
    <row r="326" spans="2:5" ht="20" customHeight="1" x14ac:dyDescent="0.2">
      <c r="B326" s="302" t="s">
        <v>2487</v>
      </c>
      <c r="C326" s="65" t="str">
        <f>CONCATENATE(prefix_portable_component,"-ops01a")</f>
        <v>flt-ops01a</v>
      </c>
      <c r="D326" s="8" t="str">
        <f t="array" ref="D326">vvs_dr_flt_ops_nodea_hostname</f>
        <v>Value Missing</v>
      </c>
      <c r="E326" s="42"/>
    </row>
    <row r="327" spans="2:5" ht="20" customHeight="1" x14ac:dyDescent="0.2">
      <c r="B327" s="302" t="s">
        <v>2488</v>
      </c>
      <c r="C327" s="65" t="str">
        <f>CONCATENATE(prefix_portable_component,"-ops01b")</f>
        <v>flt-ops01b</v>
      </c>
      <c r="D327" s="8" t="str">
        <f t="array" ref="D327">vvs_dr_flt_ops_nodeb_hostname</f>
        <v>Value Missing</v>
      </c>
      <c r="E327" s="42"/>
    </row>
    <row r="328" spans="2:5" ht="20" customHeight="1" x14ac:dyDescent="0.2">
      <c r="B328" s="302" t="s">
        <v>2489</v>
      </c>
      <c r="C328" s="65" t="str">
        <f>CONCATENATE(prefix_portable_component,"-ops01c")</f>
        <v>flt-ops01c</v>
      </c>
      <c r="D328" s="8" t="str">
        <f t="array" ref="D328">vvs_dr_flt_ops_nodec_hostname</f>
        <v>Value Missing</v>
      </c>
      <c r="E328" s="42"/>
    </row>
    <row r="329" spans="2:5" ht="20" customHeight="1" x14ac:dyDescent="0.2">
      <c r="B329" s="302" t="s">
        <v>2490</v>
      </c>
      <c r="C329" s="65" t="s">
        <v>2491</v>
      </c>
      <c r="D329" s="66"/>
      <c r="E329" s="42"/>
    </row>
    <row r="330" spans="2:5" ht="20" customHeight="1" x14ac:dyDescent="0.2">
      <c r="B330" s="302" t="s">
        <v>2492</v>
      </c>
      <c r="C330" s="65" t="str">
        <f>CONCATENATE(prefix_portable_component,"-logs01a")</f>
        <v>flt-logs01a</v>
      </c>
      <c r="D330" s="8" t="str">
        <f>vvs_dr_flt_logs_nodea_hostname</f>
        <v>Value Missing</v>
      </c>
      <c r="E330" s="42"/>
    </row>
    <row r="331" spans="2:5" ht="20" customHeight="1" x14ac:dyDescent="0.2">
      <c r="B331" s="302" t="s">
        <v>2493</v>
      </c>
      <c r="C331" s="65" t="str">
        <f>CONCATENATE(prefix_portable_component,"-logs01b")</f>
        <v>flt-logs01b</v>
      </c>
      <c r="D331" s="8" t="str">
        <f>vvs_dr_flt_logs_nodeb_hostname</f>
        <v>Value Missing</v>
      </c>
      <c r="E331" s="42"/>
    </row>
    <row r="332" spans="2:5" ht="20" customHeight="1" x14ac:dyDescent="0.2">
      <c r="B332" s="302" t="s">
        <v>2494</v>
      </c>
      <c r="C332" s="65" t="str">
        <f>CONCATENATE(prefix_portable_component,"-logs01c")</f>
        <v>flt-logs01c</v>
      </c>
      <c r="D332" s="8" t="str">
        <f>vvs_dr_flt_logs_nodec_hostname</f>
        <v>Value Missing</v>
      </c>
      <c r="E332" s="42"/>
    </row>
    <row r="333" spans="2:5" ht="20" customHeight="1" x14ac:dyDescent="0.2">
      <c r="B333" s="302" t="s">
        <v>2495</v>
      </c>
      <c r="C333" s="65" t="s">
        <v>2496</v>
      </c>
      <c r="D333" s="66"/>
      <c r="E333" s="42"/>
    </row>
    <row r="334" spans="2:5" ht="20" customHeight="1" x14ac:dyDescent="0.2">
      <c r="B334" s="302" t="s">
        <v>2497</v>
      </c>
      <c r="C334" s="65" t="str">
        <f>CONCATENATE(prefix_portable_component,"-net01a")</f>
        <v>flt-net01a</v>
      </c>
      <c r="D334" s="8" t="str">
        <f>vvs_dr_flt_net_nodea_hostname</f>
        <v>Value Missing</v>
      </c>
      <c r="E334" s="42"/>
    </row>
    <row r="335" spans="2:5" ht="20" customHeight="1" x14ac:dyDescent="0.2">
      <c r="B335" s="302" t="s">
        <v>2498</v>
      </c>
      <c r="C335" s="65" t="str">
        <f>CONCATENATE(prefix_portable_component,"-net01b")</f>
        <v>flt-net01b</v>
      </c>
      <c r="D335" s="8" t="str">
        <f>vvs_dr_flt_net_nodeb_hostname</f>
        <v>Value Missing</v>
      </c>
      <c r="E335" s="42"/>
    </row>
    <row r="336" spans="2:5" ht="20" customHeight="1" x14ac:dyDescent="0.2">
      <c r="B336" s="302" t="s">
        <v>2499</v>
      </c>
      <c r="C336" s="65" t="str">
        <f>CONCATENATE(prefix_portable_component,"-net01c")</f>
        <v>flt-net01c</v>
      </c>
      <c r="D336" s="8" t="str">
        <f>vvs_dr_flt_net_nodec_hostname</f>
        <v>Value Missing</v>
      </c>
      <c r="E336" s="42"/>
    </row>
    <row r="337" spans="2:5" ht="16" customHeight="1" x14ac:dyDescent="0.2">
      <c r="B337" s="305"/>
      <c r="C337" s="172"/>
    </row>
    <row r="338" spans="2:5" ht="34" customHeight="1" x14ac:dyDescent="0.2">
      <c r="B338" s="600" t="s">
        <v>2500</v>
      </c>
      <c r="C338" s="600"/>
      <c r="D338" s="600"/>
      <c r="E338" s="600"/>
    </row>
    <row r="339" spans="2:5" ht="20" customHeight="1" x14ac:dyDescent="0.2">
      <c r="B339" s="592"/>
      <c r="C339" s="592"/>
      <c r="D339" s="592"/>
      <c r="E339" s="592"/>
    </row>
    <row r="340" spans="2:5" ht="20" customHeight="1" x14ac:dyDescent="0.2">
      <c r="B340" s="314" t="s">
        <v>18</v>
      </c>
      <c r="C340" s="315" t="s">
        <v>19</v>
      </c>
      <c r="D340" s="315" t="s">
        <v>20</v>
      </c>
      <c r="E340" s="315" t="s">
        <v>21</v>
      </c>
    </row>
    <row r="341" spans="2:5" ht="20" customHeight="1" x14ac:dyDescent="0.2">
      <c r="B341" s="4" t="s">
        <v>2167</v>
      </c>
      <c r="C341" s="65" t="str">
        <f>sample_mgmt_srm_recovery_vcenter_fqdn</f>
        <v>lax-m01-vc01.lax.rainpole.io</v>
      </c>
      <c r="D341" s="8" t="str">
        <f>mgmt_srm_recovery_vcenter_fqdn</f>
        <v>Value Missing</v>
      </c>
      <c r="E341" s="42"/>
    </row>
    <row r="342" spans="2:5" ht="20" customHeight="1" x14ac:dyDescent="0.2">
      <c r="B342" s="4" t="s">
        <v>634</v>
      </c>
      <c r="C342" s="105" t="str">
        <f>sample_mgmt_srm_recovery_cluster</f>
        <v>lax-m01-cl01</v>
      </c>
      <c r="D342" s="245" t="str">
        <f>mgmt_srm_recovery_cluster</f>
        <v>Value Missing</v>
      </c>
      <c r="E342" s="42"/>
    </row>
    <row r="343" spans="2:5" ht="20" customHeight="1" x14ac:dyDescent="0.2">
      <c r="B343" s="568" t="s">
        <v>2501</v>
      </c>
      <c r="C343" s="569"/>
      <c r="D343" s="569"/>
      <c r="E343" s="570"/>
    </row>
    <row r="344" spans="2:5" ht="20" customHeight="1" x14ac:dyDescent="0.2">
      <c r="B344" s="4" t="s">
        <v>2485</v>
      </c>
      <c r="C344" s="65" t="str">
        <f>CONCATENATE(prefix_portable_component,"-vm-group-","vcf-operations")</f>
        <v>flt-vm-group-vcf-operations</v>
      </c>
      <c r="D344" s="66"/>
      <c r="E344" s="42"/>
    </row>
    <row r="345" spans="2:5" ht="20" customHeight="1" x14ac:dyDescent="0.2">
      <c r="B345" s="4" t="s">
        <v>2487</v>
      </c>
      <c r="C345" s="65" t="str">
        <f>CONCATENATE(prefix_portable_component,"-ops01a")</f>
        <v>flt-ops01a</v>
      </c>
      <c r="D345" s="8" t="str">
        <f t="array" ref="D345">vvs_dr_flt_ops_nodea_hostname</f>
        <v>Value Missing</v>
      </c>
      <c r="E345" s="42"/>
    </row>
    <row r="346" spans="2:5" ht="20" customHeight="1" x14ac:dyDescent="0.2">
      <c r="B346" s="4" t="s">
        <v>2488</v>
      </c>
      <c r="C346" s="65" t="str">
        <f>CONCATENATE(prefix_portable_component,"-ops01b")</f>
        <v>flt-ops01b</v>
      </c>
      <c r="D346" s="8" t="str">
        <f t="array" ref="D346">vvs_dr_flt_ops_nodeb_hostname</f>
        <v>Value Missing</v>
      </c>
      <c r="E346" s="42"/>
    </row>
    <row r="347" spans="2:5" ht="20" customHeight="1" x14ac:dyDescent="0.2">
      <c r="B347" s="4" t="s">
        <v>2489</v>
      </c>
      <c r="C347" s="65" t="str">
        <f>CONCATENATE(prefix_portable_component,"-ops01c")</f>
        <v>flt-ops01c</v>
      </c>
      <c r="D347" s="8" t="str">
        <f t="array" ref="D347">vvs_dr_flt_ops_nodec_hostname</f>
        <v>Value Missing</v>
      </c>
      <c r="E347" s="42"/>
    </row>
    <row r="348" spans="2:5" ht="20" customHeight="1" x14ac:dyDescent="0.2">
      <c r="B348" s="4" t="s">
        <v>2466</v>
      </c>
      <c r="C348" s="65" t="str">
        <f>sample_vvs_dr_flt_fleet_manager_hostname</f>
        <v>flt-fm01</v>
      </c>
      <c r="D348" s="8" t="str">
        <f>vvs_dr_flt_fleet_manager_hostname</f>
        <v>Value Missing</v>
      </c>
      <c r="E348" s="42"/>
    </row>
    <row r="349" spans="2:5" ht="20" customHeight="1" x14ac:dyDescent="0.2">
      <c r="B349" s="568" t="s">
        <v>2502</v>
      </c>
      <c r="C349" s="569"/>
      <c r="D349" s="569"/>
      <c r="E349" s="570"/>
    </row>
    <row r="350" spans="2:5" ht="20" customHeight="1" x14ac:dyDescent="0.2">
      <c r="B350" s="302" t="s">
        <v>2503</v>
      </c>
      <c r="C350" s="65" t="str">
        <f>CONCATENATE(prefix_portable_component,"-vm-group-","vcf-logs")</f>
        <v>flt-vm-group-vcf-logs</v>
      </c>
      <c r="D350" s="66"/>
      <c r="E350" s="42"/>
    </row>
    <row r="351" spans="2:5" ht="20" customHeight="1" x14ac:dyDescent="0.2">
      <c r="B351" s="302" t="s">
        <v>2504</v>
      </c>
      <c r="C351" s="65" t="str">
        <f>CONCATENATE(prefix_portable_component,"-logs01a")</f>
        <v>flt-logs01a</v>
      </c>
      <c r="D351" s="8" t="str">
        <f>vvs_dr_flt_logs_nodea_hostname</f>
        <v>Value Missing</v>
      </c>
      <c r="E351" s="42"/>
    </row>
    <row r="352" spans="2:5" ht="20" customHeight="1" x14ac:dyDescent="0.2">
      <c r="B352" s="302" t="s">
        <v>2505</v>
      </c>
      <c r="C352" s="65" t="str">
        <f>CONCATENATE(prefix_portable_component,"-logs01b")</f>
        <v>flt-logs01b</v>
      </c>
      <c r="D352" s="8" t="str">
        <f>vvs_dr_flt_logs_nodeb_hostname</f>
        <v>Value Missing</v>
      </c>
      <c r="E352" s="42"/>
    </row>
    <row r="353" spans="2:5" ht="20" customHeight="1" x14ac:dyDescent="0.2">
      <c r="B353" s="302" t="s">
        <v>2506</v>
      </c>
      <c r="C353" s="65" t="str">
        <f>CONCATENATE(prefix_portable_component,"-logs01c")</f>
        <v>flt-logs01c</v>
      </c>
      <c r="D353" s="8" t="str">
        <f>vvs_dr_flt_logs_nodec_hostname</f>
        <v>Value Missing</v>
      </c>
      <c r="E353" s="42"/>
    </row>
    <row r="354" spans="2:5" ht="20" customHeight="1" x14ac:dyDescent="0.2">
      <c r="B354" s="568" t="s">
        <v>2502</v>
      </c>
      <c r="C354" s="569"/>
      <c r="D354" s="569"/>
      <c r="E354" s="570"/>
    </row>
    <row r="355" spans="2:5" ht="20" customHeight="1" x14ac:dyDescent="0.2">
      <c r="B355" s="302" t="s">
        <v>2507</v>
      </c>
      <c r="C355" s="65" t="str">
        <f>CONCATENATE(prefix_portable_component,"-vm-group-","vcf-neworks")</f>
        <v>flt-vm-group-vcf-neworks</v>
      </c>
      <c r="D355" s="66"/>
      <c r="E355" s="42"/>
    </row>
    <row r="356" spans="2:5" ht="20" customHeight="1" x14ac:dyDescent="0.2">
      <c r="B356" s="302" t="s">
        <v>2508</v>
      </c>
      <c r="C356" s="65" t="str">
        <f>CONCATENATE(prefix_portable_component,"-net01a")</f>
        <v>flt-net01a</v>
      </c>
      <c r="D356" s="8" t="str">
        <f>vvs_dr_flt_net_nodea_hostname</f>
        <v>Value Missing</v>
      </c>
      <c r="E356" s="42"/>
    </row>
    <row r="357" spans="2:5" ht="20" customHeight="1" x14ac:dyDescent="0.2">
      <c r="B357" s="302" t="s">
        <v>2509</v>
      </c>
      <c r="C357" s="65" t="str">
        <f>CONCATENATE(prefix_portable_component,"-net01b")</f>
        <v>flt-net01b</v>
      </c>
      <c r="D357" s="8" t="str">
        <f>vvs_dr_flt_net_nodeb_hostname</f>
        <v>Value Missing</v>
      </c>
      <c r="E357" s="42"/>
    </row>
    <row r="358" spans="2:5" ht="20" customHeight="1" x14ac:dyDescent="0.2">
      <c r="B358" s="302" t="s">
        <v>2510</v>
      </c>
      <c r="C358" s="65" t="str">
        <f>CONCATENATE(prefix_portable_component,"-net01c")</f>
        <v>flt-net01c</v>
      </c>
      <c r="D358" s="8" t="str">
        <f>vvs_dr_flt_net_nodec_hostname</f>
        <v>Value Missing</v>
      </c>
      <c r="E358" s="42"/>
    </row>
    <row r="359" spans="2:5" ht="20" customHeight="1" x14ac:dyDescent="0.2">
      <c r="B359" s="568" t="s">
        <v>2502</v>
      </c>
      <c r="C359" s="569"/>
      <c r="D359" s="569"/>
      <c r="E359" s="570"/>
    </row>
    <row r="360" spans="2:5" ht="20" customHeight="1" x14ac:dyDescent="0.2">
      <c r="B360" s="302" t="s">
        <v>2511</v>
      </c>
      <c r="C360" s="65" t="s">
        <v>2512</v>
      </c>
      <c r="D360" s="66"/>
      <c r="E360" s="8"/>
    </row>
    <row r="361" spans="2:5" ht="20" customHeight="1" x14ac:dyDescent="0.2">
      <c r="B361" s="302" t="s">
        <v>2513</v>
      </c>
      <c r="C361" s="65" t="str">
        <f>C344</f>
        <v>flt-vm-group-vcf-operations</v>
      </c>
      <c r="D361" s="66"/>
      <c r="E361" s="8"/>
    </row>
    <row r="362" spans="2:5" ht="20" customHeight="1" x14ac:dyDescent="0.2">
      <c r="B362" s="302" t="s">
        <v>2514</v>
      </c>
      <c r="C362" s="65" t="s">
        <v>2515</v>
      </c>
      <c r="D362" s="66"/>
      <c r="E362" s="8"/>
    </row>
    <row r="363" spans="2:5" ht="20" customHeight="1" x14ac:dyDescent="0.2">
      <c r="B363" s="302" t="s">
        <v>2516</v>
      </c>
      <c r="C363" s="65" t="s">
        <v>2517</v>
      </c>
      <c r="D363" s="66"/>
      <c r="E363" s="8"/>
    </row>
    <row r="364" spans="2:5" ht="20" customHeight="1" x14ac:dyDescent="0.2">
      <c r="B364" s="302" t="s">
        <v>2518</v>
      </c>
      <c r="C364" s="65" t="s">
        <v>2519</v>
      </c>
      <c r="D364" s="66"/>
      <c r="E364" s="8"/>
    </row>
    <row r="365" spans="2:5" ht="20" customHeight="1" x14ac:dyDescent="0.2">
      <c r="B365" s="302" t="s">
        <v>2514</v>
      </c>
      <c r="C365" s="65" t="s">
        <v>2515</v>
      </c>
      <c r="D365" s="66"/>
      <c r="E365" s="42"/>
    </row>
    <row r="366" spans="2:5" ht="16" customHeight="1" x14ac:dyDescent="0.2">
      <c r="B366" s="305"/>
      <c r="C366" s="172"/>
    </row>
    <row r="367" spans="2:5" ht="34" customHeight="1" x14ac:dyDescent="0.2">
      <c r="B367" s="599" t="s">
        <v>2520</v>
      </c>
      <c r="C367" s="600"/>
      <c r="D367" s="600"/>
      <c r="E367" s="600"/>
    </row>
    <row r="368" spans="2:5" ht="16" customHeight="1" x14ac:dyDescent="0.2">
      <c r="B368" s="305"/>
      <c r="C368" s="172"/>
    </row>
    <row r="369" spans="2:5" ht="34" customHeight="1" x14ac:dyDescent="0.2">
      <c r="B369" s="600" t="s">
        <v>2521</v>
      </c>
      <c r="C369" s="600"/>
      <c r="D369" s="600"/>
      <c r="E369" s="600"/>
    </row>
    <row r="370" spans="2:5" ht="20" customHeight="1" x14ac:dyDescent="0.2">
      <c r="B370" s="592"/>
      <c r="C370" s="592"/>
      <c r="D370" s="592"/>
      <c r="E370" s="592"/>
    </row>
    <row r="371" spans="2:5" ht="20" customHeight="1" x14ac:dyDescent="0.2">
      <c r="B371" s="314" t="s">
        <v>18</v>
      </c>
      <c r="C371" s="315" t="s">
        <v>19</v>
      </c>
      <c r="D371" s="315" t="s">
        <v>20</v>
      </c>
      <c r="E371" s="315" t="s">
        <v>21</v>
      </c>
    </row>
    <row r="372" spans="2:5" ht="20" customHeight="1" x14ac:dyDescent="0.2">
      <c r="B372" s="4" t="s">
        <v>2386</v>
      </c>
      <c r="C372" s="65" t="str">
        <f>sample_vvs_dr_flt_ops_nodea_fqdn</f>
        <v>flt-ops01a.rainpole.io</v>
      </c>
      <c r="D372" s="8" t="str">
        <f>vvs_dr_flt_ops_nodea_fqdn</f>
        <v>Value Missing</v>
      </c>
      <c r="E372" s="42"/>
    </row>
    <row r="373" spans="2:5" ht="20" customHeight="1" x14ac:dyDescent="0.2">
      <c r="B373" s="568" t="s">
        <v>2522</v>
      </c>
      <c r="C373" s="569"/>
      <c r="D373" s="569"/>
      <c r="E373" s="570"/>
    </row>
    <row r="374" spans="2:5" ht="20" customHeight="1" x14ac:dyDescent="0.2">
      <c r="B374" s="302" t="s">
        <v>693</v>
      </c>
      <c r="C374" s="65" t="str">
        <f>sample_mgmt_srm_recovery_vcenter_fqdn</f>
        <v>lax-m01-vc01.lax.rainpole.io</v>
      </c>
      <c r="D374" s="8" t="str">
        <f>mgmt_srm_recovery_vcenter_fqdn</f>
        <v>Value Missing</v>
      </c>
      <c r="E374" s="42"/>
    </row>
    <row r="375" spans="2:5" ht="20" customHeight="1" x14ac:dyDescent="0.2">
      <c r="B375" s="302" t="s">
        <v>634</v>
      </c>
      <c r="C375" s="65" t="str">
        <f>sample_mgmt_srm_recovery_cluster</f>
        <v>lax-m01-cl01</v>
      </c>
      <c r="D375" s="8" t="str">
        <f>mgmt_srm_recovery_cluster</f>
        <v>Value Missing</v>
      </c>
      <c r="E375" s="42"/>
    </row>
    <row r="376" spans="2:5" ht="20" customHeight="1" x14ac:dyDescent="0.2">
      <c r="B376" s="302" t="s">
        <v>241</v>
      </c>
      <c r="C376" s="65" t="str">
        <f>IF(OR(flt_custom_network_chosen="NSX Overlay segment",flt_custom_network_chosen="NSX VLAN segment"),CONCATENATE(prefix_portable_component,"-m01-seg01"),IF(flt_custom_network_chosen="Dedicated Management Network",CONCATENATE(other_instance,"-m01-cl01-vds01-pg-flt-mgmt"),CONCATENATE(other_instance,"-m01-cl01-vds01-pg-vm-mgmt")))</f>
        <v>lax-m01-cl01-vds01-pg-flt-mgmt</v>
      </c>
      <c r="D376" s="395"/>
      <c r="E376" s="42"/>
    </row>
    <row r="377" spans="2:5" ht="20" customHeight="1" x14ac:dyDescent="0.2">
      <c r="B377" s="302" t="s">
        <v>102</v>
      </c>
      <c r="C377" s="65" t="str">
        <f>sample_mgmt_srm_recovery_datastore</f>
        <v>lax-m01-cl01-ds-vsan01</v>
      </c>
      <c r="D377" s="8" t="str">
        <f>mgmt_srm_recovery_datastore</f>
        <v>Value Missing</v>
      </c>
      <c r="E377" s="42"/>
    </row>
    <row r="378" spans="2:5" ht="20" customHeight="1" x14ac:dyDescent="0.2">
      <c r="B378" s="568" t="s">
        <v>241</v>
      </c>
      <c r="C378" s="569"/>
      <c r="D378" s="569"/>
      <c r="E378" s="570"/>
    </row>
    <row r="379" spans="2:5" ht="20" customHeight="1" x14ac:dyDescent="0.2">
      <c r="B379" s="302" t="s">
        <v>553</v>
      </c>
      <c r="C379" s="65" t="str">
        <f>sample_parent_dns_zone</f>
        <v>rainpole.io</v>
      </c>
      <c r="D379" s="8" t="str">
        <f>vvs_dr_parent_dns_zone</f>
        <v>Value Missing</v>
      </c>
      <c r="E379" s="42"/>
    </row>
    <row r="380" spans="2:5" ht="20" customHeight="1" x14ac:dyDescent="0.2">
      <c r="B380" s="302" t="s">
        <v>554</v>
      </c>
      <c r="C380" s="65" t="str">
        <f>sample_parent_dns_zone</f>
        <v>rainpole.io</v>
      </c>
      <c r="D380" s="8" t="str">
        <f>vvs_dr_parent_dns_zone</f>
        <v>Value Missing</v>
      </c>
      <c r="E380" s="42"/>
    </row>
    <row r="381" spans="2:5" ht="20" customHeight="1" x14ac:dyDescent="0.2">
      <c r="B381" s="302" t="s">
        <v>555</v>
      </c>
      <c r="C381" s="65" t="str">
        <f>CONCATENATE(sample_vvs_dr_dns1_ip,",",sample_vvs_dr_dns2_ip)</f>
        <v>10.21.10.4,10.21.10.5</v>
      </c>
      <c r="D381" s="8" t="str">
        <f>CONCATENATE(vvs_dr_dns1_ip,",",vvs_dr_dns2_ip)</f>
        <v>Value Missing,Value Missing</v>
      </c>
      <c r="E381" s="42"/>
    </row>
    <row r="382" spans="2:5" ht="20" customHeight="1" x14ac:dyDescent="0.2">
      <c r="B382" s="302" t="s">
        <v>558</v>
      </c>
      <c r="C382" s="65" t="str">
        <f>IF(flt_custom_network_chosen="Shared Management Network",IF(mgmt_dpg_reuse_result="Included",CONCATENATE(prefix_mgmt_az1_cidr,"10.1"),CONCATENATE(prefix_mgmt_az1_cidr,"11.1")),IF(flt_custom_network_chosen="NSX Overlay Segment",CONCATENATE(prefix_xreg_cidr,".1"),CONCATENATE(prefix_flt_shared_cidr,".1")))</f>
        <v>10.11.99.1</v>
      </c>
      <c r="D382" s="66"/>
      <c r="E382" s="42"/>
    </row>
    <row r="383" spans="2:5" ht="20" customHeight="1" x14ac:dyDescent="0.2">
      <c r="B383" s="302" t="s">
        <v>559</v>
      </c>
      <c r="C383" s="65" t="s">
        <v>126</v>
      </c>
      <c r="D383" s="66"/>
      <c r="E383" s="42"/>
    </row>
    <row r="384" spans="2:5" ht="20" customHeight="1" x14ac:dyDescent="0.2">
      <c r="B384" s="568" t="s">
        <v>2396</v>
      </c>
      <c r="C384" s="569"/>
      <c r="D384" s="569"/>
      <c r="E384" s="570"/>
    </row>
    <row r="385" spans="1:12" ht="20" customHeight="1" x14ac:dyDescent="0.2">
      <c r="B385" s="302" t="s">
        <v>39</v>
      </c>
      <c r="C385" s="108" t="str">
        <f>sample_flt_vidb_vip_fqdn</f>
        <v>flt-idb01.rainpole.io</v>
      </c>
      <c r="D385" s="8"/>
      <c r="E385" s="42"/>
    </row>
    <row r="386" spans="1:12" ht="20" customHeight="1" x14ac:dyDescent="0.2">
      <c r="B386" s="302" t="s">
        <v>2523</v>
      </c>
      <c r="C386" s="108"/>
      <c r="D386" s="8"/>
      <c r="E386" s="42"/>
    </row>
    <row r="387" spans="1:12" ht="20" customHeight="1" x14ac:dyDescent="0.2">
      <c r="B387" s="302" t="s">
        <v>631</v>
      </c>
      <c r="C387" s="299"/>
      <c r="D387" s="8"/>
      <c r="E387" s="42"/>
    </row>
    <row r="388" spans="1:12" ht="20" customHeight="1" x14ac:dyDescent="0.2">
      <c r="B388" s="302" t="s">
        <v>2524</v>
      </c>
      <c r="C388" s="108" t="str">
        <f>sample_flt_vidb_vip_fqdn</f>
        <v>flt-idb01.rainpole.io</v>
      </c>
      <c r="D388" s="8"/>
      <c r="E388" s="42"/>
    </row>
    <row r="389" spans="1:12" ht="20" customHeight="1" x14ac:dyDescent="0.2">
      <c r="B389" s="302" t="s">
        <v>523</v>
      </c>
      <c r="C389" s="108"/>
      <c r="D389" s="8"/>
      <c r="E389" s="42"/>
    </row>
    <row r="390" spans="1:12" ht="20" customHeight="1" x14ac:dyDescent="0.2">
      <c r="B390" s="302" t="s">
        <v>575</v>
      </c>
      <c r="C390" s="108" t="s">
        <v>584</v>
      </c>
      <c r="D390" s="8"/>
      <c r="E390" s="42"/>
    </row>
    <row r="391" spans="1:12" ht="20" customHeight="1" x14ac:dyDescent="0.2">
      <c r="B391" s="302" t="s">
        <v>574</v>
      </c>
      <c r="C391" s="65" t="str">
        <f>IF(flt_custom_network_chosen="Shared Management Network",IF(mgmt_dpg_reuse_result="Included",CONCATENATE(prefix_mgmt_az1_cidr,"20.16"),CONCATENATE(prefix_mgmt_az1_cidr,"20.16")),IF(flt_custom_network_chosen="NSX Overlay Segment",CONCATENATE(prefix_xreg_cidr,".60"),CONCATENATE(prefix_flt_shared_cidr,".16")))</f>
        <v>10.11.99.16</v>
      </c>
      <c r="D391" s="8"/>
      <c r="E391" s="42"/>
    </row>
    <row r="392" spans="1:12" ht="20" customHeight="1" x14ac:dyDescent="0.2">
      <c r="B392" s="302" t="s">
        <v>2525</v>
      </c>
      <c r="C392" s="65" t="str">
        <f>CONCATENATE(IF(flt_custom_network_chosen="Shared Management Network",IF(mgmt_dpg_reuse_result="Included",CONCATENATE(prefix_mgmt_az1_cidr,"20.53"),CONCATENATE(prefix_mgmt_az1_cidr,"20.53")),IF(flt_custom_network_chosen="NSX Overlay Segment",CONCATENATE(prefix_xreg_cidr,".53"),CONCATENATE(prefix_flt_shared_cidr,".53"))),"-",IF(flt_custom_network_chosen="Shared Management Network",IF(mgmt_dpg_reuse_result="Included",CONCATENATE(prefix_mgmt_az1_cidr,"20.56"),CONCATENATE(prefix_mgmt_az1_cidr,"20.56")),IF(flt_custom_network_chosen="NSX Overlay Segment",CONCATENATE(prefix_xreg_cidr,".56"),CONCATENATE(prefix_flt_shared_cidr,".56"))))</f>
        <v>10.11.99.53-10.11.99.56</v>
      </c>
      <c r="D392" s="8"/>
      <c r="E392" s="42"/>
    </row>
    <row r="393" spans="1:12" ht="16" customHeight="1" x14ac:dyDescent="0.2">
      <c r="B393" s="305"/>
    </row>
    <row r="394" spans="1:12" ht="34" customHeight="1" x14ac:dyDescent="0.2">
      <c r="A394" s="147"/>
      <c r="B394" s="609" t="s">
        <v>2526</v>
      </c>
      <c r="C394" s="610"/>
      <c r="D394" s="610"/>
      <c r="E394" s="653"/>
      <c r="F394" s="147"/>
      <c r="G394" s="147"/>
      <c r="H394" s="147"/>
      <c r="I394" s="147"/>
      <c r="J394" s="147"/>
      <c r="K394" s="147"/>
      <c r="L394" s="147"/>
    </row>
    <row r="395" spans="1:12" ht="20" customHeight="1" x14ac:dyDescent="0.2">
      <c r="B395" s="592"/>
      <c r="C395" s="592"/>
      <c r="D395" s="592"/>
      <c r="E395" s="592"/>
    </row>
    <row r="396" spans="1:12" ht="20" customHeight="1" x14ac:dyDescent="0.2">
      <c r="A396" s="147"/>
      <c r="B396" s="314" t="s">
        <v>18</v>
      </c>
      <c r="C396" s="315" t="s">
        <v>19</v>
      </c>
      <c r="D396" s="315" t="s">
        <v>20</v>
      </c>
      <c r="E396" s="315" t="s">
        <v>21</v>
      </c>
      <c r="F396" s="147"/>
      <c r="G396" s="147"/>
      <c r="H396" s="147"/>
      <c r="I396" s="147"/>
      <c r="J396" s="147"/>
      <c r="K396" s="147"/>
      <c r="L396" s="147"/>
    </row>
    <row r="397" spans="1:12" ht="20" customHeight="1" x14ac:dyDescent="0.2">
      <c r="A397" s="147"/>
      <c r="B397" s="4" t="s">
        <v>2386</v>
      </c>
      <c r="C397" s="65" t="str">
        <f>sample_vvs_dr_flt_ops_nodea_fqdn</f>
        <v>flt-ops01a.rainpole.io</v>
      </c>
      <c r="D397" s="194" t="str">
        <f>vvs_dr_flt_ops_nodea_fqdn</f>
        <v>Value Missing</v>
      </c>
      <c r="E397" s="193"/>
      <c r="F397" s="147"/>
      <c r="G397" s="147"/>
      <c r="H397" s="147"/>
      <c r="I397" s="147"/>
      <c r="J397" s="147"/>
      <c r="K397" s="147"/>
      <c r="L397" s="147"/>
    </row>
    <row r="398" spans="1:12" ht="20" customHeight="1" x14ac:dyDescent="0.2">
      <c r="A398" s="147"/>
      <c r="B398" s="605" t="s">
        <v>2522</v>
      </c>
      <c r="C398" s="606"/>
      <c r="D398" s="606"/>
      <c r="E398" s="607"/>
      <c r="F398" s="147"/>
      <c r="G398" s="147"/>
      <c r="H398" s="147"/>
      <c r="I398" s="147"/>
      <c r="J398" s="147"/>
      <c r="K398" s="147"/>
      <c r="L398" s="147"/>
    </row>
    <row r="399" spans="1:12" ht="20" customHeight="1" x14ac:dyDescent="0.2">
      <c r="A399" s="147"/>
      <c r="B399" s="298" t="s">
        <v>693</v>
      </c>
      <c r="C399" s="65" t="s">
        <v>2527</v>
      </c>
      <c r="D399" s="194" t="str">
        <f>mgmt_srm_recovery_vcenter_fqdn</f>
        <v>Value Missing</v>
      </c>
      <c r="E399" s="193"/>
      <c r="F399" s="147"/>
      <c r="G399" s="147"/>
      <c r="H399" s="147"/>
      <c r="I399" s="147"/>
      <c r="J399" s="147"/>
      <c r="K399" s="147"/>
      <c r="L399" s="147"/>
    </row>
    <row r="400" spans="1:12" ht="20" customHeight="1" x14ac:dyDescent="0.2">
      <c r="A400" s="147"/>
      <c r="B400" s="298" t="s">
        <v>634</v>
      </c>
      <c r="C400" s="65" t="s">
        <v>2528</v>
      </c>
      <c r="D400" s="194" t="str">
        <f>mgmt_srm_recovery_cluster</f>
        <v>Value Missing</v>
      </c>
      <c r="E400" s="193"/>
      <c r="F400" s="147"/>
      <c r="G400" s="147"/>
      <c r="H400" s="147"/>
      <c r="I400" s="147"/>
      <c r="J400" s="147"/>
      <c r="K400" s="147"/>
      <c r="L400" s="147"/>
    </row>
    <row r="401" spans="1:12" ht="20" customHeight="1" x14ac:dyDescent="0.2">
      <c r="A401" s="147"/>
      <c r="B401" s="298" t="s">
        <v>241</v>
      </c>
      <c r="C401" s="65" t="str">
        <f>sample_mgmt_srm_recovery_pg</f>
        <v>lax-m01-cl01-vds01-pg-flt-mgmt</v>
      </c>
      <c r="D401" s="194" t="str">
        <f t="array" ref="D401">mgmt_srm_recovery_pg</f>
        <v>Value Missing</v>
      </c>
      <c r="E401" s="193"/>
      <c r="F401" s="147"/>
      <c r="G401" s="147"/>
      <c r="H401" s="147"/>
      <c r="I401" s="147"/>
      <c r="J401" s="147"/>
      <c r="K401" s="147"/>
      <c r="L401" s="147"/>
    </row>
    <row r="402" spans="1:12" ht="20" customHeight="1" x14ac:dyDescent="0.2">
      <c r="A402" s="147"/>
      <c r="B402" s="298" t="s">
        <v>102</v>
      </c>
      <c r="C402" s="65" t="s">
        <v>2529</v>
      </c>
      <c r="D402" s="194" t="str">
        <f>mgmt_srm_recovery_datastore</f>
        <v>Value Missing</v>
      </c>
      <c r="E402" s="193"/>
      <c r="F402" s="147"/>
      <c r="G402" s="147"/>
      <c r="H402" s="147"/>
      <c r="I402" s="147"/>
      <c r="J402" s="147"/>
      <c r="K402" s="147"/>
      <c r="L402" s="147"/>
    </row>
    <row r="403" spans="1:12" ht="20" customHeight="1" x14ac:dyDescent="0.2">
      <c r="A403" s="147"/>
      <c r="B403" s="605" t="s">
        <v>241</v>
      </c>
      <c r="C403" s="606"/>
      <c r="D403" s="606"/>
      <c r="E403" s="607"/>
      <c r="F403" s="147"/>
      <c r="G403" s="147"/>
      <c r="H403" s="147"/>
      <c r="I403" s="147"/>
      <c r="J403" s="147"/>
      <c r="K403" s="147"/>
      <c r="L403" s="147"/>
    </row>
    <row r="404" spans="1:12" ht="20" customHeight="1" x14ac:dyDescent="0.2">
      <c r="A404" s="147"/>
      <c r="B404" s="298" t="s">
        <v>553</v>
      </c>
      <c r="C404" s="65" t="s">
        <v>1360</v>
      </c>
      <c r="D404" s="8" t="str">
        <f>vvs_dr_parent_dns_zone</f>
        <v>Value Missing</v>
      </c>
      <c r="E404" s="193"/>
      <c r="F404" s="147"/>
      <c r="G404" s="147"/>
      <c r="H404" s="147"/>
      <c r="I404" s="147"/>
      <c r="J404" s="147"/>
      <c r="K404" s="147"/>
      <c r="L404" s="147"/>
    </row>
    <row r="405" spans="1:12" ht="20" customHeight="1" x14ac:dyDescent="0.2">
      <c r="A405" s="147"/>
      <c r="B405" s="298" t="s">
        <v>554</v>
      </c>
      <c r="C405" s="65" t="s">
        <v>1360</v>
      </c>
      <c r="D405" s="8" t="str">
        <f>vvs_dr_parent_dns_zone</f>
        <v>Value Missing</v>
      </c>
      <c r="E405" s="193"/>
      <c r="F405" s="147"/>
      <c r="G405" s="147"/>
      <c r="H405" s="147"/>
      <c r="I405" s="147"/>
      <c r="J405" s="147"/>
      <c r="K405" s="147"/>
      <c r="L405" s="147"/>
    </row>
    <row r="406" spans="1:12" ht="20" customHeight="1" x14ac:dyDescent="0.2">
      <c r="A406" s="147"/>
      <c r="B406" s="298" t="s">
        <v>555</v>
      </c>
      <c r="C406" s="65" t="str">
        <f>CONCATENATE(sample_vvs_dr_dns1_ip,",",sample_vvs_dr_dns2_ip)</f>
        <v>10.21.10.4,10.21.10.5</v>
      </c>
      <c r="D406" s="8" t="str">
        <f>CONCATENATE(vvs_dr_dns1_ip,",",vvs_dr_dns2_ip)</f>
        <v>Value Missing,Value Missing</v>
      </c>
      <c r="E406" s="193"/>
      <c r="F406" s="147"/>
      <c r="G406" s="147"/>
      <c r="H406" s="147"/>
      <c r="I406" s="147"/>
      <c r="J406" s="147"/>
      <c r="K406" s="147"/>
      <c r="L406" s="147"/>
    </row>
    <row r="407" spans="1:12" ht="20" customHeight="1" x14ac:dyDescent="0.2">
      <c r="A407" s="147"/>
      <c r="B407" s="298" t="s">
        <v>558</v>
      </c>
      <c r="C407" s="65" t="str">
        <f>IF(flt_custom_network_chosen="Shared Management Network",IF(mgmt_dpg_reuse_result="Included",CONCATENATE(prefix_mgmt_az1_cidr,"20.1"),CONCATENATE(prefix_mgmt_az1_cidr,"20.1")),IF(flt_custom_network_chosen="NSX Overlay Segment",CONCATENATE(prefix_xreg_cidr,".1"),CONCATENATE(prefix_flt_shared_cidr,".1")))</f>
        <v>10.11.99.1</v>
      </c>
      <c r="D407" s="194"/>
      <c r="E407" s="193"/>
      <c r="F407" s="147"/>
      <c r="G407" s="147"/>
      <c r="H407" s="147"/>
      <c r="I407" s="147"/>
      <c r="J407" s="147"/>
      <c r="K407" s="147"/>
      <c r="L407" s="147"/>
    </row>
    <row r="408" spans="1:12" ht="20" customHeight="1" x14ac:dyDescent="0.2">
      <c r="A408" s="147"/>
      <c r="B408" s="298" t="s">
        <v>559</v>
      </c>
      <c r="C408" s="65" t="str">
        <f>sample_mgmt_srm_recovery_mask</f>
        <v>255.255.255.0</v>
      </c>
      <c r="D408" s="194" t="str">
        <f>mgmt_srm_recovery_mask</f>
        <v>Value Missing</v>
      </c>
      <c r="E408" s="193"/>
      <c r="F408" s="147"/>
      <c r="G408" s="147"/>
      <c r="H408" s="147"/>
      <c r="I408" s="147"/>
      <c r="J408" s="147"/>
      <c r="K408" s="147"/>
      <c r="L408" s="147"/>
    </row>
    <row r="409" spans="1:12" ht="20" customHeight="1" x14ac:dyDescent="0.2">
      <c r="A409" s="147"/>
      <c r="B409" s="605" t="s">
        <v>2396</v>
      </c>
      <c r="C409" s="606"/>
      <c r="D409" s="606"/>
      <c r="E409" s="607"/>
      <c r="F409" s="147"/>
      <c r="G409" s="147"/>
      <c r="H409" s="147"/>
      <c r="I409" s="147"/>
      <c r="J409" s="147"/>
      <c r="K409" s="147"/>
      <c r="L409" s="147"/>
    </row>
    <row r="410" spans="1:12" ht="20" customHeight="1" x14ac:dyDescent="0.2">
      <c r="A410" s="147"/>
      <c r="B410" s="298" t="s">
        <v>39</v>
      </c>
      <c r="C410" s="108" t="str">
        <f>sample_vcf_automation_vip_fqdn</f>
        <v>flt-auto01.rainpole.io</v>
      </c>
      <c r="D410" s="194"/>
      <c r="E410" s="193"/>
      <c r="F410" s="147"/>
      <c r="G410" s="147"/>
      <c r="H410" s="147"/>
      <c r="I410" s="147"/>
      <c r="J410" s="147"/>
      <c r="K410" s="147"/>
      <c r="L410" s="147"/>
    </row>
    <row r="411" spans="1:12" ht="20" customHeight="1" x14ac:dyDescent="0.2">
      <c r="A411" s="147"/>
      <c r="B411" s="298" t="s">
        <v>2523</v>
      </c>
      <c r="C411" s="108" t="str">
        <f>sample_vcf_automation_cert_alias</f>
        <v>flt-auto01-cert</v>
      </c>
      <c r="D411" s="194"/>
      <c r="E411" s="193"/>
      <c r="F411" s="147"/>
      <c r="G411" s="147"/>
      <c r="H411" s="147"/>
      <c r="I411" s="147"/>
      <c r="J411" s="147"/>
      <c r="K411" s="147"/>
      <c r="L411" s="147"/>
    </row>
    <row r="412" spans="1:12" ht="20" customHeight="1" x14ac:dyDescent="0.2">
      <c r="A412" s="147"/>
      <c r="B412" s="298" t="s">
        <v>631</v>
      </c>
      <c r="C412" s="299" t="str">
        <f>sample_vcf_automation_root_password_alias</f>
        <v>flt-auto01-password</v>
      </c>
      <c r="D412" s="194"/>
      <c r="E412" s="193"/>
      <c r="F412" s="147"/>
      <c r="G412" s="147"/>
      <c r="H412" s="147"/>
      <c r="I412" s="147"/>
      <c r="J412" s="147"/>
      <c r="K412" s="147"/>
      <c r="L412" s="147"/>
    </row>
    <row r="413" spans="1:12" ht="20" customHeight="1" x14ac:dyDescent="0.2">
      <c r="A413" s="147"/>
      <c r="B413" s="298" t="s">
        <v>2524</v>
      </c>
      <c r="C413" s="108" t="str">
        <f>sample_vcf_automation_vip_fqdn</f>
        <v>flt-auto01.rainpole.io</v>
      </c>
      <c r="D413" s="194"/>
      <c r="E413" s="193"/>
      <c r="F413" s="147"/>
      <c r="G413" s="147"/>
      <c r="H413" s="147"/>
      <c r="I413" s="147"/>
      <c r="J413" s="147"/>
      <c r="K413" s="147"/>
      <c r="L413" s="147"/>
    </row>
    <row r="414" spans="1:12" ht="20" customHeight="1" x14ac:dyDescent="0.2">
      <c r="A414" s="147"/>
      <c r="B414" s="298" t="s">
        <v>571</v>
      </c>
      <c r="C414" s="108" t="s">
        <v>572</v>
      </c>
      <c r="D414" s="194"/>
      <c r="E414" s="193"/>
      <c r="F414" s="147"/>
      <c r="G414" s="147"/>
      <c r="H414" s="147"/>
      <c r="I414" s="147"/>
      <c r="J414" s="147"/>
      <c r="K414" s="147"/>
      <c r="L414" s="147"/>
    </row>
    <row r="415" spans="1:12" ht="20" customHeight="1" x14ac:dyDescent="0.2">
      <c r="A415" s="147"/>
      <c r="B415" s="298" t="s">
        <v>523</v>
      </c>
      <c r="C415" s="108" t="str">
        <f>CONCATENATE(prefix_portable_component,"-auto")</f>
        <v>flt-auto</v>
      </c>
      <c r="D415" s="194"/>
      <c r="E415" s="193"/>
      <c r="F415" s="147"/>
      <c r="G415" s="147"/>
      <c r="H415" s="147"/>
      <c r="I415" s="147"/>
      <c r="J415" s="147"/>
      <c r="K415" s="147"/>
      <c r="L415" s="147"/>
    </row>
    <row r="416" spans="1:12" ht="20" customHeight="1" x14ac:dyDescent="0.2">
      <c r="A416" s="147"/>
      <c r="B416" s="298" t="s">
        <v>574</v>
      </c>
      <c r="C416" s="65" t="str">
        <f>IF(flt_custom_network_chosen="Shared Management Network",IF(mgmt_dpg_reuse_result="Included",CONCATENATE(prefix_mgmt_az1_cidr,"20.17"),CONCATENATE(prefix_mgmt_az1_cidr,"20.17")),IF(flt_custom_network_chosen="NSX Overlay Segment",CONCATENATE(prefix_xreg_cidr,".17"),CONCATENATE(prefix_flt_shared_cidr,".17")))</f>
        <v>10.11.99.17</v>
      </c>
      <c r="D416" s="194"/>
      <c r="E416" s="193"/>
      <c r="F416" s="147"/>
      <c r="G416" s="147"/>
      <c r="H416" s="147"/>
      <c r="I416" s="147"/>
      <c r="J416" s="147"/>
      <c r="K416" s="147"/>
      <c r="L416" s="147"/>
    </row>
    <row r="417" spans="1:12" ht="20" customHeight="1" x14ac:dyDescent="0.2">
      <c r="A417" s="147"/>
      <c r="B417" s="298" t="s">
        <v>575</v>
      </c>
      <c r="C417" s="108" t="s">
        <v>584</v>
      </c>
      <c r="D417" s="194"/>
      <c r="E417" s="193"/>
      <c r="F417" s="147"/>
      <c r="G417" s="147"/>
      <c r="H417" s="147"/>
      <c r="I417" s="147"/>
      <c r="J417" s="147"/>
      <c r="K417" s="147"/>
      <c r="L417" s="147"/>
    </row>
    <row r="418" spans="1:12" ht="20" customHeight="1" x14ac:dyDescent="0.2">
      <c r="A418" s="147"/>
      <c r="B418" s="298" t="s">
        <v>2525</v>
      </c>
      <c r="C418" s="65" t="str">
        <f>CONCATENATE(IF(flt_custom_network_chosen="Shared Management Network",IF(mgmt_dpg_reuse_result="Included",CONCATENATE(prefix_mgmt_az1_cidr,"20.40"),CONCATENATE(prefix_mgmt_az1_cidr,"20.40")),IF(flt_custom_network_chosen="NSX Overlay Segment",CONCATENATE(prefix_xreg_cidr,".40"),CONCATENATE(prefix_flt_shared_cidr,".40"))),"-",IF(flt_custom_network_chosen="Shared Management Network",IF(mgmt_dpg_reuse_result="Included",CONCATENATE(prefix_mgmt_az1_cidr,"20.45"),CONCATENATE(prefix_mgmt_az1_cidr,"20.45")),IF(flt_custom_network_chosen="NSX Overlay Segment",CONCATENATE(prefix_xreg_cidr,".45"),CONCATENATE(prefix_flt_shared_cidr,".45"))))</f>
        <v>10.11.99.40-10.11.99.45</v>
      </c>
      <c r="D418" s="194"/>
      <c r="E418" s="193"/>
      <c r="F418" s="147"/>
      <c r="G418" s="147"/>
      <c r="H418" s="147"/>
      <c r="I418" s="147"/>
      <c r="J418" s="147"/>
      <c r="K418" s="147"/>
      <c r="L418" s="147"/>
    </row>
    <row r="419" spans="1:12" ht="16" customHeight="1" x14ac:dyDescent="0.2">
      <c r="B419" s="305"/>
    </row>
    <row r="420" spans="1:12" ht="34" customHeight="1" x14ac:dyDescent="0.2">
      <c r="B420" s="600" t="s">
        <v>2530</v>
      </c>
      <c r="C420" s="600"/>
      <c r="D420" s="600"/>
      <c r="E420" s="600"/>
    </row>
    <row r="421" spans="1:12" ht="20" customHeight="1" x14ac:dyDescent="0.2">
      <c r="B421" s="592"/>
      <c r="C421" s="592"/>
      <c r="D421" s="592"/>
      <c r="E421" s="592"/>
    </row>
    <row r="422" spans="1:12" ht="20" customHeight="1" x14ac:dyDescent="0.2">
      <c r="B422" s="314" t="s">
        <v>18</v>
      </c>
      <c r="C422" s="315" t="s">
        <v>19</v>
      </c>
      <c r="D422" s="315" t="s">
        <v>20</v>
      </c>
      <c r="E422" s="315" t="s">
        <v>21</v>
      </c>
    </row>
    <row r="423" spans="1:12" ht="20" customHeight="1" x14ac:dyDescent="0.2">
      <c r="B423" s="4" t="s">
        <v>2386</v>
      </c>
      <c r="C423" s="65" t="str">
        <f>sample_vvs_dr_flt_ops_nodea_fqdn</f>
        <v>flt-ops01a.rainpole.io</v>
      </c>
      <c r="D423" s="194" t="str">
        <f>vvs_dr_flt_ops_nodea_fqdn</f>
        <v>Value Missing</v>
      </c>
      <c r="E423" s="42"/>
    </row>
    <row r="424" spans="1:12" ht="20" customHeight="1" x14ac:dyDescent="0.2">
      <c r="B424" s="568" t="s">
        <v>2522</v>
      </c>
      <c r="C424" s="569"/>
      <c r="D424" s="569"/>
      <c r="E424" s="570"/>
    </row>
    <row r="425" spans="1:12" ht="20" customHeight="1" x14ac:dyDescent="0.2">
      <c r="B425" s="302" t="s">
        <v>693</v>
      </c>
      <c r="C425" s="65" t="str">
        <f>sample_mgmt_srm_recovery_vcenter_fqdn</f>
        <v>lax-m01-vc01.lax.rainpole.io</v>
      </c>
      <c r="D425" s="8" t="str">
        <f>mgmt_srm_recovery_vcenter_fqdn</f>
        <v>Value Missing</v>
      </c>
      <c r="E425" s="42"/>
    </row>
    <row r="426" spans="1:12" ht="20" customHeight="1" x14ac:dyDescent="0.2">
      <c r="B426" s="302" t="s">
        <v>634</v>
      </c>
      <c r="C426" s="65" t="str">
        <f>sample_mgmt_srm_recovery_cluster</f>
        <v>lax-m01-cl01</v>
      </c>
      <c r="D426" s="8" t="str">
        <f>mgmt_srm_recovery_cluster</f>
        <v>Value Missing</v>
      </c>
      <c r="E426" s="42"/>
    </row>
    <row r="427" spans="1:12" ht="20" customHeight="1" x14ac:dyDescent="0.2">
      <c r="B427" s="302" t="s">
        <v>241</v>
      </c>
      <c r="C427" s="65" t="str">
        <f>sample_mgmt_srm_recovery_pg</f>
        <v>lax-m01-cl01-vds01-pg-flt-mgmt</v>
      </c>
      <c r="D427" s="8" t="str">
        <f t="array" ref="D427">mgmt_srm_recovery_pg</f>
        <v>Value Missing</v>
      </c>
      <c r="E427" s="42"/>
    </row>
    <row r="428" spans="1:12" ht="20" customHeight="1" x14ac:dyDescent="0.2">
      <c r="B428" s="302" t="s">
        <v>102</v>
      </c>
      <c r="C428" s="65" t="str">
        <f>sample_mgmt_srm_recovery_datastore</f>
        <v>lax-m01-cl01-ds-vsan01</v>
      </c>
      <c r="D428" s="8" t="str">
        <f>mgmt_srm_recovery_datastore</f>
        <v>Value Missing</v>
      </c>
      <c r="E428" s="42"/>
    </row>
    <row r="429" spans="1:12" ht="20" customHeight="1" x14ac:dyDescent="0.2">
      <c r="B429" s="568" t="s">
        <v>241</v>
      </c>
      <c r="C429" s="569"/>
      <c r="D429" s="569"/>
      <c r="E429" s="570"/>
    </row>
    <row r="430" spans="1:12" ht="20" customHeight="1" x14ac:dyDescent="0.2">
      <c r="B430" s="302" t="s">
        <v>553</v>
      </c>
      <c r="C430" s="65" t="str">
        <f>sample_parent_dns_zone</f>
        <v>rainpole.io</v>
      </c>
      <c r="D430" s="8" t="str">
        <f>vvs_dr_parent_dns_zone</f>
        <v>Value Missing</v>
      </c>
      <c r="E430" s="42"/>
    </row>
    <row r="431" spans="1:12" ht="20" customHeight="1" x14ac:dyDescent="0.2">
      <c r="B431" s="302" t="s">
        <v>554</v>
      </c>
      <c r="C431" s="65" t="str">
        <f>sample_parent_dns_zone</f>
        <v>rainpole.io</v>
      </c>
      <c r="D431" s="8" t="str">
        <f>vvs_dr_parent_dns_zone</f>
        <v>Value Missing</v>
      </c>
      <c r="E431" s="42"/>
    </row>
    <row r="432" spans="1:12" ht="20" customHeight="1" x14ac:dyDescent="0.2">
      <c r="B432" s="302" t="s">
        <v>555</v>
      </c>
      <c r="C432" s="65" t="str">
        <f>CONCATENATE(sample_vvs_dr_dns1_ip,",",sample_vvs_dr_dns2_ip)</f>
        <v>10.21.10.4,10.21.10.5</v>
      </c>
      <c r="D432" s="8" t="str">
        <f>CONCATENATE(vvs_dr_dns1_ip,",",vvs_dr_dns2_ip)</f>
        <v>Value Missing,Value Missing</v>
      </c>
      <c r="E432" s="42"/>
    </row>
    <row r="433" spans="2:5" ht="20" customHeight="1" x14ac:dyDescent="0.2">
      <c r="B433" s="302" t="s">
        <v>558</v>
      </c>
      <c r="C433" s="65" t="str">
        <f>IF(flt_custom_network_chosen="Shared Management Network",IF(mgmt_dpg_reuse_result="Included",CONCATENATE(prefix_mgmt_az1_cidr,"20.1"),CONCATENATE(prefix_mgmt_az1_cidr,"21.1")),IF(flt_custom_network_chosen="NSX Overlay Segment",CONCATENATE(prefix_xreg_cidr,".1"),CONCATENATE(prefix_flt_shared_cidr,".1")))</f>
        <v>10.11.99.1</v>
      </c>
      <c r="D433" s="8"/>
      <c r="E433" s="42"/>
    </row>
    <row r="434" spans="2:5" ht="20" customHeight="1" x14ac:dyDescent="0.2">
      <c r="B434" s="302" t="s">
        <v>559</v>
      </c>
      <c r="C434" s="65" t="s">
        <v>126</v>
      </c>
      <c r="D434" s="8" t="str">
        <f>mgmt_srm_recovery_mask</f>
        <v>Value Missing</v>
      </c>
      <c r="E434" s="42"/>
    </row>
    <row r="435" spans="2:5" ht="20" customHeight="1" x14ac:dyDescent="0.2">
      <c r="B435" s="568" t="s">
        <v>2396</v>
      </c>
      <c r="C435" s="569"/>
      <c r="D435" s="569"/>
      <c r="E435" s="570"/>
    </row>
    <row r="436" spans="2:5" ht="20" customHeight="1" x14ac:dyDescent="0.2">
      <c r="B436" s="302" t="s">
        <v>39</v>
      </c>
      <c r="C436" s="108" t="str">
        <f>sample_flt_vidb_vip_fqdn</f>
        <v>flt-idb01.rainpole.io</v>
      </c>
      <c r="D436" s="8"/>
      <c r="E436" s="42"/>
    </row>
    <row r="437" spans="2:5" ht="20" customHeight="1" x14ac:dyDescent="0.2">
      <c r="B437" s="302" t="s">
        <v>2523</v>
      </c>
      <c r="C437" s="108"/>
      <c r="D437" s="8"/>
      <c r="E437" s="42"/>
    </row>
    <row r="438" spans="2:5" ht="20" customHeight="1" x14ac:dyDescent="0.2">
      <c r="B438" s="302" t="s">
        <v>631</v>
      </c>
      <c r="C438" s="299"/>
      <c r="D438" s="8"/>
      <c r="E438" s="42"/>
    </row>
    <row r="439" spans="2:5" ht="20" customHeight="1" x14ac:dyDescent="0.2">
      <c r="B439" s="302" t="s">
        <v>2524</v>
      </c>
      <c r="C439" s="108" t="str">
        <f>sample_flt_vidb_vip_fqdn</f>
        <v>flt-idb01.rainpole.io</v>
      </c>
      <c r="D439" s="8"/>
      <c r="E439" s="42"/>
    </row>
    <row r="440" spans="2:5" ht="20" customHeight="1" x14ac:dyDescent="0.2">
      <c r="B440" s="302" t="s">
        <v>523</v>
      </c>
      <c r="C440" s="108"/>
      <c r="D440" s="8"/>
      <c r="E440" s="42"/>
    </row>
    <row r="441" spans="2:5" ht="20" customHeight="1" x14ac:dyDescent="0.2">
      <c r="B441" s="302" t="s">
        <v>575</v>
      </c>
      <c r="C441" s="108" t="s">
        <v>576</v>
      </c>
      <c r="D441" s="8"/>
      <c r="E441" s="42"/>
    </row>
    <row r="442" spans="2:5" ht="20" customHeight="1" x14ac:dyDescent="0.2">
      <c r="B442" s="302" t="s">
        <v>574</v>
      </c>
      <c r="C442" s="65" t="str">
        <f>IF(flt_custom_network_chosen="Shared Management Network",IF(mgmt_dpg_reuse_result="Included",CONCATENATE(prefix_mgmt_az1_cidr,"20.16"),CONCATENATE(prefix_mgmt_az1_cidr,"20.16")),IF(flt_custom_network_chosen="NSX Overlay Segment",CONCATENATE(prefix_xreg_cidr,".16"),CONCATENATE(prefix_flt_shared_cidr,".16")))</f>
        <v>10.11.99.16</v>
      </c>
      <c r="D442" s="8"/>
      <c r="E442" s="42"/>
    </row>
    <row r="443" spans="2:5" ht="20" customHeight="1" x14ac:dyDescent="0.2">
      <c r="B443" s="302" t="s">
        <v>2525</v>
      </c>
      <c r="C443" s="65" t="str">
        <f>CONCATENATE(IF(flt_custom_network_chosen="Shared Management Network",IF(mgmt_dpg_reuse_result="Included",CONCATENATE(prefix_mgmt_az1_cidr,"20.53"),CONCATENATE(prefix_mgmt_az1_cidr,"20.53")),IF(flt_custom_network_chosen="NSX Overlay Segment",CONCATENATE(prefix_xreg_cidr,".53"),CONCATENATE(prefix_flt_shared_cidr,".53"))),"-",IF(flt_custom_network_chosen="Shared Management Network",IF(mgmt_dpg_reuse_result="Included",CONCATENATE(prefix_mgmt_az1_cidr,"20.56"),CONCATENATE(prefix_mgmt_az1_cidr,"20.56")),IF(flt_custom_network_chosen="NSX Overlay Segment",CONCATENATE(prefix_xreg_cidr,".56"),CONCATENATE(prefix_flt_shared_cidr,".56"))))</f>
        <v>10.11.99.53-10.11.99.56</v>
      </c>
      <c r="D443" s="8"/>
      <c r="E443" s="42"/>
    </row>
    <row r="444" spans="2:5" ht="16" customHeight="1" x14ac:dyDescent="0.2">
      <c r="B444" s="305"/>
    </row>
    <row r="445" spans="2:5" ht="34" customHeight="1" x14ac:dyDescent="0.2">
      <c r="B445" s="609" t="s">
        <v>2531</v>
      </c>
      <c r="C445" s="610"/>
      <c r="D445" s="610"/>
      <c r="E445" s="653"/>
    </row>
    <row r="446" spans="2:5" ht="20" customHeight="1" x14ac:dyDescent="0.2">
      <c r="B446" s="592"/>
      <c r="C446" s="592"/>
      <c r="D446" s="592"/>
      <c r="E446" s="592"/>
    </row>
    <row r="447" spans="2:5" ht="20" customHeight="1" x14ac:dyDescent="0.2">
      <c r="B447" s="314" t="s">
        <v>18</v>
      </c>
      <c r="C447" s="315" t="s">
        <v>19</v>
      </c>
      <c r="D447" s="315" t="s">
        <v>20</v>
      </c>
      <c r="E447" s="315" t="s">
        <v>21</v>
      </c>
    </row>
    <row r="448" spans="2:5" ht="20" customHeight="1" x14ac:dyDescent="0.2">
      <c r="B448" s="298" t="s">
        <v>2395</v>
      </c>
      <c r="C448" s="65" t="str">
        <f>sample_vvs_dr_flt_ops_nodea_fqdn</f>
        <v>flt-ops01a.rainpole.io</v>
      </c>
      <c r="D448" s="194" t="str">
        <f>vvs_dr_flt_ops_nodea_fqdn</f>
        <v>Value Missing</v>
      </c>
      <c r="E448" s="193"/>
    </row>
    <row r="449" spans="2:5" ht="20" customHeight="1" x14ac:dyDescent="0.2">
      <c r="B449" s="644" t="s">
        <v>2522</v>
      </c>
      <c r="C449" s="645"/>
      <c r="D449" s="645"/>
      <c r="E449" s="646"/>
    </row>
    <row r="450" spans="2:5" ht="20" customHeight="1" x14ac:dyDescent="0.2">
      <c r="B450" s="298" t="s">
        <v>693</v>
      </c>
      <c r="C450" s="65" t="s">
        <v>2527</v>
      </c>
      <c r="D450" s="8" t="str">
        <f>mgmt_srm_recovery_vcenter_fqdn</f>
        <v>Value Missing</v>
      </c>
      <c r="E450" s="193"/>
    </row>
    <row r="451" spans="2:5" ht="20" customHeight="1" x14ac:dyDescent="0.2">
      <c r="B451" s="298" t="s">
        <v>634</v>
      </c>
      <c r="C451" s="65" t="s">
        <v>2528</v>
      </c>
      <c r="D451" s="8" t="str">
        <f>mgmt_srm_recovery_cluster</f>
        <v>Value Missing</v>
      </c>
      <c r="E451" s="193"/>
    </row>
    <row r="452" spans="2:5" ht="20" customHeight="1" x14ac:dyDescent="0.2">
      <c r="B452" s="298" t="s">
        <v>241</v>
      </c>
      <c r="C452" s="65" t="str">
        <f>sample_mgmt_srm_recovery_pg</f>
        <v>lax-m01-cl01-vds01-pg-flt-mgmt</v>
      </c>
      <c r="D452" s="8" t="str">
        <f t="array" ref="D452">mgmt_srm_recovery_pg</f>
        <v>Value Missing</v>
      </c>
      <c r="E452" s="193"/>
    </row>
    <row r="453" spans="2:5" ht="20" customHeight="1" x14ac:dyDescent="0.2">
      <c r="B453" s="298" t="s">
        <v>102</v>
      </c>
      <c r="C453" s="65" t="s">
        <v>2529</v>
      </c>
      <c r="D453" s="8" t="str">
        <f>mgmt_srm_recovery_datastore</f>
        <v>Value Missing</v>
      </c>
      <c r="E453" s="193"/>
    </row>
    <row r="454" spans="2:5" ht="20" customHeight="1" x14ac:dyDescent="0.2">
      <c r="B454" s="644" t="s">
        <v>241</v>
      </c>
      <c r="C454" s="645"/>
      <c r="D454" s="645"/>
      <c r="E454" s="646"/>
    </row>
    <row r="455" spans="2:5" ht="20" customHeight="1" x14ac:dyDescent="0.2">
      <c r="B455" s="298" t="s">
        <v>553</v>
      </c>
      <c r="C455" s="65" t="s">
        <v>1360</v>
      </c>
      <c r="D455" s="194" t="str">
        <f>vvs_dr_parent_dns_zone</f>
        <v>Value Missing</v>
      </c>
      <c r="E455" s="193"/>
    </row>
    <row r="456" spans="2:5" ht="20" customHeight="1" x14ac:dyDescent="0.2">
      <c r="B456" s="298" t="s">
        <v>554</v>
      </c>
      <c r="C456" s="65" t="s">
        <v>1360</v>
      </c>
      <c r="D456" s="194" t="str">
        <f>vvs_dr_parent_dns_zone</f>
        <v>Value Missing</v>
      </c>
      <c r="E456" s="193"/>
    </row>
    <row r="457" spans="2:5" ht="20" customHeight="1" x14ac:dyDescent="0.2">
      <c r="B457" s="298" t="s">
        <v>555</v>
      </c>
      <c r="C457" s="65" t="str">
        <f>CONCATENATE(sample_vvs_dr_dns1_ip,",",sample_vvs_dr_dns2_ip)</f>
        <v>10.21.10.4,10.21.10.5</v>
      </c>
      <c r="D457" s="8" t="str">
        <f>CONCATENATE(vvs_dr_dns1_ip,",",vvs_dr_dns2_ip)</f>
        <v>Value Missing,Value Missing</v>
      </c>
      <c r="E457" s="193"/>
    </row>
    <row r="458" spans="2:5" ht="20" customHeight="1" x14ac:dyDescent="0.2">
      <c r="B458" s="298" t="s">
        <v>558</v>
      </c>
      <c r="C458" s="65" t="str">
        <f>IF(flt_custom_network_chosen="Shared Management Network",IF(mgmt_dpg_reuse_result="Included",CONCATENATE(prefix_mgmt_az1_cidr,"20.1"),CONCATENATE(prefix_mgmt_az1_cidr,"21.1")),IF(flt_custom_network_chosen="NSX Overlay Segment",CONCATENATE(prefix_xreg_cidr,".1"),CONCATENATE(prefix_flt_shared_cidr,".1")))</f>
        <v>10.11.99.1</v>
      </c>
      <c r="D458" s="8"/>
      <c r="E458" s="193"/>
    </row>
    <row r="459" spans="2:5" ht="20" customHeight="1" x14ac:dyDescent="0.2">
      <c r="B459" s="298" t="s">
        <v>559</v>
      </c>
      <c r="C459" s="65" t="s">
        <v>126</v>
      </c>
      <c r="D459" s="8" t="str">
        <f>mgmt_srm_recovery_mask</f>
        <v>Value Missing</v>
      </c>
      <c r="E459" s="193"/>
    </row>
    <row r="460" spans="2:5" ht="20" customHeight="1" x14ac:dyDescent="0.2">
      <c r="B460" s="644" t="s">
        <v>2396</v>
      </c>
      <c r="C460" s="645"/>
      <c r="D460" s="645"/>
      <c r="E460" s="646"/>
    </row>
    <row r="461" spans="2:5" ht="20" customHeight="1" x14ac:dyDescent="0.2">
      <c r="B461" s="298" t="s">
        <v>39</v>
      </c>
      <c r="C461" s="108" t="str">
        <f>sample_vcf_automation_vip_fqdn</f>
        <v>flt-auto01.rainpole.io</v>
      </c>
      <c r="D461" s="194"/>
      <c r="E461" s="193"/>
    </row>
    <row r="462" spans="2:5" ht="20" customHeight="1" x14ac:dyDescent="0.2">
      <c r="B462" s="298" t="s">
        <v>2523</v>
      </c>
      <c r="C462" s="108" t="str">
        <f>sample_vcf_automation_cert_alias</f>
        <v>flt-auto01-cert</v>
      </c>
      <c r="D462" s="194"/>
      <c r="E462" s="193"/>
    </row>
    <row r="463" spans="2:5" ht="20" customHeight="1" x14ac:dyDescent="0.2">
      <c r="B463" s="298" t="s">
        <v>631</v>
      </c>
      <c r="C463" s="299" t="str">
        <f>sample_vcf_automation_root_password_alias</f>
        <v>flt-auto01-password</v>
      </c>
      <c r="D463" s="194"/>
      <c r="E463" s="193"/>
    </row>
    <row r="464" spans="2:5" ht="20" customHeight="1" x14ac:dyDescent="0.2">
      <c r="B464" s="298" t="s">
        <v>2524</v>
      </c>
      <c r="C464" s="108" t="str">
        <f>sample_vcf_automation_vip_fqdn</f>
        <v>flt-auto01.rainpole.io</v>
      </c>
      <c r="D464" s="194"/>
      <c r="E464" s="193"/>
    </row>
    <row r="465" spans="2:5" ht="20" customHeight="1" x14ac:dyDescent="0.2">
      <c r="B465" s="298" t="s">
        <v>571</v>
      </c>
      <c r="C465" s="108" t="s">
        <v>572</v>
      </c>
      <c r="D465" s="194"/>
      <c r="E465" s="193"/>
    </row>
    <row r="466" spans="2:5" ht="20" customHeight="1" x14ac:dyDescent="0.2">
      <c r="B466" s="298" t="s">
        <v>523</v>
      </c>
      <c r="C466" s="108" t="str">
        <f>CONCATENATE(prefix_portable_component,"-auto")</f>
        <v>flt-auto</v>
      </c>
      <c r="D466" s="194"/>
      <c r="E466" s="193"/>
    </row>
    <row r="467" spans="2:5" ht="20" customHeight="1" x14ac:dyDescent="0.2">
      <c r="B467" s="298" t="s">
        <v>574</v>
      </c>
      <c r="C467" s="65" t="str">
        <f>IF(flt_custom_network_chosen="Shared Management Network",IF(mgmt_dpg_reuse_result="Included",CONCATENATE(prefix_mgmt_az1_cidr,"20.17"),CONCATENATE(prefix_mgmt_az1_cidr,"20.17")),IF(flt_custom_network_chosen="NSX Overlay Segment",CONCATENATE(prefix_xreg_cidr,".17"),CONCATENATE(prefix_flt_shared_cidr,".17")))</f>
        <v>10.11.99.17</v>
      </c>
      <c r="D467" s="194"/>
      <c r="E467" s="193"/>
    </row>
    <row r="468" spans="2:5" ht="20" customHeight="1" x14ac:dyDescent="0.2">
      <c r="B468" s="298" t="s">
        <v>575</v>
      </c>
      <c r="C468" s="108" t="s">
        <v>576</v>
      </c>
      <c r="D468" s="194"/>
      <c r="E468" s="193"/>
    </row>
    <row r="469" spans="2:5" ht="20" customHeight="1" x14ac:dyDescent="0.2">
      <c r="B469" s="298" t="s">
        <v>2525</v>
      </c>
      <c r="C469" s="65" t="str">
        <f>CONCATENATE(IF(flt_custom_network_chosen="Shared Management Network",IF(mgmt_dpg_reuse_result="Included",CONCATENATE(prefix_mgmt_az1_cidr,"20.40"),CONCATENATE(prefix_mgmt_az1_cidr,"20.40")),IF(flt_custom_network_chosen="NSX Overlay Segment",CONCATENATE(prefix_xreg_cidr,".40"),CONCATENATE(prefix_flt_shared_cidr,".40"))),"-",IF(flt_custom_network_chosen="Shared Management Network",IF(mgmt_dpg_reuse_result="Included",CONCATENATE(prefix_mgmt_az1_cidr,"20.45"),CONCATENATE(prefix_mgmt_az1_cidr,"20.45")),IF(flt_custom_network_chosen="NSX Overlay Segment",CONCATENATE(prefix_xreg_cidr,".45"),CONCATENATE(prefix_flt_shared_cidr,".45"))))</f>
        <v>10.11.99.40-10.11.99.45</v>
      </c>
      <c r="D469" s="194"/>
      <c r="E469" s="193"/>
    </row>
    <row r="470" spans="2:5" ht="16" customHeight="1" x14ac:dyDescent="0.2">
      <c r="B470" s="300"/>
      <c r="C470" s="147"/>
      <c r="D470" s="47"/>
      <c r="E470" s="147"/>
    </row>
    <row r="471" spans="2:5" ht="34" customHeight="1" x14ac:dyDescent="0.2">
      <c r="B471" s="600" t="s">
        <v>2379</v>
      </c>
      <c r="C471" s="600"/>
      <c r="D471" s="600"/>
      <c r="E471" s="600"/>
    </row>
    <row r="472" spans="2:5" ht="16" customHeight="1" x14ac:dyDescent="0.2">
      <c r="B472" s="300"/>
      <c r="C472" s="147"/>
      <c r="D472" s="47"/>
      <c r="E472" s="147"/>
    </row>
    <row r="473" spans="2:5" ht="34" customHeight="1" x14ac:dyDescent="0.2">
      <c r="B473" s="600" t="s">
        <v>2532</v>
      </c>
      <c r="C473" s="600"/>
      <c r="D473" s="600"/>
      <c r="E473" s="600"/>
    </row>
    <row r="474" spans="2:5" ht="20" customHeight="1" x14ac:dyDescent="0.2">
      <c r="B474" s="592"/>
      <c r="C474" s="592"/>
      <c r="D474" s="592"/>
      <c r="E474" s="592"/>
    </row>
    <row r="475" spans="2:5" ht="20" customHeight="1" x14ac:dyDescent="0.2">
      <c r="B475" s="314" t="s">
        <v>18</v>
      </c>
      <c r="C475" s="315" t="s">
        <v>19</v>
      </c>
      <c r="D475" s="315" t="s">
        <v>20</v>
      </c>
      <c r="E475" s="315" t="s">
        <v>21</v>
      </c>
    </row>
    <row r="476" spans="2:5" ht="20" customHeight="1" x14ac:dyDescent="0.2">
      <c r="B476" s="28" t="s">
        <v>2414</v>
      </c>
      <c r="C476" s="65" t="str">
        <f>sample_vvs_dr_mgmt_vc_fqdn</f>
        <v>sfo-m01-vc01.sfo.rainpole.io</v>
      </c>
      <c r="D476" s="8" t="str">
        <f>vvs_dr_mgmt_vc_fqdn</f>
        <v>Value Missing</v>
      </c>
      <c r="E476" s="42"/>
    </row>
    <row r="477" spans="2:5" ht="20" customHeight="1" x14ac:dyDescent="0.2">
      <c r="B477" s="28" t="s">
        <v>2126</v>
      </c>
      <c r="C477" s="65" t="str">
        <f>sample_vvs_dr_sso_domain</f>
        <v>vsphere.local</v>
      </c>
      <c r="D477" s="8" t="str">
        <f>vvs_dr_sso_domain</f>
        <v>Value Missing</v>
      </c>
      <c r="E477" s="42"/>
    </row>
    <row r="478" spans="2:5" ht="20" customHeight="1" x14ac:dyDescent="0.2">
      <c r="B478" s="4" t="s">
        <v>2533</v>
      </c>
      <c r="C478" s="65" t="s">
        <v>2534</v>
      </c>
      <c r="D478" s="66"/>
      <c r="E478" s="4"/>
    </row>
    <row r="479" spans="2:5" ht="20" customHeight="1" x14ac:dyDescent="0.2">
      <c r="B479" s="4" t="s">
        <v>2535</v>
      </c>
      <c r="C479" s="65" t="s">
        <v>31</v>
      </c>
      <c r="D479" s="66"/>
      <c r="E479" s="4"/>
    </row>
    <row r="480" spans="2:5" ht="20" customHeight="1" x14ac:dyDescent="0.2">
      <c r="B480" s="4" t="s">
        <v>2536</v>
      </c>
      <c r="C480" s="65" t="s">
        <v>2537</v>
      </c>
      <c r="D480" s="66"/>
      <c r="E480" s="4"/>
    </row>
    <row r="481" spans="2:5" ht="20" customHeight="1" x14ac:dyDescent="0.2">
      <c r="B481" s="4" t="s">
        <v>2538</v>
      </c>
      <c r="C481" s="65" t="s">
        <v>31</v>
      </c>
      <c r="D481" s="66"/>
      <c r="E481" s="4"/>
    </row>
    <row r="482" spans="2:5" ht="16" customHeight="1" x14ac:dyDescent="0.2"/>
    <row r="483" spans="2:5" ht="34" customHeight="1" x14ac:dyDescent="0.2">
      <c r="B483" s="600" t="s">
        <v>2539</v>
      </c>
      <c r="C483" s="600"/>
      <c r="D483" s="600"/>
      <c r="E483" s="600"/>
    </row>
    <row r="484" spans="2:5" ht="20" customHeight="1" x14ac:dyDescent="0.2">
      <c r="B484" s="592"/>
      <c r="C484" s="592"/>
      <c r="D484" s="592"/>
      <c r="E484" s="592"/>
    </row>
    <row r="485" spans="2:5" ht="20" customHeight="1" x14ac:dyDescent="0.2">
      <c r="B485" s="314" t="s">
        <v>18</v>
      </c>
      <c r="C485" s="315" t="s">
        <v>19</v>
      </c>
      <c r="D485" s="315" t="s">
        <v>20</v>
      </c>
      <c r="E485" s="315" t="s">
        <v>21</v>
      </c>
    </row>
    <row r="486" spans="2:5" ht="20" customHeight="1" x14ac:dyDescent="0.2">
      <c r="B486" s="4" t="s">
        <v>2414</v>
      </c>
      <c r="C486" s="65" t="str">
        <f>sample_vvs_dr_mgmt_vc_fqdn</f>
        <v>sfo-m01-vc01.sfo.rainpole.io</v>
      </c>
      <c r="D486" s="8" t="str">
        <f>vvs_dr_mgmt_vc_fqdn</f>
        <v>Value Missing</v>
      </c>
      <c r="E486" s="4"/>
    </row>
    <row r="487" spans="2:5" ht="20" customHeight="1" x14ac:dyDescent="0.2">
      <c r="B487" s="4" t="s">
        <v>2126</v>
      </c>
      <c r="C487" s="65" t="str">
        <f>sample_vvs_dr_sso_domain</f>
        <v>vsphere.local</v>
      </c>
      <c r="D487" s="8" t="str">
        <f>vvs_dr_sso_domain</f>
        <v>Value Missing</v>
      </c>
      <c r="E487" s="4"/>
    </row>
    <row r="488" spans="2:5" ht="20" customHeight="1" x14ac:dyDescent="0.2">
      <c r="B488" s="4" t="s">
        <v>2540</v>
      </c>
      <c r="C488" s="65" t="str">
        <f>sample_xreg_vrops_vrms_sso_username</f>
        <v>svc-vcfops-vlsr</v>
      </c>
      <c r="D488" s="8" t="str">
        <f>xreg_vrops_vrms_sso_username</f>
        <v>Value Missing</v>
      </c>
      <c r="E488" s="4"/>
    </row>
    <row r="489" spans="2:5" ht="20" customHeight="1" x14ac:dyDescent="0.2">
      <c r="B489" s="4" t="s">
        <v>2541</v>
      </c>
      <c r="C489" s="65" t="s">
        <v>2542</v>
      </c>
      <c r="D489" s="8" t="str">
        <f>C489</f>
        <v>Read-Only</v>
      </c>
      <c r="E489" s="4"/>
    </row>
    <row r="490" spans="2:5" ht="20" customHeight="1" x14ac:dyDescent="0.2">
      <c r="B490" s="4" t="s">
        <v>2543</v>
      </c>
      <c r="C490" s="65" t="str">
        <f>sample_xreg_vrops_srm_sso_username</f>
        <v>svc-vcfops-vr</v>
      </c>
      <c r="D490" s="8" t="str">
        <f>xreg_vrops_srm_sso_username</f>
        <v>Value Missing</v>
      </c>
      <c r="E490" s="4"/>
    </row>
    <row r="491" spans="2:5" ht="20" customHeight="1" x14ac:dyDescent="0.2">
      <c r="B491" s="4" t="s">
        <v>2544</v>
      </c>
      <c r="C491" s="65" t="s">
        <v>2545</v>
      </c>
      <c r="D491" s="8" t="str">
        <f>C491</f>
        <v>VRM replication viewer</v>
      </c>
      <c r="E491" s="4"/>
    </row>
    <row r="492" spans="2:5" ht="16" customHeight="1" x14ac:dyDescent="0.2"/>
    <row r="493" spans="2:5" ht="34" customHeight="1" x14ac:dyDescent="0.2">
      <c r="B493" s="600" t="s">
        <v>2546</v>
      </c>
      <c r="C493" s="600"/>
      <c r="D493" s="600"/>
      <c r="E493" s="600"/>
    </row>
    <row r="494" spans="2:5" ht="20" customHeight="1" x14ac:dyDescent="0.2">
      <c r="B494" s="592"/>
      <c r="C494" s="592"/>
      <c r="D494" s="592"/>
      <c r="E494" s="592"/>
    </row>
    <row r="495" spans="2:5" ht="20" customHeight="1" x14ac:dyDescent="0.2">
      <c r="B495" s="314" t="s">
        <v>18</v>
      </c>
      <c r="C495" s="315" t="s">
        <v>19</v>
      </c>
      <c r="D495" s="315" t="s">
        <v>20</v>
      </c>
      <c r="E495" s="315" t="s">
        <v>21</v>
      </c>
    </row>
    <row r="496" spans="2:5" ht="20" customHeight="1" x14ac:dyDescent="0.2">
      <c r="B496" s="4" t="s">
        <v>2547</v>
      </c>
      <c r="C496" s="65" t="str">
        <f>sample_vvs_dr_flt_ops_nodea_fqdn</f>
        <v>flt-ops01a.rainpole.io</v>
      </c>
      <c r="D496" s="194" t="str">
        <f>vvs_dr_flt_ops_nodea_fqdn</f>
        <v>Value Missing</v>
      </c>
      <c r="E496" s="42"/>
    </row>
    <row r="497" spans="2:5" ht="20" customHeight="1" x14ac:dyDescent="0.2">
      <c r="B497" s="4" t="s">
        <v>2548</v>
      </c>
      <c r="C497" s="65" t="s">
        <v>2549</v>
      </c>
      <c r="D497" s="66"/>
      <c r="E497" s="42"/>
    </row>
    <row r="498" spans="2:5" ht="16" customHeight="1" x14ac:dyDescent="0.2"/>
    <row r="499" spans="2:5" ht="34" customHeight="1" x14ac:dyDescent="0.2">
      <c r="B499" s="600" t="s">
        <v>2550</v>
      </c>
      <c r="C499" s="600"/>
      <c r="D499" s="600"/>
      <c r="E499" s="600"/>
    </row>
    <row r="500" spans="2:5" ht="20" customHeight="1" x14ac:dyDescent="0.2">
      <c r="B500" s="592"/>
      <c r="C500" s="592"/>
      <c r="D500" s="592"/>
      <c r="E500" s="592"/>
    </row>
    <row r="501" spans="2:5" ht="20" customHeight="1" x14ac:dyDescent="0.2">
      <c r="B501" s="314" t="s">
        <v>18</v>
      </c>
      <c r="C501" s="315" t="s">
        <v>19</v>
      </c>
      <c r="D501" s="315" t="s">
        <v>20</v>
      </c>
      <c r="E501" s="315" t="s">
        <v>21</v>
      </c>
    </row>
    <row r="502" spans="2:5" ht="20" customHeight="1" x14ac:dyDescent="0.2">
      <c r="B502" s="28" t="s">
        <v>2395</v>
      </c>
      <c r="C502" s="65" t="str">
        <f>sample_vvs_dr_flt_ops_nodea_fqdn</f>
        <v>flt-ops01a.rainpole.io</v>
      </c>
      <c r="D502" s="194" t="str">
        <f>vvs_dr_flt_ops_nodea_fqdn</f>
        <v>Value Missing</v>
      </c>
      <c r="E502" s="42"/>
    </row>
    <row r="503" spans="2:5" ht="20" customHeight="1" x14ac:dyDescent="0.2">
      <c r="B503" s="28" t="s">
        <v>2551</v>
      </c>
      <c r="C503" s="65" t="str">
        <f>CONCATENATE(this_instance,"-m01-vslr")</f>
        <v>sfo-m01-vslr</v>
      </c>
      <c r="D503" s="66"/>
      <c r="E503" s="42"/>
    </row>
    <row r="504" spans="2:5" ht="20" customHeight="1" x14ac:dyDescent="0.2">
      <c r="B504" s="28" t="s">
        <v>2552</v>
      </c>
      <c r="C504" s="65" t="str">
        <f>sample_vvs_mgmt_dr_vlr_fqdn</f>
        <v>sfo-m01-vlr01.sfo.rainpole.io</v>
      </c>
      <c r="D504" s="8" t="str">
        <f>vvs_mgmt_dr_vlr_fqdn</f>
        <v>Value Missing</v>
      </c>
      <c r="E504" s="42"/>
    </row>
    <row r="505" spans="2:5" ht="20" customHeight="1" x14ac:dyDescent="0.2">
      <c r="B505" s="28" t="s">
        <v>2553</v>
      </c>
      <c r="C505" s="65">
        <v>443</v>
      </c>
      <c r="D505" s="66"/>
      <c r="E505" s="42"/>
    </row>
    <row r="506" spans="2:5" ht="20" customHeight="1" x14ac:dyDescent="0.2">
      <c r="B506" s="28" t="s">
        <v>2554</v>
      </c>
      <c r="C506" s="65" t="str">
        <f>sample_xreg_vrops_srm_sso_username</f>
        <v>svc-vcfops-vr</v>
      </c>
      <c r="D506" s="8" t="str">
        <f>xreg_vrops_srm_sso_username</f>
        <v>Value Missing</v>
      </c>
      <c r="E506" s="42"/>
    </row>
    <row r="507" spans="2:5" ht="20" customHeight="1" x14ac:dyDescent="0.2">
      <c r="B507" s="28" t="s">
        <v>2555</v>
      </c>
      <c r="C507" s="65" t="str">
        <f>CONCATENATE(sample_xreg_vrops_srm_sso_username,"@vsphere.local")</f>
        <v>svc-vcfops-vr@vsphere.local</v>
      </c>
      <c r="D507" s="8" t="str">
        <f>CONCATENATE(xreg_vrops_srm_sso_username,"@",vvs_dr_sso_domain)</f>
        <v>Value Missing@Value Missing</v>
      </c>
      <c r="E507" s="42"/>
    </row>
    <row r="508" spans="2:5" ht="20" customHeight="1" x14ac:dyDescent="0.2">
      <c r="B508" s="28" t="s">
        <v>2556</v>
      </c>
      <c r="C508" s="65" t="str">
        <f>sample_xreg_vrops_srm_sso_password</f>
        <v>VMw@re1!</v>
      </c>
      <c r="D508" s="8" t="str">
        <f>xreg_vrops_srm_sso_password</f>
        <v>Value Missing</v>
      </c>
      <c r="E508" s="42"/>
    </row>
    <row r="509" spans="2:5" ht="20" customHeight="1" x14ac:dyDescent="0.2">
      <c r="B509" s="28" t="s">
        <v>2557</v>
      </c>
      <c r="C509" s="65" t="str">
        <f>CONCATENATE(sample_mgmt_sddc_domain,"-collector-group")</f>
        <v>sfo-m01-collector-group</v>
      </c>
      <c r="D509" s="8" t="str">
        <f>CONCATENATE(mgmt_sddc_domain,"-collector-group")</f>
        <v>Value Missing-collector-group</v>
      </c>
      <c r="E509" s="42"/>
    </row>
    <row r="510" spans="2:5" ht="16" customHeight="1" x14ac:dyDescent="0.2"/>
    <row r="511" spans="2:5" ht="34" customHeight="1" x14ac:dyDescent="0.2">
      <c r="B511" s="600" t="s">
        <v>2558</v>
      </c>
      <c r="C511" s="600"/>
      <c r="D511" s="600"/>
      <c r="E511" s="600"/>
    </row>
    <row r="512" spans="2:5" ht="20" customHeight="1" x14ac:dyDescent="0.2">
      <c r="B512" s="592"/>
      <c r="C512" s="592"/>
      <c r="D512" s="592"/>
      <c r="E512" s="592"/>
    </row>
    <row r="513" spans="2:5" ht="20" customHeight="1" x14ac:dyDescent="0.2">
      <c r="B513" s="314" t="s">
        <v>18</v>
      </c>
      <c r="C513" s="315" t="s">
        <v>19</v>
      </c>
      <c r="D513" s="315" t="s">
        <v>20</v>
      </c>
      <c r="E513" s="315" t="s">
        <v>21</v>
      </c>
    </row>
    <row r="514" spans="2:5" ht="20" customHeight="1" x14ac:dyDescent="0.2">
      <c r="B514" s="28" t="s">
        <v>2395</v>
      </c>
      <c r="C514" s="65" t="str">
        <f>sample_vvs_dr_flt_ops_nodea_fqdn</f>
        <v>flt-ops01a.rainpole.io</v>
      </c>
      <c r="D514" s="194" t="str">
        <f>vvs_dr_flt_ops_nodea_fqdn</f>
        <v>Value Missing</v>
      </c>
      <c r="E514" s="42"/>
    </row>
    <row r="515" spans="2:5" ht="20" customHeight="1" x14ac:dyDescent="0.2">
      <c r="B515" s="28" t="s">
        <v>2551</v>
      </c>
      <c r="C515" s="65" t="str">
        <f>CONCATENATE(this_instance,"-m01-vr")</f>
        <v>sfo-m01-vr</v>
      </c>
      <c r="D515" s="66"/>
      <c r="E515" s="42"/>
    </row>
    <row r="516" spans="2:5" ht="20" customHeight="1" x14ac:dyDescent="0.2">
      <c r="B516" s="246" t="s">
        <v>2559</v>
      </c>
      <c r="C516" s="65" t="str">
        <f>sample_vvs_dr_mgmt_vc_fqdn</f>
        <v>sfo-m01-vc01.sfo.rainpole.io</v>
      </c>
      <c r="D516" s="8" t="str">
        <f>vvs_dr_mgmt_vc_fqdn</f>
        <v>Value Missing</v>
      </c>
      <c r="E516" s="42"/>
    </row>
    <row r="517" spans="2:5" ht="20" customHeight="1" x14ac:dyDescent="0.2">
      <c r="B517" s="28" t="s">
        <v>2554</v>
      </c>
      <c r="C517" s="65" t="str">
        <f>CONCATENATE(sample_xreg_vrops_vrms_sso_username,"@vsphere.local")</f>
        <v>svc-vcfops-vlsr@vsphere.local</v>
      </c>
      <c r="D517" s="8" t="str">
        <f>CONCATENATE(xreg_vrops_vrms_sso_username,"@",vvs_dr_sso_domain)</f>
        <v>Value Missing@Value Missing</v>
      </c>
      <c r="E517" s="42"/>
    </row>
    <row r="518" spans="2:5" ht="20" customHeight="1" x14ac:dyDescent="0.2">
      <c r="B518" s="28" t="s">
        <v>2560</v>
      </c>
      <c r="C518" s="65" t="str">
        <f>CONCATENATE(sample_xreg_vrops_vrms_sso_username,"@vsphere.local")</f>
        <v>svc-vcfops-vlsr@vsphere.local</v>
      </c>
      <c r="D518" s="8" t="str">
        <f>CONCATENATE(xreg_vrops_vrms_sso_username,"@",vvs_dr_sso_domain)</f>
        <v>Value Missing@Value Missing</v>
      </c>
      <c r="E518" s="42"/>
    </row>
    <row r="519" spans="2:5" ht="20" customHeight="1" x14ac:dyDescent="0.2">
      <c r="B519" s="28" t="s">
        <v>2556</v>
      </c>
      <c r="C519" s="65" t="str">
        <f>sample_xreg_vrops_vrms_sso_password</f>
        <v>VMw@re1!</v>
      </c>
      <c r="D519" s="8" t="str">
        <f>xreg_vrops_vrms_sso_password</f>
        <v>Value Missing</v>
      </c>
      <c r="E519" s="42"/>
    </row>
    <row r="520" spans="2:5" ht="20" customHeight="1" x14ac:dyDescent="0.2">
      <c r="B520" s="28" t="s">
        <v>2557</v>
      </c>
      <c r="C520" s="65" t="str">
        <f>CONCATENATE(sample_mgmt_sddc_domain,"-collector-group")</f>
        <v>sfo-m01-collector-group</v>
      </c>
      <c r="D520" s="8" t="str">
        <f>CONCATENATE(mgmt_sddc_domain,"-collector-group")</f>
        <v>Value Missing-collector-group</v>
      </c>
      <c r="E520" s="42"/>
    </row>
    <row r="521" spans="2:5" ht="16" customHeight="1" x14ac:dyDescent="0.2"/>
    <row r="522" spans="2:5" ht="34" customHeight="1" x14ac:dyDescent="0.2">
      <c r="B522" s="600" t="s">
        <v>2561</v>
      </c>
      <c r="C522" s="600"/>
      <c r="D522" s="600"/>
      <c r="E522" s="600"/>
    </row>
    <row r="523" spans="2:5" ht="20" customHeight="1" x14ac:dyDescent="0.2">
      <c r="B523" s="592"/>
      <c r="C523" s="592"/>
      <c r="D523" s="592"/>
      <c r="E523" s="592"/>
    </row>
    <row r="524" spans="2:5" ht="20" customHeight="1" x14ac:dyDescent="0.2">
      <c r="B524" s="314" t="s">
        <v>18</v>
      </c>
      <c r="C524" s="315" t="s">
        <v>19</v>
      </c>
      <c r="D524" s="315" t="s">
        <v>20</v>
      </c>
      <c r="E524" s="315" t="s">
        <v>21</v>
      </c>
    </row>
    <row r="525" spans="2:5" ht="20" customHeight="1" x14ac:dyDescent="0.2">
      <c r="B525" s="4" t="s">
        <v>2547</v>
      </c>
      <c r="C525" s="65" t="str">
        <f>sample_vvs_dr_flt_ops_nodea_fqdn</f>
        <v>flt-ops01a.rainpole.io</v>
      </c>
      <c r="D525" s="8" t="str">
        <f>vvs_dr_flt_ops_nodea_fqdn</f>
        <v>Value Missing</v>
      </c>
      <c r="E525" s="42"/>
    </row>
    <row r="526" spans="2:5" ht="16" customHeight="1" x14ac:dyDescent="0.2">
      <c r="B526" s="2" t="s">
        <v>815</v>
      </c>
    </row>
    <row r="527" spans="2:5" ht="34" customHeight="1" x14ac:dyDescent="0.2">
      <c r="B527" s="559" t="s">
        <v>2562</v>
      </c>
      <c r="C527" s="560"/>
      <c r="D527" s="560"/>
      <c r="E527" s="561"/>
    </row>
    <row r="528" spans="2:5" ht="20" customHeight="1" x14ac:dyDescent="0.2">
      <c r="B528" s="592"/>
      <c r="C528" s="592"/>
      <c r="D528" s="592"/>
      <c r="E528" s="592"/>
    </row>
    <row r="529" spans="2:5" ht="20" customHeight="1" x14ac:dyDescent="0.2">
      <c r="B529" s="314" t="s">
        <v>18</v>
      </c>
      <c r="C529" s="315" t="s">
        <v>19</v>
      </c>
      <c r="D529" s="315" t="s">
        <v>20</v>
      </c>
      <c r="E529" s="315" t="s">
        <v>21</v>
      </c>
    </row>
    <row r="530" spans="2:5" ht="20" customHeight="1" x14ac:dyDescent="0.2">
      <c r="B530" s="4" t="s">
        <v>2421</v>
      </c>
      <c r="C530" s="65" t="str">
        <f>sample_vvs_mgmt_dr_vlr_fqdn</f>
        <v>sfo-m01-vlr01.sfo.rainpole.io</v>
      </c>
      <c r="D530" s="8" t="str">
        <f>vvs_mgmt_dr_vlr_fqdn</f>
        <v>Value Missing</v>
      </c>
      <c r="E530" s="42"/>
    </row>
    <row r="531" spans="2:5" ht="20" customHeight="1" x14ac:dyDescent="0.2">
      <c r="B531" s="4" t="s">
        <v>2563</v>
      </c>
      <c r="C531" s="65" t="str">
        <f>sample_xreg_vrops_virtual_fqdn</f>
        <v>flt-ops01.rainpole.io</v>
      </c>
      <c r="D531" s="66"/>
      <c r="E531" s="42"/>
    </row>
    <row r="532" spans="2:5" ht="20" customHeight="1" x14ac:dyDescent="0.2">
      <c r="B532" s="4" t="s">
        <v>2564</v>
      </c>
      <c r="C532" s="65" t="s">
        <v>2565</v>
      </c>
      <c r="D532" s="66"/>
      <c r="E532" s="42"/>
    </row>
    <row r="533" spans="2:5" ht="20" customHeight="1" x14ac:dyDescent="0.2">
      <c r="B533" s="4" t="s">
        <v>2566</v>
      </c>
      <c r="C533" s="65" t="s">
        <v>2567</v>
      </c>
      <c r="D533" s="66"/>
      <c r="E533" s="42"/>
    </row>
    <row r="534" spans="2:5" ht="16" customHeight="1" x14ac:dyDescent="0.2"/>
    <row r="535" spans="2:5" ht="20" customHeight="1" x14ac:dyDescent="0.2"/>
    <row r="536" spans="2:5" ht="20" customHeight="1" x14ac:dyDescent="0.2"/>
    <row r="537" spans="2:5" ht="20" customHeight="1" x14ac:dyDescent="0.2"/>
    <row r="538" spans="2:5" ht="20" customHeight="1" x14ac:dyDescent="0.2"/>
    <row r="539" spans="2:5" ht="20" customHeight="1" x14ac:dyDescent="0.2"/>
    <row r="540" spans="2:5" ht="20" customHeight="1" x14ac:dyDescent="0.2"/>
    <row r="541" spans="2:5" ht="20" customHeight="1" x14ac:dyDescent="0.2"/>
    <row r="542" spans="2:5" ht="20" customHeight="1" x14ac:dyDescent="0.2"/>
    <row r="544" spans="2:5" ht="34"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20" customHeight="1" x14ac:dyDescent="0.2"/>
  </sheetData>
  <sheetProtection selectLockedCells="1"/>
  <mergeCells count="107">
    <mergeCell ref="B11:E11"/>
    <mergeCell ref="B26:E26"/>
    <mergeCell ref="B43:E43"/>
    <mergeCell ref="B19:E19"/>
    <mergeCell ref="B116:E116"/>
    <mergeCell ref="B16:E16"/>
    <mergeCell ref="B25:E25"/>
    <mergeCell ref="B14:E14"/>
    <mergeCell ref="B29:E29"/>
    <mergeCell ref="B31:E31"/>
    <mergeCell ref="B79:E79"/>
    <mergeCell ref="B87:E87"/>
    <mergeCell ref="B56:E56"/>
    <mergeCell ref="B370:E370"/>
    <mergeCell ref="B321:E321"/>
    <mergeCell ref="B339:E339"/>
    <mergeCell ref="B285:E285"/>
    <mergeCell ref="B295:E295"/>
    <mergeCell ref="B310:E310"/>
    <mergeCell ref="B445:E445"/>
    <mergeCell ref="B420:E420"/>
    <mergeCell ref="B367:E367"/>
    <mergeCell ref="B369:E369"/>
    <mergeCell ref="B373:E373"/>
    <mergeCell ref="B378:E378"/>
    <mergeCell ref="B384:E384"/>
    <mergeCell ref="B394:E394"/>
    <mergeCell ref="B395:E395"/>
    <mergeCell ref="B398:E398"/>
    <mergeCell ref="B403:E403"/>
    <mergeCell ref="B409:E409"/>
    <mergeCell ref="B354:E354"/>
    <mergeCell ref="B286:E286"/>
    <mergeCell ref="B296:E296"/>
    <mergeCell ref="B311:E311"/>
    <mergeCell ref="B359:E359"/>
    <mergeCell ref="B165:E165"/>
    <mergeCell ref="B156:E156"/>
    <mergeCell ref="B137:E137"/>
    <mergeCell ref="B349:E349"/>
    <mergeCell ref="B232:E232"/>
    <mergeCell ref="B244:E244"/>
    <mergeCell ref="B80:E80"/>
    <mergeCell ref="B223:E223"/>
    <mergeCell ref="B231:E231"/>
    <mergeCell ref="B243:E243"/>
    <mergeCell ref="B259:E259"/>
    <mergeCell ref="B270:E270"/>
    <mergeCell ref="B260:E260"/>
    <mergeCell ref="B271:E271"/>
    <mergeCell ref="B117:E117"/>
    <mergeCell ref="B130:E130"/>
    <mergeCell ref="B138:E138"/>
    <mergeCell ref="B212:E212"/>
    <mergeCell ref="B144:E144"/>
    <mergeCell ref="B145:E145"/>
    <mergeCell ref="B157:E157"/>
    <mergeCell ref="B166:E166"/>
    <mergeCell ref="B213:E213"/>
    <mergeCell ref="B210:E210"/>
    <mergeCell ref="B2:E2"/>
    <mergeCell ref="B343:E343"/>
    <mergeCell ref="B42:E42"/>
    <mergeCell ref="B64:E64"/>
    <mergeCell ref="B94:E94"/>
    <mergeCell ref="B96:E96"/>
    <mergeCell ref="B175:E175"/>
    <mergeCell ref="B320:E320"/>
    <mergeCell ref="B72:E72"/>
    <mergeCell ref="B10:E10"/>
    <mergeCell ref="B161:E161"/>
    <mergeCell ref="B48:E48"/>
    <mergeCell ref="B338:E338"/>
    <mergeCell ref="B3:E3"/>
    <mergeCell ref="B8:E8"/>
    <mergeCell ref="B192:E192"/>
    <mergeCell ref="B129:E129"/>
    <mergeCell ref="B49:E49"/>
    <mergeCell ref="B57:E57"/>
    <mergeCell ref="B65:E65"/>
    <mergeCell ref="B73:E73"/>
    <mergeCell ref="B222:E222"/>
    <mergeCell ref="B88:E88"/>
    <mergeCell ref="B97:E97"/>
    <mergeCell ref="B528:E528"/>
    <mergeCell ref="B421:E421"/>
    <mergeCell ref="B446:E446"/>
    <mergeCell ref="B474:E474"/>
    <mergeCell ref="B484:E484"/>
    <mergeCell ref="B494:E494"/>
    <mergeCell ref="B424:E424"/>
    <mergeCell ref="B429:E429"/>
    <mergeCell ref="B435:E435"/>
    <mergeCell ref="B523:E523"/>
    <mergeCell ref="B527:E527"/>
    <mergeCell ref="B483:E483"/>
    <mergeCell ref="B473:E473"/>
    <mergeCell ref="B511:E511"/>
    <mergeCell ref="B522:E522"/>
    <mergeCell ref="B493:E493"/>
    <mergeCell ref="B499:E499"/>
    <mergeCell ref="B500:E500"/>
    <mergeCell ref="B512:E512"/>
    <mergeCell ref="B471:E471"/>
    <mergeCell ref="B449:E449"/>
    <mergeCell ref="B454:E454"/>
    <mergeCell ref="B460:E460"/>
  </mergeCells>
  <conditionalFormatting sqref="D13 D15 D17 D21:D23 D28 D30 D32:D40 D45:D46 D51:D54 D59:D62 D67:D70 D75:D77 D82:D85 D90:D92 D215:D220 D225:D229 D234:D241 D246:D257 D262:D268 D273:D283 D288:D293 D298:D308 D313:D318">
    <cfRule type="expression" dxfId="206" priority="4">
      <formula>mgmt_domain_chosen="Additional Instance"</formula>
    </cfRule>
  </conditionalFormatting>
  <conditionalFormatting sqref="D13 D17 D21:D23 D30 D32:D40 D45:D46 D51:D54 D59:D62 D67:D70 D75:D77 D82:D85 D90:D92 D99:D114 D119:D127 D132:D135 D140:D142 D147:D154 D159:D160 D162:D163 D168:D174 D176:D191 D193:D208 D215:D220 D225:D229 D234:D241 D246:D257 D262:D268 D273:D283 D288:D293 D298:D308 D313:D318 D323:D336 D341:D342 D344:D348 D350:D353 D355:D358 D360:D365 D372 D374:D377 D379:D383 D385:D392 D397 D399:D402 D404:D408 D410:D418 D423 D425:D428 D430:D434 D436:D443 D448 D450:D453 D455:D459 D461:D469 D476:D481 D486:D491 D496:D497 D502:D509 D514:D520 D525 D530:D533">
    <cfRule type="containsBlanks" dxfId="205" priority="13">
      <formula>LEN(TRIM(D13))=0</formula>
    </cfRule>
    <cfRule type="notContainsBlanks" dxfId="204" priority="26">
      <formula>LEN(TRIM(D13))&gt;0</formula>
    </cfRule>
  </conditionalFormatting>
  <conditionalFormatting sqref="D15">
    <cfRule type="containsBlanks" dxfId="201" priority="6">
      <formula>LEN(TRIM(D15))=0</formula>
    </cfRule>
    <cfRule type="notContainsBlanks" dxfId="200" priority="7">
      <formula>LEN(TRIM(D15))&gt;0</formula>
    </cfRule>
  </conditionalFormatting>
  <conditionalFormatting sqref="D28">
    <cfRule type="containsBlanks" dxfId="198" priority="9">
      <formula>LEN(TRIM(D28))=0</formula>
    </cfRule>
    <cfRule type="notContainsBlanks" dxfId="197" priority="10">
      <formula>LEN(TRIM(D28))&gt;0</formula>
    </cfRule>
  </conditionalFormatting>
  <conditionalFormatting sqref="D360:D365 D372 D374:D377 D379:D383 D385:D392 D397 D399:D402 D404:D408 D410:D418 D423 D425:D428 D430:D434 D436:D443 D448 D450:D453 D455:D459 D461:D469">
    <cfRule type="expression" dxfId="196" priority="3">
      <formula>mgmt_domain_chosen="First Instance"</formula>
    </cfRule>
  </conditionalFormatting>
  <conditionalFormatting sqref="D496:D497">
    <cfRule type="expression" dxfId="195" priority="2">
      <formula>mgmt_domain_chosen="Additional Instance"</formula>
    </cfRule>
  </conditionalFormatting>
  <conditionalFormatting sqref="D525">
    <cfRule type="expression" dxfId="194" priority="1">
      <formula>mgmt_domain_chosen="Additional Instance"</formula>
    </cfRule>
  </conditionalFormatting>
  <hyperlinks>
    <hyperlink ref="B5" location="'Site Protection &amp; DR'!navigation_site_protection_mgmt" display="Management Domain" xr:uid="{00000000-0004-0000-0F00-000000000000}"/>
    <hyperlink ref="C5" location="'Site Protection &amp; DR'!navigation_site_protection_solution_interop" display="Solution Interoperability" xr:uid="{00000000-0004-0000-0F00-000001000000}"/>
  </hyperlinks>
  <pageMargins left="0.7" right="0.7" top="0.75" bottom="0.75" header="0.3" footer="0.3"/>
  <pageSetup paperSize="9" orientation="portrait" horizontalDpi="0" verticalDpi="0"/>
  <ignoredErrors>
    <ignoredError sqref="C101 D490"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1" operator="containsText" id="{9184D86B-7AB1-FA48-93EA-7C71272529AA}">
            <xm:f>NOT(ISERROR(SEARCH("Value Missing",D13)))</xm:f>
            <xm:f>"Value Missing"</xm:f>
            <x14:dxf>
              <font>
                <color rgb="FF0E223A"/>
              </font>
              <fill>
                <patternFill>
                  <bgColor rgb="FFFFBE29"/>
                </patternFill>
              </fill>
            </x14:dxf>
          </x14:cfRule>
          <xm:sqref>D13 D17 D21:D23 D30 D32:D40 D45:D46 D51:D54 D59:D62 D67:D70 D75:D77 D82:D85 D90:D92 D215:D220 D225:D229 D234:D241 D246:D257 D262:D268 D273:D283 D288:D293 D298:D308 D313:D318 D360:D365 D372 D374:D377 D379:D383 D385:D392 D397 D399:D402 D404:D408 D410:D418 D423 D425:D428 D430:D434 D436:D443 D448 D450:D453 D455:D459 D461:D469 D496:D497 D525 D99:D114 D119:D127 D132:D135 D140:D142 D147:D154 D159:D160 D162:D163 D168:D174 D176:D191 D193:D208 D323:D336 D341:D342 D344:D348 D350:D353 D355:D358 D476:D481 D486:D491 D502:D509 D514:D520 D530:D533</xm:sqref>
        </x14:conditionalFormatting>
        <x14:conditionalFormatting xmlns:xm="http://schemas.microsoft.com/office/excel/2006/main">
          <x14:cfRule type="containsText" priority="5" operator="containsText" id="{6AD106E7-7849-0949-B570-A35B5406CF2E}">
            <xm:f>NOT(ISERROR(SEARCH("Value Missing",D15)))</xm:f>
            <xm:f>"Value Missing"</xm:f>
            <x14:dxf>
              <font>
                <color rgb="FF0E223A"/>
              </font>
              <fill>
                <patternFill>
                  <bgColor rgb="FFFFBE29"/>
                </patternFill>
              </fill>
            </x14:dxf>
          </x14:cfRule>
          <xm:sqref>D15</xm:sqref>
        </x14:conditionalFormatting>
        <x14:conditionalFormatting xmlns:xm="http://schemas.microsoft.com/office/excel/2006/main">
          <x14:cfRule type="containsText" priority="8" operator="containsText" id="{D371AC72-8B9B-0F47-9C1A-29E4DA905834}">
            <xm:f>NOT(ISERROR(SEARCH("Value Missing",D28)))</xm:f>
            <xm:f>"Value Missing"</xm:f>
            <x14:dxf>
              <font>
                <color rgb="FF0E223A"/>
              </font>
              <fill>
                <patternFill>
                  <bgColor rgb="FFFFBE29"/>
                </patternFill>
              </fill>
            </x14:dxf>
          </x14:cfRule>
          <xm:sqref>D28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1E361-4302-4245-A6C1-E2E8E6F6DD20}">
  <sheetPr codeName="Sheet10">
    <tabColor theme="8" tint="0.39997558519241921"/>
  </sheetPr>
  <dimension ref="A1:J216"/>
  <sheetViews>
    <sheetView showGridLines="0" workbookViewId="0">
      <pane ySplit="4" topLeftCell="A5" activePane="bottomLeft" state="frozen"/>
      <selection pane="bottomLeft"/>
    </sheetView>
  </sheetViews>
  <sheetFormatPr baseColWidth="10" defaultRowHeight="16" x14ac:dyDescent="0.2"/>
  <cols>
    <col min="1" max="1" width="2.83203125" customWidth="1"/>
    <col min="2" max="2" width="79.83203125" customWidth="1"/>
    <col min="3" max="3" width="70.83203125" customWidth="1"/>
    <col min="4" max="4" width="70.83203125" style="9" customWidth="1"/>
    <col min="5" max="5" width="80.83203125" customWidth="1"/>
    <col min="8" max="8" width="14.1640625" bestFit="1" customWidth="1"/>
    <col min="9" max="9" width="10.83203125" customWidth="1"/>
  </cols>
  <sheetData>
    <row r="1" spans="1:10" s="2" customFormat="1" ht="16" customHeight="1" x14ac:dyDescent="0.2">
      <c r="A1" s="318"/>
      <c r="F1" s="9"/>
      <c r="G1" s="9"/>
      <c r="H1" s="9"/>
      <c r="I1" s="9"/>
      <c r="J1" s="9"/>
    </row>
    <row r="2" spans="1:10" s="2" customFormat="1" ht="54" customHeight="1" x14ac:dyDescent="0.2">
      <c r="B2" s="647" t="s">
        <v>3490</v>
      </c>
      <c r="C2" s="648"/>
      <c r="D2" s="648"/>
      <c r="E2" s="649"/>
      <c r="F2" s="9"/>
      <c r="G2" s="9"/>
      <c r="H2" s="9"/>
      <c r="I2" s="9"/>
      <c r="J2" s="9"/>
    </row>
    <row r="3" spans="1:10" s="2" customFormat="1" ht="20" customHeight="1" x14ac:dyDescent="0.2">
      <c r="B3" s="650" t="s">
        <v>3492</v>
      </c>
      <c r="C3" s="651"/>
      <c r="D3" s="651"/>
      <c r="E3" s="652"/>
      <c r="F3" s="9"/>
      <c r="G3" s="9"/>
      <c r="H3" s="9"/>
      <c r="I3" s="9"/>
      <c r="J3" s="9"/>
    </row>
    <row r="4" spans="1:10" s="9" customFormat="1" x14ac:dyDescent="0.2">
      <c r="B4" s="2"/>
      <c r="D4" s="2"/>
    </row>
    <row r="5" spans="1:10" s="2" customFormat="1" x14ac:dyDescent="0.2">
      <c r="D5" s="11"/>
      <c r="E5" s="3"/>
      <c r="F5" s="3"/>
    </row>
    <row r="6" spans="1:10" ht="30" customHeight="1" x14ac:dyDescent="0.2">
      <c r="B6" s="599" t="s">
        <v>526</v>
      </c>
      <c r="C6" s="600"/>
      <c r="D6" s="600"/>
      <c r="E6" s="600"/>
    </row>
    <row r="8" spans="1:10" ht="30" customHeight="1" x14ac:dyDescent="0.2">
      <c r="B8" s="600" t="s">
        <v>3419</v>
      </c>
      <c r="C8" s="600"/>
      <c r="D8" s="600"/>
      <c r="E8" s="600"/>
    </row>
    <row r="9" spans="1:10" ht="20" customHeight="1" x14ac:dyDescent="0.2">
      <c r="B9" s="592" t="s">
        <v>3420</v>
      </c>
      <c r="C9" s="592"/>
      <c r="D9" s="592"/>
      <c r="E9" s="592"/>
    </row>
    <row r="10" spans="1:10" ht="20" customHeight="1" x14ac:dyDescent="0.2">
      <c r="B10" s="314" t="s">
        <v>18</v>
      </c>
      <c r="C10" s="315" t="s">
        <v>19</v>
      </c>
      <c r="D10" s="315" t="s">
        <v>20</v>
      </c>
      <c r="E10" s="315" t="s">
        <v>21</v>
      </c>
    </row>
    <row r="11" spans="1:10" ht="20" customHeight="1" x14ac:dyDescent="0.2">
      <c r="B11" s="365" t="s">
        <v>2310</v>
      </c>
      <c r="C11" s="65" t="str">
        <f>CONCATENATE(this_instance,"-m01-vc01.",sample_child_dns_zone)</f>
        <v>sfo-m01-vc01.sfo.rainpole.io</v>
      </c>
      <c r="D11" s="66"/>
      <c r="E11" s="366"/>
    </row>
    <row r="12" spans="1:10" ht="20" customHeight="1" x14ac:dyDescent="0.2">
      <c r="B12" s="365" t="s">
        <v>634</v>
      </c>
      <c r="C12" s="65" t="str">
        <f>CONCATENATE(this_instance,"-m01-cl01")</f>
        <v>sfo-m01-cl01</v>
      </c>
      <c r="D12" s="66"/>
      <c r="E12" s="366"/>
    </row>
    <row r="13" spans="1:10" ht="20" customHeight="1" x14ac:dyDescent="0.2">
      <c r="B13" s="365" t="s">
        <v>2245</v>
      </c>
      <c r="C13" s="65" t="str">
        <f>CONCATENATE(this_instance,"-w01-pnr01")</f>
        <v>sfo-w01-pnr01</v>
      </c>
      <c r="D13" s="66"/>
      <c r="E13" s="366"/>
    </row>
    <row r="14" spans="1:10" ht="20" customHeight="1" x14ac:dyDescent="0.2">
      <c r="B14" s="365" t="s">
        <v>2247</v>
      </c>
      <c r="C14" s="65" t="str">
        <f>CONCATENATE(this_instance,"-m01-cl01")</f>
        <v>sfo-m01-cl01</v>
      </c>
      <c r="D14" s="66"/>
      <c r="E14" s="366"/>
    </row>
    <row r="15" spans="1:10" ht="20" customHeight="1" x14ac:dyDescent="0.2">
      <c r="B15" s="365" t="s">
        <v>102</v>
      </c>
      <c r="C15" s="65" t="str">
        <f>CONCATENATE(this_instance,"-m01-cl01-ds-vsan01")</f>
        <v>sfo-m01-cl01-ds-vsan01</v>
      </c>
      <c r="D15" s="66"/>
      <c r="E15" s="366"/>
    </row>
    <row r="16" spans="1:10" ht="20" customHeight="1" x14ac:dyDescent="0.2">
      <c r="B16" s="365" t="s">
        <v>2248</v>
      </c>
      <c r="C16" s="65" t="str">
        <f>CONCATENATE(this_instance,"-m01-cl01-vds01-pg-vm-mgmt")</f>
        <v>sfo-m01-cl01-vds01-pg-vm-mgmt</v>
      </c>
      <c r="D16" s="66"/>
      <c r="E16" s="366"/>
    </row>
    <row r="17" spans="2:5" ht="20" customHeight="1" x14ac:dyDescent="0.2">
      <c r="B17" s="365" t="s">
        <v>291</v>
      </c>
      <c r="C17" s="65" t="str">
        <f>CONCATENATE(this_instance,"-w01-pnr01.",sample_child_dns_zone)</f>
        <v>sfo-w01-pnr01.sfo.rainpole.io</v>
      </c>
      <c r="D17" s="66"/>
      <c r="E17" s="366"/>
    </row>
    <row r="18" spans="2:5" ht="20" customHeight="1" x14ac:dyDescent="0.2">
      <c r="B18" s="365" t="s">
        <v>2569</v>
      </c>
      <c r="C18" s="65" t="s">
        <v>31</v>
      </c>
      <c r="D18" s="66"/>
      <c r="E18" s="366"/>
    </row>
    <row r="19" spans="2:5" ht="20" customHeight="1" x14ac:dyDescent="0.2">
      <c r="B19" s="365" t="s">
        <v>2570</v>
      </c>
      <c r="C19" s="65" t="s">
        <v>31</v>
      </c>
      <c r="D19" s="66"/>
      <c r="E19" s="366"/>
    </row>
    <row r="20" spans="2:5" ht="20" customHeight="1" x14ac:dyDescent="0.2">
      <c r="B20" s="365" t="s">
        <v>288</v>
      </c>
      <c r="C20" s="65" t="str">
        <f>CONCATENATE("ntp0.",this_instance,".rainpole.io")</f>
        <v>ntp0.sfo.rainpole.io</v>
      </c>
      <c r="D20" s="66"/>
      <c r="E20" s="366"/>
    </row>
    <row r="21" spans="2:5" ht="20" customHeight="1" x14ac:dyDescent="0.2">
      <c r="B21" s="365" t="s">
        <v>3421</v>
      </c>
      <c r="C21" s="65" t="s">
        <v>3119</v>
      </c>
      <c r="D21" s="66"/>
      <c r="E21" s="366"/>
    </row>
    <row r="22" spans="2:5" ht="20" customHeight="1" x14ac:dyDescent="0.2">
      <c r="B22" s="365" t="s">
        <v>3422</v>
      </c>
      <c r="C22" s="65" t="s">
        <v>3424</v>
      </c>
      <c r="D22" s="66"/>
      <c r="E22" s="366"/>
    </row>
    <row r="23" spans="2:5" ht="20" customHeight="1" x14ac:dyDescent="0.2">
      <c r="B23" s="365" t="s">
        <v>243</v>
      </c>
      <c r="C23" s="65" t="s">
        <v>3423</v>
      </c>
      <c r="D23" s="66"/>
      <c r="E23" s="366"/>
    </row>
    <row r="24" spans="2:5" ht="20" customHeight="1" x14ac:dyDescent="0.2">
      <c r="B24" s="365" t="s">
        <v>553</v>
      </c>
      <c r="C24" s="65" t="str">
        <f>CONCATENATE(this_instance,".rainpole.io")</f>
        <v>sfo.rainpole.io</v>
      </c>
      <c r="D24" s="66"/>
      <c r="E24" s="366"/>
    </row>
    <row r="25" spans="2:5" ht="20" customHeight="1" x14ac:dyDescent="0.2">
      <c r="B25" s="365" t="s">
        <v>554</v>
      </c>
      <c r="C25" s="65" t="str">
        <f>CONCATENATE(this_instance,".rainpole.io")</f>
        <v>sfo.rainpole.io</v>
      </c>
      <c r="D25" s="66"/>
      <c r="E25" s="366"/>
    </row>
    <row r="26" spans="2:5" ht="20" customHeight="1" x14ac:dyDescent="0.2">
      <c r="B26" s="365" t="s">
        <v>2252</v>
      </c>
      <c r="C26" s="65" t="str">
        <f>CONCATENATE(prefix_mgmt_az1_cidr,"10.4",",",prefix_mgmt_az1_cidr,"10.5")</f>
        <v>10.11.10.4,10.11.10.5</v>
      </c>
      <c r="D26" s="66"/>
      <c r="E26" s="366"/>
    </row>
    <row r="27" spans="2:5" ht="20" customHeight="1" x14ac:dyDescent="0.2">
      <c r="B27" s="365" t="s">
        <v>2253</v>
      </c>
      <c r="C27" s="65" t="str">
        <f>CONCATENATE(prefix_mgmt_az1_cidr,"10.218")</f>
        <v>10.11.10.218</v>
      </c>
      <c r="D27" s="66"/>
      <c r="E27" s="366"/>
    </row>
    <row r="28" spans="2:5" ht="20" customHeight="1" x14ac:dyDescent="0.2">
      <c r="B28" s="365" t="s">
        <v>2571</v>
      </c>
      <c r="C28" s="65">
        <v>24</v>
      </c>
      <c r="D28" s="66"/>
      <c r="E28" s="366"/>
    </row>
    <row r="29" spans="2:5" x14ac:dyDescent="0.2">
      <c r="B29" s="310"/>
    </row>
    <row r="30" spans="2:5" ht="30" customHeight="1" x14ac:dyDescent="0.2">
      <c r="B30" s="600" t="s">
        <v>3425</v>
      </c>
      <c r="C30" s="600"/>
      <c r="D30" s="600"/>
      <c r="E30" s="600"/>
    </row>
    <row r="31" spans="2:5" ht="20" customHeight="1" x14ac:dyDescent="0.2">
      <c r="B31" s="592"/>
      <c r="C31" s="592"/>
      <c r="D31" s="592"/>
      <c r="E31" s="592"/>
    </row>
    <row r="32" spans="2:5" ht="20" customHeight="1" x14ac:dyDescent="0.2">
      <c r="B32" s="314" t="s">
        <v>18</v>
      </c>
      <c r="C32" s="315" t="s">
        <v>19</v>
      </c>
      <c r="D32" s="315" t="s">
        <v>20</v>
      </c>
      <c r="E32" s="315" t="s">
        <v>21</v>
      </c>
    </row>
    <row r="33" spans="2:5" ht="20" customHeight="1" x14ac:dyDescent="0.2">
      <c r="B33" s="365" t="s">
        <v>2414</v>
      </c>
      <c r="C33" s="65" t="str">
        <f>CONCATENATE(this_instance,"-w01-vc01.",sample_child_dns_zone)</f>
        <v>sfo-w01-vc01.sfo.rainpole.io</v>
      </c>
      <c r="D33" s="66"/>
      <c r="E33" s="366"/>
    </row>
    <row r="34" spans="2:5" ht="20" customHeight="1" x14ac:dyDescent="0.2">
      <c r="B34" s="365" t="s">
        <v>2126</v>
      </c>
      <c r="C34" s="65" t="str">
        <f>CONCATENATE(this_instance,"-w01.local")</f>
        <v>sfo-w01.local</v>
      </c>
      <c r="D34" s="66"/>
      <c r="E34" s="366"/>
    </row>
    <row r="35" spans="2:5" ht="20" customHeight="1" x14ac:dyDescent="0.2">
      <c r="B35" s="365" t="s">
        <v>2416</v>
      </c>
      <c r="C35" s="65" t="str">
        <f>CONCATENATE("svc_",this_instance,"-w01-pnr01_",this_instance,"-w01-vc01")</f>
        <v>svc_sfo-w01-pnr01_sfo-w01-vc01</v>
      </c>
      <c r="D35" s="66"/>
      <c r="E35" s="366"/>
    </row>
    <row r="36" spans="2:5" ht="20" customHeight="1" x14ac:dyDescent="0.2">
      <c r="B36" s="365" t="s">
        <v>2417</v>
      </c>
      <c r="C36" s="65" t="s">
        <v>31</v>
      </c>
      <c r="D36" s="66"/>
      <c r="E36" s="366"/>
    </row>
    <row r="38" spans="2:5" ht="30" customHeight="1" x14ac:dyDescent="0.2">
      <c r="B38" s="600" t="s">
        <v>3426</v>
      </c>
      <c r="C38" s="600"/>
      <c r="D38" s="600"/>
      <c r="E38" s="600"/>
    </row>
    <row r="39" spans="2:5" ht="20" customHeight="1" x14ac:dyDescent="0.2">
      <c r="B39" s="592"/>
      <c r="C39" s="592"/>
      <c r="D39" s="592"/>
      <c r="E39" s="592"/>
    </row>
    <row r="40" spans="2:5" ht="20" customHeight="1" x14ac:dyDescent="0.2">
      <c r="B40" s="314" t="s">
        <v>18</v>
      </c>
      <c r="C40" s="315" t="s">
        <v>19</v>
      </c>
      <c r="D40" s="315" t="s">
        <v>20</v>
      </c>
      <c r="E40" s="315" t="s">
        <v>21</v>
      </c>
    </row>
    <row r="41" spans="2:5" ht="20" customHeight="1" x14ac:dyDescent="0.2">
      <c r="B41" s="365" t="s">
        <v>2414</v>
      </c>
      <c r="C41" s="65" t="str">
        <f>CONCATENATE(this_instance,"-w01-vc01.",sample_child_dns_zone)</f>
        <v>sfo-w01-vc01.sfo.rainpole.io</v>
      </c>
      <c r="D41" s="8" t="str">
        <f>cr_mgmt_protect_vc_fqdn</f>
        <v>Value Missing</v>
      </c>
      <c r="E41" s="366"/>
    </row>
    <row r="42" spans="2:5" ht="20" customHeight="1" x14ac:dyDescent="0.2">
      <c r="B42" s="365" t="s">
        <v>2126</v>
      </c>
      <c r="C42" s="65" t="str">
        <f>CONCATENATE(this_instance,"-w01.local")</f>
        <v>sfo-w01.local</v>
      </c>
      <c r="D42" s="8" t="str">
        <f>cr_mgmt_protect_vc_domain</f>
        <v>Value Missing</v>
      </c>
      <c r="E42" s="366"/>
    </row>
    <row r="43" spans="2:5" ht="20" customHeight="1" x14ac:dyDescent="0.2">
      <c r="B43" s="365" t="s">
        <v>2416</v>
      </c>
      <c r="C43" s="65" t="str">
        <f>CONCATENATE("svc_",this_instance,"-w01-pnr01_",this_instance,"-w01-vc01")</f>
        <v>svc_sfo-w01-pnr01_sfo-w01-vc01</v>
      </c>
      <c r="D43" s="66"/>
      <c r="E43" s="366"/>
    </row>
    <row r="45" spans="2:5" ht="30" customHeight="1" x14ac:dyDescent="0.2">
      <c r="B45" s="600" t="s">
        <v>3428</v>
      </c>
      <c r="C45" s="600"/>
      <c r="D45" s="600"/>
      <c r="E45" s="600"/>
    </row>
    <row r="46" spans="2:5" s="310" customFormat="1" ht="20" customHeight="1" x14ac:dyDescent="0.2">
      <c r="B46" s="592"/>
      <c r="C46" s="592"/>
      <c r="D46" s="592"/>
      <c r="E46" s="592"/>
    </row>
    <row r="47" spans="2:5" s="310" customFormat="1" ht="20" customHeight="1" x14ac:dyDescent="0.2">
      <c r="B47" s="314" t="s">
        <v>18</v>
      </c>
      <c r="C47" s="315" t="s">
        <v>19</v>
      </c>
      <c r="D47" s="315" t="s">
        <v>20</v>
      </c>
      <c r="E47" s="315" t="s">
        <v>21</v>
      </c>
    </row>
    <row r="48" spans="2:5" s="310" customFormat="1" ht="20" customHeight="1" x14ac:dyDescent="0.2">
      <c r="B48" s="365" t="s">
        <v>3491</v>
      </c>
      <c r="C48" s="65" t="str">
        <f>CONCATENATE(this_instance,"-w01-pnr01.",sample_child_dns_zone,":5480")</f>
        <v>sfo-w01-pnr01.sfo.rainpole.io:5480</v>
      </c>
      <c r="D48" s="8" t="str">
        <f>_xlfn.CONCAT(cr_wld_pnr_fqdn,":5480")</f>
        <v>Value Missing:5480</v>
      </c>
      <c r="E48" s="348"/>
    </row>
    <row r="49" spans="2:5" s="310" customFormat="1" ht="20" customHeight="1" x14ac:dyDescent="0.2">
      <c r="B49" s="365" t="s">
        <v>3427</v>
      </c>
      <c r="C49" s="65" t="str">
        <f>CONCATENATE(this_instance,"-w01-vc01.",sample_child_dns_zone)</f>
        <v>sfo-w01-vc01.sfo.rainpole.io</v>
      </c>
      <c r="D49" s="8" t="str">
        <f>cr_mgmt_protect_vc_fqdn</f>
        <v>Value Missing</v>
      </c>
      <c r="E49" s="348"/>
    </row>
    <row r="50" spans="2:5" s="310" customFormat="1" ht="20" customHeight="1" x14ac:dyDescent="0.2">
      <c r="B50" s="365" t="s">
        <v>79</v>
      </c>
      <c r="C50" s="65" t="str">
        <f>CONCATENATE("svc_",this_instance,"-w01-pnr01_",this_instance,"-w01-vc01@",this_instance,"-w01.local")</f>
        <v>svc_sfo-w01-pnr01_sfo-w01-vc01@sfo-w01.local</v>
      </c>
      <c r="D50" s="8" t="str">
        <f>CONCATENATE(cr_wld_protect_vc_replication_user,"@",cr_mgmt_protect_vc_domain)</f>
        <v>Value Missing@Value Missing</v>
      </c>
      <c r="E50" s="348"/>
    </row>
    <row r="51" spans="2:5" s="310" customFormat="1" ht="20" customHeight="1" x14ac:dyDescent="0.2">
      <c r="B51" s="365" t="s">
        <v>30</v>
      </c>
      <c r="C51" s="65" t="s">
        <v>31</v>
      </c>
      <c r="D51" s="66"/>
      <c r="E51" s="348"/>
    </row>
    <row r="52" spans="2:5" s="310" customFormat="1" ht="20" customHeight="1" x14ac:dyDescent="0.2">
      <c r="B52" s="365" t="s">
        <v>1374</v>
      </c>
      <c r="C52" s="65" t="str">
        <f>CONCATENATE(this_instance,"-w01-vc01.",sample_child_dns_zone)</f>
        <v>sfo-w01-vc01.sfo.rainpole.io</v>
      </c>
      <c r="D52" s="8" t="str">
        <f>cr_mgmt_protect_vc_fqdn</f>
        <v>Value Missing</v>
      </c>
      <c r="E52" s="348"/>
    </row>
    <row r="53" spans="2:5" s="310" customFormat="1" ht="20" customHeight="1" x14ac:dyDescent="0.2">
      <c r="B53" s="365" t="s">
        <v>2143</v>
      </c>
      <c r="C53" s="65" t="str">
        <f>CONCATENATE(this_instance,"-w01")</f>
        <v>sfo-w01</v>
      </c>
      <c r="D53" s="66"/>
      <c r="E53" s="348"/>
    </row>
    <row r="54" spans="2:5" s="310" customFormat="1" ht="20" customHeight="1" x14ac:dyDescent="0.2">
      <c r="B54" s="365" t="s">
        <v>2260</v>
      </c>
      <c r="C54" s="65" t="s">
        <v>2576</v>
      </c>
      <c r="D54" s="66"/>
      <c r="E54" s="348"/>
    </row>
    <row r="55" spans="2:5" s="310" customFormat="1" ht="20" customHeight="1" x14ac:dyDescent="0.2">
      <c r="B55" s="365" t="s">
        <v>2261</v>
      </c>
      <c r="C55" s="65" t="str">
        <f>CONCATENATE(this_instance,"-w01-pnr01.",sample_child_dns_zone)</f>
        <v>sfo-w01-pnr01.sfo.rainpole.io</v>
      </c>
      <c r="D55" s="8" t="str">
        <f>cr_wld_pnr_fqdn</f>
        <v>Value Missing</v>
      </c>
      <c r="E55" s="348"/>
    </row>
    <row r="57" spans="2:5" ht="30" customHeight="1" x14ac:dyDescent="0.2">
      <c r="B57" s="600" t="s">
        <v>3429</v>
      </c>
      <c r="C57" s="600"/>
      <c r="D57" s="600"/>
      <c r="E57" s="600"/>
    </row>
    <row r="58" spans="2:5" s="310" customFormat="1" ht="20" customHeight="1" x14ac:dyDescent="0.2">
      <c r="B58" s="592"/>
      <c r="C58" s="592"/>
      <c r="D58" s="592"/>
      <c r="E58" s="592"/>
    </row>
    <row r="59" spans="2:5" s="310" customFormat="1" ht="20" customHeight="1" x14ac:dyDescent="0.2">
      <c r="B59" s="314" t="s">
        <v>18</v>
      </c>
      <c r="C59" s="315" t="s">
        <v>19</v>
      </c>
      <c r="D59" s="315" t="s">
        <v>20</v>
      </c>
      <c r="E59" s="315" t="s">
        <v>21</v>
      </c>
    </row>
    <row r="60" spans="2:5" s="310" customFormat="1" ht="20" customHeight="1" x14ac:dyDescent="0.2">
      <c r="B60" s="365" t="s">
        <v>2414</v>
      </c>
      <c r="C60" s="65" t="str">
        <f>CONCATENATE(this_instance,"-w01-vc01.",sample_child_dns_zone)</f>
        <v>sfo-w01-vc01.sfo.rainpole.io</v>
      </c>
      <c r="D60" s="8" t="str">
        <f>cr_mgmt_protect_vc_fqdn</f>
        <v>Value Missing</v>
      </c>
      <c r="E60" s="348"/>
    </row>
    <row r="61" spans="2:5" s="310" customFormat="1" ht="20" customHeight="1" x14ac:dyDescent="0.2">
      <c r="B61" s="365" t="s">
        <v>2263</v>
      </c>
      <c r="C61" s="65" t="str">
        <f>CONCATENATE(this_instance,"-w01-cl01-vds01")</f>
        <v>sfo-w01-cl01-vds01</v>
      </c>
      <c r="D61" s="66"/>
      <c r="E61" s="348"/>
    </row>
    <row r="62" spans="2:5" s="310" customFormat="1" ht="20" customHeight="1" x14ac:dyDescent="0.2">
      <c r="B62" s="365" t="s">
        <v>250</v>
      </c>
      <c r="C62" s="65" t="str">
        <f>CONCATENATE(this_instance,"-w01-cl01-vds01-pg-vrms")</f>
        <v>sfo-w01-cl01-vds01-pg-vrms</v>
      </c>
      <c r="D62" s="66"/>
      <c r="E62" s="348"/>
    </row>
    <row r="63" spans="2:5" s="310" customFormat="1" ht="20" customHeight="1" x14ac:dyDescent="0.2">
      <c r="B63" s="365" t="s">
        <v>85</v>
      </c>
      <c r="C63" s="65" t="str">
        <f>CONCATENATE(prefix_wld_az1_vlan,"16")</f>
        <v>1316</v>
      </c>
      <c r="D63" s="66"/>
      <c r="E63" s="348"/>
    </row>
    <row r="64" spans="2:5" s="310" customFormat="1" ht="20" customHeight="1" x14ac:dyDescent="0.2">
      <c r="B64" s="182" t="s">
        <v>242</v>
      </c>
      <c r="C64" s="65" t="s">
        <v>126</v>
      </c>
      <c r="D64" s="66"/>
      <c r="E64" s="348"/>
    </row>
    <row r="65" spans="2:5" s="310" customFormat="1" ht="20" customHeight="1" x14ac:dyDescent="0.2">
      <c r="B65" s="4" t="s">
        <v>180</v>
      </c>
      <c r="C65" s="65" t="str">
        <f>CONCATENATE(prefix_wld_az1_cidr,"16.1")</f>
        <v>10.13.16.1</v>
      </c>
      <c r="D65" s="66"/>
      <c r="E65" s="348"/>
    </row>
    <row r="66" spans="2:5" s="310" customFormat="1" ht="20" customHeight="1" x14ac:dyDescent="0.2">
      <c r="B66" s="30" t="s">
        <v>155</v>
      </c>
      <c r="C66" s="65">
        <v>9000</v>
      </c>
      <c r="D66" s="66"/>
      <c r="E66" s="348"/>
    </row>
    <row r="68" spans="2:5" ht="30" customHeight="1" x14ac:dyDescent="0.2">
      <c r="B68" s="600" t="s">
        <v>3431</v>
      </c>
      <c r="C68" s="600"/>
      <c r="D68" s="600"/>
      <c r="E68" s="600"/>
    </row>
    <row r="69" spans="2:5" s="310" customFormat="1" ht="20" customHeight="1" x14ac:dyDescent="0.2">
      <c r="B69" s="592"/>
      <c r="C69" s="592"/>
      <c r="D69" s="592"/>
      <c r="E69" s="592"/>
    </row>
    <row r="70" spans="2:5" s="310" customFormat="1" ht="20" customHeight="1" x14ac:dyDescent="0.2">
      <c r="B70" s="314" t="s">
        <v>18</v>
      </c>
      <c r="C70" s="315" t="s">
        <v>19</v>
      </c>
      <c r="D70" s="315" t="s">
        <v>20</v>
      </c>
      <c r="E70" s="315" t="s">
        <v>21</v>
      </c>
    </row>
    <row r="71" spans="2:5" s="310" customFormat="1" ht="20" customHeight="1" x14ac:dyDescent="0.2">
      <c r="B71" s="365" t="s">
        <v>2414</v>
      </c>
      <c r="C71" s="65" t="str">
        <f>CONCATENATE(this_instance,"-w01-vc01.",sample_child_dns_zone)</f>
        <v>sfo-w01-vc01.sfo.rainpole.io</v>
      </c>
      <c r="D71" s="8" t="str">
        <f>cr_mgmt_protect_vc_fqdn</f>
        <v>Value Missing</v>
      </c>
      <c r="E71" s="348"/>
    </row>
    <row r="72" spans="2:5" s="310" customFormat="1" ht="20" customHeight="1" x14ac:dyDescent="0.2">
      <c r="B72" s="365" t="s">
        <v>634</v>
      </c>
      <c r="C72" s="65" t="str">
        <f>CONCATENATE(this_instance,"-w01-cl01")</f>
        <v>sfo-w01-cl01</v>
      </c>
      <c r="D72" s="66"/>
      <c r="E72" s="348"/>
    </row>
    <row r="73" spans="2:5" s="310" customFormat="1" ht="20" customHeight="1" x14ac:dyDescent="0.2">
      <c r="B73" s="365" t="s">
        <v>3430</v>
      </c>
      <c r="C73" s="65" t="str">
        <f>CONCATENATE(this_instance,"-w01-cl01-vds01-pg-vrms")</f>
        <v>sfo-w01-cl01-vds01-pg-vrms</v>
      </c>
      <c r="D73" s="8" t="str">
        <f>cr_wld_vrms_pg</f>
        <v>Value Missing</v>
      </c>
      <c r="E73" s="348"/>
    </row>
    <row r="74" spans="2:5" s="310" customFormat="1" ht="20" customHeight="1" x14ac:dyDescent="0.2">
      <c r="B74" s="365" t="s">
        <v>2579</v>
      </c>
      <c r="C74" s="65" t="str">
        <f>sample_wld_az1_host1_fqdn</f>
        <v>sfo01-w01-r01-esx01.sfo.rainpole.io</v>
      </c>
      <c r="D74" s="66"/>
      <c r="E74" s="348"/>
    </row>
    <row r="75" spans="2:5" s="310" customFormat="1" ht="20" customHeight="1" x14ac:dyDescent="0.2">
      <c r="B75" s="365" t="s">
        <v>2580</v>
      </c>
      <c r="C75" s="65" t="str">
        <f>CONCATENATE(prefix_wld_az1_cidr,"16.101")</f>
        <v>10.13.16.101</v>
      </c>
      <c r="D75" s="66"/>
      <c r="E75" s="348"/>
    </row>
    <row r="76" spans="2:5" s="310" customFormat="1" ht="20" customHeight="1" x14ac:dyDescent="0.2">
      <c r="B76" s="365" t="s">
        <v>2582</v>
      </c>
      <c r="C76" s="65" t="str">
        <f>sample_wld_az1_host2_fqdn</f>
        <v>sfo01-w01-r01-esx02.sfo.rainpole.io</v>
      </c>
      <c r="D76" s="66"/>
      <c r="E76" s="348"/>
    </row>
    <row r="77" spans="2:5" s="310" customFormat="1" ht="20" customHeight="1" x14ac:dyDescent="0.2">
      <c r="B77" s="365" t="s">
        <v>2583</v>
      </c>
      <c r="C77" s="65" t="str">
        <f>CONCATENATE(prefix_wld_az1_cidr,"16.102")</f>
        <v>10.13.16.102</v>
      </c>
      <c r="D77" s="66"/>
      <c r="E77" s="348"/>
    </row>
    <row r="78" spans="2:5" s="310" customFormat="1" ht="20" customHeight="1" x14ac:dyDescent="0.2">
      <c r="B78" s="365" t="s">
        <v>2585</v>
      </c>
      <c r="C78" s="65" t="str">
        <f>sample_wld_az1_host3_fqdn</f>
        <v>sfo01-w01-r01-esx03.sfo.rainpole.io</v>
      </c>
      <c r="D78" s="66"/>
      <c r="E78" s="348"/>
    </row>
    <row r="79" spans="2:5" s="310" customFormat="1" ht="20" customHeight="1" x14ac:dyDescent="0.2">
      <c r="B79" s="365" t="s">
        <v>2586</v>
      </c>
      <c r="C79" s="65" t="str">
        <f>CONCATENATE(prefix_wld_az1_cidr,"16.103")</f>
        <v>10.13.16.103</v>
      </c>
      <c r="D79" s="66"/>
      <c r="E79" s="348"/>
    </row>
    <row r="80" spans="2:5" s="310" customFormat="1" ht="20" customHeight="1" x14ac:dyDescent="0.2">
      <c r="B80" s="365" t="s">
        <v>2588</v>
      </c>
      <c r="C80" s="65" t="str">
        <f>sample_wld_az1_host4_fqdn</f>
        <v>sfo01-w01-r01-esx04.sfo.rainpole.io</v>
      </c>
      <c r="D80" s="66"/>
      <c r="E80" s="348"/>
    </row>
    <row r="81" spans="2:5" s="310" customFormat="1" ht="20" customHeight="1" x14ac:dyDescent="0.2">
      <c r="B81" s="365" t="s">
        <v>2589</v>
      </c>
      <c r="C81" s="65" t="str">
        <f>CONCATENATE(prefix_wld_az1_cidr,"16.104")</f>
        <v>10.13.16.104</v>
      </c>
      <c r="D81" s="66"/>
      <c r="E81" s="348"/>
    </row>
    <row r="83" spans="2:5" ht="30" customHeight="1" x14ac:dyDescent="0.2">
      <c r="B83" s="600" t="s">
        <v>3432</v>
      </c>
      <c r="C83" s="600"/>
      <c r="D83" s="600"/>
      <c r="E83" s="600"/>
    </row>
    <row r="84" spans="2:5" s="310" customFormat="1" ht="20" customHeight="1" x14ac:dyDescent="0.2">
      <c r="B84" s="592"/>
      <c r="C84" s="592"/>
      <c r="D84" s="592"/>
      <c r="E84" s="592"/>
    </row>
    <row r="85" spans="2:5" s="310" customFormat="1" ht="20" customHeight="1" x14ac:dyDescent="0.2">
      <c r="B85" s="314" t="s">
        <v>18</v>
      </c>
      <c r="C85" s="315" t="s">
        <v>19</v>
      </c>
      <c r="D85" s="315" t="s">
        <v>20</v>
      </c>
      <c r="E85" s="315" t="s">
        <v>21</v>
      </c>
    </row>
    <row r="86" spans="2:5" s="310" customFormat="1" ht="20" customHeight="1" x14ac:dyDescent="0.2">
      <c r="B86" s="365" t="s">
        <v>2414</v>
      </c>
      <c r="C86" s="65" t="str">
        <f>CONCATENATE(this_instance,"-w01-vc01.",sample_child_dns_zone)</f>
        <v>sfo-w01-vc01.sfo.rainpole.io</v>
      </c>
      <c r="D86" s="8" t="str">
        <f>cr_mgmt_protect_vc_fqdn</f>
        <v>Value Missing</v>
      </c>
      <c r="E86" s="348"/>
    </row>
    <row r="87" spans="2:5" s="310" customFormat="1" ht="20" customHeight="1" x14ac:dyDescent="0.2">
      <c r="B87" s="365" t="s">
        <v>2628</v>
      </c>
      <c r="C87" s="65" t="str">
        <f>CONCATENATE(this_instance,"-w01-dc")</f>
        <v>sfo-w01-dc</v>
      </c>
      <c r="D87" s="66"/>
      <c r="E87" s="348"/>
    </row>
    <row r="88" spans="2:5" s="310" customFormat="1" ht="20" customHeight="1" x14ac:dyDescent="0.2">
      <c r="B88" s="365" t="s">
        <v>2164</v>
      </c>
      <c r="C88" s="65" t="str">
        <f>CONCATENATE(this_instance,"-w01-fd-workload")</f>
        <v>sfo-w01-fd-workload</v>
      </c>
      <c r="D88" s="66"/>
      <c r="E88" s="348"/>
    </row>
    <row r="90" spans="2:5" ht="30" customHeight="1" x14ac:dyDescent="0.2">
      <c r="B90" s="600" t="s">
        <v>3433</v>
      </c>
      <c r="C90" s="600"/>
      <c r="D90" s="600"/>
      <c r="E90" s="600"/>
    </row>
    <row r="91" spans="2:5" s="310" customFormat="1" ht="20" customHeight="1" x14ac:dyDescent="0.2">
      <c r="B91" s="592"/>
      <c r="C91" s="592"/>
      <c r="D91" s="592"/>
      <c r="E91" s="592"/>
    </row>
    <row r="92" spans="2:5" s="310" customFormat="1" ht="20" customHeight="1" x14ac:dyDescent="0.2">
      <c r="B92" s="314" t="s">
        <v>18</v>
      </c>
      <c r="C92" s="315" t="s">
        <v>19</v>
      </c>
      <c r="D92" s="315" t="s">
        <v>20</v>
      </c>
      <c r="E92" s="315" t="s">
        <v>21</v>
      </c>
    </row>
    <row r="93" spans="2:5" s="310" customFormat="1" ht="20" customHeight="1" x14ac:dyDescent="0.2">
      <c r="B93" s="365" t="s">
        <v>2414</v>
      </c>
      <c r="C93" s="65" t="str">
        <f>CONCATENATE(this_instance,"-w01-vc01.",sample_child_dns_zone)</f>
        <v>sfo-w01-vc01.sfo.rainpole.io</v>
      </c>
      <c r="D93" s="8" t="str">
        <f>cr_mgmt_protect_vc_fqdn</f>
        <v>Value Missing</v>
      </c>
      <c r="E93" s="348"/>
    </row>
    <row r="94" spans="2:5" s="310" customFormat="1" ht="20" customHeight="1" x14ac:dyDescent="0.2">
      <c r="B94" s="365" t="s">
        <v>3434</v>
      </c>
      <c r="C94" s="65" t="str">
        <f>CONCATENATE(other_instance,"-w01-vc01.",other_instance,".",sample_parent_dns_zone)</f>
        <v>lax-w01-vc01.lax.rainpole.io</v>
      </c>
      <c r="D94" s="66"/>
      <c r="E94" s="348"/>
    </row>
    <row r="95" spans="2:5" s="310" customFormat="1" ht="20" customHeight="1" x14ac:dyDescent="0.2">
      <c r="B95" s="365" t="s">
        <v>79</v>
      </c>
      <c r="C95" s="65" t="str">
        <f>CONCATENATE("svc_",other_instance,"-w01-pnr01_",other_instance,"-w01-vc01@",other_instance,"-w01.local")</f>
        <v>svc_lax-w01-pnr01_lax-w01-vc01@lax-w01.local</v>
      </c>
      <c r="D95" s="66"/>
      <c r="E95" s="348"/>
    </row>
    <row r="96" spans="2:5" s="310" customFormat="1" ht="20" customHeight="1" x14ac:dyDescent="0.2">
      <c r="B96" s="365" t="s">
        <v>30</v>
      </c>
      <c r="C96" s="65" t="s">
        <v>31</v>
      </c>
      <c r="D96" s="66"/>
      <c r="E96" s="348"/>
    </row>
    <row r="97" spans="2:5" s="310" customFormat="1" ht="20" customHeight="1" x14ac:dyDescent="0.2">
      <c r="B97" s="365" t="s">
        <v>3435</v>
      </c>
      <c r="C97" s="65" t="str">
        <f>CONCATENATE(this_instance,"-w01-cl01","&lt;----&gt;",other_instance,"-w01-cl01")</f>
        <v>sfo-w01-cl01&lt;----&gt;lax-w01-cl01</v>
      </c>
      <c r="D97" s="66"/>
      <c r="E97" s="348"/>
    </row>
    <row r="99" spans="2:5" ht="30" customHeight="1" x14ac:dyDescent="0.2">
      <c r="B99" s="600" t="s">
        <v>3438</v>
      </c>
      <c r="C99" s="600"/>
      <c r="D99" s="600"/>
      <c r="E99" s="600"/>
    </row>
    <row r="100" spans="2:5" s="310" customFormat="1" ht="20" customHeight="1" x14ac:dyDescent="0.2">
      <c r="B100" s="592"/>
      <c r="C100" s="592"/>
      <c r="D100" s="592"/>
      <c r="E100" s="592"/>
    </row>
    <row r="101" spans="2:5" s="310" customFormat="1" ht="20" customHeight="1" x14ac:dyDescent="0.2">
      <c r="B101" s="314" t="s">
        <v>18</v>
      </c>
      <c r="C101" s="315" t="s">
        <v>19</v>
      </c>
      <c r="D101" s="315" t="s">
        <v>20</v>
      </c>
      <c r="E101" s="315" t="s">
        <v>21</v>
      </c>
    </row>
    <row r="102" spans="2:5" s="310" customFormat="1" ht="20" customHeight="1" x14ac:dyDescent="0.2">
      <c r="B102" s="365" t="s">
        <v>2414</v>
      </c>
      <c r="C102" s="65" t="str">
        <f>CONCATENATE(this_instance,"-w01-vc01.",sample_child_dns_zone)</f>
        <v>sfo-w01-vc01.sfo.rainpole.io</v>
      </c>
      <c r="D102" s="8" t="str">
        <f>cr_mgmt_protect_vc_fqdn</f>
        <v>Value Missing</v>
      </c>
      <c r="E102" s="348"/>
    </row>
    <row r="103" spans="2:5" s="310" customFormat="1" ht="20" customHeight="1" x14ac:dyDescent="0.2">
      <c r="B103" s="365" t="s">
        <v>1374</v>
      </c>
      <c r="C103" s="65" t="str">
        <f>CONCATENATE(this_instance,"-w01-vc01.",sample_child_dns_zone)</f>
        <v>sfo-w01-vc01.sfo.rainpole.io</v>
      </c>
      <c r="D103" s="66"/>
      <c r="E103" s="348"/>
    </row>
    <row r="104" spans="2:5" s="310" customFormat="1" ht="20" customHeight="1" x14ac:dyDescent="0.2">
      <c r="B104" s="365" t="s">
        <v>2445</v>
      </c>
      <c r="C104" s="65" t="s">
        <v>3474</v>
      </c>
      <c r="D104" s="66"/>
      <c r="E104" s="348"/>
    </row>
    <row r="105" spans="2:5" s="310" customFormat="1" ht="20" customHeight="1" x14ac:dyDescent="0.2">
      <c r="B105" s="365" t="s">
        <v>3439</v>
      </c>
      <c r="C105" s="65" t="s">
        <v>2694</v>
      </c>
      <c r="D105" s="66"/>
      <c r="E105" s="348"/>
    </row>
    <row r="107" spans="2:5" ht="30" customHeight="1" x14ac:dyDescent="0.2">
      <c r="B107" s="600" t="s">
        <v>3437</v>
      </c>
      <c r="C107" s="600"/>
      <c r="D107" s="600"/>
      <c r="E107" s="600"/>
    </row>
    <row r="108" spans="2:5" ht="20" customHeight="1" x14ac:dyDescent="0.2">
      <c r="B108" s="592"/>
      <c r="C108" s="592"/>
      <c r="D108" s="592"/>
      <c r="E108" s="592"/>
    </row>
    <row r="109" spans="2:5" ht="20" customHeight="1" x14ac:dyDescent="0.2">
      <c r="B109" s="314" t="s">
        <v>18</v>
      </c>
      <c r="C109" s="315" t="s">
        <v>19</v>
      </c>
      <c r="D109" s="315" t="s">
        <v>20</v>
      </c>
      <c r="E109" s="315" t="s">
        <v>21</v>
      </c>
    </row>
    <row r="110" spans="2:5" ht="20" customHeight="1" x14ac:dyDescent="0.2">
      <c r="B110" s="302" t="s">
        <v>2695</v>
      </c>
      <c r="C110" s="65" t="s">
        <v>2696</v>
      </c>
      <c r="D110" s="66"/>
      <c r="E110" s="366"/>
    </row>
    <row r="111" spans="2:5" ht="20" customHeight="1" x14ac:dyDescent="0.2">
      <c r="B111" s="365" t="s">
        <v>3436</v>
      </c>
      <c r="C111" s="65" t="s">
        <v>3475</v>
      </c>
      <c r="D111" s="66"/>
      <c r="E111" s="366"/>
    </row>
    <row r="112" spans="2:5" ht="20" customHeight="1" x14ac:dyDescent="0.2">
      <c r="B112" s="365" t="s">
        <v>186</v>
      </c>
      <c r="C112" s="65" t="s">
        <v>3474</v>
      </c>
      <c r="D112" s="66"/>
      <c r="E112" s="366"/>
    </row>
    <row r="114" spans="2:5" ht="30" customHeight="1" x14ac:dyDescent="0.2">
      <c r="B114" s="600" t="s">
        <v>3440</v>
      </c>
      <c r="C114" s="600"/>
      <c r="D114" s="600"/>
      <c r="E114" s="600"/>
    </row>
    <row r="115" spans="2:5" s="310" customFormat="1" ht="20" customHeight="1" x14ac:dyDescent="0.2">
      <c r="B115" s="592"/>
      <c r="C115" s="592"/>
      <c r="D115" s="592"/>
      <c r="E115" s="592"/>
    </row>
    <row r="116" spans="2:5" s="310" customFormat="1" ht="20" customHeight="1" x14ac:dyDescent="0.2">
      <c r="B116" s="314" t="s">
        <v>18</v>
      </c>
      <c r="C116" s="315" t="s">
        <v>19</v>
      </c>
      <c r="D116" s="315" t="s">
        <v>20</v>
      </c>
      <c r="E116" s="315" t="s">
        <v>21</v>
      </c>
    </row>
    <row r="117" spans="2:5" s="310" customFormat="1" ht="20" customHeight="1" x14ac:dyDescent="0.2">
      <c r="B117" s="302" t="s">
        <v>2695</v>
      </c>
      <c r="C117" s="65" t="s">
        <v>2696</v>
      </c>
      <c r="D117" s="8" t="str">
        <f>cr_console_cloud</f>
        <v>Value Missing</v>
      </c>
      <c r="E117" s="348"/>
    </row>
    <row r="118" spans="2:5" s="310" customFormat="1" ht="20" customHeight="1" x14ac:dyDescent="0.2">
      <c r="B118" s="365" t="s">
        <v>3441</v>
      </c>
      <c r="C118" s="65" t="s">
        <v>3476</v>
      </c>
      <c r="D118" s="8" t="s">
        <v>3476</v>
      </c>
      <c r="E118" s="348"/>
    </row>
    <row r="119" spans="2:5" s="310" customFormat="1" ht="20" customHeight="1" x14ac:dyDescent="0.2">
      <c r="B119" s="365" t="s">
        <v>3442</v>
      </c>
      <c r="C119" s="65"/>
      <c r="D119" s="66"/>
      <c r="E119" s="348"/>
    </row>
    <row r="120" spans="2:5" s="310" customFormat="1" ht="20" customHeight="1" x14ac:dyDescent="0.2">
      <c r="B120" s="365" t="s">
        <v>3443</v>
      </c>
      <c r="C120" s="65"/>
      <c r="D120" s="66"/>
      <c r="E120" s="348"/>
    </row>
    <row r="122" spans="2:5" ht="30" customHeight="1" x14ac:dyDescent="0.2">
      <c r="B122" s="600" t="s">
        <v>3444</v>
      </c>
      <c r="C122" s="600"/>
      <c r="D122" s="600"/>
      <c r="E122" s="600"/>
    </row>
    <row r="123" spans="2:5" s="310" customFormat="1" ht="20" customHeight="1" x14ac:dyDescent="0.2">
      <c r="B123" s="592"/>
      <c r="C123" s="592"/>
      <c r="D123" s="592"/>
      <c r="E123" s="592"/>
    </row>
    <row r="124" spans="2:5" s="310" customFormat="1" ht="20" customHeight="1" x14ac:dyDescent="0.2">
      <c r="B124" s="314" t="s">
        <v>18</v>
      </c>
      <c r="C124" s="315" t="s">
        <v>19</v>
      </c>
      <c r="D124" s="315" t="s">
        <v>20</v>
      </c>
      <c r="E124" s="315" t="s">
        <v>21</v>
      </c>
    </row>
    <row r="125" spans="2:5" s="310" customFormat="1" ht="20" customHeight="1" x14ac:dyDescent="0.2">
      <c r="B125" s="302" t="s">
        <v>2695</v>
      </c>
      <c r="C125" s="65" t="s">
        <v>2696</v>
      </c>
      <c r="D125" s="8" t="str">
        <f>cr_console_cloud</f>
        <v>Value Missing</v>
      </c>
      <c r="E125" s="348"/>
    </row>
    <row r="126" spans="2:5" s="310" customFormat="1" ht="20" customHeight="1" x14ac:dyDescent="0.2">
      <c r="B126" s="365" t="s">
        <v>3445</v>
      </c>
      <c r="C126" s="65" t="s">
        <v>3477</v>
      </c>
      <c r="D126" s="66"/>
      <c r="E126" s="348"/>
    </row>
    <row r="128" spans="2:5" ht="30" customHeight="1" x14ac:dyDescent="0.2">
      <c r="B128" s="600" t="s">
        <v>3446</v>
      </c>
      <c r="C128" s="600"/>
      <c r="D128" s="600"/>
      <c r="E128" s="600"/>
    </row>
    <row r="129" spans="2:5" s="310" customFormat="1" ht="20" customHeight="1" x14ac:dyDescent="0.2">
      <c r="B129" s="592"/>
      <c r="C129" s="592"/>
      <c r="D129" s="592"/>
      <c r="E129" s="592"/>
    </row>
    <row r="130" spans="2:5" s="310" customFormat="1" ht="20" customHeight="1" x14ac:dyDescent="0.2">
      <c r="B130" s="314" t="s">
        <v>18</v>
      </c>
      <c r="C130" s="315" t="s">
        <v>19</v>
      </c>
      <c r="D130" s="315" t="s">
        <v>20</v>
      </c>
      <c r="E130" s="315" t="s">
        <v>21</v>
      </c>
    </row>
    <row r="131" spans="2:5" s="310" customFormat="1" ht="20" customHeight="1" x14ac:dyDescent="0.2">
      <c r="B131" s="302" t="s">
        <v>2695</v>
      </c>
      <c r="C131" s="65" t="s">
        <v>2696</v>
      </c>
      <c r="D131" s="8" t="str">
        <f>cr_console_cloud</f>
        <v>Value Missing</v>
      </c>
      <c r="E131" s="348"/>
    </row>
    <row r="132" spans="2:5" s="310" customFormat="1" ht="20" customHeight="1" x14ac:dyDescent="0.2">
      <c r="B132" s="365" t="s">
        <v>3445</v>
      </c>
      <c r="C132" s="65" t="s">
        <v>3477</v>
      </c>
      <c r="D132" s="8" t="str">
        <f>cr_clean_room</f>
        <v>Value Missing</v>
      </c>
      <c r="E132" s="348"/>
    </row>
    <row r="133" spans="2:5" s="310" customFormat="1" ht="20" customHeight="1" x14ac:dyDescent="0.2">
      <c r="B133" s="365" t="s">
        <v>3447</v>
      </c>
      <c r="C133" s="65" t="s">
        <v>3478</v>
      </c>
      <c r="D133" s="66"/>
      <c r="E133" s="348"/>
    </row>
    <row r="134" spans="2:5" s="310" customFormat="1" ht="20" customHeight="1" x14ac:dyDescent="0.2">
      <c r="B134" s="365" t="s">
        <v>3448</v>
      </c>
      <c r="C134" s="65" t="str">
        <f>CONCATENATE(this_instance,"-w01-vc01.",this_instance,".",sample_parent_dns_zone)</f>
        <v>sfo-w01-vc01.sfo.rainpole.io</v>
      </c>
      <c r="D134" s="66"/>
      <c r="E134" s="348"/>
    </row>
    <row r="135" spans="2:5" s="310" customFormat="1" ht="20" customHeight="1" x14ac:dyDescent="0.2">
      <c r="B135" s="365" t="s">
        <v>3449</v>
      </c>
      <c r="C135" s="65" t="s">
        <v>3479</v>
      </c>
      <c r="D135" s="66"/>
      <c r="E135" s="348"/>
    </row>
    <row r="136" spans="2:5" s="310" customFormat="1" ht="20" customHeight="1" x14ac:dyDescent="0.2">
      <c r="B136" s="302" t="s">
        <v>2247</v>
      </c>
      <c r="C136" s="65" t="str">
        <f>CONCATENATE(this_instance,"-w01-cl01")</f>
        <v>sfo-w01-cl01</v>
      </c>
      <c r="D136" s="66"/>
      <c r="E136" s="348"/>
    </row>
    <row r="137" spans="2:5" s="310" customFormat="1" ht="20" customHeight="1" x14ac:dyDescent="0.2">
      <c r="B137" s="365" t="s">
        <v>102</v>
      </c>
      <c r="C137" s="65" t="str">
        <f>CONCATENATE(this_instance,"-w01-ds-vsan01")</f>
        <v>sfo-w01-ds-vsan01</v>
      </c>
      <c r="D137" s="66"/>
      <c r="E137" s="348"/>
    </row>
    <row r="138" spans="2:5" s="310" customFormat="1" ht="20" customHeight="1" x14ac:dyDescent="0.2">
      <c r="B138" s="365" t="s">
        <v>1431</v>
      </c>
      <c r="C138" s="65" t="str">
        <f>CONCATENATE(this_instance,"-w01-vds-pg-vm-mgmt")</f>
        <v>sfo-w01-vds-pg-vm-mgmt</v>
      </c>
      <c r="D138" s="66"/>
      <c r="E138" s="348"/>
    </row>
    <row r="139" spans="2:5" s="310" customFormat="1" ht="20" customHeight="1" x14ac:dyDescent="0.2">
      <c r="B139" s="302" t="s">
        <v>2697</v>
      </c>
      <c r="C139" s="65" t="s">
        <v>418</v>
      </c>
      <c r="D139" s="66"/>
      <c r="E139" s="348"/>
    </row>
    <row r="140" spans="2:5" s="310" customFormat="1" ht="20" customHeight="1" x14ac:dyDescent="0.2">
      <c r="B140" s="302" t="s">
        <v>637</v>
      </c>
      <c r="C140" s="65" t="s">
        <v>3493</v>
      </c>
      <c r="D140" s="66"/>
      <c r="E140" s="348"/>
    </row>
    <row r="141" spans="2:5" s="310" customFormat="1" ht="20" customHeight="1" x14ac:dyDescent="0.2">
      <c r="B141" s="302" t="s">
        <v>2698</v>
      </c>
      <c r="C141" s="65" t="s">
        <v>3424</v>
      </c>
      <c r="D141" s="66"/>
      <c r="E141" s="348"/>
    </row>
    <row r="142" spans="2:5" s="310" customFormat="1" ht="20" customHeight="1" x14ac:dyDescent="0.2">
      <c r="B142" s="302" t="s">
        <v>272</v>
      </c>
      <c r="C142" s="65" t="str">
        <f>CONCATENATE(prefix_mgmt_az1_cidr,"10.140")</f>
        <v>10.11.10.140</v>
      </c>
      <c r="D142" s="66"/>
      <c r="E142" s="348"/>
    </row>
    <row r="143" spans="2:5" s="310" customFormat="1" ht="20" customHeight="1" x14ac:dyDescent="0.2">
      <c r="B143" s="302" t="s">
        <v>2699</v>
      </c>
      <c r="C143" s="65" t="s">
        <v>126</v>
      </c>
      <c r="D143" s="66"/>
      <c r="E143" s="348"/>
    </row>
    <row r="144" spans="2:5" s="310" customFormat="1" ht="20" customHeight="1" x14ac:dyDescent="0.2">
      <c r="B144" s="302" t="s">
        <v>180</v>
      </c>
      <c r="C144" s="65" t="str">
        <f>CONCATENATE(prefix_mgmt_az1_cidr,"10.1")</f>
        <v>10.11.10.1</v>
      </c>
      <c r="D144" s="66"/>
      <c r="E144" s="348"/>
    </row>
    <row r="145" spans="2:5" s="310" customFormat="1" ht="20" customHeight="1" x14ac:dyDescent="0.2">
      <c r="B145" s="302" t="s">
        <v>555</v>
      </c>
      <c r="C145" s="65" t="str">
        <f>CONCATENATE(prefix_mgmt_az1_cidr,"10.4",",",prefix_mgmt_az1_cidr,"10.5")</f>
        <v>10.11.10.4,10.11.10.5</v>
      </c>
      <c r="D145" s="66"/>
      <c r="E145" s="348"/>
    </row>
    <row r="146" spans="2:5" s="310" customFormat="1" ht="20" customHeight="1" x14ac:dyDescent="0.2">
      <c r="B146" s="302" t="s">
        <v>1762</v>
      </c>
      <c r="C146" s="65" t="s">
        <v>3480</v>
      </c>
      <c r="D146" s="66"/>
      <c r="E146" s="348"/>
    </row>
    <row r="147" spans="2:5" s="310" customFormat="1" ht="20" customHeight="1" x14ac:dyDescent="0.2">
      <c r="B147" s="302" t="s">
        <v>1764</v>
      </c>
      <c r="C147" s="65" t="s">
        <v>3482</v>
      </c>
      <c r="D147" s="66"/>
      <c r="E147" s="348"/>
    </row>
    <row r="148" spans="2:5" s="310" customFormat="1" ht="20" customHeight="1" x14ac:dyDescent="0.2">
      <c r="B148" s="302" t="s">
        <v>1767</v>
      </c>
      <c r="C148" s="65" t="s">
        <v>3481</v>
      </c>
      <c r="D148" s="66"/>
      <c r="E148" s="348"/>
    </row>
    <row r="150" spans="2:5" ht="30" customHeight="1" x14ac:dyDescent="0.2">
      <c r="B150" s="600" t="s">
        <v>3450</v>
      </c>
      <c r="C150" s="600"/>
      <c r="D150" s="600"/>
      <c r="E150" s="600"/>
    </row>
    <row r="151" spans="2:5" s="310" customFormat="1" ht="20" customHeight="1" x14ac:dyDescent="0.2">
      <c r="B151" s="592"/>
      <c r="C151" s="592"/>
      <c r="D151" s="592"/>
      <c r="E151" s="592"/>
    </row>
    <row r="152" spans="2:5" s="310" customFormat="1" ht="20" customHeight="1" x14ac:dyDescent="0.2">
      <c r="B152" s="314" t="s">
        <v>18</v>
      </c>
      <c r="C152" s="315" t="s">
        <v>19</v>
      </c>
      <c r="D152" s="315" t="s">
        <v>20</v>
      </c>
      <c r="E152" s="315" t="s">
        <v>21</v>
      </c>
    </row>
    <row r="153" spans="2:5" s="310" customFormat="1" ht="20" customHeight="1" x14ac:dyDescent="0.2">
      <c r="B153" s="302" t="s">
        <v>2695</v>
      </c>
      <c r="C153" s="65" t="s">
        <v>2696</v>
      </c>
      <c r="D153" s="8" t="str">
        <f>cr_console_cloud</f>
        <v>Value Missing</v>
      </c>
      <c r="E153" s="348"/>
    </row>
    <row r="154" spans="2:5" s="310" customFormat="1" ht="20" customHeight="1" x14ac:dyDescent="0.2">
      <c r="B154" s="365" t="s">
        <v>3445</v>
      </c>
      <c r="C154" s="65" t="s">
        <v>3477</v>
      </c>
      <c r="D154" s="8" t="str">
        <f>cr_clean_room</f>
        <v>Value Missing</v>
      </c>
      <c r="E154" s="348"/>
    </row>
    <row r="155" spans="2:5" s="310" customFormat="1" ht="20" customHeight="1" x14ac:dyDescent="0.2">
      <c r="B155" s="365" t="s">
        <v>2700</v>
      </c>
      <c r="C155" s="65" t="str">
        <f>CONCATENATE(prefix_mgmt_az1_cidr,"10.130")</f>
        <v>10.11.10.130</v>
      </c>
      <c r="D155" s="66"/>
      <c r="E155" s="348"/>
    </row>
    <row r="156" spans="2:5" s="310" customFormat="1" ht="20" customHeight="1" x14ac:dyDescent="0.2">
      <c r="B156" s="365" t="s">
        <v>3451</v>
      </c>
      <c r="C156" s="105" t="s">
        <v>3494</v>
      </c>
      <c r="D156" s="66"/>
      <c r="E156" s="348"/>
    </row>
    <row r="157" spans="2:5" s="310" customFormat="1" ht="20" customHeight="1" x14ac:dyDescent="0.2">
      <c r="B157" s="365" t="s">
        <v>30</v>
      </c>
      <c r="C157" s="65" t="s">
        <v>31</v>
      </c>
      <c r="D157" s="66"/>
      <c r="E157" s="348"/>
    </row>
    <row r="159" spans="2:5" ht="30" customHeight="1" x14ac:dyDescent="0.2">
      <c r="B159" s="600" t="s">
        <v>3452</v>
      </c>
      <c r="C159" s="600"/>
      <c r="D159" s="600"/>
      <c r="E159" s="600"/>
    </row>
    <row r="160" spans="2:5" s="310" customFormat="1" ht="20" customHeight="1" x14ac:dyDescent="0.2">
      <c r="B160" s="592"/>
      <c r="C160" s="592"/>
      <c r="D160" s="592"/>
      <c r="E160" s="592"/>
    </row>
    <row r="161" spans="2:5" s="310" customFormat="1" ht="20" customHeight="1" x14ac:dyDescent="0.2">
      <c r="B161" s="314" t="s">
        <v>18</v>
      </c>
      <c r="C161" s="315" t="s">
        <v>19</v>
      </c>
      <c r="D161" s="315" t="s">
        <v>20</v>
      </c>
      <c r="E161" s="315" t="s">
        <v>21</v>
      </c>
    </row>
    <row r="162" spans="2:5" s="310" customFormat="1" ht="20" customHeight="1" x14ac:dyDescent="0.2">
      <c r="B162" s="302" t="s">
        <v>2695</v>
      </c>
      <c r="C162" s="65" t="s">
        <v>2696</v>
      </c>
      <c r="D162" s="8" t="str">
        <f>cr_console_cloud</f>
        <v>Value Missing</v>
      </c>
      <c r="E162" s="348"/>
    </row>
    <row r="163" spans="2:5" s="310" customFormat="1" ht="20" customHeight="1" x14ac:dyDescent="0.2">
      <c r="B163" s="365" t="s">
        <v>3445</v>
      </c>
      <c r="C163" s="65" t="s">
        <v>3477</v>
      </c>
      <c r="D163" s="8" t="str">
        <f>cr_clean_room</f>
        <v>Value Missing</v>
      </c>
      <c r="E163" s="348"/>
    </row>
    <row r="164" spans="2:5" s="310" customFormat="1" ht="20" customHeight="1" x14ac:dyDescent="0.2">
      <c r="B164" s="365" t="s">
        <v>3453</v>
      </c>
      <c r="C164" s="65" t="s">
        <v>3483</v>
      </c>
      <c r="D164" s="66"/>
      <c r="E164" s="348"/>
    </row>
    <row r="166" spans="2:5" ht="30" customHeight="1" x14ac:dyDescent="0.2">
      <c r="B166" s="600" t="s">
        <v>3454</v>
      </c>
      <c r="C166" s="600"/>
      <c r="D166" s="600"/>
      <c r="E166" s="600"/>
    </row>
    <row r="167" spans="2:5" s="310" customFormat="1" ht="20" customHeight="1" x14ac:dyDescent="0.2">
      <c r="B167" s="592"/>
      <c r="C167" s="592"/>
      <c r="D167" s="592"/>
      <c r="E167" s="592"/>
    </row>
    <row r="168" spans="2:5" s="310" customFormat="1" ht="20" customHeight="1" x14ac:dyDescent="0.2">
      <c r="B168" s="314" t="s">
        <v>18</v>
      </c>
      <c r="C168" s="315" t="s">
        <v>19</v>
      </c>
      <c r="D168" s="315" t="s">
        <v>20</v>
      </c>
      <c r="E168" s="315" t="s">
        <v>21</v>
      </c>
    </row>
    <row r="169" spans="2:5" s="310" customFormat="1" ht="20" customHeight="1" x14ac:dyDescent="0.2">
      <c r="B169" s="302" t="s">
        <v>2695</v>
      </c>
      <c r="C169" s="65" t="s">
        <v>2696</v>
      </c>
      <c r="D169" s="8" t="str">
        <f>cr_console_cloud</f>
        <v>Value Missing</v>
      </c>
      <c r="E169" s="348"/>
    </row>
    <row r="170" spans="2:5" s="310" customFormat="1" ht="20" customHeight="1" x14ac:dyDescent="0.2">
      <c r="B170" s="365" t="s">
        <v>3445</v>
      </c>
      <c r="C170" s="65" t="s">
        <v>3477</v>
      </c>
      <c r="D170" s="8" t="str">
        <f>cr_clean_room</f>
        <v>Value Missing</v>
      </c>
      <c r="E170" s="348"/>
    </row>
    <row r="171" spans="2:5" s="310" customFormat="1" ht="20" customHeight="1" x14ac:dyDescent="0.2">
      <c r="B171" s="365" t="s">
        <v>3455</v>
      </c>
      <c r="C171" s="65" t="s">
        <v>3484</v>
      </c>
      <c r="D171" s="8" t="s">
        <v>3484</v>
      </c>
      <c r="E171" s="348"/>
    </row>
    <row r="172" spans="2:5" s="310" customFormat="1" ht="20" customHeight="1" x14ac:dyDescent="0.2">
      <c r="B172" s="365" t="s">
        <v>3456</v>
      </c>
      <c r="C172" s="65" t="str">
        <f>CONCATENATE(this_instance,"-w01-ds-seg01-rwr-ire")</f>
        <v>sfo-w01-ds-seg01-rwr-ire</v>
      </c>
      <c r="D172" s="66"/>
      <c r="E172" s="348"/>
    </row>
    <row r="173" spans="2:5" s="310" customFormat="1" ht="20" customHeight="1" x14ac:dyDescent="0.2">
      <c r="B173" s="365" t="s">
        <v>3457</v>
      </c>
      <c r="C173" s="65" t="s">
        <v>105</v>
      </c>
      <c r="D173" s="8" t="s">
        <v>105</v>
      </c>
      <c r="E173" s="348"/>
    </row>
    <row r="174" spans="2:5" s="310" customFormat="1" ht="20" customHeight="1" x14ac:dyDescent="0.2">
      <c r="B174" s="365" t="s">
        <v>3458</v>
      </c>
      <c r="C174" s="65" t="str">
        <f>CONCATENATE(this_instance,"-w01-dc")</f>
        <v>sfo-w01-dc</v>
      </c>
      <c r="D174" s="66"/>
      <c r="E174" s="348"/>
    </row>
    <row r="175" spans="2:5" s="310" customFormat="1" ht="20" customHeight="1" x14ac:dyDescent="0.2">
      <c r="B175" s="365" t="s">
        <v>3459</v>
      </c>
      <c r="C175" s="65" t="str">
        <f>CONCATENATE(this_instance,"-w01-cl01")</f>
        <v>sfo-w01-cl01</v>
      </c>
      <c r="D175" s="66"/>
      <c r="E175" s="348"/>
    </row>
    <row r="176" spans="2:5" s="310" customFormat="1" ht="20" customHeight="1" x14ac:dyDescent="0.2">
      <c r="B176" s="365" t="s">
        <v>102</v>
      </c>
      <c r="C176" s="65" t="str">
        <f>CONCATENATE(this_instance,"-w01-cl01-vsan01")</f>
        <v>sfo-w01-cl01-vsan01</v>
      </c>
      <c r="D176" s="66"/>
      <c r="E176" s="348"/>
    </row>
    <row r="177" spans="2:5" s="310" customFormat="1" ht="20" customHeight="1" x14ac:dyDescent="0.2">
      <c r="B177" s="365" t="s">
        <v>3460</v>
      </c>
      <c r="C177" s="65" t="str">
        <f>CONCATENATE(this_instance,"-w01-cl01-vsan01")</f>
        <v>sfo-w01-cl01-vsan01</v>
      </c>
      <c r="D177" s="66"/>
      <c r="E177" s="348"/>
    </row>
    <row r="179" spans="2:5" ht="30" customHeight="1" x14ac:dyDescent="0.2">
      <c r="B179" s="600" t="s">
        <v>3468</v>
      </c>
      <c r="C179" s="600"/>
      <c r="D179" s="600"/>
      <c r="E179" s="600"/>
    </row>
    <row r="180" spans="2:5" s="310" customFormat="1" ht="20" customHeight="1" x14ac:dyDescent="0.2">
      <c r="B180" s="592"/>
      <c r="C180" s="592"/>
      <c r="D180" s="592"/>
      <c r="E180" s="592"/>
    </row>
    <row r="181" spans="2:5" s="310" customFormat="1" ht="20" customHeight="1" x14ac:dyDescent="0.2">
      <c r="B181" s="314" t="s">
        <v>18</v>
      </c>
      <c r="C181" s="315" t="s">
        <v>19</v>
      </c>
      <c r="D181" s="315" t="s">
        <v>20</v>
      </c>
      <c r="E181" s="315" t="s">
        <v>21</v>
      </c>
    </row>
    <row r="182" spans="2:5" s="310" customFormat="1" ht="20" customHeight="1" x14ac:dyDescent="0.2">
      <c r="B182" s="365" t="s">
        <v>2414</v>
      </c>
      <c r="C182" s="65" t="str">
        <f>CONCATENATE(this_instance,"-w01-vc01.",sample_child_dns_zone)</f>
        <v>sfo-w01-vc01.sfo.rainpole.io</v>
      </c>
      <c r="D182" s="8" t="str">
        <f>cr_mgmt_protect_vc_fqdn</f>
        <v>Value Missing</v>
      </c>
      <c r="E182" s="348"/>
    </row>
    <row r="183" spans="2:5" s="310" customFormat="1" ht="20" customHeight="1" x14ac:dyDescent="0.2">
      <c r="B183" s="365" t="s">
        <v>2449</v>
      </c>
      <c r="C183" s="65" t="str">
        <f>CONCATENATE(this_instance,"-w01-vc01.",sample_child_dns_zone," &lt;----&gt; ",other_instance,"-w01-vc01.",other_instance,".",sample_parent_dns_zone)</f>
        <v>sfo-w01-vc01.sfo.rainpole.io &lt;----&gt; lax-w01-vc01.lax.rainpole.io</v>
      </c>
      <c r="D183" s="66"/>
      <c r="E183" s="348"/>
    </row>
    <row r="184" spans="2:5" s="310" customFormat="1" ht="20" customHeight="1" x14ac:dyDescent="0.2">
      <c r="B184" s="365" t="s">
        <v>2634</v>
      </c>
      <c r="C184" s="65" t="str">
        <f>CONCATENATE(this_instance,"-w01-vds01"," &lt;----&gt; ",other_instance,"-w01-vds01")</f>
        <v>sfo-w01-vds01 &lt;----&gt; lax-w01-vds01</v>
      </c>
      <c r="D184" s="66"/>
      <c r="E184" s="348"/>
    </row>
    <row r="185" spans="2:5" s="310" customFormat="1" ht="20" customHeight="1" x14ac:dyDescent="0.2">
      <c r="B185" s="365" t="s">
        <v>2635</v>
      </c>
      <c r="C185" s="65" t="str">
        <f>CONCATENATE(other_instance,"-w01-vds01"," &lt;----&gt; ",this_instance,"-w01-vds01")</f>
        <v>lax-w01-vds01 &lt;----&gt; sfo-w01-vds01</v>
      </c>
      <c r="D185" s="66"/>
      <c r="E185" s="348"/>
    </row>
    <row r="186" spans="2:5" s="310" customFormat="1" ht="20" customHeight="1" x14ac:dyDescent="0.2">
      <c r="B186" s="365" t="s">
        <v>3461</v>
      </c>
      <c r="C186" s="65" t="s">
        <v>3485</v>
      </c>
      <c r="D186" s="66"/>
      <c r="E186" s="348"/>
    </row>
    <row r="187" spans="2:5" s="310" customFormat="1" ht="20" customHeight="1" x14ac:dyDescent="0.2">
      <c r="B187" s="365" t="s">
        <v>3462</v>
      </c>
      <c r="C187" s="65" t="str">
        <f>CONCATENATE(other_instance,"-w01-vds01"," &lt;----&gt; ",other_instance,"-w01-ds-seg01-rwr-ire")</f>
        <v>lax-w01-vds01 &lt;----&gt; lax-w01-ds-seg01-rwr-ire</v>
      </c>
      <c r="D187" s="66"/>
      <c r="E187" s="348"/>
    </row>
    <row r="188" spans="2:5" s="310" customFormat="1" ht="20" customHeight="1" x14ac:dyDescent="0.2">
      <c r="B188" s="365" t="s">
        <v>2637</v>
      </c>
      <c r="C188" s="65" t="str">
        <f>CONCATENATE(this_instance,"-w01-DC"," &lt;----&gt; ",this_instance,"-w01-fd-workload")</f>
        <v>sfo-w01-DC &lt;----&gt; sfo-w01-fd-workload</v>
      </c>
      <c r="D188" s="66"/>
      <c r="E188" s="348"/>
    </row>
    <row r="189" spans="2:5" s="310" customFormat="1" ht="20" customHeight="1" x14ac:dyDescent="0.2">
      <c r="B189" s="365" t="s">
        <v>2638</v>
      </c>
      <c r="C189" s="65" t="str">
        <f>CONCATENATE(other_instance,"-w01-DC"," &lt;----&gt; ",other_instance,"-w01-fd-workload")</f>
        <v>lax-w01-DC &lt;----&gt; lax-w01-fd-workload</v>
      </c>
      <c r="D189" s="66"/>
      <c r="E189" s="348"/>
    </row>
    <row r="190" spans="2:5" s="310" customFormat="1" ht="20" customHeight="1" x14ac:dyDescent="0.2">
      <c r="B190" s="365" t="s">
        <v>2639</v>
      </c>
      <c r="C190" s="65" t="str">
        <f>CONCATENATE(this_instance,"-w01-DC"," &lt;----&gt; ",this_instance,"-w01-cl01")</f>
        <v>sfo-w01-DC &lt;----&gt; sfo-w01-cl01</v>
      </c>
      <c r="D190" s="66"/>
      <c r="E190" s="348"/>
    </row>
    <row r="191" spans="2:5" s="310" customFormat="1" ht="20" customHeight="1" x14ac:dyDescent="0.2">
      <c r="B191" s="365" t="s">
        <v>2640</v>
      </c>
      <c r="C191" s="65" t="str">
        <f>CONCATENATE(other_instance,"-w01-DC"," &lt;----&gt; ",other_instance,"-w01-cl01")</f>
        <v>lax-w01-DC &lt;----&gt; lax-w01-cl01</v>
      </c>
      <c r="D191" s="66"/>
      <c r="E191" s="348"/>
    </row>
    <row r="193" spans="2:5" ht="30" customHeight="1" x14ac:dyDescent="0.2">
      <c r="B193" s="600" t="s">
        <v>3463</v>
      </c>
      <c r="C193" s="600"/>
      <c r="D193" s="600"/>
      <c r="E193" s="600"/>
    </row>
    <row r="194" spans="2:5" s="310" customFormat="1" ht="20" customHeight="1" x14ac:dyDescent="0.2">
      <c r="B194" s="592"/>
      <c r="C194" s="592"/>
      <c r="D194" s="592"/>
      <c r="E194" s="592"/>
    </row>
    <row r="195" spans="2:5" s="310" customFormat="1" ht="20" customHeight="1" x14ac:dyDescent="0.2">
      <c r="B195" s="314" t="s">
        <v>18</v>
      </c>
      <c r="C195" s="315" t="s">
        <v>19</v>
      </c>
      <c r="D195" s="315" t="s">
        <v>20</v>
      </c>
      <c r="E195" s="315" t="s">
        <v>21</v>
      </c>
    </row>
    <row r="196" spans="2:5" s="310" customFormat="1" ht="20" customHeight="1" x14ac:dyDescent="0.2">
      <c r="B196" s="365" t="s">
        <v>2414</v>
      </c>
      <c r="C196" s="65" t="str">
        <f>CONCATENATE(this_instance,"-w01-vc01.",sample_child_dns_zone)</f>
        <v>sfo-w01-vc01.sfo.rainpole.io</v>
      </c>
      <c r="D196" s="8" t="str">
        <f>cr_mgmt_protect_vc_fqdn</f>
        <v>Value Missing</v>
      </c>
      <c r="E196" s="348"/>
    </row>
    <row r="197" spans="2:5" s="310" customFormat="1" ht="20" customHeight="1" x14ac:dyDescent="0.2">
      <c r="B197" s="365" t="s">
        <v>634</v>
      </c>
      <c r="C197" s="65" t="str">
        <f>CONCATENATE(this_instance,"-w01-cl01")</f>
        <v>sfo-w01-cl01</v>
      </c>
      <c r="D197" s="66"/>
      <c r="E197" s="348"/>
    </row>
    <row r="198" spans="2:5" s="310" customFormat="1" ht="20" customHeight="1" x14ac:dyDescent="0.2">
      <c r="B198" s="365" t="s">
        <v>3464</v>
      </c>
      <c r="C198" s="65" t="s">
        <v>3486</v>
      </c>
      <c r="D198" s="66"/>
      <c r="E198" s="348"/>
    </row>
    <row r="199" spans="2:5" s="310" customFormat="1" ht="20" customHeight="1" x14ac:dyDescent="0.2">
      <c r="B199" s="365" t="s">
        <v>3465</v>
      </c>
      <c r="C199" s="65" t="s">
        <v>3487</v>
      </c>
      <c r="D199" s="66"/>
      <c r="E199" s="348"/>
    </row>
    <row r="200" spans="2:5" s="310" customFormat="1" ht="20" customHeight="1" x14ac:dyDescent="0.2">
      <c r="B200" s="365" t="s">
        <v>3466</v>
      </c>
      <c r="C200" s="65" t="str">
        <f>CONCATENATE(other_instance,"-w01")</f>
        <v>lax-w01</v>
      </c>
      <c r="D200" s="66"/>
      <c r="E200" s="348"/>
    </row>
    <row r="201" spans="2:5" s="310" customFormat="1" ht="20" customHeight="1" x14ac:dyDescent="0.2">
      <c r="B201" s="365" t="s">
        <v>3467</v>
      </c>
      <c r="C201" s="65" t="str">
        <f>CONCATENATE(other_instance,"-w01-cl01")</f>
        <v>lax-w01-cl01</v>
      </c>
      <c r="D201" s="66"/>
      <c r="E201" s="348"/>
    </row>
    <row r="202" spans="2:5" x14ac:dyDescent="0.2">
      <c r="B202" s="367"/>
    </row>
    <row r="203" spans="2:5" ht="30" customHeight="1" x14ac:dyDescent="0.2">
      <c r="B203" s="600" t="s">
        <v>3469</v>
      </c>
      <c r="C203" s="600"/>
      <c r="D203" s="600"/>
      <c r="E203" s="600"/>
    </row>
    <row r="204" spans="2:5" s="310" customFormat="1" ht="20" customHeight="1" x14ac:dyDescent="0.2">
      <c r="B204" s="592"/>
      <c r="C204" s="592"/>
      <c r="D204" s="592"/>
      <c r="E204" s="592"/>
    </row>
    <row r="205" spans="2:5" s="310" customFormat="1" ht="20" customHeight="1" x14ac:dyDescent="0.2">
      <c r="B205" s="314" t="s">
        <v>18</v>
      </c>
      <c r="C205" s="315" t="s">
        <v>19</v>
      </c>
      <c r="D205" s="315" t="s">
        <v>20</v>
      </c>
      <c r="E205" s="315" t="s">
        <v>21</v>
      </c>
    </row>
    <row r="206" spans="2:5" s="310" customFormat="1" ht="20" customHeight="1" x14ac:dyDescent="0.2">
      <c r="B206" s="365" t="s">
        <v>2414</v>
      </c>
      <c r="C206" s="65" t="str">
        <f>CONCATENATE(this_instance,"-w01-vc01.",sample_child_dns_zone)</f>
        <v>sfo-w01-vc01.sfo.rainpole.io</v>
      </c>
      <c r="D206" s="8" t="str">
        <f>cr_mgmt_protect_vc_fqdn</f>
        <v>Value Missing</v>
      </c>
      <c r="E206" s="348"/>
    </row>
    <row r="207" spans="2:5" s="310" customFormat="1" ht="20" customHeight="1" x14ac:dyDescent="0.2">
      <c r="B207" s="365" t="s">
        <v>250</v>
      </c>
      <c r="C207" s="65" t="s">
        <v>3488</v>
      </c>
      <c r="D207" s="66"/>
      <c r="E207" s="348"/>
    </row>
    <row r="208" spans="2:5" s="310" customFormat="1" ht="20" customHeight="1" x14ac:dyDescent="0.2">
      <c r="B208" s="365" t="s">
        <v>3470</v>
      </c>
      <c r="C208" s="65" t="str">
        <f>CONCATENATE(this_instance,"-w01","&lt;----&gt;",other_instance,"-w01")</f>
        <v>sfo-w01&lt;----&gt;lax-w01</v>
      </c>
      <c r="D208" s="66"/>
      <c r="E208" s="348"/>
    </row>
    <row r="209" spans="2:5" s="310" customFormat="1" ht="20" customHeight="1" x14ac:dyDescent="0.2">
      <c r="B209" s="365" t="s">
        <v>3471</v>
      </c>
      <c r="C209" s="65" t="s">
        <v>3486</v>
      </c>
      <c r="D209" s="66"/>
      <c r="E209" s="348"/>
    </row>
    <row r="210" spans="2:5" x14ac:dyDescent="0.2">
      <c r="D210" s="2"/>
    </row>
    <row r="211" spans="2:5" ht="30" customHeight="1" x14ac:dyDescent="0.2">
      <c r="B211" s="600" t="s">
        <v>3472</v>
      </c>
      <c r="C211" s="600"/>
      <c r="D211" s="600"/>
      <c r="E211" s="600"/>
    </row>
    <row r="212" spans="2:5" s="310" customFormat="1" ht="20" customHeight="1" x14ac:dyDescent="0.2">
      <c r="B212" s="592"/>
      <c r="C212" s="592"/>
      <c r="D212" s="592"/>
      <c r="E212" s="592"/>
    </row>
    <row r="213" spans="2:5" s="310" customFormat="1" ht="20" customHeight="1" x14ac:dyDescent="0.2">
      <c r="B213" s="314" t="s">
        <v>18</v>
      </c>
      <c r="C213" s="315" t="s">
        <v>19</v>
      </c>
      <c r="D213" s="315" t="s">
        <v>20</v>
      </c>
      <c r="E213" s="315" t="s">
        <v>21</v>
      </c>
    </row>
    <row r="214" spans="2:5" s="310" customFormat="1" ht="20" customHeight="1" x14ac:dyDescent="0.2">
      <c r="B214" s="365" t="s">
        <v>2649</v>
      </c>
      <c r="C214" s="65" t="str">
        <f>CONCATENATE(this_instance,"-w01-vc01.",sample_child_dns_zone)</f>
        <v>sfo-w01-vc01.sfo.rainpole.io</v>
      </c>
      <c r="D214" s="8" t="str">
        <f>cr_mgmt_protect_vc_fqdn</f>
        <v>Value Missing</v>
      </c>
      <c r="E214" s="348"/>
    </row>
    <row r="215" spans="2:5" s="310" customFormat="1" ht="20" customHeight="1" x14ac:dyDescent="0.2">
      <c r="B215" s="365" t="s">
        <v>3473</v>
      </c>
      <c r="C215" s="65" t="s">
        <v>3488</v>
      </c>
      <c r="D215" s="8"/>
      <c r="E215" s="348"/>
    </row>
    <row r="216" spans="2:5" x14ac:dyDescent="0.2">
      <c r="B216" s="367"/>
    </row>
  </sheetData>
  <sheetProtection algorithmName="SHA-512" hashValue="rKqMe7xLQgYtZd098MBKT5KBTcpFTVpJD0d/3JDKziW2gdh+dBqS7bSY4q1/m5eHsCxllgmwH1Mg28Sd3UVIIg==" saltValue="dAVGmvclVpRy5//eYWE1vA==" spinCount="100000" sheet="1" objects="1" scenarios="1"/>
  <mergeCells count="43">
    <mergeCell ref="B212:E212"/>
    <mergeCell ref="B211:E211"/>
    <mergeCell ref="B151:E151"/>
    <mergeCell ref="B159:E159"/>
    <mergeCell ref="B160:E160"/>
    <mergeCell ref="B166:E166"/>
    <mergeCell ref="B167:E167"/>
    <mergeCell ref="B179:E179"/>
    <mergeCell ref="B180:E180"/>
    <mergeCell ref="B193:E193"/>
    <mergeCell ref="B194:E194"/>
    <mergeCell ref="B203:E203"/>
    <mergeCell ref="B204:E204"/>
    <mergeCell ref="B150:E150"/>
    <mergeCell ref="B91:E91"/>
    <mergeCell ref="B99:E99"/>
    <mergeCell ref="B100:E100"/>
    <mergeCell ref="B107:E107"/>
    <mergeCell ref="B108:E108"/>
    <mergeCell ref="B114:E114"/>
    <mergeCell ref="B115:E115"/>
    <mergeCell ref="B122:E122"/>
    <mergeCell ref="B123:E123"/>
    <mergeCell ref="B128:E128"/>
    <mergeCell ref="B129:E129"/>
    <mergeCell ref="B90:E90"/>
    <mergeCell ref="B31:E31"/>
    <mergeCell ref="B38:E38"/>
    <mergeCell ref="B39:E39"/>
    <mergeCell ref="B45:E45"/>
    <mergeCell ref="B46:E46"/>
    <mergeCell ref="B57:E57"/>
    <mergeCell ref="B58:E58"/>
    <mergeCell ref="B68:E68"/>
    <mergeCell ref="B69:E69"/>
    <mergeCell ref="B83:E83"/>
    <mergeCell ref="B84:E84"/>
    <mergeCell ref="B30:E30"/>
    <mergeCell ref="B2:E2"/>
    <mergeCell ref="B3:E3"/>
    <mergeCell ref="B6:E6"/>
    <mergeCell ref="B8:E8"/>
    <mergeCell ref="B9:E9"/>
  </mergeCells>
  <conditionalFormatting sqref="D11:D28 D33:D36 D41:D43 D48:D55 D60:D66 D71:D81 D86:D88 D93:D97 D102:D105 D110:D112 D117:D120 D125:D126 D131:D148 D153:D157 D162:D164 D169:D177 D182:D191 D196:D201 D206:D209 D214:D215">
    <cfRule type="containsBlanks" dxfId="193" priority="7">
      <formula>LEN(TRIM(D11))=0</formula>
    </cfRule>
  </conditionalFormatting>
  <conditionalFormatting sqref="D93:D97 D102:D105 D110:D112 D117:D120 D125:D126 D182:D191 D196:D201 D206:D209 D131:D148 D153:D157 D162:D164 D169:D177 D214:D215 D11:D28 D33:D36 D41:D43 D48:D55 D60:D66 D71:D81 D86:D88">
    <cfRule type="notContainsBlanks" dxfId="192" priority="6">
      <formula>LEN(TRIM(D11))&gt;0</formula>
    </cfRule>
  </conditionalFormatting>
  <conditionalFormatting sqref="D93:D97 D102:D105 D110:D112 D117:D120 D125:D126 D182:D191 D196:D201 D206:D209">
    <cfRule type="expression" dxfId="191" priority="4">
      <formula>mgmt_domain_chosen="Additional Instance"</formula>
    </cfRule>
  </conditionalFormatting>
  <conditionalFormatting sqref="D131:D148 D153:D157 D162:D164 D169:D177 D214:D215">
    <cfRule type="expression" dxfId="190" priority="3">
      <formula>mgmt_domain_chosen="First Instance"</formula>
    </cfRule>
  </conditionalFormatting>
  <dataValidations disablePrompts="1" count="3">
    <dataValidation type="list" allowBlank="1" showInputMessage="1" showErrorMessage="1" sqref="D118" xr:uid="{A080BDE1-95B2-F341-95ED-BAB071ADCF7D}">
      <formula1>"Carbon Black, Crowd Strike"</formula1>
    </dataValidation>
    <dataValidation type="list" allowBlank="1" showInputMessage="1" showErrorMessage="1" sqref="D171" xr:uid="{3FD86672-539F-3249-A674-0E80B789D9C1}">
      <formula1>"carbon-black-installer,crowdstriker-installer"</formula1>
    </dataValidation>
    <dataValidation type="list" allowBlank="1" showInputMessage="1" showErrorMessage="1" sqref="D173" xr:uid="{1CB16C7A-1AB4-FC49-8C41-27B32D4BD414}">
      <formula1>"Static,DHCP"</formula1>
    </dataValidation>
  </dataValidations>
  <pageMargins left="0.7" right="0.7" top="0.75" bottom="0.75" header="0.3" footer="0.3"/>
  <pageSetup paperSize="9" orientation="portrait" horizontalDpi="0" verticalDpi="0"/>
  <ignoredErrors>
    <ignoredError sqref="C13" formula="1"/>
  </ignoredErrors>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FD00-3C9F-574F-88B6-F4986C3BECA6}">
  <sheetPr codeName="Sheet19">
    <tabColor theme="8" tint="0.39997558519241921"/>
  </sheetPr>
  <dimension ref="A1:E250"/>
  <sheetViews>
    <sheetView showGridLines="0" workbookViewId="0">
      <pane ySplit="4" topLeftCell="A5" activePane="bottomLeft" state="frozen"/>
      <selection pane="bottomLeft"/>
    </sheetView>
  </sheetViews>
  <sheetFormatPr baseColWidth="10" defaultRowHeight="16" x14ac:dyDescent="0.2"/>
  <cols>
    <col min="1" max="1" width="2.83203125" style="9" customWidth="1"/>
    <col min="2" max="2" width="75.83203125" style="9" customWidth="1"/>
    <col min="3" max="4" width="75.83203125" style="2" customWidth="1"/>
    <col min="5" max="5" width="100.83203125" style="2" customWidth="1"/>
    <col min="6" max="7" width="10.83203125" style="9" customWidth="1"/>
    <col min="8" max="16384" width="10.83203125" style="9"/>
  </cols>
  <sheetData>
    <row r="1" spans="1:5" x14ac:dyDescent="0.2">
      <c r="A1" s="145"/>
    </row>
    <row r="2" spans="1:5" ht="54" customHeight="1" x14ac:dyDescent="0.2">
      <c r="A2" s="148"/>
      <c r="B2" s="571" t="s">
        <v>3378</v>
      </c>
      <c r="C2" s="571"/>
      <c r="D2" s="571"/>
      <c r="E2" s="571"/>
    </row>
    <row r="3" spans="1:5" s="25" customFormat="1" ht="20" customHeight="1" x14ac:dyDescent="0.2">
      <c r="A3" s="61"/>
      <c r="B3" s="572" t="s">
        <v>1</v>
      </c>
      <c r="C3" s="572"/>
      <c r="D3" s="572"/>
      <c r="E3" s="572"/>
    </row>
    <row r="6" spans="1:5" ht="32" customHeight="1" x14ac:dyDescent="0.2">
      <c r="B6" s="550" t="s">
        <v>2568</v>
      </c>
      <c r="C6" s="551"/>
      <c r="D6" s="551"/>
      <c r="E6" s="552"/>
    </row>
    <row r="7" spans="1:5" ht="20" customHeight="1" x14ac:dyDescent="0.2">
      <c r="B7" s="553"/>
      <c r="C7" s="554"/>
      <c r="D7" s="554"/>
      <c r="E7" s="555"/>
    </row>
    <row r="8" spans="1:5" ht="20" customHeight="1" x14ac:dyDescent="0.2">
      <c r="B8" s="63" t="s">
        <v>18</v>
      </c>
      <c r="C8" s="63" t="s">
        <v>19</v>
      </c>
      <c r="D8" s="63" t="s">
        <v>20</v>
      </c>
      <c r="E8" s="63" t="s">
        <v>21</v>
      </c>
    </row>
    <row r="9" spans="1:5" ht="20" customHeight="1" x14ac:dyDescent="0.2">
      <c r="B9" s="4" t="s">
        <v>2310</v>
      </c>
      <c r="C9" s="65" t="str">
        <f>CONCATENATE(this_instance,"-m01-vc01.",sample_child_dns_zone)</f>
        <v>sfo-m01-vc01.sfo.rainpole.io</v>
      </c>
      <c r="D9" s="66"/>
      <c r="E9" s="8"/>
    </row>
    <row r="10" spans="1:5" ht="20" customHeight="1" x14ac:dyDescent="0.2">
      <c r="B10" s="4" t="s">
        <v>634</v>
      </c>
      <c r="C10" s="65" t="str">
        <f>sample_mgmt_cl01_cluster</f>
        <v>sfo-m01-cl01</v>
      </c>
      <c r="D10" s="66"/>
      <c r="E10" s="8"/>
    </row>
    <row r="11" spans="1:5" ht="20" customHeight="1" x14ac:dyDescent="0.2">
      <c r="B11" s="4" t="s">
        <v>2245</v>
      </c>
      <c r="C11" s="172" t="str">
        <f>CONCATENATE(this_instance,"-w01-vlr01")</f>
        <v>sfo-w01-vlr01</v>
      </c>
      <c r="D11" s="66"/>
      <c r="E11" s="8"/>
    </row>
    <row r="12" spans="1:5" ht="20" customHeight="1" x14ac:dyDescent="0.2">
      <c r="B12" s="4" t="s">
        <v>2247</v>
      </c>
      <c r="C12" s="65" t="str">
        <f>sample_mgmt_cl01_cluster</f>
        <v>sfo-m01-cl01</v>
      </c>
      <c r="D12" s="66"/>
      <c r="E12" s="8"/>
    </row>
    <row r="13" spans="1:5" ht="20" customHeight="1" x14ac:dyDescent="0.2">
      <c r="B13" s="4" t="s">
        <v>102</v>
      </c>
      <c r="C13" s="65" t="str">
        <f>sample_mgmt_cl01_vsan_datastore</f>
        <v>sfo-m01-cl01-ds-vsan01</v>
      </c>
      <c r="D13" s="66"/>
      <c r="E13" s="8"/>
    </row>
    <row r="14" spans="1:5" ht="20" customHeight="1" x14ac:dyDescent="0.2">
      <c r="B14" s="4" t="s">
        <v>2248</v>
      </c>
      <c r="C14" s="65" t="str">
        <f>sample_mgmt_cl01_az1_mgmt_vm_pg</f>
        <v>sfo-m01-cl01-vds01-pg-vm-mgmt</v>
      </c>
      <c r="D14" s="66"/>
      <c r="E14" s="8"/>
    </row>
    <row r="15" spans="1:5" ht="20" customHeight="1" x14ac:dyDescent="0.2">
      <c r="B15" s="4" t="s">
        <v>291</v>
      </c>
      <c r="C15" s="65" t="str">
        <f>CONCATENATE(this_instance,"-w01-vlr01",".",sample_child_dns_zone)</f>
        <v>sfo-w01-vlr01.sfo.rainpole.io</v>
      </c>
      <c r="D15" s="8" t="str">
        <f>wld_vlr_fqdn</f>
        <v>Value Missing.Value Missing</v>
      </c>
      <c r="E15" s="8"/>
    </row>
    <row r="16" spans="1:5" ht="20" customHeight="1" x14ac:dyDescent="0.2">
      <c r="B16" s="4" t="s">
        <v>2569</v>
      </c>
      <c r="C16" s="65" t="s">
        <v>137</v>
      </c>
      <c r="D16" s="66"/>
      <c r="E16" s="8"/>
    </row>
    <row r="17" spans="2:5" ht="20" customHeight="1" x14ac:dyDescent="0.2">
      <c r="B17" s="4" t="s">
        <v>2570</v>
      </c>
      <c r="C17" s="65" t="s">
        <v>137</v>
      </c>
      <c r="D17" s="66"/>
      <c r="E17" s="8"/>
    </row>
    <row r="18" spans="2:5" ht="20" customHeight="1" x14ac:dyDescent="0.2">
      <c r="B18" s="4" t="s">
        <v>288</v>
      </c>
      <c r="C18" s="65" t="str">
        <f>sample_region_ntp1_server</f>
        <v>ntp0.sfo.rainpole.io</v>
      </c>
      <c r="D18" s="66"/>
      <c r="E18" s="8"/>
    </row>
    <row r="19" spans="2:5" ht="20" customHeight="1" x14ac:dyDescent="0.2">
      <c r="B19" s="4" t="s">
        <v>243</v>
      </c>
      <c r="C19" s="65" t="str">
        <f>sample_mgmt_az1_mgmt_vm_gateway_cidr</f>
        <v>10.11.10.1/24</v>
      </c>
      <c r="D19" s="66"/>
      <c r="E19" s="8"/>
    </row>
    <row r="20" spans="2:5" ht="20" customHeight="1" x14ac:dyDescent="0.2">
      <c r="B20" s="4" t="s">
        <v>553</v>
      </c>
      <c r="C20" s="65" t="str">
        <f>CONCATENATE(this_instance,".rainpole.io")</f>
        <v>sfo.rainpole.io</v>
      </c>
      <c r="D20" s="66"/>
      <c r="E20" s="8"/>
    </row>
    <row r="21" spans="2:5" ht="20" customHeight="1" x14ac:dyDescent="0.2">
      <c r="B21" s="4" t="s">
        <v>554</v>
      </c>
      <c r="C21" s="65" t="str">
        <f>sample_rwr_child_dns_zone</f>
        <v>sfo.rainpole.io</v>
      </c>
      <c r="D21" s="8" t="str">
        <f>rwr_child_dns_zone</f>
        <v>Value Missing</v>
      </c>
      <c r="E21" s="8"/>
    </row>
    <row r="22" spans="2:5" ht="20" customHeight="1" x14ac:dyDescent="0.2">
      <c r="B22" s="4" t="s">
        <v>2252</v>
      </c>
      <c r="C22" s="65" t="str">
        <f>CONCATENATE(sample_region_dns1_ip,",",sample_region_dns2_ip)</f>
        <v>10.11.10.4,10.11.10.5</v>
      </c>
      <c r="D22" s="66"/>
      <c r="E22" s="8"/>
    </row>
    <row r="23" spans="2:5" ht="20" customHeight="1" x14ac:dyDescent="0.2">
      <c r="B23" s="4" t="s">
        <v>2253</v>
      </c>
      <c r="C23" s="172" t="str">
        <f>IF(mgmt_dpg_reuse_result="Included",CONCATENATE(prefix_mgmt_az1_cidr,"10.127"),CONCATENATE(prefix_mgmt_az1_cidr,"11.127"))</f>
        <v>10.11.10.127</v>
      </c>
      <c r="D23" s="66"/>
      <c r="E23" s="8"/>
    </row>
    <row r="24" spans="2:5" ht="20" customHeight="1" x14ac:dyDescent="0.2">
      <c r="B24" s="4" t="s">
        <v>2571</v>
      </c>
      <c r="C24" s="65">
        <v>24</v>
      </c>
      <c r="D24" s="66"/>
      <c r="E24" s="8"/>
    </row>
    <row r="26" spans="2:5" ht="32" customHeight="1" x14ac:dyDescent="0.2">
      <c r="B26" s="550" t="s">
        <v>2572</v>
      </c>
      <c r="C26" s="551"/>
      <c r="D26" s="551"/>
      <c r="E26" s="552"/>
    </row>
    <row r="27" spans="2:5" ht="20" customHeight="1" x14ac:dyDescent="0.2">
      <c r="B27" s="553"/>
      <c r="C27" s="554"/>
      <c r="D27" s="554"/>
      <c r="E27" s="555"/>
    </row>
    <row r="28" spans="2:5" ht="20" customHeight="1" x14ac:dyDescent="0.2">
      <c r="B28" s="63" t="s">
        <v>18</v>
      </c>
      <c r="C28" s="63" t="s">
        <v>19</v>
      </c>
      <c r="D28" s="63" t="s">
        <v>20</v>
      </c>
      <c r="E28" s="63" t="s">
        <v>21</v>
      </c>
    </row>
    <row r="29" spans="2:5" ht="20" customHeight="1" x14ac:dyDescent="0.2">
      <c r="B29" s="4" t="s">
        <v>2421</v>
      </c>
      <c r="C29" s="65" t="str">
        <f>CONCATENATE(sample_wld_vlr_fqdn,":5480")</f>
        <v>sfo-w01-vlr01.sfo.rainpole.io:5480</v>
      </c>
      <c r="D29" s="8" t="str">
        <f>CONCATENATE(wld_vlr_fqdn,":5480")</f>
        <v>Value Missing.Value Missing:5480</v>
      </c>
      <c r="E29" s="8"/>
    </row>
    <row r="30" spans="2:5" ht="20" customHeight="1" x14ac:dyDescent="0.2">
      <c r="B30" s="4" t="s">
        <v>59</v>
      </c>
      <c r="C30" s="65" t="s">
        <v>60</v>
      </c>
      <c r="D30" s="66"/>
      <c r="E30" s="8"/>
    </row>
    <row r="31" spans="2:5" ht="20" customHeight="1" x14ac:dyDescent="0.2">
      <c r="B31" s="4" t="s">
        <v>2409</v>
      </c>
      <c r="C31" s="65" t="s">
        <v>62</v>
      </c>
      <c r="D31" s="66"/>
      <c r="E31" s="8"/>
    </row>
    <row r="32" spans="2:5" ht="20" customHeight="1" x14ac:dyDescent="0.2">
      <c r="B32" s="4" t="s">
        <v>67</v>
      </c>
      <c r="C32" s="65" t="str">
        <f>IF(mgmt_domain_chosen="First Instance","San Francisco","Los Angeles ")</f>
        <v>San Francisco</v>
      </c>
      <c r="D32" s="66"/>
      <c r="E32" s="8"/>
    </row>
    <row r="33" spans="2:5" ht="20" customHeight="1" x14ac:dyDescent="0.2">
      <c r="B33" s="4" t="s">
        <v>65</v>
      </c>
      <c r="C33" s="172" t="s">
        <v>66</v>
      </c>
      <c r="D33" s="66"/>
      <c r="E33" s="8"/>
    </row>
    <row r="34" spans="2:5" ht="20" customHeight="1" x14ac:dyDescent="0.2">
      <c r="B34" s="4" t="s">
        <v>63</v>
      </c>
      <c r="C34" s="65" t="s">
        <v>64</v>
      </c>
      <c r="D34" s="66"/>
      <c r="E34" s="8"/>
    </row>
    <row r="35" spans="2:5" ht="20" customHeight="1" x14ac:dyDescent="0.2">
      <c r="B35" s="4" t="s">
        <v>39</v>
      </c>
      <c r="C35" s="65" t="str">
        <f>sample_wld_vlr_fqdn</f>
        <v>sfo-w01-vlr01.sfo.rainpole.io</v>
      </c>
      <c r="D35" s="66"/>
      <c r="E35" s="8"/>
    </row>
    <row r="36" spans="2:5" ht="20" customHeight="1" x14ac:dyDescent="0.2">
      <c r="B36" s="4" t="s">
        <v>2410</v>
      </c>
      <c r="C36" s="65" t="str">
        <f>sample_wld_vlr_mgmt_ip</f>
        <v>10.11.10.127</v>
      </c>
      <c r="D36" s="66"/>
      <c r="E36" s="8"/>
    </row>
    <row r="37" spans="2:5" ht="20" customHeight="1" x14ac:dyDescent="0.2">
      <c r="B37" s="4" t="s">
        <v>2411</v>
      </c>
      <c r="C37" s="65" t="s">
        <v>2412</v>
      </c>
      <c r="D37" s="66"/>
      <c r="E37" s="8"/>
    </row>
    <row r="39" spans="2:5" ht="32" customHeight="1" x14ac:dyDescent="0.2">
      <c r="B39" s="550" t="s">
        <v>2573</v>
      </c>
      <c r="C39" s="551"/>
      <c r="D39" s="551"/>
      <c r="E39" s="552"/>
    </row>
    <row r="40" spans="2:5" ht="20" customHeight="1" x14ac:dyDescent="0.2">
      <c r="B40" s="553"/>
      <c r="C40" s="554"/>
      <c r="D40" s="554"/>
      <c r="E40" s="555"/>
    </row>
    <row r="41" spans="2:5" ht="20" customHeight="1" x14ac:dyDescent="0.2">
      <c r="B41" s="63" t="s">
        <v>18</v>
      </c>
      <c r="C41" s="63" t="s">
        <v>19</v>
      </c>
      <c r="D41" s="63" t="s">
        <v>20</v>
      </c>
      <c r="E41" s="63" t="s">
        <v>21</v>
      </c>
    </row>
    <row r="42" spans="2:5" ht="20" customHeight="1" x14ac:dyDescent="0.2">
      <c r="B42" s="4" t="s">
        <v>2414</v>
      </c>
      <c r="C42" s="65" t="str">
        <f>CONCATENATE(this_instance,"-w01-vc01.",sample_child_dns_zone)</f>
        <v>sfo-w01-vc01.sfo.rainpole.io</v>
      </c>
      <c r="D42" s="66"/>
      <c r="E42" s="8"/>
    </row>
    <row r="43" spans="2:5" ht="20" customHeight="1" x14ac:dyDescent="0.2">
      <c r="B43" s="4" t="s">
        <v>2126</v>
      </c>
      <c r="C43" s="65" t="str">
        <f>CONCATENATE(this_instance,"-w0",wld_domain_number_chosen,".local")</f>
        <v>sfo-w01.local</v>
      </c>
      <c r="D43" s="66"/>
      <c r="E43" s="8"/>
    </row>
    <row r="44" spans="2:5" ht="20" customHeight="1" x14ac:dyDescent="0.2">
      <c r="B44" s="4" t="s">
        <v>2416</v>
      </c>
      <c r="C44" s="65" t="str">
        <f>CONCATENATE("svc_",sample_wld_vlr_hostname,"_",CONCATENATE(this_instance,"-w01","-vc01"))</f>
        <v>svc_sfo-w01-vlr01_sfo-w01-vc01</v>
      </c>
      <c r="D44" s="66"/>
      <c r="E44" s="8"/>
    </row>
    <row r="45" spans="2:5" ht="20" customHeight="1" x14ac:dyDescent="0.2">
      <c r="B45" s="4" t="s">
        <v>2417</v>
      </c>
      <c r="C45" s="65" t="s">
        <v>137</v>
      </c>
      <c r="D45" s="66"/>
      <c r="E45" s="8"/>
    </row>
    <row r="47" spans="2:5" ht="32" customHeight="1" x14ac:dyDescent="0.2">
      <c r="B47" s="550" t="s">
        <v>2574</v>
      </c>
      <c r="C47" s="551"/>
      <c r="D47" s="551"/>
      <c r="E47" s="552"/>
    </row>
    <row r="48" spans="2:5" ht="20" customHeight="1" x14ac:dyDescent="0.2">
      <c r="B48" s="553"/>
      <c r="C48" s="554"/>
      <c r="D48" s="554"/>
      <c r="E48" s="555"/>
    </row>
    <row r="49" spans="2:5" ht="20" customHeight="1" x14ac:dyDescent="0.2">
      <c r="B49" s="63" t="s">
        <v>18</v>
      </c>
      <c r="C49" s="63" t="s">
        <v>19</v>
      </c>
      <c r="D49" s="63" t="s">
        <v>20</v>
      </c>
      <c r="E49" s="63" t="s">
        <v>21</v>
      </c>
    </row>
    <row r="50" spans="2:5" ht="20" customHeight="1" x14ac:dyDescent="0.2">
      <c r="B50" s="155" t="s">
        <v>2414</v>
      </c>
      <c r="C50" s="65" t="str">
        <f>sample_wld_rwr_vc_fqdn</f>
        <v>sfo-w01-vc01.sfo.rainpole.io</v>
      </c>
      <c r="D50" s="8" t="str">
        <f>wld_rwr_vc_fqdn</f>
        <v>Value Missing</v>
      </c>
      <c r="E50" s="8"/>
    </row>
    <row r="51" spans="2:5" ht="20" customHeight="1" x14ac:dyDescent="0.2">
      <c r="B51" s="155" t="s">
        <v>2126</v>
      </c>
      <c r="C51" s="65" t="str">
        <f>sample_wld_sso_domain_name</f>
        <v>sfo-w01.local</v>
      </c>
      <c r="D51" s="8" t="str">
        <f>wld_sso_domain_name</f>
        <v>Value Missing</v>
      </c>
      <c r="E51" s="8"/>
    </row>
    <row r="52" spans="2:5" ht="20" customHeight="1" x14ac:dyDescent="0.2">
      <c r="B52" s="155" t="s">
        <v>41</v>
      </c>
      <c r="C52" s="65" t="str">
        <f>sample_wld_vlr_replication_user</f>
        <v>svc_sfo-w01-vlr01_sfo-w01-vc01</v>
      </c>
      <c r="D52" s="8" t="str">
        <f>wld_vlr_replication_user</f>
        <v>Value Missing</v>
      </c>
      <c r="E52" s="8"/>
    </row>
    <row r="53" spans="2:5" x14ac:dyDescent="0.2">
      <c r="B53" s="308"/>
    </row>
    <row r="54" spans="2:5" ht="32" customHeight="1" x14ac:dyDescent="0.2">
      <c r="B54" s="550" t="s">
        <v>2575</v>
      </c>
      <c r="C54" s="551"/>
      <c r="D54" s="551"/>
      <c r="E54" s="552"/>
    </row>
    <row r="55" spans="2:5" ht="20" customHeight="1" x14ac:dyDescent="0.2">
      <c r="B55" s="553"/>
      <c r="C55" s="554"/>
      <c r="D55" s="554"/>
      <c r="E55" s="555"/>
    </row>
    <row r="56" spans="2:5" ht="20" customHeight="1" x14ac:dyDescent="0.2">
      <c r="B56" s="63" t="s">
        <v>18</v>
      </c>
      <c r="C56" s="63" t="s">
        <v>19</v>
      </c>
      <c r="D56" s="63" t="s">
        <v>20</v>
      </c>
      <c r="E56" s="63" t="s">
        <v>21</v>
      </c>
    </row>
    <row r="57" spans="2:5" ht="20" customHeight="1" x14ac:dyDescent="0.2">
      <c r="B57" s="4" t="s">
        <v>2421</v>
      </c>
      <c r="C57" s="65" t="str">
        <f>CONCATENATE(sample_wld_vlr_fqdn,":5480")</f>
        <v>sfo-w01-vlr01.sfo.rainpole.io:5480</v>
      </c>
      <c r="D57" s="8" t="str">
        <f>CONCATENATE(wld_vlr_fqdn,":5480")</f>
        <v>Value Missing.Value Missing:5480</v>
      </c>
      <c r="E57" s="8"/>
    </row>
    <row r="58" spans="2:5" ht="20" customHeight="1" x14ac:dyDescent="0.2">
      <c r="B58" s="4" t="s">
        <v>2259</v>
      </c>
      <c r="C58" s="65" t="str">
        <f>sample_wld_rwr_vc_fqdn</f>
        <v>sfo-w01-vc01.sfo.rainpole.io</v>
      </c>
      <c r="D58" s="8" t="str">
        <f>wld_rwr_vc_fqdn</f>
        <v>Value Missing</v>
      </c>
      <c r="E58" s="8"/>
    </row>
    <row r="59" spans="2:5" ht="20" customHeight="1" x14ac:dyDescent="0.2">
      <c r="B59" s="4" t="s">
        <v>79</v>
      </c>
      <c r="C59" s="65" t="str">
        <f>CONCATENATE(sample_wld_vlr_replication_user,"@",sample_rwr_sso_domain_name)</f>
        <v>svc_sfo-w01-vlr01_sfo-w01-vc01@sfo-w01.local</v>
      </c>
      <c r="D59" s="8" t="str">
        <f t="array" ref="D59">CONCATENATE(wld_vlr_replication_user,"@",rwr_sso_domain_name)</f>
        <v>Value Missing@Value Missing</v>
      </c>
      <c r="E59" s="8"/>
    </row>
    <row r="60" spans="2:5" ht="20" customHeight="1" x14ac:dyDescent="0.2">
      <c r="B60" s="4" t="s">
        <v>30</v>
      </c>
      <c r="C60" s="65" t="s">
        <v>137</v>
      </c>
      <c r="D60" s="8" t="str">
        <f>rwr_vlr_replication_password</f>
        <v>Value Missing</v>
      </c>
      <c r="E60" s="8"/>
    </row>
    <row r="61" spans="2:5" ht="20" customHeight="1" x14ac:dyDescent="0.2">
      <c r="B61" s="4" t="s">
        <v>1374</v>
      </c>
      <c r="C61" s="65" t="str">
        <f>sample_wld_vc_fqdn</f>
        <v>sfo-w01-vc01.sfo.rainpole.io</v>
      </c>
      <c r="D61" s="8" t="str">
        <f>wld_rwr_vc_fqdn</f>
        <v>Value Missing</v>
      </c>
      <c r="E61" s="8"/>
    </row>
    <row r="62" spans="2:5" ht="20" customHeight="1" x14ac:dyDescent="0.2">
      <c r="B62" s="4" t="s">
        <v>2143</v>
      </c>
      <c r="C62" s="65" t="str">
        <f>IF(mgmt_domain_chosen="First Instance","SFO-W01","LAX-W01 ")</f>
        <v>SFO-W01</v>
      </c>
      <c r="D62" s="66"/>
      <c r="E62" s="8"/>
    </row>
    <row r="63" spans="2:5" ht="20" customHeight="1" x14ac:dyDescent="0.2">
      <c r="B63" s="4" t="s">
        <v>2260</v>
      </c>
      <c r="C63" s="65" t="s">
        <v>2576</v>
      </c>
      <c r="D63" s="66"/>
      <c r="E63" s="8"/>
    </row>
    <row r="64" spans="2:5" ht="20" customHeight="1" x14ac:dyDescent="0.2">
      <c r="B64" s="4" t="s">
        <v>2261</v>
      </c>
      <c r="C64" s="65" t="str">
        <f>sample_wld_vlr_fqdn</f>
        <v>sfo-w01-vlr01.sfo.rainpole.io</v>
      </c>
      <c r="D64" s="8" t="str">
        <f>wld_vlr_fqdn</f>
        <v>Value Missing.Value Missing</v>
      </c>
      <c r="E64" s="8"/>
    </row>
    <row r="66" spans="2:5" ht="32" customHeight="1" x14ac:dyDescent="0.2">
      <c r="B66" s="550" t="s">
        <v>2577</v>
      </c>
      <c r="C66" s="551"/>
      <c r="D66" s="551"/>
      <c r="E66" s="552"/>
    </row>
    <row r="67" spans="2:5" ht="20" customHeight="1" x14ac:dyDescent="0.2">
      <c r="B67" s="553"/>
      <c r="C67" s="554"/>
      <c r="D67" s="554"/>
      <c r="E67" s="555"/>
    </row>
    <row r="68" spans="2:5" ht="20" customHeight="1" x14ac:dyDescent="0.2">
      <c r="B68" s="63" t="s">
        <v>18</v>
      </c>
      <c r="C68" s="63" t="s">
        <v>19</v>
      </c>
      <c r="D68" s="63" t="s">
        <v>20</v>
      </c>
      <c r="E68" s="63" t="s">
        <v>21</v>
      </c>
    </row>
    <row r="69" spans="2:5" ht="20" customHeight="1" x14ac:dyDescent="0.2">
      <c r="B69" s="4" t="s">
        <v>2414</v>
      </c>
      <c r="C69" s="65" t="str">
        <f>sample_wld_rwr_vc_fqdn</f>
        <v>sfo-w01-vc01.sfo.rainpole.io</v>
      </c>
      <c r="D69" s="8" t="str">
        <f>wld_rwr_vc_fqdn</f>
        <v>Value Missing</v>
      </c>
      <c r="E69" s="8"/>
    </row>
    <row r="70" spans="2:5" ht="20" customHeight="1" x14ac:dyDescent="0.2">
      <c r="B70" s="4" t="s">
        <v>2263</v>
      </c>
      <c r="C70" s="65" t="str">
        <f>IF(mgmt_domain_chosen="First Instance",_xlfn.CONCAT(this_instance,"-w01","-cl01","-vds01"),_xlfn.CONCAT(this_instance,"-w01","-cl01","-vds01"))</f>
        <v>sfo-w01-cl01-vds01</v>
      </c>
      <c r="D70" s="66"/>
      <c r="E70" s="8" t="str">
        <f>IF(mgmt_domain_chosen="First Instance","","vSAN Storage Cluster")</f>
        <v/>
      </c>
    </row>
    <row r="71" spans="2:5" ht="20" customHeight="1" x14ac:dyDescent="0.2">
      <c r="B71" s="4" t="s">
        <v>250</v>
      </c>
      <c r="C71" s="65" t="str">
        <f>CONCATENATE(sample_wld_rwr_cl02_vds01,"-pg-vrms")</f>
        <v>sfo-w01-cl01-vds01-pg-vrms</v>
      </c>
      <c r="D71" s="66"/>
      <c r="E71" s="8" t="str">
        <f>IF(mgmt_domain_chosen="First Instance","","vSAN Storage Cluster")</f>
        <v/>
      </c>
    </row>
    <row r="72" spans="2:5" ht="20" customHeight="1" x14ac:dyDescent="0.2">
      <c r="B72" s="4" t="s">
        <v>85</v>
      </c>
      <c r="C72" s="103" t="str">
        <f>CONCATENATE(prefix_wld_az1_vlan,"09")</f>
        <v>1309</v>
      </c>
      <c r="D72" s="66"/>
      <c r="E72" s="8"/>
    </row>
    <row r="74" spans="2:5" ht="32" customHeight="1" x14ac:dyDescent="0.2">
      <c r="B74" s="550" t="s">
        <v>2578</v>
      </c>
      <c r="C74" s="551"/>
      <c r="D74" s="551"/>
      <c r="E74" s="552"/>
    </row>
    <row r="75" spans="2:5" ht="20" customHeight="1" x14ac:dyDescent="0.2">
      <c r="B75" s="553"/>
      <c r="C75" s="554"/>
      <c r="D75" s="554"/>
      <c r="E75" s="555"/>
    </row>
    <row r="76" spans="2:5" ht="20" customHeight="1" x14ac:dyDescent="0.2">
      <c r="B76" s="63" t="s">
        <v>18</v>
      </c>
      <c r="C76" s="63" t="s">
        <v>19</v>
      </c>
      <c r="D76" s="63" t="s">
        <v>20</v>
      </c>
      <c r="E76" s="63" t="s">
        <v>21</v>
      </c>
    </row>
    <row r="77" spans="2:5" ht="20" customHeight="1" x14ac:dyDescent="0.2">
      <c r="B77" s="4" t="s">
        <v>2414</v>
      </c>
      <c r="C77" s="65" t="str">
        <f>sample_wld_rwr_vc_fqdn</f>
        <v>sfo-w01-vc01.sfo.rainpole.io</v>
      </c>
      <c r="D77" s="8" t="str">
        <f>wld_rwr_vc_fqdn</f>
        <v>Value Missing</v>
      </c>
      <c r="E77" s="8"/>
    </row>
    <row r="78" spans="2:5" ht="20" customHeight="1" x14ac:dyDescent="0.2">
      <c r="B78" s="4" t="s">
        <v>634</v>
      </c>
      <c r="C78" s="65" t="str">
        <f>IF(mgmt_domain_chosen="First Instance",sample_wld_cl01_cluster,_xlfn.CONCAT(this_instance,"-w01","-cl01"))</f>
        <v>sfo-w01-cl01</v>
      </c>
      <c r="D78" s="66"/>
      <c r="E78" s="8" t="str">
        <f>IF(mgmt_domain_chosen="First Instance","","vSAN Storage Cluster")</f>
        <v/>
      </c>
    </row>
    <row r="79" spans="2:5" ht="20" customHeight="1" x14ac:dyDescent="0.2">
      <c r="B79" s="4" t="s">
        <v>551</v>
      </c>
      <c r="C79" s="65" t="str">
        <f>IF(mgmt_domain_chosen="First Domain",sample_wld_vrms_pg,_xlfn.CONCAT(this_instance,"-w01","-cl01","-vds01-pg-vrms"))</f>
        <v>sfo-w01-cl01-vds01-pg-vrms</v>
      </c>
      <c r="D79" s="8" t="str">
        <f>rwr_vrms_pg</f>
        <v>Value Missing</v>
      </c>
      <c r="E79" s="8"/>
    </row>
    <row r="80" spans="2:5" ht="20" customHeight="1" x14ac:dyDescent="0.2">
      <c r="B80" s="4" t="s">
        <v>2579</v>
      </c>
      <c r="C80" s="65" t="str">
        <f>sample_wld_az1_host1_fqdn</f>
        <v>sfo01-w01-r01-esx01.sfo.rainpole.io</v>
      </c>
      <c r="D80" s="66"/>
      <c r="E80" s="8"/>
    </row>
    <row r="81" spans="2:5" ht="20" customHeight="1" x14ac:dyDescent="0.2">
      <c r="B81" s="4" t="s">
        <v>2580</v>
      </c>
      <c r="C81" s="65" t="str">
        <f>sample_wld_az1_host1_vrms_ip</f>
        <v>10.13.9.101</v>
      </c>
      <c r="D81" s="66"/>
      <c r="E81" s="8"/>
    </row>
    <row r="82" spans="2:5" ht="20" customHeight="1" x14ac:dyDescent="0.2">
      <c r="B82" s="4" t="s">
        <v>2581</v>
      </c>
      <c r="C82" s="65" t="s">
        <v>126</v>
      </c>
      <c r="D82" s="66"/>
      <c r="E82" s="8"/>
    </row>
    <row r="83" spans="2:5" ht="20" customHeight="1" x14ac:dyDescent="0.2">
      <c r="B83" s="4" t="s">
        <v>2582</v>
      </c>
      <c r="C83" s="65" t="str">
        <f>sample_wld_az1_host2_fqdn</f>
        <v>sfo01-w01-r01-esx02.sfo.rainpole.io</v>
      </c>
      <c r="D83" s="66"/>
      <c r="E83" s="8"/>
    </row>
    <row r="84" spans="2:5" ht="20" customHeight="1" x14ac:dyDescent="0.2">
      <c r="B84" s="4" t="s">
        <v>2583</v>
      </c>
      <c r="C84" s="65" t="str">
        <f>sample_wld_az1_host2_vrms_ip</f>
        <v>10.13.9.102</v>
      </c>
      <c r="D84" s="66"/>
      <c r="E84" s="8"/>
    </row>
    <row r="85" spans="2:5" ht="20" customHeight="1" x14ac:dyDescent="0.2">
      <c r="B85" s="4" t="s">
        <v>2584</v>
      </c>
      <c r="C85" s="65" t="str">
        <f>sample_wld_az1_vrms_mask</f>
        <v>255.255.255.0</v>
      </c>
      <c r="D85" s="8" t="str">
        <f t="array" ref="D85">wld_rwr_az1_vrms_gateway_mask</f>
        <v>Value Missing</v>
      </c>
      <c r="E85" s="8"/>
    </row>
    <row r="86" spans="2:5" ht="20" customHeight="1" x14ac:dyDescent="0.2">
      <c r="B86" s="4" t="s">
        <v>2585</v>
      </c>
      <c r="C86" s="65" t="str">
        <f>sample_wld_az1_host3_fqdn</f>
        <v>sfo01-w01-r01-esx03.sfo.rainpole.io</v>
      </c>
      <c r="D86" s="66"/>
      <c r="E86" s="8"/>
    </row>
    <row r="87" spans="2:5" ht="20" customHeight="1" x14ac:dyDescent="0.2">
      <c r="B87" s="4" t="s">
        <v>2586</v>
      </c>
      <c r="C87" s="65" t="str">
        <f>sample_wld_az1_host3_vrms_ip</f>
        <v>10.13.9.103</v>
      </c>
      <c r="D87" s="66"/>
      <c r="E87" s="8"/>
    </row>
    <row r="88" spans="2:5" ht="20" customHeight="1" x14ac:dyDescent="0.2">
      <c r="B88" s="4" t="s">
        <v>2587</v>
      </c>
      <c r="C88" s="65" t="str">
        <f>sample_wld_az1_vrms_mask</f>
        <v>255.255.255.0</v>
      </c>
      <c r="D88" s="8" t="str">
        <f t="array" ref="D88">wld_rwr_az1_vrms_gateway_mask</f>
        <v>Value Missing</v>
      </c>
      <c r="E88" s="8"/>
    </row>
    <row r="89" spans="2:5" ht="20" customHeight="1" x14ac:dyDescent="0.2">
      <c r="B89" s="4" t="s">
        <v>2588</v>
      </c>
      <c r="C89" s="65" t="str">
        <f>sample_wld_az1_host4_fqdn</f>
        <v>sfo01-w01-r01-esx04.sfo.rainpole.io</v>
      </c>
      <c r="D89" s="66"/>
      <c r="E89" s="8"/>
    </row>
    <row r="90" spans="2:5" ht="20" customHeight="1" x14ac:dyDescent="0.2">
      <c r="B90" s="4" t="s">
        <v>2589</v>
      </c>
      <c r="C90" s="65" t="str">
        <f>sample_wld_az1_host4_vrms_ip</f>
        <v>10.13.9.104</v>
      </c>
      <c r="D90" s="66"/>
      <c r="E90" s="8"/>
    </row>
    <row r="91" spans="2:5" ht="20" customHeight="1" x14ac:dyDescent="0.2">
      <c r="B91" s="4" t="s">
        <v>2590</v>
      </c>
      <c r="C91" s="65" t="str">
        <f>sample_wld_az1_vrms_mask</f>
        <v>255.255.255.0</v>
      </c>
      <c r="D91" s="8" t="str">
        <f t="array" ref="D91">wld_rwr_az1_vrms_gateway_mask</f>
        <v>Value Missing</v>
      </c>
      <c r="E91" s="8"/>
    </row>
    <row r="93" spans="2:5" ht="32" customHeight="1" x14ac:dyDescent="0.2">
      <c r="B93" s="550" t="s">
        <v>2591</v>
      </c>
      <c r="C93" s="551"/>
      <c r="D93" s="551"/>
      <c r="E93" s="552"/>
    </row>
    <row r="94" spans="2:5" ht="20" customHeight="1" x14ac:dyDescent="0.2">
      <c r="B94" s="553"/>
      <c r="C94" s="554"/>
      <c r="D94" s="554"/>
      <c r="E94" s="555"/>
    </row>
    <row r="95" spans="2:5" ht="20" customHeight="1" x14ac:dyDescent="0.2">
      <c r="B95" s="63" t="s">
        <v>18</v>
      </c>
      <c r="C95" s="63" t="s">
        <v>19</v>
      </c>
      <c r="D95" s="63" t="s">
        <v>20</v>
      </c>
      <c r="E95" s="63" t="s">
        <v>21</v>
      </c>
    </row>
    <row r="96" spans="2:5" ht="20" customHeight="1" x14ac:dyDescent="0.2">
      <c r="B96" s="4" t="s">
        <v>2414</v>
      </c>
      <c r="C96" s="65" t="str">
        <f>sample_wld_rwr_vc_fqdn</f>
        <v>sfo-w01-vc01.sfo.rainpole.io</v>
      </c>
      <c r="D96" s="8" t="str">
        <f>wld_rwr_vc_fqdn</f>
        <v>Value Missing</v>
      </c>
      <c r="E96" s="8"/>
    </row>
    <row r="97" spans="2:5" ht="20" customHeight="1" x14ac:dyDescent="0.2">
      <c r="B97" s="4" t="s">
        <v>634</v>
      </c>
      <c r="C97" s="65" t="str">
        <f>sample_wld_rwr_cl02_cluster</f>
        <v>sfo-w01-cl01</v>
      </c>
      <c r="D97" s="8" t="str">
        <f t="array" ref="D97">wld_rwr_cl02_cluster</f>
        <v>Value Missing</v>
      </c>
      <c r="E97" s="8" t="str">
        <f>IF(mgmt_domain_chosen="First Instance","","vSAN Storage Cluster")</f>
        <v/>
      </c>
    </row>
    <row r="98" spans="2:5" ht="20" customHeight="1" x14ac:dyDescent="0.2">
      <c r="B98" s="4" t="s">
        <v>2579</v>
      </c>
      <c r="C98" s="65" t="str">
        <f>sample_wld_az1_host1_fqdn</f>
        <v>sfo01-w01-r01-esx01.sfo.rainpole.io</v>
      </c>
      <c r="D98" s="66"/>
      <c r="E98" s="8"/>
    </row>
    <row r="99" spans="2:5" ht="20" customHeight="1" x14ac:dyDescent="0.2">
      <c r="B99" s="4" t="s">
        <v>2592</v>
      </c>
      <c r="C99" s="65" t="str">
        <f>CONCATENATE(prefix_wld_az1_cidr,"9.1")</f>
        <v>10.13.9.1</v>
      </c>
      <c r="D99" s="66"/>
      <c r="E99" s="8"/>
    </row>
    <row r="100" spans="2:5" ht="20" customHeight="1" x14ac:dyDescent="0.2">
      <c r="B100" s="4" t="s">
        <v>2593</v>
      </c>
      <c r="C100" s="65" t="str">
        <f>CONCATENATE(wld_rwr_recoverysite_prefix,"9.0/24")</f>
        <v>10.23.9.0/24</v>
      </c>
      <c r="D100" s="66"/>
      <c r="E100" s="8"/>
    </row>
    <row r="101" spans="2:5" ht="20" customHeight="1" x14ac:dyDescent="0.2">
      <c r="B101" s="4" t="s">
        <v>2594</v>
      </c>
      <c r="C101" s="65" t="str">
        <f>CONCATENATE(prefix_other_region_az1_cidr,"10.0/24")</f>
        <v>10.21.10.0/24</v>
      </c>
      <c r="D101" s="66"/>
      <c r="E101" s="8"/>
    </row>
    <row r="102" spans="2:5" ht="20" customHeight="1" x14ac:dyDescent="0.2">
      <c r="B102" s="4" t="s">
        <v>2582</v>
      </c>
      <c r="C102" s="65" t="str">
        <f>sample_wld_az1_host2_fqdn</f>
        <v>sfo01-w01-r01-esx02.sfo.rainpole.io</v>
      </c>
      <c r="D102" s="66"/>
      <c r="E102" s="8"/>
    </row>
    <row r="103" spans="2:5" ht="20" customHeight="1" x14ac:dyDescent="0.2">
      <c r="B103" s="4" t="s">
        <v>2595</v>
      </c>
      <c r="C103" s="65" t="str">
        <f>sample_wld_az1_vrms_gateway_ip</f>
        <v>10.13.9.1</v>
      </c>
      <c r="D103" s="8" t="str">
        <f>wld_rwr_az1_vrms_gateway_ip</f>
        <v>Value Missing</v>
      </c>
      <c r="E103" s="8"/>
    </row>
    <row r="104" spans="2:5" ht="20" customHeight="1" x14ac:dyDescent="0.2">
      <c r="B104" s="4" t="s">
        <v>2596</v>
      </c>
      <c r="C104" s="65" t="str">
        <f>CONCATENATE(wld_rwr_recoverysite_prefix,"9.0/24")</f>
        <v>10.23.9.0/24</v>
      </c>
      <c r="D104" s="8" t="str">
        <f>wld_rwr_recovery_site_az1_vrms_cidr</f>
        <v>Value Missing</v>
      </c>
      <c r="E104" s="8"/>
    </row>
    <row r="105" spans="2:5" ht="20" customHeight="1" x14ac:dyDescent="0.2">
      <c r="B105" s="4" t="s">
        <v>2597</v>
      </c>
      <c r="C105" s="65" t="str">
        <f>sample_mgmt_rwr_recovery_site_az1_mgmt_cidr</f>
        <v>10.21.10.0/24</v>
      </c>
      <c r="D105" s="8" t="str">
        <f>mgmt_rwr_recovery_site_az1_mgmt_cidr</f>
        <v>Value Missing</v>
      </c>
      <c r="E105" s="8"/>
    </row>
    <row r="106" spans="2:5" ht="20" customHeight="1" x14ac:dyDescent="0.2">
      <c r="B106" s="4" t="s">
        <v>2585</v>
      </c>
      <c r="C106" s="65" t="str">
        <f>sample_wld_az1_host3_fqdn</f>
        <v>sfo01-w01-r01-esx03.sfo.rainpole.io</v>
      </c>
      <c r="D106" s="66"/>
      <c r="E106" s="8"/>
    </row>
    <row r="107" spans="2:5" ht="20" customHeight="1" x14ac:dyDescent="0.2">
      <c r="B107" s="4" t="s">
        <v>2598</v>
      </c>
      <c r="C107" s="65" t="str">
        <f>sample_wld_az1_vrms_gateway_ip</f>
        <v>10.13.9.1</v>
      </c>
      <c r="D107" s="8" t="str">
        <f>wld_rwr_az1_vrms_gateway_ip</f>
        <v>Value Missing</v>
      </c>
      <c r="E107" s="8"/>
    </row>
    <row r="108" spans="2:5" ht="20" customHeight="1" x14ac:dyDescent="0.2">
      <c r="B108" s="4" t="s">
        <v>2599</v>
      </c>
      <c r="C108" s="65" t="str">
        <f>CONCATENATE(wld_rwr_recoverysite_prefix,"9.0/24")</f>
        <v>10.23.9.0/24</v>
      </c>
      <c r="D108" s="8" t="str">
        <f>wld_rwr_recovery_site_az1_vrms_cidr</f>
        <v>Value Missing</v>
      </c>
      <c r="E108" s="8"/>
    </row>
    <row r="109" spans="2:5" ht="20" customHeight="1" x14ac:dyDescent="0.2">
      <c r="B109" s="4" t="s">
        <v>2600</v>
      </c>
      <c r="C109" s="65" t="str">
        <f>sample_mgmt_rwr_recovery_site_az1_mgmt_cidr</f>
        <v>10.21.10.0/24</v>
      </c>
      <c r="D109" s="8" t="str">
        <f>mgmt_rwr_recovery_site_az1_mgmt_cidr</f>
        <v>Value Missing</v>
      </c>
      <c r="E109" s="8"/>
    </row>
    <row r="110" spans="2:5" ht="20" customHeight="1" x14ac:dyDescent="0.2">
      <c r="B110" s="4" t="s">
        <v>2588</v>
      </c>
      <c r="C110" s="65" t="str">
        <f>sample_wld_az1_host4_fqdn</f>
        <v>sfo01-w01-r01-esx04.sfo.rainpole.io</v>
      </c>
      <c r="D110" s="66"/>
      <c r="E110" s="8"/>
    </row>
    <row r="111" spans="2:5" ht="20" customHeight="1" x14ac:dyDescent="0.2">
      <c r="B111" s="4" t="s">
        <v>2601</v>
      </c>
      <c r="C111" s="65" t="str">
        <f>sample_wld_az1_vrms_gateway_ip</f>
        <v>10.13.9.1</v>
      </c>
      <c r="D111" s="8" t="str">
        <f>wld_rwr_az1_vrms_gateway_ip</f>
        <v>Value Missing</v>
      </c>
      <c r="E111" s="8"/>
    </row>
    <row r="112" spans="2:5" ht="20" customHeight="1" x14ac:dyDescent="0.2">
      <c r="B112" s="4" t="s">
        <v>2602</v>
      </c>
      <c r="C112" s="65" t="str">
        <f>CONCATENATE(wld_rwr_recoverysite_prefix,"9.0/24")</f>
        <v>10.23.9.0/24</v>
      </c>
      <c r="D112" s="8" t="str">
        <f>wld_rwr_recovery_site_az1_vrms_cidr</f>
        <v>Value Missing</v>
      </c>
      <c r="E112" s="8"/>
    </row>
    <row r="113" spans="2:5" ht="20" customHeight="1" x14ac:dyDescent="0.2">
      <c r="B113" s="4" t="s">
        <v>2603</v>
      </c>
      <c r="C113" s="65" t="str">
        <f>sample_mgmt_rwr_recovery_site_az1_mgmt_cidr</f>
        <v>10.21.10.0/24</v>
      </c>
      <c r="D113" s="8" t="str">
        <f>mgmt_rwr_recovery_site_az1_mgmt_cidr</f>
        <v>Value Missing</v>
      </c>
      <c r="E113" s="8"/>
    </row>
    <row r="115" spans="2:5" ht="32" customHeight="1" x14ac:dyDescent="0.2">
      <c r="B115" s="550" t="s">
        <v>2604</v>
      </c>
      <c r="C115" s="551"/>
      <c r="D115" s="551"/>
      <c r="E115" s="552"/>
    </row>
    <row r="116" spans="2:5" ht="20" customHeight="1" x14ac:dyDescent="0.2">
      <c r="B116" s="553"/>
      <c r="C116" s="554"/>
      <c r="D116" s="554"/>
      <c r="E116" s="555"/>
    </row>
    <row r="117" spans="2:5" ht="20" customHeight="1" x14ac:dyDescent="0.2">
      <c r="B117" s="63" t="s">
        <v>18</v>
      </c>
      <c r="C117" s="63" t="s">
        <v>19</v>
      </c>
      <c r="D117" s="63" t="s">
        <v>20</v>
      </c>
      <c r="E117" s="63" t="s">
        <v>21</v>
      </c>
    </row>
    <row r="118" spans="2:5" ht="20" customHeight="1" x14ac:dyDescent="0.2">
      <c r="B118" s="304" t="s">
        <v>2605</v>
      </c>
      <c r="C118" s="65" t="str">
        <f>CONCATENATE(this_instance,"-w01-nsx01.",this_instance,".",sample_parent_dns_zone)</f>
        <v>sfo-w01-nsx01.sfo.rainpole.io</v>
      </c>
      <c r="D118" s="66"/>
      <c r="E118" s="8"/>
    </row>
    <row r="119" spans="2:5" ht="20" customHeight="1" x14ac:dyDescent="0.2">
      <c r="B119" s="553" t="s">
        <v>2606</v>
      </c>
      <c r="C119" s="554"/>
      <c r="D119" s="554"/>
      <c r="E119" s="555"/>
    </row>
    <row r="120" spans="2:5" ht="20" customHeight="1" x14ac:dyDescent="0.2">
      <c r="B120" s="4" t="s">
        <v>2607</v>
      </c>
      <c r="C120" s="65" t="s">
        <v>2608</v>
      </c>
      <c r="D120" s="66"/>
      <c r="E120" s="8"/>
    </row>
    <row r="121" spans="2:5" ht="20" customHeight="1" x14ac:dyDescent="0.2">
      <c r="B121" s="4" t="s">
        <v>2609</v>
      </c>
      <c r="C121" s="65" t="s">
        <v>2610</v>
      </c>
      <c r="D121" s="66"/>
      <c r="E121" s="8"/>
    </row>
    <row r="122" spans="2:5" ht="20" customHeight="1" x14ac:dyDescent="0.2">
      <c r="B122" s="4" t="s">
        <v>2611</v>
      </c>
      <c r="C122" s="65" t="s">
        <v>2612</v>
      </c>
      <c r="D122" s="66"/>
      <c r="E122" s="8"/>
    </row>
    <row r="123" spans="2:5" ht="20" customHeight="1" x14ac:dyDescent="0.2">
      <c r="B123" s="4" t="s">
        <v>2613</v>
      </c>
      <c r="C123" s="65" t="str">
        <f>CONCATENATE(this_instance,"-w01","-ec01")</f>
        <v>sfo-w01-ec01</v>
      </c>
      <c r="D123" s="66"/>
      <c r="E123" s="8"/>
    </row>
    <row r="124" spans="2:5" ht="20" customHeight="1" x14ac:dyDescent="0.2">
      <c r="B124" s="553" t="s">
        <v>2614</v>
      </c>
      <c r="C124" s="554"/>
      <c r="D124" s="554"/>
      <c r="E124" s="555"/>
    </row>
    <row r="125" spans="2:5" ht="20" customHeight="1" x14ac:dyDescent="0.2">
      <c r="B125" s="4" t="s">
        <v>467</v>
      </c>
      <c r="C125" s="65" t="str">
        <f>CONCATENATE(this_instance,"-w01","-ec01","-t1","-gw01")</f>
        <v>sfo-w01-ec01-t1-gw01</v>
      </c>
      <c r="D125" s="66"/>
      <c r="E125" s="8"/>
    </row>
    <row r="126" spans="2:5" ht="20" customHeight="1" x14ac:dyDescent="0.2">
      <c r="B126" s="4" t="s">
        <v>468</v>
      </c>
      <c r="C126" s="65" t="str">
        <f>CONCATENATE(this_instance,"-w01","-ec01","-t0","-gw01")</f>
        <v>sfo-w01-ec01-t0-gw01</v>
      </c>
      <c r="D126" s="66"/>
      <c r="E126" s="8"/>
    </row>
    <row r="127" spans="2:5" ht="20" customHeight="1" x14ac:dyDescent="0.2">
      <c r="B127" s="4" t="s">
        <v>88</v>
      </c>
      <c r="C127" s="65" t="str">
        <f>sample_wld_rwr_recovery_site_nsx_ec_name</f>
        <v>sfo-w01-ec01</v>
      </c>
      <c r="D127" s="66"/>
      <c r="E127" s="8"/>
    </row>
    <row r="128" spans="2:5" ht="20" customHeight="1" x14ac:dyDescent="0.2">
      <c r="B128" s="553" t="s">
        <v>2615</v>
      </c>
      <c r="C128" s="554"/>
      <c r="D128" s="554"/>
      <c r="E128" s="555"/>
    </row>
    <row r="129" spans="2:5" ht="20" customHeight="1" x14ac:dyDescent="0.2">
      <c r="B129" s="4" t="s">
        <v>2616</v>
      </c>
      <c r="C129" s="65" t="str">
        <f>CONCATENATE(this_instance,"-w01-seg01-","rwr-ire")</f>
        <v>sfo-w01-seg01-rwr-ire</v>
      </c>
      <c r="D129" s="66"/>
      <c r="E129" s="8"/>
    </row>
    <row r="130" spans="2:5" ht="20" customHeight="1" x14ac:dyDescent="0.2">
      <c r="B130" s="4" t="s">
        <v>2617</v>
      </c>
      <c r="C130" s="65" t="str">
        <f>sample_wld_rwr_recovery_site_nsx_ec_t1_name</f>
        <v>sfo-w01-ec01-t1-gw01</v>
      </c>
      <c r="D130" s="66"/>
      <c r="E130" s="8"/>
    </row>
    <row r="131" spans="2:5" ht="20" customHeight="1" x14ac:dyDescent="0.2">
      <c r="B131" s="4" t="s">
        <v>2618</v>
      </c>
      <c r="C131" s="65" t="str">
        <f>CONCATENATE("overlay-tz-",this_instance,"-w01-nsx01")</f>
        <v>overlay-tz-sfo-w01-nsx01</v>
      </c>
      <c r="D131" s="66"/>
      <c r="E131" s="8"/>
    </row>
    <row r="132" spans="2:5" ht="20" customHeight="1" x14ac:dyDescent="0.2">
      <c r="B132" s="4" t="s">
        <v>2619</v>
      </c>
      <c r="C132" s="65" t="s">
        <v>2620</v>
      </c>
      <c r="D132" s="66"/>
      <c r="E132" s="8"/>
    </row>
    <row r="133" spans="2:5" ht="20" customHeight="1" x14ac:dyDescent="0.2">
      <c r="B133" s="553" t="s">
        <v>2621</v>
      </c>
      <c r="C133" s="554"/>
      <c r="D133" s="554"/>
      <c r="E133" s="555"/>
    </row>
    <row r="134" spans="2:5" ht="20" customHeight="1" x14ac:dyDescent="0.2">
      <c r="B134" s="4" t="s">
        <v>2622</v>
      </c>
      <c r="C134" s="65" t="str">
        <f>C120</f>
        <v>tier1_dhcp_profile</v>
      </c>
      <c r="D134" s="66"/>
      <c r="E134" s="8"/>
    </row>
    <row r="135" spans="2:5" ht="20" customHeight="1" x14ac:dyDescent="0.2">
      <c r="B135" s="4" t="s">
        <v>2623</v>
      </c>
      <c r="C135" s="65" t="s">
        <v>2624</v>
      </c>
      <c r="D135" s="66"/>
      <c r="E135" s="8"/>
    </row>
    <row r="136" spans="2:5" ht="20" customHeight="1" x14ac:dyDescent="0.2">
      <c r="B136" s="4" t="s">
        <v>2625</v>
      </c>
      <c r="C136" s="65" t="s">
        <v>2626</v>
      </c>
      <c r="D136" s="66"/>
      <c r="E136" s="8"/>
    </row>
    <row r="137" spans="2:5" ht="20" customHeight="1" x14ac:dyDescent="0.2">
      <c r="B137" s="4" t="s">
        <v>555</v>
      </c>
      <c r="C137" s="65" t="str">
        <f>CONCATENATE(sample_region_dns1_ip,",",sample_region_dns2_ip)</f>
        <v>10.11.10.4,10.11.10.5</v>
      </c>
      <c r="D137" s="66"/>
      <c r="E137" s="8"/>
    </row>
    <row r="138" spans="2:5" x14ac:dyDescent="0.2">
      <c r="C138" s="172"/>
    </row>
    <row r="139" spans="2:5" ht="32" customHeight="1" x14ac:dyDescent="0.2">
      <c r="B139" s="550" t="s">
        <v>2627</v>
      </c>
      <c r="C139" s="551"/>
      <c r="D139" s="551"/>
      <c r="E139" s="552"/>
    </row>
    <row r="140" spans="2:5" ht="20" customHeight="1" x14ac:dyDescent="0.2">
      <c r="B140" s="553"/>
      <c r="C140" s="554"/>
      <c r="D140" s="554"/>
      <c r="E140" s="555"/>
    </row>
    <row r="141" spans="2:5" ht="20" customHeight="1" x14ac:dyDescent="0.2">
      <c r="B141" s="63" t="s">
        <v>18</v>
      </c>
      <c r="C141" s="63" t="s">
        <v>19</v>
      </c>
      <c r="D141" s="63" t="s">
        <v>20</v>
      </c>
      <c r="E141" s="63" t="s">
        <v>21</v>
      </c>
    </row>
    <row r="142" spans="2:5" ht="20" customHeight="1" x14ac:dyDescent="0.2">
      <c r="B142" s="4" t="s">
        <v>2414</v>
      </c>
      <c r="C142" s="65" t="str">
        <f>sample_wld_rwr_vc_fqdn</f>
        <v>sfo-w01-vc01.sfo.rainpole.io</v>
      </c>
      <c r="D142" s="8" t="str">
        <f>wld_rwr_vc_fqdn</f>
        <v>Value Missing</v>
      </c>
      <c r="E142" s="8"/>
    </row>
    <row r="143" spans="2:5" ht="20" customHeight="1" x14ac:dyDescent="0.2">
      <c r="B143" s="4" t="s">
        <v>2628</v>
      </c>
      <c r="C143" s="65" t="str">
        <f>sample_wld_datacenter</f>
        <v>sfo-w01-dc</v>
      </c>
      <c r="D143" s="66"/>
      <c r="E143" s="8"/>
    </row>
    <row r="144" spans="2:5" ht="20" customHeight="1" x14ac:dyDescent="0.2">
      <c r="B144" s="4" t="s">
        <v>2164</v>
      </c>
      <c r="C144" s="65" t="str">
        <f>(CONCATENATE(sample_wld_sddc_domain,"-fd-workload"))</f>
        <v>sfo-w01-fd-workload</v>
      </c>
      <c r="D144" s="66"/>
      <c r="E144" s="8"/>
    </row>
    <row r="146" spans="2:5" ht="34" customHeight="1" x14ac:dyDescent="0.2">
      <c r="B146" s="550" t="s">
        <v>2629</v>
      </c>
      <c r="C146" s="551"/>
      <c r="D146" s="551"/>
      <c r="E146" s="552"/>
    </row>
    <row r="148" spans="2:5" ht="32" customHeight="1" x14ac:dyDescent="0.2">
      <c r="B148" s="550" t="s">
        <v>2630</v>
      </c>
      <c r="C148" s="551"/>
      <c r="D148" s="551"/>
      <c r="E148" s="552"/>
    </row>
    <row r="149" spans="2:5" ht="20" customHeight="1" x14ac:dyDescent="0.2">
      <c r="B149" s="553"/>
      <c r="C149" s="554"/>
      <c r="D149" s="554"/>
      <c r="E149" s="555"/>
    </row>
    <row r="150" spans="2:5" ht="20" customHeight="1" x14ac:dyDescent="0.2">
      <c r="B150" s="63" t="s">
        <v>18</v>
      </c>
      <c r="C150" s="63" t="s">
        <v>19</v>
      </c>
      <c r="D150" s="63" t="s">
        <v>20</v>
      </c>
      <c r="E150" s="63" t="s">
        <v>21</v>
      </c>
    </row>
    <row r="151" spans="2:5" ht="20" customHeight="1" x14ac:dyDescent="0.2">
      <c r="B151" s="4" t="s">
        <v>2414</v>
      </c>
      <c r="C151" s="65" t="str">
        <f>sample_wld_rwr_vc_fqdn</f>
        <v>sfo-w01-vc01.sfo.rainpole.io</v>
      </c>
      <c r="D151" s="8" t="str">
        <f>wld_rwr_vc_fqdn</f>
        <v>Value Missing</v>
      </c>
      <c r="E151" s="8"/>
    </row>
    <row r="152" spans="2:5" ht="20" customHeight="1" x14ac:dyDescent="0.2">
      <c r="B152" s="4" t="s">
        <v>2322</v>
      </c>
      <c r="C152" s="65" t="str">
        <f>sample_wld_rwr_vc_fqdn</f>
        <v>sfo-w01-vc01.sfo.rainpole.io</v>
      </c>
      <c r="D152" s="8" t="str">
        <f>wld_rwr_vc_fqdn</f>
        <v>Value Missing</v>
      </c>
      <c r="E152" s="8"/>
    </row>
    <row r="153" spans="2:5" ht="20" customHeight="1" x14ac:dyDescent="0.2">
      <c r="B153" s="4" t="s">
        <v>2259</v>
      </c>
      <c r="C153" s="65" t="str">
        <f>CONCATENATE(other_instance,"-w01-vc01.",other_instance,".",sample_parent_dns_zone)</f>
        <v>lax-w01-vc01.lax.rainpole.io</v>
      </c>
      <c r="D153" s="66"/>
      <c r="E153" s="8"/>
    </row>
    <row r="154" spans="2:5" ht="20" customHeight="1" x14ac:dyDescent="0.2">
      <c r="B154" s="4" t="s">
        <v>79</v>
      </c>
      <c r="C154" s="65" t="s">
        <v>2631</v>
      </c>
      <c r="D154" s="8" t="str">
        <f>CONCATENATE(wld_vlr_replication_user,"@",rwr_sso_domain_name)</f>
        <v>Value Missing@Value Missing</v>
      </c>
      <c r="E154" s="8"/>
    </row>
    <row r="155" spans="2:5" ht="20" customHeight="1" x14ac:dyDescent="0.2">
      <c r="B155" s="4" t="s">
        <v>30</v>
      </c>
      <c r="C155" s="65" t="s">
        <v>137</v>
      </c>
      <c r="D155" s="8" t="str">
        <f>rwr_vlr_replication_password</f>
        <v>Value Missing</v>
      </c>
      <c r="E155" s="8"/>
    </row>
    <row r="156" spans="2:5" ht="20" customHeight="1" x14ac:dyDescent="0.2">
      <c r="B156" s="4" t="s">
        <v>2325</v>
      </c>
      <c r="C156" s="65" t="str">
        <f>sample_wld_rwr_recovery_site_vc_fqdn</f>
        <v>lax-w01-vc01.lax.rainpole.io</v>
      </c>
      <c r="D156" s="8" t="str">
        <f t="array" ref="D156">wld_rwr_recovery_site_vc_fqdn</f>
        <v>Value Missing</v>
      </c>
      <c r="E156" s="8"/>
    </row>
    <row r="157" spans="2:5" ht="20" customHeight="1" x14ac:dyDescent="0.2">
      <c r="B157" s="303"/>
      <c r="C157" s="172"/>
      <c r="D157" s="1"/>
    </row>
    <row r="158" spans="2:5" ht="34" customHeight="1" x14ac:dyDescent="0.2">
      <c r="B158" s="550" t="s">
        <v>2630</v>
      </c>
      <c r="C158" s="551"/>
      <c r="D158" s="551"/>
      <c r="E158" s="552"/>
    </row>
    <row r="159" spans="2:5" ht="20" customHeight="1" x14ac:dyDescent="0.2">
      <c r="B159" s="553"/>
      <c r="C159" s="554"/>
      <c r="D159" s="554"/>
      <c r="E159" s="555"/>
    </row>
    <row r="160" spans="2:5" ht="20" customHeight="1" x14ac:dyDescent="0.2">
      <c r="B160" s="63" t="s">
        <v>18</v>
      </c>
      <c r="C160" s="63" t="s">
        <v>19</v>
      </c>
      <c r="D160" s="63" t="s">
        <v>20</v>
      </c>
      <c r="E160" s="63" t="s">
        <v>21</v>
      </c>
    </row>
    <row r="161" spans="2:5" ht="20" customHeight="1" x14ac:dyDescent="0.2">
      <c r="B161" s="295" t="s">
        <v>2414</v>
      </c>
      <c r="C161" s="65" t="str">
        <f>sample_wld_rwr_vc_fqdn</f>
        <v>sfo-w01-vc01.sfo.rainpole.io</v>
      </c>
      <c r="D161" s="8" t="str">
        <f>wld_rwr_vc_fqdn</f>
        <v>Value Missing</v>
      </c>
      <c r="E161" s="8"/>
    </row>
    <row r="162" spans="2:5" ht="20" customHeight="1" x14ac:dyDescent="0.2">
      <c r="B162" s="295" t="s">
        <v>1374</v>
      </c>
      <c r="C162" s="65" t="str">
        <f>sample_wld_rwr_vc_fqdn</f>
        <v>sfo-w01-vc01.sfo.rainpole.io</v>
      </c>
      <c r="D162" s="8" t="str">
        <f>wld_rwr_vc_fqdn</f>
        <v>Value Missing</v>
      </c>
      <c r="E162" s="8"/>
    </row>
    <row r="163" spans="2:5" ht="20" customHeight="1" x14ac:dyDescent="0.2">
      <c r="B163" s="295" t="s">
        <v>2445</v>
      </c>
      <c r="C163" s="65" t="s">
        <v>2446</v>
      </c>
      <c r="D163" s="66"/>
      <c r="E163" s="8"/>
    </row>
    <row r="164" spans="2:5" ht="20" customHeight="1" x14ac:dyDescent="0.2">
      <c r="B164" s="295" t="s">
        <v>2632</v>
      </c>
      <c r="C164" s="65" t="s">
        <v>2446</v>
      </c>
      <c r="D164" s="66"/>
      <c r="E164" s="8"/>
    </row>
    <row r="166" spans="2:5" ht="32" customHeight="1" x14ac:dyDescent="0.2">
      <c r="B166" s="550" t="s">
        <v>2633</v>
      </c>
      <c r="C166" s="551"/>
      <c r="D166" s="551"/>
      <c r="E166" s="552"/>
    </row>
    <row r="167" spans="2:5" ht="20" customHeight="1" x14ac:dyDescent="0.2">
      <c r="B167" s="553"/>
      <c r="C167" s="554"/>
      <c r="D167" s="554"/>
      <c r="E167" s="555"/>
    </row>
    <row r="168" spans="2:5" ht="20" customHeight="1" x14ac:dyDescent="0.2">
      <c r="B168" s="63" t="s">
        <v>18</v>
      </c>
      <c r="C168" s="63" t="s">
        <v>19</v>
      </c>
      <c r="D168" s="63" t="s">
        <v>20</v>
      </c>
      <c r="E168" s="63" t="s">
        <v>21</v>
      </c>
    </row>
    <row r="169" spans="2:5" ht="20" customHeight="1" x14ac:dyDescent="0.2">
      <c r="B169" s="4" t="s">
        <v>2414</v>
      </c>
      <c r="C169" s="65" t="str">
        <f>sample_wld_rwr_vc_fqdn</f>
        <v>sfo-w01-vc01.sfo.rainpole.io</v>
      </c>
      <c r="D169" s="8" t="str">
        <f>wld_rwr_vc_fqdn</f>
        <v>Value Missing</v>
      </c>
      <c r="E169" s="8"/>
    </row>
    <row r="170" spans="2:5" ht="20" customHeight="1" x14ac:dyDescent="0.2">
      <c r="B170" s="4" t="s">
        <v>2449</v>
      </c>
      <c r="C170" s="65" t="str">
        <f>(CONCATENATE(sample_wld_vc_fqdn,"&lt;-&gt;",sample_wld_rwr_recovery_site_vc_fqdn))</f>
        <v>sfo-w01-vc01.sfo.rainpole.io&lt;-&gt;lax-w01-vc01.lax.rainpole.io</v>
      </c>
      <c r="D170" s="66"/>
      <c r="E170" s="8"/>
    </row>
    <row r="171" spans="2:5" ht="20" customHeight="1" x14ac:dyDescent="0.2">
      <c r="B171" s="4" t="s">
        <v>2634</v>
      </c>
      <c r="C171" s="65" t="str">
        <f>(CONCATENATE(sample_wld_rwr_cl02_vds01,"&lt;-&gt;",sample_wld_cl01_az1_mgmt_vm_pg))</f>
        <v>sfo-w01-cl01-vds01&lt;-&gt;sfo-w01-cl01-vds01-pg-vm-mgmt</v>
      </c>
      <c r="D171" s="66"/>
      <c r="E171" s="8"/>
    </row>
    <row r="172" spans="2:5" ht="20" customHeight="1" x14ac:dyDescent="0.2">
      <c r="B172" s="4" t="s">
        <v>2635</v>
      </c>
      <c r="C172" s="65" t="str">
        <f>_xlfn.CONCAT(other_instance,"-w01","-cl02-vds01","&lt;-&gt;",CONCATENATE(other_instance,"-w01-seg01-","rwr-ire"))</f>
        <v>lax-w01-cl02-vds01&lt;-&gt;lax-w01-seg01-rwr-ire</v>
      </c>
      <c r="D172" s="66"/>
      <c r="E172" s="8" t="s">
        <v>2636</v>
      </c>
    </row>
    <row r="173" spans="2:5" ht="20" customHeight="1" x14ac:dyDescent="0.2">
      <c r="B173" s="4" t="s">
        <v>2637</v>
      </c>
      <c r="C173" s="65" t="str">
        <f>(CONCATENATE(sample_wld_datacenter,"&lt;-&gt;",sample_wld_rwr_recoverysite_fd))</f>
        <v>sfo-w01-dc&lt;-&gt;sfo-w01-fd-workload</v>
      </c>
      <c r="D173" s="8" t="str">
        <f>CONCATENATE(rwr_datacenter, "&lt;-&gt;",wld_rwr_recoverysite_fd)</f>
        <v>Value Missing&lt;-&gt;Value Missing</v>
      </c>
      <c r="E173" s="8"/>
    </row>
    <row r="174" spans="2:5" ht="20" customHeight="1" x14ac:dyDescent="0.2">
      <c r="B174" s="4" t="s">
        <v>2638</v>
      </c>
      <c r="C174" s="65" t="str">
        <f>_xlfn.CONCAT(other_instance,"-w01","dc","&lt;-&gt;",other_instance,"-w01","-fd","-workload")</f>
        <v>lax-w01dc&lt;-&gt;lax-w01-fd-workload</v>
      </c>
      <c r="D174" s="66"/>
      <c r="E174" s="8"/>
    </row>
    <row r="175" spans="2:5" ht="20" customHeight="1" x14ac:dyDescent="0.2">
      <c r="B175" s="4" t="s">
        <v>2639</v>
      </c>
      <c r="C175" s="65" t="str">
        <f>(CONCATENATE(sample_rwr_datacenter,"&lt;-&gt;",sample_wld_rwr_cl02_cluster))</f>
        <v>sfo-w01-dc&lt;-&gt;sfo-w01-cl01</v>
      </c>
      <c r="D175" s="8" t="str">
        <f>CONCATENATE(rwr_datacenter, "&lt;-&gt;",wld_rwr_cl02_cluster)</f>
        <v>Value Missing&lt;-&gt;Value Missing</v>
      </c>
      <c r="E175" s="8"/>
    </row>
    <row r="176" spans="2:5" ht="20" customHeight="1" x14ac:dyDescent="0.2">
      <c r="B176" s="4" t="s">
        <v>2640</v>
      </c>
      <c r="C176" s="65" t="str">
        <f>_xlfn.CONCAT(other_instance,"-w01","-dc","&lt;-&gt;",other_instance,"-w01","-cl02")</f>
        <v>lax-w01-dc&lt;-&gt;lax-w01-cl02</v>
      </c>
      <c r="D176" s="66"/>
      <c r="E176" s="8"/>
    </row>
    <row r="178" spans="2:5" ht="32" customHeight="1" x14ac:dyDescent="0.2">
      <c r="B178" s="550" t="s">
        <v>2641</v>
      </c>
      <c r="C178" s="551"/>
      <c r="D178" s="551"/>
      <c r="E178" s="552"/>
    </row>
    <row r="179" spans="2:5" ht="20" customHeight="1" x14ac:dyDescent="0.2">
      <c r="B179" s="553"/>
      <c r="C179" s="554"/>
      <c r="D179" s="554"/>
      <c r="E179" s="555"/>
    </row>
    <row r="180" spans="2:5" ht="20" customHeight="1" x14ac:dyDescent="0.2">
      <c r="B180" s="63" t="s">
        <v>18</v>
      </c>
      <c r="C180" s="63" t="s">
        <v>19</v>
      </c>
      <c r="D180" s="63" t="s">
        <v>20</v>
      </c>
      <c r="E180" s="63" t="s">
        <v>21</v>
      </c>
    </row>
    <row r="181" spans="2:5" ht="20" customHeight="1" x14ac:dyDescent="0.2">
      <c r="B181" s="4" t="s">
        <v>2421</v>
      </c>
      <c r="C181" s="65" t="str">
        <f>sample_wld_vlr_fqdn</f>
        <v>sfo-w01-vlr01.sfo.rainpole.io</v>
      </c>
      <c r="D181" s="8" t="str">
        <f>CONCATENATE(wld_vlr_fqdn,"/dr")</f>
        <v>Value Missing.Value Missing/dr</v>
      </c>
      <c r="E181" s="8"/>
    </row>
    <row r="182" spans="2:5" ht="20" customHeight="1" x14ac:dyDescent="0.2">
      <c r="B182" s="4" t="s">
        <v>2449</v>
      </c>
      <c r="C182" s="65" t="str">
        <f>(CONCATENATE(sample_wld_vc_fqdn,"&lt;-&gt;",sample_wld_rwr_recovery_site_vc_fqdn))</f>
        <v>sfo-w01-vc01.sfo.rainpole.io&lt;-&gt;lax-w01-vc01.lax.rainpole.io</v>
      </c>
      <c r="D182" s="66"/>
      <c r="E182" s="8"/>
    </row>
    <row r="183" spans="2:5" ht="20" customHeight="1" x14ac:dyDescent="0.2">
      <c r="B183" s="4" t="s">
        <v>2457</v>
      </c>
      <c r="C183" s="65" t="s">
        <v>2642</v>
      </c>
      <c r="D183" s="66"/>
      <c r="E183" s="8"/>
    </row>
    <row r="184" spans="2:5" ht="20" customHeight="1" x14ac:dyDescent="0.2">
      <c r="B184" s="4" t="s">
        <v>2458</v>
      </c>
      <c r="C184" s="65" t="str">
        <f>CONCATENATE(other_instance,"-w01","-cl01-vsan01")</f>
        <v>lax-w01-cl01-vsan01</v>
      </c>
      <c r="D184" s="66"/>
      <c r="E184" s="8"/>
    </row>
    <row r="185" spans="2:5" ht="20" customHeight="1" x14ac:dyDescent="0.2">
      <c r="B185" s="4" t="s">
        <v>2459</v>
      </c>
      <c r="C185" s="65" t="s">
        <v>2643</v>
      </c>
      <c r="D185" s="66"/>
      <c r="E185" s="8" t="s">
        <v>2644</v>
      </c>
    </row>
    <row r="186" spans="2:5" ht="20" customHeight="1" x14ac:dyDescent="0.2">
      <c r="B186" s="4" t="s">
        <v>2645</v>
      </c>
      <c r="C186" s="65">
        <v>200</v>
      </c>
      <c r="D186" s="66"/>
      <c r="E186" s="8" t="s">
        <v>2644</v>
      </c>
    </row>
    <row r="187" spans="2:5" ht="20" customHeight="1" x14ac:dyDescent="0.2">
      <c r="B187" s="4" t="s">
        <v>2460</v>
      </c>
      <c r="C187" s="65" t="s">
        <v>2646</v>
      </c>
      <c r="D187" s="66"/>
      <c r="E187" s="8"/>
    </row>
    <row r="188" spans="2:5" ht="20" customHeight="1" x14ac:dyDescent="0.2">
      <c r="B188" s="4" t="s">
        <v>2462</v>
      </c>
      <c r="C188" s="65" t="s">
        <v>2647</v>
      </c>
      <c r="D188" s="66"/>
      <c r="E188" s="8"/>
    </row>
    <row r="190" spans="2:5" ht="32" customHeight="1" x14ac:dyDescent="0.2">
      <c r="B190" s="550" t="s">
        <v>2648</v>
      </c>
      <c r="C190" s="551"/>
      <c r="D190" s="551"/>
      <c r="E190" s="552"/>
    </row>
    <row r="191" spans="2:5" ht="20" customHeight="1" x14ac:dyDescent="0.2">
      <c r="B191" s="553"/>
      <c r="C191" s="554"/>
      <c r="D191" s="554"/>
      <c r="E191" s="555"/>
    </row>
    <row r="192" spans="2:5" ht="20" customHeight="1" x14ac:dyDescent="0.2">
      <c r="B192" s="63" t="s">
        <v>18</v>
      </c>
      <c r="C192" s="63" t="s">
        <v>19</v>
      </c>
      <c r="D192" s="63" t="s">
        <v>20</v>
      </c>
      <c r="E192" s="63" t="s">
        <v>21</v>
      </c>
    </row>
    <row r="193" spans="2:5" ht="20" customHeight="1" x14ac:dyDescent="0.2">
      <c r="B193" s="4" t="s">
        <v>2649</v>
      </c>
      <c r="C193" s="65" t="str">
        <f>sample_wld_rwr_recovery_site_vc_fqdn</f>
        <v>lax-w01-vc01.lax.rainpole.io</v>
      </c>
      <c r="D193" s="66"/>
      <c r="E193" s="8"/>
    </row>
    <row r="194" spans="2:5" ht="20" customHeight="1" x14ac:dyDescent="0.2">
      <c r="B194" s="4" t="s">
        <v>2650</v>
      </c>
      <c r="C194" s="65" t="str">
        <f>CONCATENATE(other_instance,"-w01-seg01-","rwr-ire")</f>
        <v>lax-w01-seg01-rwr-ire</v>
      </c>
      <c r="D194" s="66"/>
      <c r="E194" s="8"/>
    </row>
    <row r="196" spans="2:5" ht="32" customHeight="1" x14ac:dyDescent="0.2">
      <c r="B196" s="550" t="s">
        <v>2379</v>
      </c>
      <c r="C196" s="551"/>
      <c r="D196" s="551"/>
      <c r="E196" s="552"/>
    </row>
    <row r="198" spans="2:5" ht="32" customHeight="1" x14ac:dyDescent="0.2">
      <c r="B198" s="550" t="s">
        <v>2651</v>
      </c>
      <c r="C198" s="551"/>
      <c r="D198" s="551"/>
      <c r="E198" s="552"/>
    </row>
    <row r="199" spans="2:5" ht="20" customHeight="1" x14ac:dyDescent="0.2">
      <c r="B199" s="553"/>
      <c r="C199" s="554"/>
      <c r="D199" s="554"/>
      <c r="E199" s="555"/>
    </row>
    <row r="200" spans="2:5" ht="20" customHeight="1" x14ac:dyDescent="0.2">
      <c r="B200" s="63" t="s">
        <v>18</v>
      </c>
      <c r="C200" s="63" t="s">
        <v>19</v>
      </c>
      <c r="D200" s="63" t="s">
        <v>20</v>
      </c>
      <c r="E200" s="63" t="s">
        <v>21</v>
      </c>
    </row>
    <row r="201" spans="2:5" ht="20" customHeight="1" x14ac:dyDescent="0.2">
      <c r="B201" s="4" t="s">
        <v>2414</v>
      </c>
      <c r="C201" s="65" t="str">
        <f>sample_wld_rwr_vc_fqdn</f>
        <v>sfo-w01-vc01.sfo.rainpole.io</v>
      </c>
      <c r="D201" s="8" t="str">
        <f>wld_rwr_vc_fqdn</f>
        <v>Value Missing</v>
      </c>
      <c r="E201" s="8"/>
    </row>
    <row r="202" spans="2:5" ht="20" customHeight="1" x14ac:dyDescent="0.2">
      <c r="B202" s="4" t="s">
        <v>2126</v>
      </c>
      <c r="C202" s="65" t="str">
        <f>sample_rwr_sso_domain_name</f>
        <v>sfo-w01.local</v>
      </c>
      <c r="D202" s="8" t="str">
        <f>rwr_sso_domain_name</f>
        <v>Value Missing</v>
      </c>
      <c r="E202" s="8"/>
    </row>
    <row r="203" spans="2:5" ht="20" customHeight="1" x14ac:dyDescent="0.2">
      <c r="B203" s="4" t="s">
        <v>2652</v>
      </c>
      <c r="C203" s="65" t="str">
        <f>CONCATENATE(this_instance,"-svc-vcfops-vlsr")</f>
        <v>sfo-svc-vcfops-vlsr</v>
      </c>
      <c r="D203" s="66"/>
      <c r="E203" s="8" t="s">
        <v>2534</v>
      </c>
    </row>
    <row r="204" spans="2:5" ht="20" customHeight="1" x14ac:dyDescent="0.2">
      <c r="B204" s="4" t="s">
        <v>2653</v>
      </c>
      <c r="C204" s="65" t="s">
        <v>137</v>
      </c>
      <c r="D204" s="66"/>
      <c r="E204" s="8"/>
    </row>
    <row r="205" spans="2:5" ht="20" customHeight="1" x14ac:dyDescent="0.2">
      <c r="B205" s="4" t="s">
        <v>2416</v>
      </c>
      <c r="C205" s="65" t="str">
        <f>CONCATENATE(this_instance,"-svc-vcfops-vr")</f>
        <v>sfo-svc-vcfops-vr</v>
      </c>
      <c r="D205" s="66"/>
      <c r="E205" s="8"/>
    </row>
    <row r="206" spans="2:5" ht="20" customHeight="1" x14ac:dyDescent="0.2">
      <c r="B206" s="4" t="s">
        <v>2417</v>
      </c>
      <c r="C206" s="65" t="s">
        <v>137</v>
      </c>
      <c r="D206" s="66"/>
      <c r="E206" s="8"/>
    </row>
    <row r="208" spans="2:5" ht="32" customHeight="1" x14ac:dyDescent="0.2">
      <c r="B208" s="550" t="s">
        <v>2654</v>
      </c>
      <c r="C208" s="551"/>
      <c r="D208" s="551"/>
      <c r="E208" s="552"/>
    </row>
    <row r="209" spans="2:5" ht="20" customHeight="1" x14ac:dyDescent="0.2">
      <c r="B209" s="553"/>
      <c r="C209" s="554"/>
      <c r="D209" s="554"/>
      <c r="E209" s="555"/>
    </row>
    <row r="210" spans="2:5" ht="20" customHeight="1" x14ac:dyDescent="0.2">
      <c r="B210" s="63" t="s">
        <v>18</v>
      </c>
      <c r="C210" s="63" t="s">
        <v>19</v>
      </c>
      <c r="D210" s="63" t="s">
        <v>20</v>
      </c>
      <c r="E210" s="63" t="s">
        <v>21</v>
      </c>
    </row>
    <row r="211" spans="2:5" ht="20" customHeight="1" x14ac:dyDescent="0.2">
      <c r="B211" s="4" t="s">
        <v>2414</v>
      </c>
      <c r="C211" s="65" t="str">
        <f>sample_wld_rwr_vc_fqdn</f>
        <v>sfo-w01-vc01.sfo.rainpole.io</v>
      </c>
      <c r="D211" s="8" t="str">
        <f>wld_rwr_vc_fqdn</f>
        <v>Value Missing</v>
      </c>
      <c r="E211" s="8"/>
    </row>
    <row r="212" spans="2:5" ht="20" customHeight="1" x14ac:dyDescent="0.2">
      <c r="B212" s="4" t="s">
        <v>2126</v>
      </c>
      <c r="C212" s="65" t="str">
        <f>sample_rwr_sso_domain_name</f>
        <v>sfo-w01.local</v>
      </c>
      <c r="D212" s="8" t="str">
        <f>rwr_sso_domain_name</f>
        <v>Value Missing</v>
      </c>
      <c r="E212" s="8"/>
    </row>
    <row r="213" spans="2:5" ht="20" customHeight="1" x14ac:dyDescent="0.2">
      <c r="B213" s="4" t="s">
        <v>2655</v>
      </c>
      <c r="C213" s="65" t="s">
        <v>2534</v>
      </c>
      <c r="D213" s="66"/>
      <c r="E213" s="8"/>
    </row>
    <row r="214" spans="2:5" ht="20" customHeight="1" x14ac:dyDescent="0.2">
      <c r="B214" s="4" t="s">
        <v>2656</v>
      </c>
      <c r="C214" s="65" t="s">
        <v>2542</v>
      </c>
      <c r="D214" s="66"/>
      <c r="E214" s="8"/>
    </row>
    <row r="215" spans="2:5" ht="20" customHeight="1" x14ac:dyDescent="0.2">
      <c r="B215" s="4" t="s">
        <v>2657</v>
      </c>
      <c r="C215" s="65" t="s">
        <v>2537</v>
      </c>
      <c r="D215" s="66"/>
      <c r="E215" s="8"/>
    </row>
    <row r="216" spans="2:5" ht="20" customHeight="1" x14ac:dyDescent="0.2">
      <c r="B216" s="4" t="s">
        <v>2658</v>
      </c>
      <c r="C216" s="65" t="s">
        <v>2545</v>
      </c>
      <c r="D216" s="66"/>
      <c r="E216" s="8"/>
    </row>
    <row r="218" spans="2:5" ht="32" customHeight="1" x14ac:dyDescent="0.2">
      <c r="B218" s="550" t="s">
        <v>2659</v>
      </c>
      <c r="C218" s="551"/>
      <c r="D218" s="551"/>
      <c r="E218" s="552"/>
    </row>
    <row r="219" spans="2:5" ht="20" customHeight="1" x14ac:dyDescent="0.2">
      <c r="B219" s="553"/>
      <c r="C219" s="554"/>
      <c r="D219" s="554"/>
      <c r="E219" s="555"/>
    </row>
    <row r="220" spans="2:5" ht="20" customHeight="1" x14ac:dyDescent="0.2">
      <c r="B220" s="63" t="s">
        <v>18</v>
      </c>
      <c r="C220" s="63" t="s">
        <v>19</v>
      </c>
      <c r="D220" s="63" t="s">
        <v>20</v>
      </c>
      <c r="E220" s="63" t="s">
        <v>21</v>
      </c>
    </row>
    <row r="221" spans="2:5" ht="20" customHeight="1" x14ac:dyDescent="0.2">
      <c r="B221" s="4" t="s">
        <v>2395</v>
      </c>
      <c r="C221" s="65" t="str">
        <f>sample_xreg_vrops_virtual_fqdn</f>
        <v>flt-ops01.rainpole.io</v>
      </c>
      <c r="D221" s="66"/>
      <c r="E221" s="8"/>
    </row>
    <row r="222" spans="2:5" ht="20" customHeight="1" x14ac:dyDescent="0.2">
      <c r="B222" s="4" t="s">
        <v>2660</v>
      </c>
      <c r="C222" s="65" t="s">
        <v>2549</v>
      </c>
      <c r="D222" s="66"/>
      <c r="E222" s="8"/>
    </row>
    <row r="223" spans="2:5" x14ac:dyDescent="0.2">
      <c r="D223" s="1"/>
    </row>
    <row r="224" spans="2:5" ht="32" customHeight="1" x14ac:dyDescent="0.2">
      <c r="B224" s="550" t="s">
        <v>2661</v>
      </c>
      <c r="C224" s="551"/>
      <c r="D224" s="551"/>
      <c r="E224" s="552"/>
    </row>
    <row r="225" spans="2:5" ht="20" customHeight="1" x14ac:dyDescent="0.2">
      <c r="B225" s="553"/>
      <c r="C225" s="554"/>
      <c r="D225" s="554"/>
      <c r="E225" s="555"/>
    </row>
    <row r="226" spans="2:5" ht="20" customHeight="1" x14ac:dyDescent="0.2">
      <c r="B226" s="63" t="s">
        <v>18</v>
      </c>
      <c r="C226" s="63" t="s">
        <v>19</v>
      </c>
      <c r="D226" s="63" t="s">
        <v>20</v>
      </c>
      <c r="E226" s="63" t="s">
        <v>21</v>
      </c>
    </row>
    <row r="227" spans="2:5" ht="20" customHeight="1" x14ac:dyDescent="0.2">
      <c r="B227" s="4" t="s">
        <v>2395</v>
      </c>
      <c r="C227" s="65" t="str">
        <f>sample_xreg_vrops_virtual_fqdn</f>
        <v>flt-ops01.rainpole.io</v>
      </c>
      <c r="D227" s="66"/>
      <c r="E227" s="8"/>
    </row>
    <row r="228" spans="2:5" ht="20" customHeight="1" x14ac:dyDescent="0.2">
      <c r="B228" s="4" t="s">
        <v>250</v>
      </c>
      <c r="C228" s="65" t="str">
        <f>CONCATENATE(sample_wld_sddc_domain,"-vlsr")</f>
        <v>sfo-w01-vlsr</v>
      </c>
      <c r="D228" s="66"/>
      <c r="E228" s="8"/>
    </row>
    <row r="229" spans="2:5" ht="20" customHeight="1" x14ac:dyDescent="0.2">
      <c r="B229" s="4" t="s">
        <v>2662</v>
      </c>
      <c r="C229" s="65" t="str">
        <f>sample_wld_vlr_fqdn</f>
        <v>sfo-w01-vlr01.sfo.rainpole.io</v>
      </c>
      <c r="D229" s="66"/>
      <c r="E229" s="8"/>
    </row>
    <row r="230" spans="2:5" ht="20" customHeight="1" x14ac:dyDescent="0.2">
      <c r="B230" s="4" t="s">
        <v>2663</v>
      </c>
      <c r="C230" s="65">
        <v>443</v>
      </c>
      <c r="D230" s="66"/>
      <c r="E230" s="8"/>
    </row>
    <row r="231" spans="2:5" ht="20" customHeight="1" x14ac:dyDescent="0.2">
      <c r="B231" s="4" t="s">
        <v>2664</v>
      </c>
      <c r="C231" s="65" t="str">
        <f>sample_wld_rwr_vcfops_vlsr_username</f>
        <v>sfo-svc-vcfops-vlsr</v>
      </c>
      <c r="D231" s="8" t="str">
        <f>CONCATENATE(wld_rwr_vcfops_vlsr_username,"-cred")</f>
        <v>Value Missing-cred</v>
      </c>
      <c r="E231" s="8"/>
    </row>
    <row r="232" spans="2:5" ht="20" customHeight="1" x14ac:dyDescent="0.2">
      <c r="B232" s="4" t="s">
        <v>79</v>
      </c>
      <c r="C232" s="65" t="str">
        <f>CONCATENATE(sample_wld_rwr_vcfops_vlsr_username,"@",this_instance,"-w01.local")</f>
        <v>sfo-svc-vcfops-vlsr@sfo-w01.local</v>
      </c>
      <c r="D232" s="66"/>
      <c r="E232" s="8"/>
    </row>
    <row r="233" spans="2:5" ht="20" customHeight="1" x14ac:dyDescent="0.2">
      <c r="B233" s="4" t="s">
        <v>30</v>
      </c>
      <c r="C233" s="65" t="s">
        <v>137</v>
      </c>
      <c r="D233" s="66"/>
      <c r="E233" s="8"/>
    </row>
    <row r="234" spans="2:5" ht="20" customHeight="1" x14ac:dyDescent="0.2">
      <c r="B234" s="4" t="s">
        <v>2665</v>
      </c>
      <c r="C234" s="65" t="str">
        <f>CONCATENATE(sample_xreg_vrops_collector_fqdn, " or ", this_instance,"-m01-collector-group")</f>
        <v>sfo-cp01.sfo.rainpole.io or sfo-m01-collector-group</v>
      </c>
      <c r="D234" s="66"/>
      <c r="E234" s="8"/>
    </row>
    <row r="236" spans="2:5" ht="32" customHeight="1" x14ac:dyDescent="0.2">
      <c r="B236" s="550" t="s">
        <v>2666</v>
      </c>
      <c r="C236" s="551"/>
      <c r="D236" s="551"/>
      <c r="E236" s="552"/>
    </row>
    <row r="237" spans="2:5" ht="20" customHeight="1" x14ac:dyDescent="0.2">
      <c r="B237" s="553"/>
      <c r="C237" s="554"/>
      <c r="D237" s="554"/>
      <c r="E237" s="555"/>
    </row>
    <row r="238" spans="2:5" ht="20" customHeight="1" x14ac:dyDescent="0.2">
      <c r="B238" s="63" t="s">
        <v>18</v>
      </c>
      <c r="C238" s="63" t="s">
        <v>19</v>
      </c>
      <c r="D238" s="63" t="s">
        <v>20</v>
      </c>
      <c r="E238" s="63" t="s">
        <v>21</v>
      </c>
    </row>
    <row r="239" spans="2:5" ht="20" customHeight="1" x14ac:dyDescent="0.2">
      <c r="B239" s="4" t="s">
        <v>2395</v>
      </c>
      <c r="C239" s="65" t="str">
        <f>sample_xreg_vrops_virtual_fqdn</f>
        <v>flt-ops01.rainpole.io</v>
      </c>
      <c r="D239" s="66"/>
      <c r="E239" s="8"/>
    </row>
    <row r="240" spans="2:5" ht="20" customHeight="1" x14ac:dyDescent="0.2">
      <c r="B240" s="4" t="s">
        <v>250</v>
      </c>
      <c r="C240" s="65" t="str">
        <f>CONCATENATE(sample_wld_sddc_domain,"-vr")</f>
        <v>sfo-w01-vr</v>
      </c>
      <c r="D240" s="66"/>
      <c r="E240" s="8"/>
    </row>
    <row r="241" spans="2:5" ht="20" customHeight="1" x14ac:dyDescent="0.2">
      <c r="B241" s="4" t="s">
        <v>2667</v>
      </c>
      <c r="C241" s="65" t="str">
        <f>sample_wld_vc_fqdn</f>
        <v>sfo-w01-vc01.sfo.rainpole.io</v>
      </c>
      <c r="D241" s="66"/>
      <c r="E241" s="8"/>
    </row>
    <row r="242" spans="2:5" ht="20" customHeight="1" x14ac:dyDescent="0.2">
      <c r="B242" s="4" t="s">
        <v>2664</v>
      </c>
      <c r="C242" s="65" t="str">
        <f>sample_wld_rwr_vcfops_vr_username</f>
        <v>sfo-svc-vcfops-vr</v>
      </c>
      <c r="D242" s="8" t="str">
        <f>CONCATENATE(wld_rwr_vcfops_vr_username,"-cred")</f>
        <v>Value Missing-cred</v>
      </c>
      <c r="E242" s="8"/>
    </row>
    <row r="243" spans="2:5" ht="20" customHeight="1" x14ac:dyDescent="0.2">
      <c r="B243" s="4" t="s">
        <v>79</v>
      </c>
      <c r="C243" s="65" t="str">
        <f>CONCATENATE(sample_wld_rwr_vcfops_vr_username,,"@",this_instance,"-w01.local")</f>
        <v>sfo-svc-vcfops-vr@sfo-w01.local</v>
      </c>
      <c r="D243" s="66"/>
      <c r="E243" s="8"/>
    </row>
    <row r="244" spans="2:5" ht="20" customHeight="1" x14ac:dyDescent="0.2">
      <c r="B244" s="4" t="s">
        <v>30</v>
      </c>
      <c r="C244" s="65" t="s">
        <v>137</v>
      </c>
      <c r="D244" s="66"/>
      <c r="E244" s="8"/>
    </row>
    <row r="245" spans="2:5" ht="20" customHeight="1" x14ac:dyDescent="0.2">
      <c r="B245" s="4" t="s">
        <v>2665</v>
      </c>
      <c r="C245" s="65" t="str">
        <f>CONCATENATE(sample_xreg_vrops_collector_fqdn, " or ", this_instance,"-m01-collector-group")</f>
        <v>sfo-cp01.sfo.rainpole.io or sfo-m01-collector-group</v>
      </c>
      <c r="D245" s="66"/>
      <c r="E245" s="8"/>
    </row>
    <row r="247" spans="2:5" ht="32" customHeight="1" x14ac:dyDescent="0.2">
      <c r="B247" s="550" t="s">
        <v>2668</v>
      </c>
      <c r="C247" s="551"/>
      <c r="D247" s="551"/>
      <c r="E247" s="552"/>
    </row>
    <row r="248" spans="2:5" ht="20" customHeight="1" x14ac:dyDescent="0.2">
      <c r="B248" s="553"/>
      <c r="C248" s="554"/>
      <c r="D248" s="554"/>
      <c r="E248" s="555"/>
    </row>
    <row r="249" spans="2:5" ht="20" customHeight="1" x14ac:dyDescent="0.2">
      <c r="B249" s="63" t="s">
        <v>18</v>
      </c>
      <c r="C249" s="63" t="s">
        <v>19</v>
      </c>
      <c r="D249" s="63" t="s">
        <v>20</v>
      </c>
      <c r="E249" s="63" t="s">
        <v>21</v>
      </c>
    </row>
    <row r="250" spans="2:5" ht="20" customHeight="1" x14ac:dyDescent="0.2">
      <c r="B250" s="4" t="s">
        <v>2395</v>
      </c>
      <c r="C250" s="65" t="str">
        <f>sample_xreg_vrops_virtual_fqdn</f>
        <v>flt-ops01.rainpole.io</v>
      </c>
      <c r="D250" s="66"/>
      <c r="E250" s="8"/>
    </row>
  </sheetData>
  <sheetProtection algorithmName="SHA-512" hashValue="iacMSgUWBHRB39u4LbCN3i50gTgYeMakG3W53L/L9eFAezNKpyMSNpCPvDWKEOrp/o1G7q4JE7pgeMByM5FSHg==" saltValue="VQWS18zKOnNOlFBtfs29Fw==" spinCount="100000" sheet="1" selectLockedCells="1"/>
  <mergeCells count="50">
    <mergeCell ref="B248:E248"/>
    <mergeCell ref="B198:E198"/>
    <mergeCell ref="B199:E199"/>
    <mergeCell ref="B208:E208"/>
    <mergeCell ref="B209:E209"/>
    <mergeCell ref="B218:E218"/>
    <mergeCell ref="B219:E219"/>
    <mergeCell ref="B224:E224"/>
    <mergeCell ref="B225:E225"/>
    <mergeCell ref="B236:E236"/>
    <mergeCell ref="B237:E237"/>
    <mergeCell ref="B247:E247"/>
    <mergeCell ref="B196:E196"/>
    <mergeCell ref="B146:E146"/>
    <mergeCell ref="B148:E148"/>
    <mergeCell ref="B149:E149"/>
    <mergeCell ref="B166:E166"/>
    <mergeCell ref="B167:E167"/>
    <mergeCell ref="B178:E178"/>
    <mergeCell ref="B179:E179"/>
    <mergeCell ref="B190:E190"/>
    <mergeCell ref="B191:E191"/>
    <mergeCell ref="B158:E158"/>
    <mergeCell ref="B159:E159"/>
    <mergeCell ref="B140:E140"/>
    <mergeCell ref="B66:E66"/>
    <mergeCell ref="B67:E67"/>
    <mergeCell ref="B74:E74"/>
    <mergeCell ref="B75:E75"/>
    <mergeCell ref="B93:E93"/>
    <mergeCell ref="B94:E94"/>
    <mergeCell ref="B115:E115"/>
    <mergeCell ref="B116:E116"/>
    <mergeCell ref="B139:E139"/>
    <mergeCell ref="B124:E124"/>
    <mergeCell ref="B128:E128"/>
    <mergeCell ref="B133:E133"/>
    <mergeCell ref="B119:E119"/>
    <mergeCell ref="B55:E55"/>
    <mergeCell ref="B2:E2"/>
    <mergeCell ref="B3:E3"/>
    <mergeCell ref="B7:E7"/>
    <mergeCell ref="B26:E26"/>
    <mergeCell ref="B27:E27"/>
    <mergeCell ref="B6:E6"/>
    <mergeCell ref="B39:E39"/>
    <mergeCell ref="B40:E40"/>
    <mergeCell ref="B54:E54"/>
    <mergeCell ref="B47:E47"/>
    <mergeCell ref="B48:E48"/>
  </mergeCells>
  <conditionalFormatting sqref="D9:D24">
    <cfRule type="notContainsBlanks" dxfId="188" priority="31">
      <formula>LEN(TRIM(D9))&gt;0</formula>
    </cfRule>
    <cfRule type="containsBlanks" dxfId="187" priority="32">
      <formula>LEN(TRIM(D9))=0</formula>
    </cfRule>
  </conditionalFormatting>
  <conditionalFormatting sqref="D29:D37">
    <cfRule type="notContainsBlanks" dxfId="185" priority="34">
      <formula>LEN(TRIM(D29))&gt;0</formula>
    </cfRule>
    <cfRule type="containsBlanks" dxfId="184" priority="35">
      <formula>LEN(TRIM(D29))=0</formula>
    </cfRule>
  </conditionalFormatting>
  <conditionalFormatting sqref="D42:D45">
    <cfRule type="notContainsBlanks" dxfId="182" priority="37">
      <formula>LEN(TRIM(D42))&gt;0</formula>
    </cfRule>
    <cfRule type="containsBlanks" dxfId="181" priority="38">
      <formula>LEN(TRIM(D42))=0</formula>
    </cfRule>
  </conditionalFormatting>
  <conditionalFormatting sqref="D50:D52">
    <cfRule type="notContainsBlanks" dxfId="179" priority="2">
      <formula>LEN(TRIM(D50))&gt;0</formula>
    </cfRule>
    <cfRule type="containsBlanks" dxfId="178" priority="3">
      <formula>LEN(TRIM(D50))=0</formula>
    </cfRule>
  </conditionalFormatting>
  <conditionalFormatting sqref="D57:D64">
    <cfRule type="notContainsBlanks" dxfId="176" priority="43">
      <formula>LEN(TRIM(D57))&gt;0</formula>
    </cfRule>
    <cfRule type="containsBlanks" dxfId="175" priority="44">
      <formula>LEN(TRIM(D57))=0</formula>
    </cfRule>
  </conditionalFormatting>
  <conditionalFormatting sqref="D69:D72">
    <cfRule type="notContainsBlanks" dxfId="173" priority="49">
      <formula>LEN(TRIM(D69))&gt;0</formula>
    </cfRule>
    <cfRule type="containsBlanks" dxfId="172" priority="50">
      <formula>LEN(TRIM(D69))=0</formula>
    </cfRule>
  </conditionalFormatting>
  <conditionalFormatting sqref="D77:D91">
    <cfRule type="notContainsBlanks" dxfId="170" priority="52">
      <formula>LEN(TRIM(D77))&gt;0</formula>
    </cfRule>
    <cfRule type="containsBlanks" dxfId="169" priority="53">
      <formula>LEN(TRIM(D77))=0</formula>
    </cfRule>
  </conditionalFormatting>
  <conditionalFormatting sqref="D96:D113">
    <cfRule type="notContainsBlanks" dxfId="167" priority="55">
      <formula>LEN(TRIM(D96))&gt;0</formula>
    </cfRule>
    <cfRule type="containsBlanks" dxfId="166" priority="56">
      <formula>LEN(TRIM(D96))=0</formula>
    </cfRule>
  </conditionalFormatting>
  <conditionalFormatting sqref="D118 D120:D123 D125:D132 D134:D137">
    <cfRule type="expression" dxfId="165" priority="9">
      <formula>mgmt_domain_chosen="First Instance"</formula>
    </cfRule>
    <cfRule type="notContainsBlanks" dxfId="163" priority="58">
      <formula>LEN(TRIM(D118))&gt;0</formula>
    </cfRule>
    <cfRule type="containsBlanks" dxfId="162" priority="59">
      <formula>LEN(TRIM(D118))=0</formula>
    </cfRule>
  </conditionalFormatting>
  <conditionalFormatting sqref="D142:D144">
    <cfRule type="notContainsBlanks" dxfId="160" priority="62">
      <formula>LEN(TRIM(D142))&gt;0</formula>
    </cfRule>
    <cfRule type="containsBlanks" dxfId="159" priority="63">
      <formula>LEN(TRIM(D142))=0</formula>
    </cfRule>
  </conditionalFormatting>
  <conditionalFormatting sqref="D151:D157 D161:D164 D169:D176 D181:D188 D193:D194 D221:D222 D250">
    <cfRule type="notContainsBlanks" dxfId="158" priority="130" stopIfTrue="1">
      <formula>LEN(TRIM(D151))&gt;0</formula>
    </cfRule>
    <cfRule type="containsBlanks" dxfId="157" priority="133">
      <formula>LEN(TRIM(D151))=0</formula>
    </cfRule>
  </conditionalFormatting>
  <conditionalFormatting sqref="D151:D157 D163:D164">
    <cfRule type="expression" dxfId="156" priority="132">
      <formula>mgmt_domain_chosen="Additional Instance"</formula>
    </cfRule>
  </conditionalFormatting>
  <conditionalFormatting sqref="D151:D157">
    <cfRule type="expression" dxfId="155" priority="10">
      <formula>mgmt_domain_chosen="Additional Instance"</formula>
    </cfRule>
  </conditionalFormatting>
  <conditionalFormatting sqref="D161:D164">
    <cfRule type="expression" dxfId="154" priority="7">
      <formula>mgmt_domain_chosen="Additional Instance"</formula>
    </cfRule>
  </conditionalFormatting>
  <conditionalFormatting sqref="D169:D176">
    <cfRule type="expression" dxfId="153" priority="12">
      <formula>mgmt_domain_chosen="Additional Instance"</formula>
    </cfRule>
    <cfRule type="expression" dxfId="152" priority="131">
      <formula>mgmt_domain_chosen="Additional Instance"</formula>
    </cfRule>
  </conditionalFormatting>
  <conditionalFormatting sqref="D181:D188">
    <cfRule type="expression" dxfId="151" priority="13">
      <formula>mgmt_domain_chosen="Additional Instance"</formula>
    </cfRule>
  </conditionalFormatting>
  <conditionalFormatting sqref="D193:D194">
    <cfRule type="expression" dxfId="149" priority="128">
      <formula>mgmt_domain_chosen="Additional Instance"</formula>
    </cfRule>
  </conditionalFormatting>
  <conditionalFormatting sqref="D201:D206">
    <cfRule type="notContainsBlanks" dxfId="147" priority="28">
      <formula>LEN(TRIM(D201))&gt;0</formula>
    </cfRule>
    <cfRule type="containsBlanks" dxfId="146" priority="29">
      <formula>LEN(TRIM(D201))=0</formula>
    </cfRule>
  </conditionalFormatting>
  <conditionalFormatting sqref="D211:D216">
    <cfRule type="notContainsBlanks" dxfId="144" priority="25">
      <formula>LEN(TRIM(D211))&gt;0</formula>
    </cfRule>
    <cfRule type="containsBlanks" dxfId="143" priority="26">
      <formula>LEN(TRIM(D211))=0</formula>
    </cfRule>
  </conditionalFormatting>
  <conditionalFormatting sqref="D221:D222">
    <cfRule type="expression" dxfId="142" priority="127">
      <formula>mgmt_domain_chosen="Additional Instance"</formula>
    </cfRule>
  </conditionalFormatting>
  <conditionalFormatting sqref="D227:D234">
    <cfRule type="notContainsBlanks" dxfId="140" priority="5">
      <formula>LEN(TRIM(D227))&gt;0</formula>
    </cfRule>
    <cfRule type="containsBlanks" dxfId="139" priority="6">
      <formula>LEN(TRIM(D227))=0</formula>
    </cfRule>
  </conditionalFormatting>
  <conditionalFormatting sqref="D239:D245">
    <cfRule type="notContainsBlanks" dxfId="137" priority="19">
      <formula>LEN(TRIM(D239))&gt;0</formula>
    </cfRule>
    <cfRule type="containsBlanks" dxfId="136" priority="20">
      <formula>LEN(TRIM(D239))=0</formula>
    </cfRule>
  </conditionalFormatting>
  <conditionalFormatting sqref="D250">
    <cfRule type="expression" dxfId="135" priority="126">
      <formula>mgmt_domain_chosen="Additional Instance"</formula>
    </cfRule>
  </conditionalFormatting>
  <dataValidations disablePrompts="1" count="1">
    <dataValidation type="list" allowBlank="1" showInputMessage="1" showErrorMessage="1" sqref="D82" xr:uid="{6CDA052B-62E9-EF47-8599-9388FCE1F003}">
      <formula1>table_masks</formula1>
    </dataValidation>
  </dataValidations>
  <pageMargins left="0.7" right="0.7" top="0.75" bottom="0.75" header="0.3" footer="0.3"/>
  <pageSetup paperSize="9" orientation="portrait" horizontalDpi="0" verticalDpi="0"/>
  <ignoredErrors>
    <ignoredError sqref="C11"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30" stopIfTrue="1" operator="containsText" id="{13ECAD23-29B0-8A42-868F-CA68677BF949}">
            <xm:f>NOT(ISERROR(SEARCH("Value Missing",D9)))</xm:f>
            <xm:f>"Value Missing"</xm:f>
            <x14:dxf>
              <font>
                <color rgb="FF0E223A"/>
              </font>
              <fill>
                <patternFill>
                  <bgColor rgb="FFFFBE29"/>
                </patternFill>
              </fill>
            </x14:dxf>
          </x14:cfRule>
          <xm:sqref>D9:D24</xm:sqref>
        </x14:conditionalFormatting>
        <x14:conditionalFormatting xmlns:xm="http://schemas.microsoft.com/office/excel/2006/main">
          <x14:cfRule type="containsText" priority="33" stopIfTrue="1" operator="containsText" id="{A12E9C80-0E23-4F46-A9A4-14193C5C64E8}">
            <xm:f>NOT(ISERROR(SEARCH("Value Missing",D29)))</xm:f>
            <xm:f>"Value Missing"</xm:f>
            <x14:dxf>
              <font>
                <color rgb="FF0E223A"/>
              </font>
              <fill>
                <patternFill>
                  <bgColor rgb="FFFFBE29"/>
                </patternFill>
              </fill>
            </x14:dxf>
          </x14:cfRule>
          <xm:sqref>D29:D37</xm:sqref>
        </x14:conditionalFormatting>
        <x14:conditionalFormatting xmlns:xm="http://schemas.microsoft.com/office/excel/2006/main">
          <x14:cfRule type="containsText" priority="36" stopIfTrue="1" operator="containsText" id="{EA44BEF0-3CA7-5F43-9E1D-F82EFFD7B038}">
            <xm:f>NOT(ISERROR(SEARCH("Value Missing",D42)))</xm:f>
            <xm:f>"Value Missing"</xm:f>
            <x14:dxf>
              <font>
                <color rgb="FF0E223A"/>
              </font>
              <fill>
                <patternFill>
                  <bgColor rgb="FFFFBE29"/>
                </patternFill>
              </fill>
            </x14:dxf>
          </x14:cfRule>
          <xm:sqref>D42:D45</xm:sqref>
        </x14:conditionalFormatting>
        <x14:conditionalFormatting xmlns:xm="http://schemas.microsoft.com/office/excel/2006/main">
          <x14:cfRule type="containsText" priority="1" stopIfTrue="1" operator="containsText" id="{C7BDD265-68EB-004C-978A-74D28F73BBD0}">
            <xm:f>NOT(ISERROR(SEARCH("Value Missing",D50)))</xm:f>
            <xm:f>"Value Missing"</xm:f>
            <x14:dxf>
              <font>
                <color rgb="FF0E223A"/>
              </font>
              <fill>
                <patternFill>
                  <bgColor rgb="FFFFBE29"/>
                </patternFill>
              </fill>
            </x14:dxf>
          </x14:cfRule>
          <xm:sqref>D50:D52</xm:sqref>
        </x14:conditionalFormatting>
        <x14:conditionalFormatting xmlns:xm="http://schemas.microsoft.com/office/excel/2006/main">
          <x14:cfRule type="containsText" priority="42" stopIfTrue="1" operator="containsText" id="{5AF86E66-3787-E241-95DE-9BA4D23F08A4}">
            <xm:f>NOT(ISERROR(SEARCH("Value Missing",D57)))</xm:f>
            <xm:f>"Value Missing"</xm:f>
            <x14:dxf>
              <font>
                <color rgb="FF0E223A"/>
              </font>
              <fill>
                <patternFill>
                  <bgColor rgb="FFFFBE29"/>
                </patternFill>
              </fill>
            </x14:dxf>
          </x14:cfRule>
          <xm:sqref>D57:D64</xm:sqref>
        </x14:conditionalFormatting>
        <x14:conditionalFormatting xmlns:xm="http://schemas.microsoft.com/office/excel/2006/main">
          <x14:cfRule type="containsText" priority="48" stopIfTrue="1" operator="containsText" id="{88B2E574-C103-4B45-9F52-9ACBBD89BF4A}">
            <xm:f>NOT(ISERROR(SEARCH("Value Missing",D69)))</xm:f>
            <xm:f>"Value Missing"</xm:f>
            <x14:dxf>
              <font>
                <color rgb="FF0E223A"/>
              </font>
              <fill>
                <patternFill>
                  <bgColor rgb="FFFFBE29"/>
                </patternFill>
              </fill>
            </x14:dxf>
          </x14:cfRule>
          <xm:sqref>D69:D72</xm:sqref>
        </x14:conditionalFormatting>
        <x14:conditionalFormatting xmlns:xm="http://schemas.microsoft.com/office/excel/2006/main">
          <x14:cfRule type="containsText" priority="51" stopIfTrue="1" operator="containsText" id="{817B5E16-3719-2D40-A79F-AF1F7E3F6E02}">
            <xm:f>NOT(ISERROR(SEARCH("Value Missing",D77)))</xm:f>
            <xm:f>"Value Missing"</xm:f>
            <x14:dxf>
              <font>
                <color rgb="FF0E223A"/>
              </font>
              <fill>
                <patternFill>
                  <bgColor rgb="FFFFBE29"/>
                </patternFill>
              </fill>
            </x14:dxf>
          </x14:cfRule>
          <xm:sqref>D77:D91</xm:sqref>
        </x14:conditionalFormatting>
        <x14:conditionalFormatting xmlns:xm="http://schemas.microsoft.com/office/excel/2006/main">
          <x14:cfRule type="containsText" priority="54" stopIfTrue="1" operator="containsText" id="{23A67814-CD7D-6C4B-80CC-F580F162848C}">
            <xm:f>NOT(ISERROR(SEARCH("Value Missing",D96)))</xm:f>
            <xm:f>"Value Missing"</xm:f>
            <x14:dxf>
              <font>
                <color rgb="FF0E223A"/>
              </font>
              <fill>
                <patternFill>
                  <bgColor rgb="FFFFBE29"/>
                </patternFill>
              </fill>
            </x14:dxf>
          </x14:cfRule>
          <xm:sqref>D96:D113</xm:sqref>
        </x14:conditionalFormatting>
        <x14:conditionalFormatting xmlns:xm="http://schemas.microsoft.com/office/excel/2006/main">
          <x14:cfRule type="containsText" priority="57" stopIfTrue="1" operator="containsText" id="{D02DDA07-3A75-2F43-BD3C-4CDCBB27E031}">
            <xm:f>NOT(ISERROR(SEARCH("Value Missing",D118)))</xm:f>
            <xm:f>"Value Missing"</xm:f>
            <x14:dxf>
              <font>
                <color rgb="FF0E223A"/>
              </font>
              <fill>
                <patternFill>
                  <bgColor rgb="FFFFBE29"/>
                </patternFill>
              </fill>
            </x14:dxf>
          </x14:cfRule>
          <xm:sqref>D118 D120:D123 D125:D132 D134:D137</xm:sqref>
        </x14:conditionalFormatting>
        <x14:conditionalFormatting xmlns:xm="http://schemas.microsoft.com/office/excel/2006/main">
          <x14:cfRule type="containsText" priority="61" stopIfTrue="1" operator="containsText" id="{1EE8AE01-EB8D-FC4D-98D2-CF825CB44F23}">
            <xm:f>NOT(ISERROR(SEARCH("Value Missing",D142)))</xm:f>
            <xm:f>"Value Missing"</xm:f>
            <x14:dxf>
              <font>
                <color rgb="FF0E223A"/>
              </font>
              <fill>
                <patternFill>
                  <bgColor rgb="FFFFBE29"/>
                </patternFill>
              </fill>
            </x14:dxf>
          </x14:cfRule>
          <xm:sqref>D142:D144</xm:sqref>
        </x14:conditionalFormatting>
        <x14:conditionalFormatting xmlns:xm="http://schemas.microsoft.com/office/excel/2006/main">
          <x14:cfRule type="containsText" priority="129" operator="containsText" id="{759137D1-9F92-FB4F-80CB-2E4CA65B794D}">
            <xm:f>NOT(ISERROR(SEARCH("Value Missing",D151)))</xm:f>
            <xm:f>"Value Missing"</xm:f>
            <x14:dxf>
              <font>
                <color theme="1"/>
              </font>
              <fill>
                <patternFill>
                  <bgColor rgb="FFFFC000"/>
                </patternFill>
              </fill>
            </x14:dxf>
          </x14:cfRule>
          <xm:sqref>D193:D194 D221:D222 D250 D181:D188 D169:D176 D151:D157 D161:D164</xm:sqref>
        </x14:conditionalFormatting>
        <x14:conditionalFormatting xmlns:xm="http://schemas.microsoft.com/office/excel/2006/main">
          <x14:cfRule type="containsText" priority="27" stopIfTrue="1" operator="containsText" id="{34CB23E1-94BB-3745-B643-323426913C8C}">
            <xm:f>NOT(ISERROR(SEARCH("Value Missing",D201)))</xm:f>
            <xm:f>"Value Missing"</xm:f>
            <x14:dxf>
              <font>
                <color rgb="FF0E223A"/>
              </font>
              <fill>
                <patternFill>
                  <bgColor rgb="FFFFBE29"/>
                </patternFill>
              </fill>
            </x14:dxf>
          </x14:cfRule>
          <xm:sqref>D201:D206</xm:sqref>
        </x14:conditionalFormatting>
        <x14:conditionalFormatting xmlns:xm="http://schemas.microsoft.com/office/excel/2006/main">
          <x14:cfRule type="containsText" priority="24" stopIfTrue="1" operator="containsText" id="{8446AB7E-F170-134D-A743-1BFC4F138545}">
            <xm:f>NOT(ISERROR(SEARCH("Value Missing",D211)))</xm:f>
            <xm:f>"Value Missing"</xm:f>
            <x14:dxf>
              <font>
                <color rgb="FF0E223A"/>
              </font>
              <fill>
                <patternFill>
                  <bgColor rgb="FFFFBE29"/>
                </patternFill>
              </fill>
            </x14:dxf>
          </x14:cfRule>
          <xm:sqref>D211:D216</xm:sqref>
        </x14:conditionalFormatting>
        <x14:conditionalFormatting xmlns:xm="http://schemas.microsoft.com/office/excel/2006/main">
          <x14:cfRule type="containsText" priority="4" stopIfTrue="1" operator="containsText" id="{6B7DFE55-98DD-5F46-9767-218528490840}">
            <xm:f>NOT(ISERROR(SEARCH("Value Missing",D227)))</xm:f>
            <xm:f>"Value Missing"</xm:f>
            <x14:dxf>
              <font>
                <color rgb="FF0E223A"/>
              </font>
              <fill>
                <patternFill>
                  <bgColor rgb="FFFFBE29"/>
                </patternFill>
              </fill>
            </x14:dxf>
          </x14:cfRule>
          <xm:sqref>D227:D234</xm:sqref>
        </x14:conditionalFormatting>
        <x14:conditionalFormatting xmlns:xm="http://schemas.microsoft.com/office/excel/2006/main">
          <x14:cfRule type="containsText" priority="18" stopIfTrue="1" operator="containsText" id="{E308EDC5-2CC6-C14E-B52C-69E25EE3745D}">
            <xm:f>NOT(ISERROR(SEARCH("Value Missing",D239)))</xm:f>
            <xm:f>"Value Missing"</xm:f>
            <x14:dxf>
              <font>
                <color rgb="FF0E223A"/>
              </font>
              <fill>
                <patternFill>
                  <bgColor rgb="FFFFBE29"/>
                </patternFill>
              </fill>
            </x14:dxf>
          </x14:cfRule>
          <xm:sqref>D239:D245</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029C-D6DD-3C4F-8E2E-53FC3544B15A}">
  <sheetPr codeName="Sheet16">
    <tabColor theme="2" tint="-9.9978637043366805E-2"/>
  </sheetPr>
  <dimension ref="A2:I173"/>
  <sheetViews>
    <sheetView showGridLines="0" workbookViewId="0">
      <pane ySplit="4" topLeftCell="A5" activePane="bottomLeft" state="frozen"/>
      <selection pane="bottomLeft"/>
    </sheetView>
  </sheetViews>
  <sheetFormatPr baseColWidth="10" defaultRowHeight="16" x14ac:dyDescent="0.2"/>
  <cols>
    <col min="1" max="1" width="2.83203125" style="9" customWidth="1"/>
    <col min="2" max="2" width="75.83203125" style="9" customWidth="1"/>
    <col min="3" max="6" width="19.6640625" style="9" customWidth="1"/>
    <col min="7" max="8" width="75.83203125" style="9" customWidth="1"/>
    <col min="9" max="9" width="10.83203125" style="9" customWidth="1"/>
    <col min="10" max="11" width="10.83203125" style="9"/>
    <col min="12" max="12" width="30.83203125" style="9" customWidth="1"/>
    <col min="13" max="16" width="19.5" style="9" customWidth="1"/>
    <col min="17" max="16384" width="10.83203125" style="9"/>
  </cols>
  <sheetData>
    <row r="2" spans="1:9" ht="54" customHeight="1" x14ac:dyDescent="0.2">
      <c r="A2" s="148"/>
      <c r="B2" s="571" t="s">
        <v>2669</v>
      </c>
      <c r="C2" s="571"/>
      <c r="D2" s="571"/>
      <c r="E2" s="571"/>
      <c r="F2" s="571"/>
      <c r="G2" s="571"/>
      <c r="H2" s="571"/>
    </row>
    <row r="3" spans="1:9" x14ac:dyDescent="0.2">
      <c r="A3" s="61"/>
      <c r="B3" s="572" t="s">
        <v>1</v>
      </c>
      <c r="C3" s="572"/>
      <c r="D3" s="572"/>
      <c r="E3" s="572"/>
      <c r="F3" s="572"/>
      <c r="G3" s="572"/>
      <c r="H3" s="572"/>
      <c r="I3" s="25"/>
    </row>
    <row r="6" spans="1:9" ht="32" customHeight="1" x14ac:dyDescent="0.2">
      <c r="B6" s="680" t="s">
        <v>2885</v>
      </c>
      <c r="C6" s="681"/>
      <c r="D6" s="681"/>
      <c r="E6" s="681"/>
      <c r="F6" s="681"/>
      <c r="G6" s="681"/>
      <c r="H6" s="681"/>
    </row>
    <row r="7" spans="1:9" ht="17" x14ac:dyDescent="0.2">
      <c r="B7" s="404" t="s">
        <v>2887</v>
      </c>
      <c r="C7" s="394" t="s">
        <v>2888</v>
      </c>
      <c r="D7" s="394" t="s">
        <v>2889</v>
      </c>
      <c r="E7" s="394" t="s">
        <v>2890</v>
      </c>
      <c r="F7" s="394" t="s">
        <v>2891</v>
      </c>
      <c r="G7" s="663" t="s">
        <v>21</v>
      </c>
      <c r="H7" s="664"/>
    </row>
    <row r="8" spans="1:9" x14ac:dyDescent="0.2">
      <c r="B8" s="8" t="s">
        <v>1377</v>
      </c>
      <c r="C8" s="395">
        <f>'Management Domain Sizing'!J8</f>
        <v>1</v>
      </c>
      <c r="D8" s="395">
        <f>'Management Domain Sizing'!K8</f>
        <v>4</v>
      </c>
      <c r="E8" s="395">
        <f>'Management Domain Sizing'!L8</f>
        <v>16</v>
      </c>
      <c r="F8" s="395">
        <f>'Management Domain Sizing'!M8</f>
        <v>914</v>
      </c>
      <c r="G8" s="654"/>
      <c r="H8" s="655"/>
    </row>
    <row r="9" spans="1:9" x14ac:dyDescent="0.2">
      <c r="B9" s="8" t="s">
        <v>3369</v>
      </c>
      <c r="C9" s="395">
        <f>'Management Domain Sizing'!J9</f>
        <v>1</v>
      </c>
      <c r="D9" s="395">
        <f>'Management Domain Sizing'!K9</f>
        <v>4</v>
      </c>
      <c r="E9" s="395">
        <f>'Management Domain Sizing'!L9</f>
        <v>21</v>
      </c>
      <c r="F9" s="395">
        <f>'Management Domain Sizing'!M9</f>
        <v>2084</v>
      </c>
      <c r="G9" s="654"/>
      <c r="H9" s="655"/>
    </row>
    <row r="10" spans="1:9" x14ac:dyDescent="0.2">
      <c r="B10" s="8" t="s">
        <v>3114</v>
      </c>
      <c r="C10" s="395">
        <f>'Management Domain Sizing'!J10</f>
        <v>3</v>
      </c>
      <c r="D10" s="395">
        <f>'Management Domain Sizing'!K10</f>
        <v>18</v>
      </c>
      <c r="E10" s="395">
        <f>'Management Domain Sizing'!L10</f>
        <v>72</v>
      </c>
      <c r="F10" s="395">
        <f>'Management Domain Sizing'!M10</f>
        <v>900</v>
      </c>
      <c r="G10" s="654"/>
      <c r="H10" s="655"/>
    </row>
    <row r="11" spans="1:9" x14ac:dyDescent="0.2">
      <c r="B11" s="8" t="s">
        <v>2900</v>
      </c>
      <c r="C11" s="395">
        <f>'Management Domain Sizing'!J11</f>
        <v>0</v>
      </c>
      <c r="D11" s="395">
        <f>'Management Domain Sizing'!K11</f>
        <v>0</v>
      </c>
      <c r="E11" s="395">
        <f>'Management Domain Sizing'!L11</f>
        <v>0</v>
      </c>
      <c r="F11" s="395">
        <f>'Management Domain Sizing'!M11</f>
        <v>0</v>
      </c>
      <c r="G11" s="654"/>
      <c r="H11" s="655"/>
    </row>
    <row r="12" spans="1:9" x14ac:dyDescent="0.2">
      <c r="B12" s="8" t="s">
        <v>3410</v>
      </c>
      <c r="C12" s="395">
        <f>'Management Domain Sizing'!J12</f>
        <v>0</v>
      </c>
      <c r="D12" s="395">
        <f>'Management Domain Sizing'!K12</f>
        <v>0</v>
      </c>
      <c r="E12" s="395">
        <f>'Management Domain Sizing'!L12</f>
        <v>0</v>
      </c>
      <c r="F12" s="395">
        <f>'Management Domain Sizing'!M12</f>
        <v>0</v>
      </c>
      <c r="G12" s="654"/>
      <c r="H12" s="655"/>
    </row>
    <row r="13" spans="1:9" x14ac:dyDescent="0.2">
      <c r="B13" s="8" t="s">
        <v>3618</v>
      </c>
      <c r="C13" s="395">
        <f>'Management Domain Sizing'!J13</f>
        <v>0</v>
      </c>
      <c r="D13" s="395">
        <f>'Management Domain Sizing'!K13</f>
        <v>0</v>
      </c>
      <c r="E13" s="395">
        <f>'Management Domain Sizing'!L13</f>
        <v>0</v>
      </c>
      <c r="F13" s="395">
        <f>'Management Domain Sizing'!M13</f>
        <v>0</v>
      </c>
      <c r="G13" s="654"/>
      <c r="H13" s="655"/>
    </row>
    <row r="14" spans="1:9" x14ac:dyDescent="0.2">
      <c r="B14" s="8" t="s">
        <v>2903</v>
      </c>
      <c r="C14" s="395">
        <f>'Management Domain Sizing'!J14</f>
        <v>0</v>
      </c>
      <c r="D14" s="395">
        <f>'Management Domain Sizing'!K14</f>
        <v>0</v>
      </c>
      <c r="E14" s="395">
        <f>'Management Domain Sizing'!L14</f>
        <v>0</v>
      </c>
      <c r="F14" s="395">
        <f>'Management Domain Sizing'!M14</f>
        <v>0</v>
      </c>
      <c r="G14" s="654"/>
      <c r="H14" s="655"/>
    </row>
    <row r="15" spans="1:9" x14ac:dyDescent="0.2">
      <c r="B15" s="8" t="s">
        <v>3140</v>
      </c>
      <c r="C15" s="395">
        <f>'Management Domain Sizing'!J15</f>
        <v>0</v>
      </c>
      <c r="D15" s="395">
        <f>'Management Domain Sizing'!K15</f>
        <v>0</v>
      </c>
      <c r="E15" s="395">
        <f>'Management Domain Sizing'!L15</f>
        <v>0</v>
      </c>
      <c r="F15" s="395">
        <f>'Management Domain Sizing'!M15</f>
        <v>0</v>
      </c>
      <c r="G15" s="654"/>
      <c r="H15" s="655"/>
    </row>
    <row r="16" spans="1:9" x14ac:dyDescent="0.2">
      <c r="B16" s="8" t="s">
        <v>3689</v>
      </c>
      <c r="C16" s="395">
        <f>'Management Domain Sizing'!J16</f>
        <v>0</v>
      </c>
      <c r="D16" s="395">
        <f>'Management Domain Sizing'!K16</f>
        <v>0</v>
      </c>
      <c r="E16" s="395">
        <f>'Management Domain Sizing'!L16</f>
        <v>0</v>
      </c>
      <c r="F16" s="395">
        <f>'Management Domain Sizing'!M16</f>
        <v>0</v>
      </c>
      <c r="G16" s="654"/>
      <c r="H16" s="655"/>
    </row>
    <row r="17" spans="2:8" x14ac:dyDescent="0.2">
      <c r="B17" s="8" t="s">
        <v>3502</v>
      </c>
      <c r="C17" s="395">
        <f>'Management Domain Sizing'!J17</f>
        <v>0</v>
      </c>
      <c r="D17" s="395">
        <f>'Management Domain Sizing'!K17</f>
        <v>0</v>
      </c>
      <c r="E17" s="395">
        <f>'Management Domain Sizing'!L17</f>
        <v>0</v>
      </c>
      <c r="F17" s="395">
        <f>'Management Domain Sizing'!M17</f>
        <v>0</v>
      </c>
      <c r="G17" s="654"/>
      <c r="H17" s="655"/>
    </row>
    <row r="18" spans="2:8" x14ac:dyDescent="0.2">
      <c r="B18" s="8" t="s">
        <v>3370</v>
      </c>
      <c r="C18" s="395">
        <f>'Management Domain Sizing'!J18</f>
        <v>0</v>
      </c>
      <c r="D18" s="395">
        <f>'Management Domain Sizing'!K18</f>
        <v>0</v>
      </c>
      <c r="E18" s="395">
        <f>'Management Domain Sizing'!L18</f>
        <v>0</v>
      </c>
      <c r="F18" s="395">
        <f>'Management Domain Sizing'!M18</f>
        <v>0</v>
      </c>
      <c r="G18" s="654"/>
      <c r="H18" s="655"/>
    </row>
    <row r="19" spans="2:8" x14ac:dyDescent="0.2">
      <c r="B19" s="8" t="s">
        <v>3141</v>
      </c>
      <c r="C19" s="395">
        <f>'Management Domain Sizing'!J19</f>
        <v>0</v>
      </c>
      <c r="D19" s="395">
        <f>'Management Domain Sizing'!K19</f>
        <v>0</v>
      </c>
      <c r="E19" s="395">
        <f>'Management Domain Sizing'!L19</f>
        <v>0</v>
      </c>
      <c r="F19" s="395">
        <f>'Management Domain Sizing'!M19</f>
        <v>0</v>
      </c>
      <c r="G19" s="654"/>
      <c r="H19" s="655"/>
    </row>
    <row r="20" spans="2:8" x14ac:dyDescent="0.2">
      <c r="B20" s="8" t="s">
        <v>2910</v>
      </c>
      <c r="C20" s="395">
        <f>'Management Domain Sizing'!J20</f>
        <v>0</v>
      </c>
      <c r="D20" s="395">
        <f>'Management Domain Sizing'!K20</f>
        <v>0</v>
      </c>
      <c r="E20" s="395">
        <f>'Management Domain Sizing'!L20</f>
        <v>0</v>
      </c>
      <c r="F20" s="395">
        <f>'Management Domain Sizing'!M20</f>
        <v>0</v>
      </c>
      <c r="G20" s="654"/>
      <c r="H20" s="655"/>
    </row>
    <row r="21" spans="2:8" x14ac:dyDescent="0.2">
      <c r="B21" s="8" t="s">
        <v>2912</v>
      </c>
      <c r="C21" s="395">
        <f>'Management Domain Sizing'!J21</f>
        <v>0</v>
      </c>
      <c r="D21" s="395">
        <f>'Management Domain Sizing'!K21</f>
        <v>0</v>
      </c>
      <c r="E21" s="395">
        <f>'Management Domain Sizing'!L21</f>
        <v>0</v>
      </c>
      <c r="F21" s="395">
        <f>'Management Domain Sizing'!M21</f>
        <v>0</v>
      </c>
      <c r="G21" s="654"/>
      <c r="H21" s="655"/>
    </row>
    <row r="22" spans="2:8" x14ac:dyDescent="0.2">
      <c r="B22" s="8" t="s">
        <v>3142</v>
      </c>
      <c r="C22" s="395">
        <f>'Management Domain Sizing'!J22</f>
        <v>3</v>
      </c>
      <c r="D22" s="395">
        <f>'Management Domain Sizing'!K22</f>
        <v>12</v>
      </c>
      <c r="E22" s="395">
        <f>'Management Domain Sizing'!L22</f>
        <v>30</v>
      </c>
      <c r="F22" s="395">
        <f>'Management Domain Sizing'!M22</f>
        <v>300</v>
      </c>
      <c r="G22" s="654"/>
      <c r="H22" s="655"/>
    </row>
    <row r="23" spans="2:8" x14ac:dyDescent="0.2">
      <c r="B23" s="8" t="s">
        <v>3139</v>
      </c>
      <c r="C23" s="395">
        <f>'Management Domain Sizing'!J23</f>
        <v>3</v>
      </c>
      <c r="D23" s="395">
        <f>'Management Domain Sizing'!K23</f>
        <v>30</v>
      </c>
      <c r="E23" s="395">
        <f>'Management Domain Sizing'!L23</f>
        <v>48</v>
      </c>
      <c r="F23" s="395">
        <f>'Management Domain Sizing'!M23</f>
        <v>2800</v>
      </c>
      <c r="G23" s="654"/>
      <c r="H23" s="655"/>
    </row>
    <row r="24" spans="2:8" x14ac:dyDescent="0.2">
      <c r="B24" s="8" t="s">
        <v>1095</v>
      </c>
      <c r="C24" s="395">
        <f>'Management Domain Sizing'!J24</f>
        <v>0</v>
      </c>
      <c r="D24" s="395">
        <f>'Management Domain Sizing'!K24</f>
        <v>0</v>
      </c>
      <c r="E24" s="395">
        <f>'Management Domain Sizing'!L24</f>
        <v>0</v>
      </c>
      <c r="F24" s="395">
        <f>'Management Domain Sizing'!M24</f>
        <v>0</v>
      </c>
      <c r="G24" s="654"/>
      <c r="H24" s="655"/>
    </row>
    <row r="25" spans="2:8" x14ac:dyDescent="0.2">
      <c r="B25" s="8" t="s">
        <v>3163</v>
      </c>
      <c r="C25" s="395">
        <f>'Management Domain Sizing'!J25</f>
        <v>0</v>
      </c>
      <c r="D25" s="395">
        <f>'Management Domain Sizing'!K25</f>
        <v>0</v>
      </c>
      <c r="E25" s="395">
        <f>'Management Domain Sizing'!L25</f>
        <v>0</v>
      </c>
      <c r="F25" s="395">
        <f>'Management Domain Sizing'!M25</f>
        <v>0</v>
      </c>
      <c r="G25" s="654"/>
      <c r="H25" s="655"/>
    </row>
    <row r="26" spans="2:8" x14ac:dyDescent="0.2">
      <c r="B26" s="8" t="s">
        <v>3133</v>
      </c>
      <c r="C26" s="395">
        <f>'Management Domain Sizing'!J26</f>
        <v>0</v>
      </c>
      <c r="D26" s="395">
        <f>'Management Domain Sizing'!K26</f>
        <v>0</v>
      </c>
      <c r="E26" s="395">
        <f>'Management Domain Sizing'!L26</f>
        <v>0</v>
      </c>
      <c r="F26" s="395">
        <f>'Management Domain Sizing'!M26</f>
        <v>0</v>
      </c>
      <c r="G26" s="654"/>
      <c r="H26" s="655"/>
    </row>
    <row r="27" spans="2:8" x14ac:dyDescent="0.2">
      <c r="B27" s="8" t="s">
        <v>2814</v>
      </c>
      <c r="C27" s="395">
        <f>'Management Domain Sizing'!J27</f>
        <v>0</v>
      </c>
      <c r="D27" s="395">
        <f>'Management Domain Sizing'!K27</f>
        <v>0</v>
      </c>
      <c r="E27" s="395">
        <f>'Management Domain Sizing'!L27</f>
        <v>0</v>
      </c>
      <c r="F27" s="395">
        <f>'Management Domain Sizing'!M27</f>
        <v>0</v>
      </c>
      <c r="G27" s="654"/>
      <c r="H27" s="655"/>
    </row>
    <row r="28" spans="2:8" x14ac:dyDescent="0.2">
      <c r="B28" s="8" t="s">
        <v>2914</v>
      </c>
      <c r="C28" s="395">
        <f>'Management Domain Sizing'!J28</f>
        <v>0</v>
      </c>
      <c r="D28" s="395">
        <f>'Management Domain Sizing'!K28</f>
        <v>0</v>
      </c>
      <c r="E28" s="395">
        <f>'Management Domain Sizing'!L28</f>
        <v>0</v>
      </c>
      <c r="F28" s="395">
        <f>'Management Domain Sizing'!M28</f>
        <v>0</v>
      </c>
      <c r="G28" s="654"/>
      <c r="H28" s="655"/>
    </row>
    <row r="29" spans="2:8" x14ac:dyDescent="0.2">
      <c r="B29" s="8" t="s">
        <v>2915</v>
      </c>
      <c r="C29" s="395">
        <f>'Management Domain Sizing'!J29</f>
        <v>0</v>
      </c>
      <c r="D29" s="395">
        <f>'Management Domain Sizing'!K29</f>
        <v>0</v>
      </c>
      <c r="E29" s="395">
        <f>'Management Domain Sizing'!L29</f>
        <v>0</v>
      </c>
      <c r="F29" s="395">
        <f>'Management Domain Sizing'!M29</f>
        <v>0</v>
      </c>
      <c r="G29" s="654"/>
      <c r="H29" s="655"/>
    </row>
    <row r="30" spans="2:8" x14ac:dyDescent="0.2">
      <c r="B30" s="8" t="s">
        <v>3379</v>
      </c>
      <c r="C30" s="395">
        <f>'Management Domain Sizing'!J30</f>
        <v>0</v>
      </c>
      <c r="D30" s="395">
        <f>'Management Domain Sizing'!K30</f>
        <v>0</v>
      </c>
      <c r="E30" s="395">
        <f>'Management Domain Sizing'!L30</f>
        <v>0</v>
      </c>
      <c r="F30" s="395">
        <f>'Management Domain Sizing'!M30</f>
        <v>0</v>
      </c>
      <c r="G30" s="654"/>
      <c r="H30" s="655"/>
    </row>
    <row r="31" spans="2:8" x14ac:dyDescent="0.2">
      <c r="B31" s="8" t="s">
        <v>3585</v>
      </c>
      <c r="C31" s="395">
        <f>'Management Domain Sizing'!J31</f>
        <v>0</v>
      </c>
      <c r="D31" s="395">
        <f>'Management Domain Sizing'!K31</f>
        <v>0</v>
      </c>
      <c r="E31" s="395">
        <f>'Management Domain Sizing'!L31</f>
        <v>0</v>
      </c>
      <c r="F31" s="395">
        <f>'Management Domain Sizing'!M31</f>
        <v>0</v>
      </c>
      <c r="G31" s="654"/>
      <c r="H31" s="655"/>
    </row>
    <row r="32" spans="2:8" ht="17" x14ac:dyDescent="0.2">
      <c r="B32" s="4" t="s">
        <v>2916</v>
      </c>
      <c r="C32" s="376">
        <f>SUM(C8:C29,C30:C31)</f>
        <v>11</v>
      </c>
      <c r="D32" s="28" t="str">
        <f>CONCATENATE(SUM(D8:D29:D30:D31)," vCPUs")</f>
        <v>68 vCPUs</v>
      </c>
      <c r="E32" s="28" t="str">
        <f>CONCATENATE(SUM(E8:E29,E30:E31)," GB")</f>
        <v>187 GB</v>
      </c>
      <c r="F32" s="28" t="str">
        <f>CONCATENATE(SUM(F8:F31), " GB")</f>
        <v>6998 GB</v>
      </c>
      <c r="G32" s="654"/>
      <c r="H32" s="655"/>
    </row>
    <row r="34" spans="2:8" ht="34" customHeight="1" x14ac:dyDescent="0.2">
      <c r="B34" s="412" t="s">
        <v>2670</v>
      </c>
      <c r="C34" s="413"/>
      <c r="D34" s="413"/>
      <c r="E34" s="413"/>
      <c r="F34" s="413"/>
      <c r="G34" s="413"/>
      <c r="H34" s="414"/>
    </row>
    <row r="35" spans="2:8" ht="20" customHeight="1" x14ac:dyDescent="0.2">
      <c r="B35" s="537" t="s">
        <v>2671</v>
      </c>
      <c r="C35" s="538"/>
      <c r="D35" s="538"/>
      <c r="E35" s="538"/>
      <c r="F35" s="538"/>
      <c r="G35" s="538"/>
      <c r="H35" s="539"/>
    </row>
    <row r="36" spans="2:8" ht="20" customHeight="1" x14ac:dyDescent="0.2">
      <c r="B36" s="63" t="s">
        <v>18</v>
      </c>
      <c r="C36" s="478" t="s">
        <v>19</v>
      </c>
      <c r="D36" s="480"/>
      <c r="E36" s="480"/>
      <c r="F36" s="479"/>
      <c r="G36" s="63" t="s">
        <v>20</v>
      </c>
      <c r="H36" s="63" t="s">
        <v>21</v>
      </c>
    </row>
    <row r="37" spans="2:8" ht="20" customHeight="1" x14ac:dyDescent="0.2">
      <c r="B37" s="521" t="s">
        <v>789</v>
      </c>
      <c r="C37" s="522"/>
      <c r="D37" s="522"/>
      <c r="E37" s="522"/>
      <c r="F37" s="522"/>
      <c r="G37" s="522"/>
      <c r="H37" s="523"/>
    </row>
    <row r="38" spans="2:8" ht="20" customHeight="1" x14ac:dyDescent="0.2">
      <c r="B38" s="155" t="s">
        <v>85</v>
      </c>
      <c r="C38" s="665" t="str">
        <f>sample_mgmt_az1_mgmt_vm_vlan</f>
        <v>1110</v>
      </c>
      <c r="D38" s="666"/>
      <c r="E38" s="666"/>
      <c r="F38" s="667"/>
      <c r="G38" s="8" t="str">
        <f>mgmt_az1_mgmt_vm_vlan</f>
        <v>Value Missing</v>
      </c>
      <c r="H38" s="43"/>
    </row>
    <row r="39" spans="2:8" ht="20" customHeight="1" x14ac:dyDescent="0.2">
      <c r="B39" s="155" t="s">
        <v>180</v>
      </c>
      <c r="C39" s="656" t="str">
        <f>sample_mgmt_az1_mgmt_vm_gateway_cidr</f>
        <v>10.11.10.1/24</v>
      </c>
      <c r="D39" s="657"/>
      <c r="E39" s="657"/>
      <c r="F39" s="658"/>
      <c r="G39" s="8" t="str">
        <f>mgmt_az1_mgmt_vm_gateway_ip</f>
        <v>Value Missing</v>
      </c>
      <c r="H39" s="43"/>
    </row>
    <row r="40" spans="2:8" ht="20" customHeight="1" x14ac:dyDescent="0.2">
      <c r="B40" s="4" t="s">
        <v>155</v>
      </c>
      <c r="C40" s="656">
        <f>sample_mgmt_az1_mgmt_vm_mtu</f>
        <v>1500</v>
      </c>
      <c r="D40" s="657"/>
      <c r="E40" s="657"/>
      <c r="F40" s="658"/>
      <c r="G40" s="8" t="str">
        <f>mgmt_az1_mgmt_vm_mtu</f>
        <v>Value Missing</v>
      </c>
      <c r="H40" s="43"/>
    </row>
    <row r="41" spans="2:8" ht="20" customHeight="1" x14ac:dyDescent="0.2">
      <c r="B41" s="521" t="s">
        <v>177</v>
      </c>
      <c r="C41" s="522"/>
      <c r="D41" s="522"/>
      <c r="E41" s="522"/>
      <c r="F41" s="522"/>
      <c r="G41" s="522"/>
      <c r="H41" s="523"/>
    </row>
    <row r="42" spans="2:8" ht="20" customHeight="1" x14ac:dyDescent="0.2">
      <c r="B42" s="67" t="s">
        <v>85</v>
      </c>
      <c r="C42" s="659" t="str">
        <f>sample_mgmt_az1_uplink01_vlan</f>
        <v>1117</v>
      </c>
      <c r="D42" s="659"/>
      <c r="E42" s="659"/>
      <c r="F42" s="659"/>
      <c r="G42" s="8" t="str">
        <f>mgmt_az1_uplink01_vlan</f>
        <v>Value Missing</v>
      </c>
      <c r="H42" s="42"/>
    </row>
    <row r="43" spans="2:8" ht="20" customHeight="1" x14ac:dyDescent="0.2">
      <c r="B43" s="67" t="s">
        <v>180</v>
      </c>
      <c r="C43" s="659" t="str">
        <f>sample_mgmt_az1_uplink01_gateway_ip</f>
        <v>10.11.17.1</v>
      </c>
      <c r="D43" s="659"/>
      <c r="E43" s="659"/>
      <c r="F43" s="659"/>
      <c r="G43" s="8" t="str">
        <f>mgmt_az1_uplink01_gateway_ip</f>
        <v>Value Missing</v>
      </c>
      <c r="H43" s="42"/>
    </row>
    <row r="44" spans="2:8" ht="20" customHeight="1" x14ac:dyDescent="0.2">
      <c r="B44" s="67" t="s">
        <v>155</v>
      </c>
      <c r="C44" s="659">
        <f>sample_mgmt_az1_uplink01_mtu</f>
        <v>9000</v>
      </c>
      <c r="D44" s="659"/>
      <c r="E44" s="659"/>
      <c r="F44" s="659"/>
      <c r="G44" s="8" t="str">
        <f>mgmt_az1_uplink01_mtu</f>
        <v>Value Missing</v>
      </c>
      <c r="H44" s="42"/>
    </row>
    <row r="45" spans="2:8" ht="20" customHeight="1" x14ac:dyDescent="0.2">
      <c r="B45" s="521" t="s">
        <v>182</v>
      </c>
      <c r="C45" s="678"/>
      <c r="D45" s="678"/>
      <c r="E45" s="678"/>
      <c r="F45" s="678"/>
      <c r="G45" s="522"/>
      <c r="H45" s="523"/>
    </row>
    <row r="46" spans="2:8" ht="20" customHeight="1" x14ac:dyDescent="0.2">
      <c r="B46" s="67" t="s">
        <v>85</v>
      </c>
      <c r="C46" s="659" t="str">
        <f>sample_mgmt_az1_uplink02_vlan</f>
        <v>1118</v>
      </c>
      <c r="D46" s="659"/>
      <c r="E46" s="659"/>
      <c r="F46" s="659"/>
      <c r="G46" s="8" t="str">
        <f>mgmt_az1_uplink02_vlan</f>
        <v>Value Missing</v>
      </c>
      <c r="H46" s="113"/>
    </row>
    <row r="47" spans="2:8" ht="20" customHeight="1" x14ac:dyDescent="0.2">
      <c r="B47" s="67" t="s">
        <v>180</v>
      </c>
      <c r="C47" s="659" t="str">
        <f>sample_mgmt_az1_uplink02_gateway_ip</f>
        <v>10.11.18.1</v>
      </c>
      <c r="D47" s="659"/>
      <c r="E47" s="659"/>
      <c r="F47" s="659"/>
      <c r="G47" s="8" t="str">
        <f>mgmt_az1_uplink02_gateway_ip</f>
        <v>Value Missing</v>
      </c>
      <c r="H47" s="42"/>
    </row>
    <row r="48" spans="2:8" ht="20" customHeight="1" x14ac:dyDescent="0.2">
      <c r="B48" s="67" t="s">
        <v>155</v>
      </c>
      <c r="C48" s="659">
        <f>sample_mgmt_az1_uplink02_mtu</f>
        <v>9000</v>
      </c>
      <c r="D48" s="659"/>
      <c r="E48" s="659"/>
      <c r="F48" s="659"/>
      <c r="G48" s="8" t="str">
        <f>mgmt_az1_uplink02_mtu</f>
        <v>Value Missing</v>
      </c>
      <c r="H48" s="42"/>
    </row>
    <row r="49" spans="2:8" ht="20" customHeight="1" x14ac:dyDescent="0.2">
      <c r="B49" s="521" t="s">
        <v>183</v>
      </c>
      <c r="C49" s="678"/>
      <c r="D49" s="678"/>
      <c r="E49" s="678"/>
      <c r="F49" s="678"/>
      <c r="G49" s="522"/>
      <c r="H49" s="523"/>
    </row>
    <row r="50" spans="2:8" ht="20" customHeight="1" x14ac:dyDescent="0.2">
      <c r="B50" s="67" t="s">
        <v>85</v>
      </c>
      <c r="C50" s="659" t="str">
        <f>sample_mgmt_az1_edge_overlay_vlan</f>
        <v>1119</v>
      </c>
      <c r="D50" s="659"/>
      <c r="E50" s="659"/>
      <c r="F50" s="659"/>
      <c r="G50" s="8" t="str">
        <f>mgmt_az1_edge_overlay_vlan</f>
        <v>Value Missing</v>
      </c>
      <c r="H50" s="42" t="str">
        <f>IF(AND(mgmt_stretched_cluster_result="Included",mgmt_dpg_reuse_result="Included"),"Stretched L2","")</f>
        <v/>
      </c>
    </row>
    <row r="51" spans="2:8" ht="20" customHeight="1" x14ac:dyDescent="0.2">
      <c r="B51" s="67" t="s">
        <v>180</v>
      </c>
      <c r="C51" s="659" t="str">
        <f>sample_mgmt_az1_edge_overlay_gateway_ip</f>
        <v>10.11.19.1</v>
      </c>
      <c r="D51" s="659"/>
      <c r="E51" s="659"/>
      <c r="F51" s="659"/>
      <c r="G51" s="8" t="str">
        <f>mgmt_az1_edge_overlay_gateway_ip</f>
        <v>Value Missing</v>
      </c>
      <c r="H51" s="42" t="str">
        <f>IF(AND(mgmt_stretched_cluster_result="Included",mgmt_dpg_reuse_result="Excluded"),"Stretched L2","")</f>
        <v/>
      </c>
    </row>
    <row r="52" spans="2:8" ht="20" customHeight="1" x14ac:dyDescent="0.2">
      <c r="B52" s="67" t="s">
        <v>155</v>
      </c>
      <c r="C52" s="659">
        <f>sample_mgmt_az1_edge_overlay_mtu</f>
        <v>9000</v>
      </c>
      <c r="D52" s="659"/>
      <c r="E52" s="659"/>
      <c r="F52" s="659"/>
      <c r="G52" s="8" t="str">
        <f>mgmt_az1_edge_overlay_mtu</f>
        <v>Value Missing</v>
      </c>
      <c r="H52" s="42"/>
    </row>
    <row r="53" spans="2:8" ht="20" customHeight="1" x14ac:dyDescent="0.2">
      <c r="B53" s="572" t="s">
        <v>2672</v>
      </c>
      <c r="C53" s="679"/>
      <c r="D53" s="679"/>
      <c r="E53" s="679"/>
      <c r="F53" s="679"/>
      <c r="G53" s="572"/>
      <c r="H53" s="572"/>
    </row>
    <row r="54" spans="2:8" ht="20" customHeight="1" x14ac:dyDescent="0.2">
      <c r="B54" s="67" t="s">
        <v>1006</v>
      </c>
      <c r="C54" s="659" t="str">
        <f>sample_mgmt_en_asn</f>
        <v>65101</v>
      </c>
      <c r="D54" s="659"/>
      <c r="E54" s="659"/>
      <c r="F54" s="659"/>
      <c r="G54" s="8" t="str">
        <f>mgmt_en_asn</f>
        <v>Value Missing</v>
      </c>
      <c r="H54" s="42"/>
    </row>
    <row r="55" spans="2:8" ht="20" customHeight="1" x14ac:dyDescent="0.2">
      <c r="B55" s="67" t="s">
        <v>163</v>
      </c>
      <c r="C55" s="659" t="str">
        <f>sample_mgmt_az1_tor1_peer_ip</f>
        <v>10.11.17.10</v>
      </c>
      <c r="D55" s="659"/>
      <c r="E55" s="659"/>
      <c r="F55" s="659"/>
      <c r="G55" s="8" t="str">
        <f>mgmt_az1_tor1_peer_ip</f>
        <v>Value Missing</v>
      </c>
      <c r="H55" s="42"/>
    </row>
    <row r="56" spans="2:8" ht="20" customHeight="1" x14ac:dyDescent="0.2">
      <c r="B56" s="67" t="s">
        <v>164</v>
      </c>
      <c r="C56" s="659" t="str">
        <f>sample_mgmt_az1_tor1_peer_asn</f>
        <v>65111</v>
      </c>
      <c r="D56" s="659"/>
      <c r="E56" s="659"/>
      <c r="F56" s="659"/>
      <c r="G56" s="8" t="str">
        <f>mgmt_az1_tor1_peer_asn</f>
        <v>Value Missing</v>
      </c>
      <c r="H56" s="42"/>
    </row>
    <row r="57" spans="2:8" ht="20" customHeight="1" x14ac:dyDescent="0.2">
      <c r="B57" s="67" t="s">
        <v>165</v>
      </c>
      <c r="C57" s="659" t="str">
        <f>sample_mgmt_az1_tor1_peer_bgp_password</f>
        <v>VMw@re1!</v>
      </c>
      <c r="D57" s="659"/>
      <c r="E57" s="659"/>
      <c r="F57" s="659"/>
      <c r="G57" s="8" t="str">
        <f>mgmt_az1_tor1_peer_bgp_password</f>
        <v>Value Missing</v>
      </c>
      <c r="H57" s="42"/>
    </row>
    <row r="58" spans="2:8" ht="20" customHeight="1" x14ac:dyDescent="0.2">
      <c r="B58" s="67" t="s">
        <v>166</v>
      </c>
      <c r="C58" s="659" t="str">
        <f>sample_mgmt_az1_tor2_peer_ip</f>
        <v>10.11.18.10</v>
      </c>
      <c r="D58" s="659"/>
      <c r="E58" s="659"/>
      <c r="F58" s="659"/>
      <c r="G58" s="8" t="str">
        <f>mgmt_az1_tor2_peer_ip</f>
        <v>Value Missing</v>
      </c>
      <c r="H58" s="42"/>
    </row>
    <row r="59" spans="2:8" ht="20" customHeight="1" x14ac:dyDescent="0.2">
      <c r="B59" s="67" t="s">
        <v>167</v>
      </c>
      <c r="C59" s="659" t="str">
        <f>sample_mgmt_az1_tor2_peer_asn</f>
        <v>65111</v>
      </c>
      <c r="D59" s="659"/>
      <c r="E59" s="659"/>
      <c r="F59" s="659"/>
      <c r="G59" s="8" t="str">
        <f>mgmt_az1_tor2_peer_asn</f>
        <v>Value Missing</v>
      </c>
      <c r="H59" s="42"/>
    </row>
    <row r="60" spans="2:8" ht="20" customHeight="1" x14ac:dyDescent="0.2">
      <c r="B60" s="67" t="s">
        <v>168</v>
      </c>
      <c r="C60" s="659" t="str">
        <f>sample_mgmt_az1_tor2_peer_bgp_password</f>
        <v>VMw@re1!</v>
      </c>
      <c r="D60" s="659"/>
      <c r="E60" s="659"/>
      <c r="F60" s="659"/>
      <c r="G60" s="8" t="str">
        <f>mgmt_az1_tor2_peer_bgp_password</f>
        <v>Value Missing</v>
      </c>
      <c r="H60" s="42"/>
    </row>
    <row r="61" spans="2:8" ht="20" customHeight="1" x14ac:dyDescent="0.2">
      <c r="B61" s="521" t="s">
        <v>2673</v>
      </c>
      <c r="C61" s="678"/>
      <c r="D61" s="678"/>
      <c r="E61" s="678"/>
      <c r="F61" s="678"/>
      <c r="G61" s="522"/>
      <c r="H61" s="523"/>
    </row>
    <row r="62" spans="2:8" ht="20" customHeight="1" x14ac:dyDescent="0.2">
      <c r="B62" s="408" t="str">
        <f>mgmt_az1_en1_fqdn</f>
        <v>Value Missing</v>
      </c>
      <c r="C62" s="659" t="str">
        <f>sample_mgmt_az1_en1_mgmt_cidr</f>
        <v>10.11.10.75/24</v>
      </c>
      <c r="D62" s="659"/>
      <c r="E62" s="659"/>
      <c r="F62" s="659"/>
      <c r="G62" s="8" t="str">
        <f>mgmt_az1_en1_mgmt_cidr</f>
        <v>Value Missing</v>
      </c>
      <c r="H62" s="8"/>
    </row>
    <row r="63" spans="2:8" ht="20" customHeight="1" x14ac:dyDescent="0.2">
      <c r="B63" s="405" t="s">
        <v>2129</v>
      </c>
      <c r="C63" s="659" t="str">
        <f>sample_mgmt_az1_en1_uplink01_interface_cidr</f>
        <v>10.11.17.2/24</v>
      </c>
      <c r="D63" s="659"/>
      <c r="E63" s="659"/>
      <c r="F63" s="659"/>
      <c r="G63" s="8" t="str">
        <f>mgmt_az1_en1_uplink01_interface_cidr</f>
        <v>Value Missing</v>
      </c>
      <c r="H63" s="8" t="s">
        <v>151</v>
      </c>
    </row>
    <row r="64" spans="2:8" ht="20" customHeight="1" x14ac:dyDescent="0.2">
      <c r="B64" s="405" t="s">
        <v>2129</v>
      </c>
      <c r="C64" s="659" t="str">
        <f>sample_mgmt_az1_en1_uplink02_interface_cidr</f>
        <v>10.11.18.2/24</v>
      </c>
      <c r="D64" s="659"/>
      <c r="E64" s="659"/>
      <c r="F64" s="659"/>
      <c r="G64" s="8" t="str">
        <f>mgmt_az1_en1_uplink02_interface_cidr</f>
        <v>Value Missing</v>
      </c>
      <c r="H64" s="8" t="s">
        <v>842</v>
      </c>
    </row>
    <row r="65" spans="2:8" ht="20" customHeight="1" x14ac:dyDescent="0.2">
      <c r="B65" s="406" t="s">
        <v>2129</v>
      </c>
      <c r="C65" s="659" t="str">
        <f>sample_mgmt_az1_en1_edge_overlay_interface_ip_1_ip</f>
        <v>10.11.19.2</v>
      </c>
      <c r="D65" s="659"/>
      <c r="E65" s="659"/>
      <c r="F65" s="659"/>
      <c r="G65" s="8" t="str">
        <f>mgmt_az1_en1_edge_overlay_interface_ip_1_ip</f>
        <v>Value Missing</v>
      </c>
      <c r="H65" s="8" t="s">
        <v>830</v>
      </c>
    </row>
    <row r="66" spans="2:8" ht="20" customHeight="1" x14ac:dyDescent="0.2">
      <c r="B66" s="407" t="s">
        <v>2129</v>
      </c>
      <c r="C66" s="659" t="str">
        <f>sample_mgmt_az1_en1_edge_overlay_interface_ip_2_ip</f>
        <v>10.11.19.3</v>
      </c>
      <c r="D66" s="659"/>
      <c r="E66" s="659"/>
      <c r="F66" s="659"/>
      <c r="G66" s="8" t="str">
        <f>mgmt_az1_en1_edge_overlay_interface_ip_2_ip</f>
        <v>Value Missing</v>
      </c>
      <c r="H66" s="8" t="s">
        <v>2674</v>
      </c>
    </row>
    <row r="67" spans="2:8" ht="20" customHeight="1" x14ac:dyDescent="0.2">
      <c r="B67" s="408" t="str">
        <f>mgmt_az1_en2_fqdn</f>
        <v>Value Missing</v>
      </c>
      <c r="C67" s="659" t="str">
        <f>sample_mgmt_az1_en2_mgmt_cidr</f>
        <v>10.11.10.76/24</v>
      </c>
      <c r="D67" s="659"/>
      <c r="E67" s="659"/>
      <c r="F67" s="659"/>
      <c r="G67" s="8" t="str">
        <f>mgmt_az1_en2_mgmt_cidr</f>
        <v>Value Missing</v>
      </c>
      <c r="H67" s="8"/>
    </row>
    <row r="68" spans="2:8" ht="20" customHeight="1" x14ac:dyDescent="0.2">
      <c r="B68" s="405" t="s">
        <v>2129</v>
      </c>
      <c r="C68" s="659" t="str">
        <f>sample_mgmt_az1_en2_uplink01_interface_cidr</f>
        <v>10.11.17.3/24</v>
      </c>
      <c r="D68" s="659"/>
      <c r="E68" s="659"/>
      <c r="F68" s="659"/>
      <c r="G68" s="8" t="str">
        <f>mgmt_az1_en2_uplink01_interface_cidr</f>
        <v>Value Missing</v>
      </c>
      <c r="H68" s="8" t="s">
        <v>162</v>
      </c>
    </row>
    <row r="69" spans="2:8" ht="20" customHeight="1" x14ac:dyDescent="0.2">
      <c r="B69" s="405" t="s">
        <v>2129</v>
      </c>
      <c r="C69" s="659" t="str">
        <f>sample_mgmt_az1_en2_uplink02_interface_cidr</f>
        <v>10.11.18.3/24</v>
      </c>
      <c r="D69" s="659"/>
      <c r="E69" s="659"/>
      <c r="F69" s="659"/>
      <c r="G69" s="8" t="str">
        <f>mgmt_az1_en2_uplink02_interface_cidr</f>
        <v>Value Missing</v>
      </c>
      <c r="H69" s="8" t="s">
        <v>160</v>
      </c>
    </row>
    <row r="70" spans="2:8" ht="20" customHeight="1" x14ac:dyDescent="0.2">
      <c r="B70" s="406" t="s">
        <v>2129</v>
      </c>
      <c r="C70" s="659" t="str">
        <f>sample_mgmt_az1_en2_edge_overlay_interface_ip_1_ip</f>
        <v>10.11.19.4</v>
      </c>
      <c r="D70" s="659"/>
      <c r="E70" s="659"/>
      <c r="F70" s="659"/>
      <c r="G70" s="8" t="str">
        <f>mgmt_az1_en2_edge_overlay_interface_ip_1_ip</f>
        <v>Value Missing</v>
      </c>
      <c r="H70" s="8" t="s">
        <v>837</v>
      </c>
    </row>
    <row r="71" spans="2:8" ht="20" customHeight="1" x14ac:dyDescent="0.2">
      <c r="B71" s="407" t="s">
        <v>2129</v>
      </c>
      <c r="C71" s="659" t="str">
        <f>sample_mgmt_az1_en2_edge_overlay_interface_ip_2_ip</f>
        <v>10.11.19.5</v>
      </c>
      <c r="D71" s="659"/>
      <c r="E71" s="659"/>
      <c r="F71" s="659"/>
      <c r="G71" s="8" t="str">
        <f>mgmt_az1_en2_edge_overlay_interface_ip_2_ip</f>
        <v>Value Missing</v>
      </c>
      <c r="H71" s="8" t="s">
        <v>839</v>
      </c>
    </row>
    <row r="73" spans="2:8" ht="34" customHeight="1" x14ac:dyDescent="0.2">
      <c r="B73" s="412" t="s">
        <v>2675</v>
      </c>
      <c r="C73" s="413"/>
      <c r="D73" s="413"/>
      <c r="E73" s="413"/>
      <c r="F73" s="413"/>
      <c r="G73" s="413"/>
      <c r="H73" s="414"/>
    </row>
    <row r="74" spans="2:8" ht="20" customHeight="1" x14ac:dyDescent="0.2">
      <c r="B74" s="63" t="s">
        <v>18</v>
      </c>
      <c r="C74" s="478" t="s">
        <v>19</v>
      </c>
      <c r="D74" s="480"/>
      <c r="E74" s="480"/>
      <c r="F74" s="479"/>
      <c r="G74" s="63" t="s">
        <v>20</v>
      </c>
      <c r="H74" s="63" t="s">
        <v>21</v>
      </c>
    </row>
    <row r="75" spans="2:8" ht="20" customHeight="1" x14ac:dyDescent="0.2">
      <c r="B75" s="521" t="s">
        <v>789</v>
      </c>
      <c r="C75" s="522"/>
      <c r="D75" s="522"/>
      <c r="E75" s="522"/>
      <c r="F75" s="522"/>
      <c r="G75" s="522"/>
      <c r="H75" s="523"/>
    </row>
    <row r="76" spans="2:8" ht="20" customHeight="1" x14ac:dyDescent="0.2">
      <c r="B76" s="4" t="s">
        <v>85</v>
      </c>
      <c r="C76" s="665" t="str">
        <f>sample_mgmt_az1_mgmt_vm_vlan</f>
        <v>1110</v>
      </c>
      <c r="D76" s="666"/>
      <c r="E76" s="666"/>
      <c r="F76" s="667"/>
      <c r="G76" s="8" t="str">
        <f>mgmt_az1_mgmt_vm_vlan</f>
        <v>Value Missing</v>
      </c>
      <c r="H76" s="43"/>
    </row>
    <row r="77" spans="2:8" ht="20" customHeight="1" x14ac:dyDescent="0.2">
      <c r="B77" s="4" t="s">
        <v>180</v>
      </c>
      <c r="C77" s="656" t="str">
        <f>sample_mgmt_az1_mgmt_vm_gateway_cidr</f>
        <v>10.11.10.1/24</v>
      </c>
      <c r="D77" s="657"/>
      <c r="E77" s="657"/>
      <c r="F77" s="658"/>
      <c r="G77" s="8" t="str">
        <f>mgmt_az1_mgmt_vm_gateway_ip</f>
        <v>Value Missing</v>
      </c>
      <c r="H77" s="43"/>
    </row>
    <row r="78" spans="2:8" ht="20" customHeight="1" x14ac:dyDescent="0.2">
      <c r="B78" s="4" t="s">
        <v>155</v>
      </c>
      <c r="C78" s="656">
        <f>sample_mgmt_az1_mgmt_vm_mtu</f>
        <v>1500</v>
      </c>
      <c r="D78" s="657"/>
      <c r="E78" s="657"/>
      <c r="F78" s="658"/>
      <c r="G78" s="8" t="str">
        <f>mgmt_az1_mgmt_vm_mtu</f>
        <v>Value Missing</v>
      </c>
      <c r="H78" s="43"/>
    </row>
    <row r="79" spans="2:8" ht="20" customHeight="1" x14ac:dyDescent="0.2">
      <c r="B79" s="521" t="s">
        <v>2676</v>
      </c>
      <c r="C79" s="522"/>
      <c r="D79" s="522"/>
      <c r="E79" s="522"/>
      <c r="F79" s="522"/>
      <c r="G79" s="522"/>
      <c r="H79" s="523"/>
    </row>
    <row r="80" spans="2:8" ht="20" customHeight="1" x14ac:dyDescent="0.2">
      <c r="B80" s="40" t="str">
        <f t="array" ref="B80">sample_mgmt_avilb_fqdn</f>
        <v>sfo-m01-avilb01.sfo.rainpole.io</v>
      </c>
      <c r="C80" s="656" t="str">
        <f>sample_mgmt_avilb_ip</f>
        <v>10.11.10.91</v>
      </c>
      <c r="D80" s="657"/>
      <c r="E80" s="657"/>
      <c r="F80" s="658"/>
      <c r="G80" s="8" t="str">
        <f>mgmt_avilb_ip</f>
        <v>Value Missing</v>
      </c>
      <c r="H80" s="120" t="s">
        <v>198</v>
      </c>
    </row>
    <row r="81" spans="2:8" ht="20" customHeight="1" x14ac:dyDescent="0.2">
      <c r="B81" s="120" t="s">
        <v>2129</v>
      </c>
      <c r="C81" s="656" t="str">
        <f>sample_mgmt_avilb_mgra_ip</f>
        <v>10.11.10.92</v>
      </c>
      <c r="D81" s="657"/>
      <c r="E81" s="657"/>
      <c r="F81" s="658"/>
      <c r="G81" s="8" t="str">
        <f>mgmt_avilb_mgra_ip</f>
        <v>Value Missing</v>
      </c>
      <c r="H81" s="120" t="s">
        <v>192</v>
      </c>
    </row>
    <row r="82" spans="2:8" ht="20" customHeight="1" x14ac:dyDescent="0.2">
      <c r="B82" s="120" t="s">
        <v>2129</v>
      </c>
      <c r="C82" s="656" t="str">
        <f>sample_mgmt_avilb_mgrb_ip</f>
        <v>10.11.10.93</v>
      </c>
      <c r="D82" s="657"/>
      <c r="E82" s="657"/>
      <c r="F82" s="658"/>
      <c r="G82" s="8" t="str">
        <f>mgmt_avilb_mgrc_ip</f>
        <v>Value Missing</v>
      </c>
      <c r="H82" s="120" t="s">
        <v>194</v>
      </c>
    </row>
    <row r="83" spans="2:8" ht="20" customHeight="1" x14ac:dyDescent="0.2">
      <c r="B83" s="120" t="s">
        <v>2129</v>
      </c>
      <c r="C83" s="656" t="str">
        <f>sample_mgmt_avilb_mgrc_ip</f>
        <v>10.11.10.94</v>
      </c>
      <c r="D83" s="657"/>
      <c r="E83" s="657"/>
      <c r="F83" s="658"/>
      <c r="G83" s="8" t="str">
        <f>mgmt_avilb_mgrc_ip</f>
        <v>Value Missing</v>
      </c>
      <c r="H83" s="120" t="s">
        <v>196</v>
      </c>
    </row>
    <row r="85" spans="2:8" ht="34" customHeight="1" x14ac:dyDescent="0.2">
      <c r="B85" s="412" t="s">
        <v>2677</v>
      </c>
      <c r="C85" s="413"/>
      <c r="D85" s="413"/>
      <c r="E85" s="413"/>
      <c r="F85" s="413"/>
      <c r="G85" s="413"/>
      <c r="H85" s="414"/>
    </row>
    <row r="86" spans="2:8" ht="20" customHeight="1" x14ac:dyDescent="0.2">
      <c r="B86" s="63" t="s">
        <v>18</v>
      </c>
      <c r="C86" s="478" t="s">
        <v>19</v>
      </c>
      <c r="D86" s="480"/>
      <c r="E86" s="480"/>
      <c r="F86" s="479"/>
      <c r="G86" s="63" t="s">
        <v>20</v>
      </c>
      <c r="H86" s="63" t="s">
        <v>21</v>
      </c>
    </row>
    <row r="87" spans="2:8" ht="20" customHeight="1" x14ac:dyDescent="0.2">
      <c r="B87" s="521" t="s">
        <v>2678</v>
      </c>
      <c r="C87" s="522"/>
      <c r="D87" s="522"/>
      <c r="E87" s="522"/>
      <c r="F87" s="522"/>
      <c r="G87" s="522"/>
      <c r="H87" s="523"/>
    </row>
    <row r="88" spans="2:8" ht="20" customHeight="1" x14ac:dyDescent="0.2">
      <c r="B88" s="4" t="s">
        <v>85</v>
      </c>
      <c r="C88" s="660" t="str">
        <f>sample_mgmt_witnessaz_mgmt_vlan</f>
        <v>2110</v>
      </c>
      <c r="D88" s="661"/>
      <c r="E88" s="661"/>
      <c r="F88" s="662"/>
      <c r="G88" s="10" t="str">
        <f>mgmt_witnessaz_mgmt_vlan</f>
        <v>Value Missing</v>
      </c>
      <c r="H88" s="42"/>
    </row>
    <row r="89" spans="2:8" ht="20" customHeight="1" x14ac:dyDescent="0.2">
      <c r="B89" s="4" t="s">
        <v>180</v>
      </c>
      <c r="C89" s="660" t="str">
        <f>sample_mgmt_witnessaz_mgmt_gateway_ip</f>
        <v>10.21.10.1</v>
      </c>
      <c r="D89" s="661"/>
      <c r="E89" s="661"/>
      <c r="F89" s="662"/>
      <c r="G89" s="10" t="str">
        <f>mgmt_witnessaz_mgmt_gateway_ip</f>
        <v>Value Missing</v>
      </c>
      <c r="H89" s="42"/>
    </row>
    <row r="90" spans="2:8" ht="20" customHeight="1" x14ac:dyDescent="0.2">
      <c r="B90" s="4" t="s">
        <v>181</v>
      </c>
      <c r="C90" s="660" t="str">
        <f>sample_mgmt_witnessaz_mgmt_cidr</f>
        <v>10.21.10.0/24</v>
      </c>
      <c r="D90" s="661"/>
      <c r="E90" s="661"/>
      <c r="F90" s="662"/>
      <c r="G90" s="10" t="str">
        <f>mgmt_witnessaz_mgmt_cidr</f>
        <v>Value Missing</v>
      </c>
      <c r="H90" s="42"/>
    </row>
    <row r="91" spans="2:8" ht="20" customHeight="1" x14ac:dyDescent="0.2">
      <c r="B91" s="4" t="s">
        <v>155</v>
      </c>
      <c r="C91" s="660">
        <f>sample_mgmt_witnessaz_mgmt_mtu</f>
        <v>1500</v>
      </c>
      <c r="D91" s="661"/>
      <c r="E91" s="661"/>
      <c r="F91" s="662"/>
      <c r="G91" s="10" t="str">
        <f>mgmt_witnessaz_mgmt_mtu</f>
        <v>Value Missing</v>
      </c>
      <c r="H91" s="42"/>
    </row>
    <row r="92" spans="2:8" ht="20" customHeight="1" x14ac:dyDescent="0.2">
      <c r="B92" s="540" t="s">
        <v>240</v>
      </c>
      <c r="C92" s="541"/>
      <c r="D92" s="541"/>
      <c r="E92" s="541"/>
      <c r="F92" s="541"/>
      <c r="G92" s="541"/>
      <c r="H92" s="677"/>
    </row>
    <row r="93" spans="2:8" ht="20" customHeight="1" x14ac:dyDescent="0.2">
      <c r="B93" s="30" t="s">
        <v>85</v>
      </c>
      <c r="C93" s="656" t="str">
        <f>sample_mgmt_az2_vmotion_vlan</f>
        <v>1212</v>
      </c>
      <c r="D93" s="657"/>
      <c r="E93" s="657"/>
      <c r="F93" s="658"/>
      <c r="G93" s="10" t="str">
        <f>mgmt_az2_vmotion_vlan</f>
        <v>Value Missing</v>
      </c>
      <c r="H93" s="236"/>
    </row>
    <row r="94" spans="2:8" ht="20" customHeight="1" x14ac:dyDescent="0.2">
      <c r="B94" s="30" t="s">
        <v>180</v>
      </c>
      <c r="C94" s="656" t="str">
        <f>sample_mgmt_az2_vmotion_gateway_cidr</f>
        <v>10.12.12.1</v>
      </c>
      <c r="D94" s="657"/>
      <c r="E94" s="657"/>
      <c r="F94" s="658"/>
      <c r="G94" s="10" t="str">
        <f>mgmt_az2_vmotion_gateway_ip</f>
        <v>Value Missing</v>
      </c>
      <c r="H94" s="193"/>
    </row>
    <row r="95" spans="2:8" ht="20" customHeight="1" x14ac:dyDescent="0.2">
      <c r="B95" s="30" t="s">
        <v>181</v>
      </c>
      <c r="C95" s="656" t="str">
        <f>CONCATENATE(prefix_mgmt_az2_cidr,"12.0/24")</f>
        <v>10.12.12.0/24</v>
      </c>
      <c r="D95" s="657"/>
      <c r="E95" s="657"/>
      <c r="F95" s="658"/>
      <c r="G95" s="10" t="str">
        <f>mgmt_az2_vmotion_cidr</f>
        <v>Value Missing</v>
      </c>
      <c r="H95" s="193"/>
    </row>
    <row r="96" spans="2:8" ht="20" customHeight="1" x14ac:dyDescent="0.2">
      <c r="B96" s="30" t="s">
        <v>155</v>
      </c>
      <c r="C96" s="656">
        <f>sample_mgmt_az2_vmotion_mtu</f>
        <v>9000</v>
      </c>
      <c r="D96" s="657"/>
      <c r="E96" s="657"/>
      <c r="F96" s="658"/>
      <c r="G96" s="10" t="str">
        <f>mgmt_az2_vmotion_mtu</f>
        <v>Value Missing</v>
      </c>
      <c r="H96" s="193"/>
    </row>
    <row r="97" spans="2:8" ht="20" customHeight="1" x14ac:dyDescent="0.2">
      <c r="B97" s="30" t="s">
        <v>244</v>
      </c>
      <c r="C97" s="656" t="str">
        <f>sample_mgmt_az2_vmotion_pool_end_ip</f>
        <v>10.12.12.116</v>
      </c>
      <c r="D97" s="657"/>
      <c r="E97" s="657"/>
      <c r="F97" s="658"/>
      <c r="G97" s="10" t="str">
        <f>mgmt_az2_vmotion_pool_end_ip</f>
        <v>Value Missing</v>
      </c>
      <c r="H97" s="193"/>
    </row>
    <row r="98" spans="2:8" ht="20" customHeight="1" x14ac:dyDescent="0.2">
      <c r="B98" s="30" t="s">
        <v>245</v>
      </c>
      <c r="C98" s="656" t="str">
        <f>sample_mgmt_az2_vmotion_pool_start_ip</f>
        <v>10.12.12.101</v>
      </c>
      <c r="D98" s="657"/>
      <c r="E98" s="657"/>
      <c r="F98" s="658"/>
      <c r="G98" s="10" t="str">
        <f>mgmt_az2_vmotion_pool_start_ip</f>
        <v>Value Missing</v>
      </c>
      <c r="H98" s="193"/>
    </row>
    <row r="99" spans="2:8" ht="20" customHeight="1" x14ac:dyDescent="0.2">
      <c r="B99" s="540" t="s">
        <v>246</v>
      </c>
      <c r="C99" s="541"/>
      <c r="D99" s="541"/>
      <c r="E99" s="541"/>
      <c r="F99" s="541"/>
      <c r="G99" s="541"/>
      <c r="H99" s="542"/>
    </row>
    <row r="100" spans="2:8" ht="20" customHeight="1" x14ac:dyDescent="0.2">
      <c r="B100" s="30" t="s">
        <v>85</v>
      </c>
      <c r="C100" s="656" t="str">
        <f>sample_mgmt_az2_vsan_vlan</f>
        <v>1213</v>
      </c>
      <c r="D100" s="657"/>
      <c r="E100" s="657"/>
      <c r="F100" s="658"/>
      <c r="G100" s="10" t="str">
        <f>mgmt_az2_vsan_vlan</f>
        <v>Value Missing</v>
      </c>
      <c r="H100" s="193"/>
    </row>
    <row r="101" spans="2:8" ht="20" customHeight="1" x14ac:dyDescent="0.2">
      <c r="B101" s="30" t="s">
        <v>180</v>
      </c>
      <c r="C101" s="656" t="str">
        <f>sample_mgmt_az2_vsan_gateway_ip</f>
        <v>10.12.13.1</v>
      </c>
      <c r="D101" s="657"/>
      <c r="E101" s="657"/>
      <c r="F101" s="658"/>
      <c r="G101" s="10" t="str">
        <f>mgmt_az2_vsan_gateway_ip</f>
        <v>Value Missing</v>
      </c>
      <c r="H101" s="193" t="s">
        <v>2679</v>
      </c>
    </row>
    <row r="102" spans="2:8" ht="20" customHeight="1" x14ac:dyDescent="0.2">
      <c r="B102" s="30" t="s">
        <v>155</v>
      </c>
      <c r="C102" s="656">
        <f>sample_mgmt_az2_vsan_mtu</f>
        <v>9000</v>
      </c>
      <c r="D102" s="657"/>
      <c r="E102" s="657"/>
      <c r="F102" s="658"/>
      <c r="G102" s="10" t="str">
        <f>mgmt_az2_vsan_mtu</f>
        <v>Value Missing</v>
      </c>
      <c r="H102" s="193"/>
    </row>
    <row r="103" spans="2:8" ht="20" customHeight="1" x14ac:dyDescent="0.2">
      <c r="B103" s="30" t="s">
        <v>181</v>
      </c>
      <c r="C103" s="656" t="str">
        <f>CONCATENATE(prefix_mgmt_az2_cidr,"13.0/24")</f>
        <v>10.12.13.0/24</v>
      </c>
      <c r="D103" s="657"/>
      <c r="E103" s="657"/>
      <c r="F103" s="658"/>
      <c r="G103" s="10" t="str">
        <f>mgmt_az2_vsan_cidr</f>
        <v>Value Missing</v>
      </c>
      <c r="H103" s="193"/>
    </row>
    <row r="104" spans="2:8" ht="20" customHeight="1" x14ac:dyDescent="0.2">
      <c r="B104" s="30" t="s">
        <v>244</v>
      </c>
      <c r="C104" s="656" t="str">
        <f>sample_mgmt_az2_vsan_pool_start_ip</f>
        <v>10.12.13.101</v>
      </c>
      <c r="D104" s="657"/>
      <c r="E104" s="657"/>
      <c r="F104" s="658"/>
      <c r="G104" s="10" t="str">
        <f>mgmt_az2_vsan_pool_start_ip</f>
        <v>Value Missing</v>
      </c>
      <c r="H104" s="193"/>
    </row>
    <row r="105" spans="2:8" ht="20" customHeight="1" x14ac:dyDescent="0.2">
      <c r="B105" s="30" t="s">
        <v>245</v>
      </c>
      <c r="C105" s="656" t="str">
        <f>sample_mgmt_az2_vsan_pool_end_ip</f>
        <v>10.12.13.116</v>
      </c>
      <c r="D105" s="657"/>
      <c r="E105" s="657"/>
      <c r="F105" s="658"/>
      <c r="G105" s="10" t="str">
        <f>mgmt_az2_vsan_pool_end_ip</f>
        <v>Value Missing</v>
      </c>
      <c r="H105" s="193"/>
    </row>
    <row r="106" spans="2:8" ht="20" customHeight="1" x14ac:dyDescent="0.2">
      <c r="B106" s="540" t="s">
        <v>247</v>
      </c>
      <c r="C106" s="541"/>
      <c r="D106" s="541"/>
      <c r="E106" s="541"/>
      <c r="F106" s="541"/>
      <c r="G106" s="541"/>
      <c r="H106" s="542"/>
    </row>
    <row r="107" spans="2:8" ht="20" customHeight="1" x14ac:dyDescent="0.2">
      <c r="B107" s="30" t="s">
        <v>85</v>
      </c>
      <c r="C107" s="668" t="str">
        <f>sample_mgmt_az2_secondary_storage_vlan</f>
        <v>1215</v>
      </c>
      <c r="D107" s="669"/>
      <c r="E107" s="669"/>
      <c r="F107" s="670"/>
      <c r="G107" s="283" t="str">
        <f>mgmt_az2_secondary_storage_vlan</f>
        <v>Value Missing</v>
      </c>
      <c r="H107" s="193"/>
    </row>
    <row r="108" spans="2:8" ht="20" customHeight="1" x14ac:dyDescent="0.2">
      <c r="B108" s="30" t="s">
        <v>180</v>
      </c>
      <c r="C108" s="668" t="str">
        <f>sample_mgmt_az2_secondary_storage_gateway_ip</f>
        <v>10.12.15.1</v>
      </c>
      <c r="D108" s="669"/>
      <c r="E108" s="669"/>
      <c r="F108" s="670"/>
      <c r="G108" s="283" t="str">
        <f>mgmt_az2_secondary_storage_gateway_ip</f>
        <v>Value Missing</v>
      </c>
      <c r="H108" s="193"/>
    </row>
    <row r="109" spans="2:8" ht="20" customHeight="1" x14ac:dyDescent="0.2">
      <c r="B109" s="30" t="s">
        <v>155</v>
      </c>
      <c r="C109" s="668">
        <f>sample_mgmt_az2_secondary_storage_mtu</f>
        <v>9000</v>
      </c>
      <c r="D109" s="669"/>
      <c r="E109" s="669"/>
      <c r="F109" s="670"/>
      <c r="G109" s="283" t="str">
        <f>mgmt_az2_secondary_storage_mtu</f>
        <v>Value Missing</v>
      </c>
      <c r="H109" s="193"/>
    </row>
    <row r="110" spans="2:8" ht="20" customHeight="1" x14ac:dyDescent="0.2">
      <c r="B110" s="30" t="s">
        <v>181</v>
      </c>
      <c r="C110" s="668" t="str">
        <f>CONCATENATE(prefix_mgmt_az2_cidr,"15.0/24")</f>
        <v>10.12.15.0/24</v>
      </c>
      <c r="D110" s="669"/>
      <c r="E110" s="669"/>
      <c r="F110" s="670"/>
      <c r="G110" s="283" t="str">
        <f>sample_mgmt_az2_secondary_storage_cidr</f>
        <v>10.12.15.0/24</v>
      </c>
      <c r="H110" s="193"/>
    </row>
    <row r="111" spans="2:8" ht="20" customHeight="1" x14ac:dyDescent="0.2">
      <c r="B111" s="30" t="s">
        <v>244</v>
      </c>
      <c r="C111" s="668" t="str">
        <f>sample_mgmt_az2_secondary_storage_pool_start_ip</f>
        <v>10.12.15.101</v>
      </c>
      <c r="D111" s="669"/>
      <c r="E111" s="669"/>
      <c r="F111" s="670"/>
      <c r="G111" s="284" t="str">
        <f>mgmt_az2_secondary_storage_pool_start_ip</f>
        <v>Value Missing</v>
      </c>
      <c r="H111" s="193"/>
    </row>
    <row r="112" spans="2:8" ht="20" customHeight="1" x14ac:dyDescent="0.2">
      <c r="B112" s="30" t="s">
        <v>245</v>
      </c>
      <c r="C112" s="668" t="str">
        <f>sample_mgmt_az2_secondary_storage_pool_end_ip</f>
        <v>10.12.15.116</v>
      </c>
      <c r="D112" s="669"/>
      <c r="E112" s="669"/>
      <c r="F112" s="670"/>
      <c r="G112" s="284" t="str">
        <f>mgmt_az2_secondary_storage_pool_end_ip</f>
        <v>Value Missing</v>
      </c>
      <c r="H112" s="193"/>
    </row>
    <row r="113" spans="2:8" ht="20" customHeight="1" x14ac:dyDescent="0.2">
      <c r="B113" s="540" t="s">
        <v>794</v>
      </c>
      <c r="C113" s="541"/>
      <c r="D113" s="541"/>
      <c r="E113" s="541"/>
      <c r="F113" s="541"/>
      <c r="G113" s="541"/>
      <c r="H113" s="542"/>
    </row>
    <row r="114" spans="2:8" ht="20" customHeight="1" x14ac:dyDescent="0.2">
      <c r="B114" s="30" t="s">
        <v>85</v>
      </c>
      <c r="C114" s="656" t="str">
        <f>sample_mgmt_az2_host_overlay_vlan</f>
        <v>1214</v>
      </c>
      <c r="D114" s="657"/>
      <c r="E114" s="657"/>
      <c r="F114" s="658"/>
      <c r="G114" s="10" t="str">
        <f>mgmt_az2_host_overlay_vlan</f>
        <v>Value Missing</v>
      </c>
      <c r="H114" s="193"/>
    </row>
    <row r="115" spans="2:8" ht="20" customHeight="1" x14ac:dyDescent="0.2">
      <c r="B115" s="30" t="s">
        <v>180</v>
      </c>
      <c r="C115" s="656" t="str">
        <f>sample_mgmt_az2_host_overlay_gateway_ip</f>
        <v>10.12.14.1</v>
      </c>
      <c r="D115" s="657"/>
      <c r="E115" s="657"/>
      <c r="F115" s="658"/>
      <c r="G115" s="10" t="str">
        <f>mgmt_az2_host_overlay_gateway_ip</f>
        <v>Value Missing</v>
      </c>
      <c r="H115" s="193"/>
    </row>
    <row r="116" spans="2:8" ht="20" customHeight="1" x14ac:dyDescent="0.2">
      <c r="B116" s="30" t="s">
        <v>155</v>
      </c>
      <c r="C116" s="656">
        <f>sample_mgmt_az2_host_overlay_mtu</f>
        <v>9000</v>
      </c>
      <c r="D116" s="657"/>
      <c r="E116" s="657"/>
      <c r="F116" s="658"/>
      <c r="G116" s="10" t="str">
        <f>mgmt_az2_host_overlay_mtu</f>
        <v>Value Missing</v>
      </c>
      <c r="H116" s="193"/>
    </row>
    <row r="117" spans="2:8" ht="20" customHeight="1" x14ac:dyDescent="0.2">
      <c r="B117" s="30" t="s">
        <v>181</v>
      </c>
      <c r="C117" s="656" t="str">
        <f>sample_mgmt_az2_host_overlay_cidr</f>
        <v>10.12.14.0/24</v>
      </c>
      <c r="D117" s="657"/>
      <c r="E117" s="657"/>
      <c r="F117" s="658"/>
      <c r="G117" s="10" t="str">
        <f>mgmt_az2_host_overlay_cidr</f>
        <v>Value Missing</v>
      </c>
      <c r="H117" s="193"/>
    </row>
    <row r="118" spans="2:8" ht="20" customHeight="1" x14ac:dyDescent="0.2">
      <c r="B118" s="30" t="s">
        <v>244</v>
      </c>
      <c r="C118" s="656" t="str">
        <f>sample_mgmt_az2_host_overlay_pool_start_ip</f>
        <v>10.12.14.101</v>
      </c>
      <c r="D118" s="657"/>
      <c r="E118" s="657"/>
      <c r="F118" s="658"/>
      <c r="G118" s="10" t="str">
        <f>mgmt_az2_host_overlay_pool_start_ip</f>
        <v>Value Missing</v>
      </c>
      <c r="H118" s="193"/>
    </row>
    <row r="119" spans="2:8" ht="20" customHeight="1" x14ac:dyDescent="0.2">
      <c r="B119" s="30" t="s">
        <v>245</v>
      </c>
      <c r="C119" s="656" t="str">
        <f>sample_mgmt_az2_host_overlay_pool_end_ip</f>
        <v>10.12.14.132</v>
      </c>
      <c r="D119" s="657"/>
      <c r="E119" s="657"/>
      <c r="F119" s="658"/>
      <c r="G119" s="10" t="str">
        <f>mgmt_az2_host_overlay_pool_end_ip</f>
        <v>Value Missing</v>
      </c>
      <c r="H119" s="193"/>
    </row>
    <row r="120" spans="2:8" ht="20" customHeight="1" x14ac:dyDescent="0.2">
      <c r="B120" s="521" t="s">
        <v>2676</v>
      </c>
      <c r="C120" s="522"/>
      <c r="D120" s="522"/>
      <c r="E120" s="522"/>
      <c r="F120" s="522"/>
      <c r="G120" s="522"/>
      <c r="H120" s="523"/>
    </row>
    <row r="121" spans="2:8" ht="20" customHeight="1" x14ac:dyDescent="0.2">
      <c r="B121" s="215" t="str">
        <f>mgmt_witness_fqdn</f>
        <v>Value Missing</v>
      </c>
      <c r="C121" s="656" t="str">
        <f>sample_mgmt_witness_ip</f>
        <v>10.21.10.218</v>
      </c>
      <c r="D121" s="657"/>
      <c r="E121" s="657"/>
      <c r="F121" s="658"/>
      <c r="G121" s="215" t="str">
        <f>mgmt_witness_mgmt_ip</f>
        <v>Value Missing</v>
      </c>
      <c r="H121" s="180" t="s">
        <v>267</v>
      </c>
    </row>
    <row r="122" spans="2:8" ht="20" customHeight="1" x14ac:dyDescent="0.2">
      <c r="B122" s="215" t="str">
        <f t="array" ref="B122">mgmt_witness_vcenter_fqdn</f>
        <v>Value Missing</v>
      </c>
      <c r="C122" s="656" t="str">
        <f>sample_mgmt_witness_zone_vc_ip</f>
        <v>10.21.10.70</v>
      </c>
      <c r="D122" s="657"/>
      <c r="E122" s="657"/>
      <c r="F122" s="658"/>
      <c r="G122" s="215" t="str">
        <f>mgmt_witness_zone_vc_ip</f>
        <v>Value Missing</v>
      </c>
      <c r="H122" s="180" t="s">
        <v>263</v>
      </c>
    </row>
    <row r="123" spans="2:8" ht="20" customHeight="1" x14ac:dyDescent="0.2">
      <c r="B123" s="528" t="s">
        <v>2680</v>
      </c>
      <c r="C123" s="529"/>
      <c r="D123" s="529"/>
      <c r="E123" s="529"/>
      <c r="F123" s="529"/>
      <c r="G123" s="529"/>
      <c r="H123" s="530"/>
    </row>
    <row r="124" spans="2:8" ht="20" customHeight="1" x14ac:dyDescent="0.2">
      <c r="B124" s="215" t="str">
        <f t="array" ref="B124:B139">mgmt_az2_host_fqdns</f>
        <v>Value Missing</v>
      </c>
      <c r="C124" s="656" t="str">
        <f>CONCATENATE(prefix_mgmt_az2_cidr,"11.101")</f>
        <v>10.12.11.101</v>
      </c>
      <c r="D124" s="657"/>
      <c r="E124" s="657"/>
      <c r="F124" s="658"/>
      <c r="G124" s="215" t="str">
        <f>mgmt_az2_host1_mgmt_ip</f>
        <v>Value Missing</v>
      </c>
      <c r="H124" s="180"/>
    </row>
    <row r="125" spans="2:8" ht="20" customHeight="1" x14ac:dyDescent="0.2">
      <c r="B125" s="215" t="str">
        <v>Value Missing</v>
      </c>
      <c r="C125" s="656" t="str">
        <f>CONCATENATE(prefix_mgmt_az2_cidr,"11.102")</f>
        <v>10.12.11.102</v>
      </c>
      <c r="D125" s="657"/>
      <c r="E125" s="657"/>
      <c r="F125" s="658"/>
      <c r="G125" s="215" t="str">
        <f>mgmt_az2_host2_mgmt_ip</f>
        <v>Value Missing</v>
      </c>
      <c r="H125" s="180"/>
    </row>
    <row r="126" spans="2:8" ht="20" customHeight="1" x14ac:dyDescent="0.2">
      <c r="B126" s="215" t="str">
        <v>Value Missing</v>
      </c>
      <c r="C126" s="656" t="str">
        <f>CONCATENATE(prefix_mgmt_az2_cidr,"11.103")</f>
        <v>10.12.11.103</v>
      </c>
      <c r="D126" s="657"/>
      <c r="E126" s="657"/>
      <c r="F126" s="658"/>
      <c r="G126" s="215" t="str">
        <f>mgmt_az2_host3_mgmt_ip</f>
        <v>Value Missing</v>
      </c>
      <c r="H126" s="180"/>
    </row>
    <row r="127" spans="2:8" ht="20" customHeight="1" x14ac:dyDescent="0.2">
      <c r="B127" s="215" t="str">
        <v>Value Missing</v>
      </c>
      <c r="C127" s="656" t="str">
        <f>CONCATENATE(prefix_mgmt_az2_cidr,"11.104")</f>
        <v>10.12.11.104</v>
      </c>
      <c r="D127" s="657"/>
      <c r="E127" s="657"/>
      <c r="F127" s="658"/>
      <c r="G127" s="215" t="str">
        <f>mgmt_az2_host4_mgmt_ip</f>
        <v>Value Missing</v>
      </c>
      <c r="H127" s="180"/>
    </row>
    <row r="128" spans="2:8" ht="20" customHeight="1" x14ac:dyDescent="0.2">
      <c r="B128" s="215" t="str">
        <v>Value Missing</v>
      </c>
      <c r="C128" s="656" t="str">
        <f>CONCATENATE(prefix_mgmt_az2_cidr,"11.105")</f>
        <v>10.12.11.105</v>
      </c>
      <c r="D128" s="657"/>
      <c r="E128" s="657"/>
      <c r="F128" s="658"/>
      <c r="G128" s="215" t="str">
        <f>mgmt_az2_host5_mgmt_ip</f>
        <v>Value Missing</v>
      </c>
      <c r="H128" s="180"/>
    </row>
    <row r="129" spans="2:8" ht="20" customHeight="1" x14ac:dyDescent="0.2">
      <c r="B129" s="215" t="str">
        <v>Value Missing</v>
      </c>
      <c r="C129" s="656" t="str">
        <f>CONCATENATE(prefix_mgmt_az2_cidr,"11.106")</f>
        <v>10.12.11.106</v>
      </c>
      <c r="D129" s="657"/>
      <c r="E129" s="657"/>
      <c r="F129" s="658"/>
      <c r="G129" s="215" t="str">
        <f>mgmt_az2_host6_mgmt_ip</f>
        <v>Value Missing</v>
      </c>
      <c r="H129" s="180"/>
    </row>
    <row r="130" spans="2:8" ht="20" customHeight="1" x14ac:dyDescent="0.2">
      <c r="B130" s="215" t="str">
        <v>Value Missing</v>
      </c>
      <c r="C130" s="656" t="str">
        <f>CONCATENATE(prefix_mgmt_az2_cidr,"11.107")</f>
        <v>10.12.11.107</v>
      </c>
      <c r="D130" s="657"/>
      <c r="E130" s="657"/>
      <c r="F130" s="658"/>
      <c r="G130" s="215" t="str">
        <f>mgmt_az2_host7_mgmt_ip</f>
        <v>Value Missing</v>
      </c>
      <c r="H130" s="180"/>
    </row>
    <row r="131" spans="2:8" ht="20" customHeight="1" x14ac:dyDescent="0.2">
      <c r="B131" s="215" t="str">
        <v>Value Missing</v>
      </c>
      <c r="C131" s="656" t="str">
        <f>CONCATENATE(prefix_mgmt_az2_cidr,"11.108")</f>
        <v>10.12.11.108</v>
      </c>
      <c r="D131" s="657"/>
      <c r="E131" s="657"/>
      <c r="F131" s="658"/>
      <c r="G131" s="215" t="str">
        <f>mgmt_az2_host8_mgmt_ip</f>
        <v>Value Missing</v>
      </c>
      <c r="H131" s="180"/>
    </row>
    <row r="132" spans="2:8" ht="20" customHeight="1" x14ac:dyDescent="0.2">
      <c r="B132" s="215" t="str">
        <v>Value Missing</v>
      </c>
      <c r="C132" s="656" t="str">
        <f>CONCATENATE(prefix_mgmt_az2_cidr,"11.109")</f>
        <v>10.12.11.109</v>
      </c>
      <c r="D132" s="657"/>
      <c r="E132" s="657"/>
      <c r="F132" s="658"/>
      <c r="G132" s="215" t="str">
        <f>mgmt_az2_host9_mgmt_ip</f>
        <v>Value Missing</v>
      </c>
      <c r="H132" s="180"/>
    </row>
    <row r="133" spans="2:8" ht="20" customHeight="1" x14ac:dyDescent="0.2">
      <c r="B133" s="215" t="str">
        <v>Value Missing</v>
      </c>
      <c r="C133" s="656" t="str">
        <f>CONCATENATE(prefix_mgmt_az2_cidr,"11.110")</f>
        <v>10.12.11.110</v>
      </c>
      <c r="D133" s="657"/>
      <c r="E133" s="657"/>
      <c r="F133" s="658"/>
      <c r="G133" s="215" t="str">
        <f>mgmt_az2_host10_mgmt_ip</f>
        <v>Value Missing</v>
      </c>
      <c r="H133" s="180"/>
    </row>
    <row r="134" spans="2:8" ht="20" customHeight="1" x14ac:dyDescent="0.2">
      <c r="B134" s="215" t="str">
        <v>Value Missing</v>
      </c>
      <c r="C134" s="656" t="str">
        <f>CONCATENATE(prefix_mgmt_az2_cidr,"11.111")</f>
        <v>10.12.11.111</v>
      </c>
      <c r="D134" s="657"/>
      <c r="E134" s="657"/>
      <c r="F134" s="658"/>
      <c r="G134" s="215" t="str">
        <f>mgmt_az2_host11_mgmt_ip</f>
        <v>Value Missing</v>
      </c>
      <c r="H134" s="180"/>
    </row>
    <row r="135" spans="2:8" ht="20" customHeight="1" x14ac:dyDescent="0.2">
      <c r="B135" s="215" t="str">
        <v>Value Missing</v>
      </c>
      <c r="C135" s="656" t="str">
        <f>CONCATENATE(prefix_mgmt_az2_cidr,"11.112")</f>
        <v>10.12.11.112</v>
      </c>
      <c r="D135" s="657"/>
      <c r="E135" s="657"/>
      <c r="F135" s="658"/>
      <c r="G135" s="215" t="str">
        <f>mgmt_az2_host12_mgmt_ip</f>
        <v>Value Missing</v>
      </c>
      <c r="H135" s="180"/>
    </row>
    <row r="136" spans="2:8" ht="20" customHeight="1" x14ac:dyDescent="0.2">
      <c r="B136" s="215" t="str">
        <v>Value Missing</v>
      </c>
      <c r="C136" s="656" t="str">
        <f>CONCATENATE(prefix_mgmt_az2_cidr,"11.113")</f>
        <v>10.12.11.113</v>
      </c>
      <c r="D136" s="657"/>
      <c r="E136" s="657"/>
      <c r="F136" s="658"/>
      <c r="G136" s="215" t="str">
        <f>mgmt_az2_host13_mgmt_ip</f>
        <v>Value Missing</v>
      </c>
      <c r="H136" s="180"/>
    </row>
    <row r="137" spans="2:8" ht="20" customHeight="1" x14ac:dyDescent="0.2">
      <c r="B137" s="215" t="str">
        <v>Value Missing</v>
      </c>
      <c r="C137" s="656" t="str">
        <f>CONCATENATE(prefix_mgmt_az2_cidr,"11.114")</f>
        <v>10.12.11.114</v>
      </c>
      <c r="D137" s="657"/>
      <c r="E137" s="657"/>
      <c r="F137" s="658"/>
      <c r="G137" s="215" t="str">
        <f>mgmt_az2_host14_mgmt_ip</f>
        <v>Value Missing</v>
      </c>
      <c r="H137" s="180"/>
    </row>
    <row r="138" spans="2:8" ht="20" customHeight="1" x14ac:dyDescent="0.2">
      <c r="B138" s="215" t="str">
        <v>Value Missing</v>
      </c>
      <c r="C138" s="656" t="str">
        <f>CONCATENATE(prefix_mgmt_az2_cidr,"11.115")</f>
        <v>10.12.11.115</v>
      </c>
      <c r="D138" s="657"/>
      <c r="E138" s="657"/>
      <c r="F138" s="658"/>
      <c r="G138" s="215" t="str">
        <f>mgmt_az2_host15_mgmt_ip</f>
        <v>Value Missing</v>
      </c>
      <c r="H138" s="180"/>
    </row>
    <row r="139" spans="2:8" ht="20" customHeight="1" x14ac:dyDescent="0.2">
      <c r="B139" s="215" t="str">
        <v>Value Missing</v>
      </c>
      <c r="C139" s="656" t="str">
        <f>CONCATENATE(prefix_mgmt_az2_cidr,"11.116")</f>
        <v>10.12.11.116</v>
      </c>
      <c r="D139" s="657"/>
      <c r="E139" s="657"/>
      <c r="F139" s="658"/>
      <c r="G139" s="215" t="str">
        <f>mgmt_az2_host16_mgmt_ip</f>
        <v>Value Missing</v>
      </c>
      <c r="H139" s="180"/>
    </row>
    <row r="140" spans="2:8" ht="20" customHeight="1" x14ac:dyDescent="0.2">
      <c r="B140" s="572" t="s">
        <v>2672</v>
      </c>
      <c r="C140" s="572"/>
      <c r="D140" s="572"/>
      <c r="E140" s="572"/>
      <c r="F140" s="572"/>
      <c r="G140" s="572"/>
      <c r="H140" s="572"/>
    </row>
    <row r="141" spans="2:8" ht="20" customHeight="1" x14ac:dyDescent="0.2">
      <c r="B141" s="4" t="s">
        <v>1006</v>
      </c>
      <c r="C141" s="656" t="str">
        <f>sample_mgmt_en_asn</f>
        <v>65101</v>
      </c>
      <c r="D141" s="657"/>
      <c r="E141" s="657"/>
      <c r="F141" s="658"/>
      <c r="G141" s="8" t="str">
        <f>mgmt_en_asn</f>
        <v>Value Missing</v>
      </c>
      <c r="H141" s="42"/>
    </row>
    <row r="142" spans="2:8" ht="20" customHeight="1" x14ac:dyDescent="0.2">
      <c r="B142" s="4" t="s">
        <v>163</v>
      </c>
      <c r="C142" s="656" t="str">
        <f>sample_mgmt_az2_tor1_peer_ip</f>
        <v>10.11.17.11</v>
      </c>
      <c r="D142" s="657"/>
      <c r="E142" s="657"/>
      <c r="F142" s="658"/>
      <c r="G142" s="8" t="str">
        <f>mgmt_az1_tor1_peer_ip</f>
        <v>Value Missing</v>
      </c>
      <c r="H142" s="42"/>
    </row>
    <row r="143" spans="2:8" ht="20" customHeight="1" x14ac:dyDescent="0.2">
      <c r="B143" s="4" t="s">
        <v>164</v>
      </c>
      <c r="C143" s="656" t="str">
        <f>sample_mgmt_az2_tor1_peer_asn</f>
        <v>65121</v>
      </c>
      <c r="D143" s="657"/>
      <c r="E143" s="657"/>
      <c r="F143" s="658"/>
      <c r="G143" s="8" t="str">
        <f>mgmt_az1_tor1_peer_asn</f>
        <v>Value Missing</v>
      </c>
      <c r="H143" s="42"/>
    </row>
    <row r="144" spans="2:8" ht="20" customHeight="1" x14ac:dyDescent="0.2">
      <c r="B144" s="4" t="s">
        <v>165</v>
      </c>
      <c r="C144" s="656" t="str">
        <f>sample_mgmt_az2_tor1_peer_bgp_password</f>
        <v>VMw@re1!</v>
      </c>
      <c r="D144" s="657"/>
      <c r="E144" s="657"/>
      <c r="F144" s="658"/>
      <c r="G144" s="8" t="str">
        <f>mgmt_az1_tor1_peer_bgp_password</f>
        <v>Value Missing</v>
      </c>
      <c r="H144" s="42"/>
    </row>
    <row r="145" spans="2:8" ht="20" customHeight="1" x14ac:dyDescent="0.2">
      <c r="B145" s="4" t="s">
        <v>166</v>
      </c>
      <c r="C145" s="656" t="str">
        <f>sample_mgmt_az2_tor2_peer_ip</f>
        <v>10.11.18.11</v>
      </c>
      <c r="D145" s="657"/>
      <c r="E145" s="657"/>
      <c r="F145" s="658"/>
      <c r="G145" s="8" t="str">
        <f>mgmt_az1_tor2_peer_ip</f>
        <v>Value Missing</v>
      </c>
      <c r="H145" s="42"/>
    </row>
    <row r="146" spans="2:8" ht="20" customHeight="1" x14ac:dyDescent="0.2">
      <c r="B146" s="4" t="s">
        <v>167</v>
      </c>
      <c r="C146" s="656" t="str">
        <f>sample_mgmt_az2_tor2_peer_asn</f>
        <v>65121</v>
      </c>
      <c r="D146" s="657"/>
      <c r="E146" s="657"/>
      <c r="F146" s="658"/>
      <c r="G146" s="8" t="str">
        <f>mgmt_az1_tor2_peer_asn</f>
        <v>Value Missing</v>
      </c>
      <c r="H146" s="42"/>
    </row>
    <row r="147" spans="2:8" ht="20" customHeight="1" x14ac:dyDescent="0.2">
      <c r="B147" s="4" t="s">
        <v>168</v>
      </c>
      <c r="C147" s="656" t="str">
        <f>sample_mgmt_az2_tor2_peer_bgp_password</f>
        <v>VMw@re1!</v>
      </c>
      <c r="D147" s="657"/>
      <c r="E147" s="657"/>
      <c r="F147" s="658"/>
      <c r="G147" s="8" t="str">
        <f>mgmt_az1_tor2_peer_bgp_password</f>
        <v>Value Missing</v>
      </c>
      <c r="H147" s="42"/>
    </row>
    <row r="149" spans="2:8" ht="34" customHeight="1" x14ac:dyDescent="0.2">
      <c r="B149" s="412" t="s">
        <v>7</v>
      </c>
      <c r="C149" s="413"/>
      <c r="D149" s="413"/>
      <c r="E149" s="413"/>
      <c r="F149" s="413"/>
      <c r="G149" s="413"/>
      <c r="H149" s="414"/>
    </row>
    <row r="150" spans="2:8" ht="20" customHeight="1" x14ac:dyDescent="0.2">
      <c r="B150" s="63" t="s">
        <v>18</v>
      </c>
      <c r="C150" s="478" t="s">
        <v>19</v>
      </c>
      <c r="D150" s="480"/>
      <c r="E150" s="480"/>
      <c r="F150" s="479"/>
      <c r="G150" s="63" t="s">
        <v>20</v>
      </c>
      <c r="H150" s="63" t="s">
        <v>21</v>
      </c>
    </row>
    <row r="151" spans="2:8" ht="20" customHeight="1" x14ac:dyDescent="0.2">
      <c r="B151" s="521" t="s">
        <v>789</v>
      </c>
      <c r="C151" s="522"/>
      <c r="D151" s="522"/>
      <c r="E151" s="522"/>
      <c r="F151" s="522"/>
      <c r="G151" s="522"/>
      <c r="H151" s="523"/>
    </row>
    <row r="152" spans="2:8" ht="20" customHeight="1" x14ac:dyDescent="0.2">
      <c r="B152" s="4" t="s">
        <v>85</v>
      </c>
      <c r="C152" s="665" t="str">
        <f>sample_mgmt_az1_mgmt_vm_vlan</f>
        <v>1110</v>
      </c>
      <c r="D152" s="666"/>
      <c r="E152" s="666"/>
      <c r="F152" s="667"/>
      <c r="G152" s="8" t="str">
        <f>mgmt_az1_mgmt_vm_vlan</f>
        <v>Value Missing</v>
      </c>
      <c r="H152" s="43" t="s">
        <v>2681</v>
      </c>
    </row>
    <row r="153" spans="2:8" ht="20" customHeight="1" x14ac:dyDescent="0.2">
      <c r="B153" s="4" t="s">
        <v>180</v>
      </c>
      <c r="C153" s="656" t="str">
        <f>sample_mgmt_az1_mgmt_vm_gateway_cidr</f>
        <v>10.11.10.1/24</v>
      </c>
      <c r="D153" s="657"/>
      <c r="E153" s="657"/>
      <c r="F153" s="658"/>
      <c r="G153" s="8" t="str">
        <f>mgmt_az1_mgmt_vm_gateway_ip</f>
        <v>Value Missing</v>
      </c>
      <c r="H153" s="43"/>
    </row>
    <row r="154" spans="2:8" ht="20" customHeight="1" x14ac:dyDescent="0.2">
      <c r="B154" s="4" t="s">
        <v>155</v>
      </c>
      <c r="C154" s="656">
        <f>sample_mgmt_az1_mgmt_vm_mtu</f>
        <v>1500</v>
      </c>
      <c r="D154" s="657"/>
      <c r="E154" s="657"/>
      <c r="F154" s="658"/>
      <c r="G154" s="8" t="str">
        <f>mgmt_az1_mgmt_vm_mtu</f>
        <v>Value Missing</v>
      </c>
      <c r="H154" s="43"/>
    </row>
    <row r="155" spans="2:8" ht="20" customHeight="1" x14ac:dyDescent="0.2">
      <c r="B155" s="521" t="s">
        <v>2682</v>
      </c>
      <c r="C155" s="522"/>
      <c r="D155" s="522"/>
      <c r="E155" s="522"/>
      <c r="F155" s="522"/>
      <c r="G155" s="522"/>
      <c r="H155" s="523"/>
    </row>
    <row r="156" spans="2:8" ht="20" customHeight="1" x14ac:dyDescent="0.2">
      <c r="B156" s="4" t="s">
        <v>85</v>
      </c>
      <c r="C156" s="660" t="str">
        <f>sample_mgmt_az1_rtep_overlay_vlan</f>
        <v>1120</v>
      </c>
      <c r="D156" s="661"/>
      <c r="E156" s="661"/>
      <c r="F156" s="662"/>
      <c r="G156" s="8" t="str">
        <f>mgmt_az1_rtep_overlay_vlan</f>
        <v>Value Missing</v>
      </c>
      <c r="H156" s="8"/>
    </row>
    <row r="157" spans="2:8" ht="20" customHeight="1" x14ac:dyDescent="0.2">
      <c r="B157" s="4" t="s">
        <v>180</v>
      </c>
      <c r="C157" s="660" t="str">
        <f>sample_mgmt_az1_rtep_overlay_gateway_ip</f>
        <v>10.11.20.1</v>
      </c>
      <c r="D157" s="661"/>
      <c r="E157" s="661"/>
      <c r="F157" s="662"/>
      <c r="G157" s="8" t="str">
        <f>mgmt_az1_rtep_overlay_gateway_ip</f>
        <v>Value Missing</v>
      </c>
      <c r="H157" s="8"/>
    </row>
    <row r="158" spans="2:8" ht="20" customHeight="1" x14ac:dyDescent="0.2">
      <c r="B158" s="4" t="s">
        <v>181</v>
      </c>
      <c r="C158" s="660" t="str">
        <f>sample_mgmt_az1_rtep_overlay_cidr</f>
        <v>10.11.20.0/24</v>
      </c>
      <c r="D158" s="661"/>
      <c r="E158" s="661"/>
      <c r="F158" s="662"/>
      <c r="G158" s="8" t="str">
        <f>mgmt_az1_rtep_overlay_cidr</f>
        <v>Value Missing</v>
      </c>
      <c r="H158" s="8"/>
    </row>
    <row r="159" spans="2:8" ht="20" customHeight="1" x14ac:dyDescent="0.2">
      <c r="B159" s="521" t="s">
        <v>2673</v>
      </c>
      <c r="C159" s="522"/>
      <c r="D159" s="522"/>
      <c r="E159" s="522"/>
      <c r="F159" s="522"/>
      <c r="G159" s="522"/>
      <c r="H159" s="523"/>
    </row>
    <row r="160" spans="2:8" ht="20" customHeight="1" x14ac:dyDescent="0.2">
      <c r="B160" s="4" t="str">
        <f>mgmt_nsxt_global_mgra_fqdn</f>
        <v>Value Missing</v>
      </c>
      <c r="C160" s="660" t="str">
        <f>sample_mgmt_nsxt_gm_vip_ip</f>
        <v>10.11.10.81</v>
      </c>
      <c r="D160" s="661"/>
      <c r="E160" s="661"/>
      <c r="F160" s="662"/>
      <c r="G160" s="8" t="str">
        <f>mgmt_nsxt_gm_vip_ip</f>
        <v>Value Missing</v>
      </c>
      <c r="H160" s="8"/>
    </row>
    <row r="161" spans="2:8" ht="20" customHeight="1" x14ac:dyDescent="0.2">
      <c r="B161" s="4" t="str">
        <f>mgmt_nsxt_global_mgra_fqdn</f>
        <v>Value Missing</v>
      </c>
      <c r="C161" s="660" t="str">
        <f>sample_mgmt_nsxt_global_mgra_ip</f>
        <v>10.11.10.82</v>
      </c>
      <c r="D161" s="661"/>
      <c r="E161" s="661"/>
      <c r="F161" s="662"/>
      <c r="G161" s="8" t="str">
        <f>mgmt_nsxt_global_mgra_ip</f>
        <v>Value Missing</v>
      </c>
      <c r="H161" s="8"/>
    </row>
    <row r="162" spans="2:8" ht="20" customHeight="1" x14ac:dyDescent="0.2">
      <c r="B162" s="4" t="str">
        <f>mgmt_nsxt_global_mgrb_fqdn</f>
        <v>Value Missing</v>
      </c>
      <c r="C162" s="660" t="str">
        <f>sample_mgmt_nsxt_global_mgrb_ip</f>
        <v>10.11.10.83</v>
      </c>
      <c r="D162" s="661"/>
      <c r="E162" s="661"/>
      <c r="F162" s="662"/>
      <c r="G162" s="8" t="str">
        <f>mgmt_nsxt_global_mgrb_ip</f>
        <v>Value Missing</v>
      </c>
      <c r="H162" s="8"/>
    </row>
    <row r="163" spans="2:8" ht="20" customHeight="1" x14ac:dyDescent="0.2">
      <c r="B163" s="4" t="str">
        <f>mgmt_nsxt_global_mgrc_fqdn</f>
        <v>Value Missing</v>
      </c>
      <c r="C163" s="660" t="str">
        <f>sample_mgmt_nsxt_global_mgrc_ip</f>
        <v>10.11.10.84</v>
      </c>
      <c r="D163" s="661"/>
      <c r="E163" s="661"/>
      <c r="F163" s="662"/>
      <c r="G163" s="8" t="str">
        <f>mgmt_nsxt_global_mgrc_ip</f>
        <v>Value Missing</v>
      </c>
      <c r="H163" s="8"/>
    </row>
    <row r="164" spans="2:8" ht="20" customHeight="1" x14ac:dyDescent="0.2">
      <c r="B164" s="40" t="str">
        <f>sample_mgmt_az1_en1_hostname</f>
        <v>sfo-m01-en1</v>
      </c>
      <c r="C164" s="656" t="str">
        <f>sample_mgmt_az1_en1_mgmt_cidr</f>
        <v>10.11.10.75/24</v>
      </c>
      <c r="D164" s="657"/>
      <c r="E164" s="657"/>
      <c r="F164" s="658"/>
      <c r="G164" s="8" t="str">
        <f>mgmt_az1_en1_mgmt_cidr</f>
        <v>Value Missing</v>
      </c>
      <c r="H164" s="8"/>
    </row>
    <row r="165" spans="2:8" ht="20" customHeight="1" x14ac:dyDescent="0.2">
      <c r="B165" s="120" t="s">
        <v>2129</v>
      </c>
      <c r="C165" s="656" t="str">
        <f>sample_mgmt_az1_en1_uplink01_interface_cidr</f>
        <v>10.11.17.2/24</v>
      </c>
      <c r="D165" s="657"/>
      <c r="E165" s="657"/>
      <c r="F165" s="658"/>
      <c r="G165" s="8" t="str">
        <f>mgmt_az1_en1_uplink01_interface_cidr</f>
        <v>Value Missing</v>
      </c>
      <c r="H165" s="8" t="s">
        <v>151</v>
      </c>
    </row>
    <row r="166" spans="2:8" ht="20" customHeight="1" x14ac:dyDescent="0.2">
      <c r="B166" s="120" t="s">
        <v>2129</v>
      </c>
      <c r="C166" s="656" t="str">
        <f>sample_mgmt_az1_en1_uplink02_interface_cidr</f>
        <v>10.11.18.2/24</v>
      </c>
      <c r="D166" s="657"/>
      <c r="E166" s="657"/>
      <c r="F166" s="658"/>
      <c r="G166" s="8" t="str">
        <f>mgmt_az1_en1_uplink02_interface_cidr</f>
        <v>Value Missing</v>
      </c>
      <c r="H166" s="8" t="s">
        <v>842</v>
      </c>
    </row>
    <row r="167" spans="2:8" ht="20" customHeight="1" x14ac:dyDescent="0.2">
      <c r="B167" s="212" t="s">
        <v>2129</v>
      </c>
      <c r="C167" s="671" t="str">
        <f>sample_mgmt_az1_en1_edge_overlay_interface_ip_1_ip</f>
        <v>10.11.19.2</v>
      </c>
      <c r="D167" s="672"/>
      <c r="E167" s="672"/>
      <c r="F167" s="673"/>
      <c r="G167" s="8" t="str">
        <f>mgmt_az1_en1_edge_overlay_interface_ip_1_ip</f>
        <v>Value Missing</v>
      </c>
      <c r="H167" s="8" t="s">
        <v>830</v>
      </c>
    </row>
    <row r="168" spans="2:8" ht="20" customHeight="1" x14ac:dyDescent="0.2">
      <c r="B168" s="213" t="s">
        <v>2129</v>
      </c>
      <c r="C168" s="674" t="str">
        <f>sample_mgmt_az1_en1_edge_overlay_interface_ip_2_ip</f>
        <v>10.11.19.3</v>
      </c>
      <c r="D168" s="675"/>
      <c r="E168" s="675"/>
      <c r="F168" s="676"/>
      <c r="G168" s="8" t="str">
        <f>mgmt_az1_en1_edge_overlay_interface_ip_2_ip</f>
        <v>Value Missing</v>
      </c>
      <c r="H168" s="8" t="s">
        <v>2674</v>
      </c>
    </row>
    <row r="169" spans="2:8" ht="20" customHeight="1" x14ac:dyDescent="0.2">
      <c r="B169" s="40" t="str">
        <f>sample_mgmt_az1_en2_hostname</f>
        <v>sfo-m01-en2</v>
      </c>
      <c r="C169" s="656" t="str">
        <f>sample_mgmt_az1_en2_mgmt_cidr</f>
        <v>10.11.10.76/24</v>
      </c>
      <c r="D169" s="657"/>
      <c r="E169" s="657"/>
      <c r="F169" s="658"/>
      <c r="G169" s="8" t="str">
        <f>mgmt_az1_en2_mgmt_cidr</f>
        <v>Value Missing</v>
      </c>
      <c r="H169" s="8"/>
    </row>
    <row r="170" spans="2:8" ht="20" customHeight="1" x14ac:dyDescent="0.2">
      <c r="B170" s="120" t="s">
        <v>2129</v>
      </c>
      <c r="C170" s="656" t="str">
        <f>sample_mgmt_az1_en2_uplink01_interface_cidr</f>
        <v>10.11.17.3/24</v>
      </c>
      <c r="D170" s="657"/>
      <c r="E170" s="657"/>
      <c r="F170" s="658"/>
      <c r="G170" s="8" t="str">
        <f>mgmt_az1_en2_uplink01_interface_cidr</f>
        <v>Value Missing</v>
      </c>
      <c r="H170" s="8" t="s">
        <v>162</v>
      </c>
    </row>
    <row r="171" spans="2:8" ht="20" customHeight="1" x14ac:dyDescent="0.2">
      <c r="B171" s="120" t="s">
        <v>2129</v>
      </c>
      <c r="C171" s="656" t="str">
        <f>sample_mgmt_az1_en2_uplink02_interface_cidr</f>
        <v>10.11.18.3/24</v>
      </c>
      <c r="D171" s="657"/>
      <c r="E171" s="657"/>
      <c r="F171" s="658"/>
      <c r="G171" s="8" t="str">
        <f>mgmt_az1_en2_uplink02_interface_cidr</f>
        <v>Value Missing</v>
      </c>
      <c r="H171" s="8" t="s">
        <v>160</v>
      </c>
    </row>
    <row r="172" spans="2:8" ht="20" customHeight="1" x14ac:dyDescent="0.2">
      <c r="B172" s="406" t="s">
        <v>2129</v>
      </c>
      <c r="C172" s="656" t="str">
        <f>sample_mgmt_az1_en2_edge_overlay_interface_ip_1_ip</f>
        <v>10.11.19.4</v>
      </c>
      <c r="D172" s="657"/>
      <c r="E172" s="657"/>
      <c r="F172" s="658"/>
      <c r="G172" s="8" t="str">
        <f>mgmt_az1_en2_edge_overlay_interface_ip_1_ip</f>
        <v>Value Missing</v>
      </c>
      <c r="H172" s="8" t="s">
        <v>837</v>
      </c>
    </row>
    <row r="173" spans="2:8" ht="20" customHeight="1" x14ac:dyDescent="0.2">
      <c r="B173" s="407" t="s">
        <v>2129</v>
      </c>
      <c r="C173" s="656" t="str">
        <f>sample_mgmt_az1_en2_edge_overlay_interface_ip_2_ip</f>
        <v>10.11.19.5</v>
      </c>
      <c r="D173" s="657"/>
      <c r="E173" s="657"/>
      <c r="F173" s="658"/>
      <c r="G173" s="8" t="str">
        <f>mgmt_az1_en2_edge_overlay_interface_ip_2_ip</f>
        <v>Value Missing</v>
      </c>
      <c r="H173" s="8" t="s">
        <v>839</v>
      </c>
    </row>
  </sheetData>
  <sheetProtection algorithmName="SHA-512" hashValue="gMGy5AcN0RSq6zUWYbHrTRltR57LpE1nNj5MPGqZO/NMv9u/EVO2tTCZxwvWS1FTXQLNTeVVYwm1HHQE4J2qrQ==" saltValue="zZyRypd/Uv/U5ZSJbYD7cw==" spinCount="100000" sheet="1" objects="1" scenarios="1"/>
  <mergeCells count="166">
    <mergeCell ref="B99:H99"/>
    <mergeCell ref="B106:H106"/>
    <mergeCell ref="B113:H113"/>
    <mergeCell ref="B120:H120"/>
    <mergeCell ref="B123:H123"/>
    <mergeCell ref="C152:F152"/>
    <mergeCell ref="C153:F153"/>
    <mergeCell ref="C154:F154"/>
    <mergeCell ref="C150:F150"/>
    <mergeCell ref="C147:F147"/>
    <mergeCell ref="C141:F141"/>
    <mergeCell ref="C142:F142"/>
    <mergeCell ref="C143:F143"/>
    <mergeCell ref="C144:F144"/>
    <mergeCell ref="C145:F145"/>
    <mergeCell ref="C126:F126"/>
    <mergeCell ref="C127:F127"/>
    <mergeCell ref="C128:F128"/>
    <mergeCell ref="C36:F36"/>
    <mergeCell ref="B2:H2"/>
    <mergeCell ref="B3:H3"/>
    <mergeCell ref="B92:H92"/>
    <mergeCell ref="B79:H79"/>
    <mergeCell ref="B45:H45"/>
    <mergeCell ref="B53:H53"/>
    <mergeCell ref="B49:H49"/>
    <mergeCell ref="B75:H75"/>
    <mergeCell ref="B73:H73"/>
    <mergeCell ref="B37:H37"/>
    <mergeCell ref="B41:H41"/>
    <mergeCell ref="B35:H35"/>
    <mergeCell ref="B34:H34"/>
    <mergeCell ref="B61:H61"/>
    <mergeCell ref="B6:H6"/>
    <mergeCell ref="B85:H85"/>
    <mergeCell ref="B87:H87"/>
    <mergeCell ref="C76:F76"/>
    <mergeCell ref="C77:F77"/>
    <mergeCell ref="C78:F78"/>
    <mergeCell ref="C86:F86"/>
    <mergeCell ref="G16:H16"/>
    <mergeCell ref="G17:H17"/>
    <mergeCell ref="C173:F173"/>
    <mergeCell ref="C165:F165"/>
    <mergeCell ref="C166:F166"/>
    <mergeCell ref="C167:F167"/>
    <mergeCell ref="C168:F168"/>
    <mergeCell ref="C169:F169"/>
    <mergeCell ref="C160:F160"/>
    <mergeCell ref="C161:F161"/>
    <mergeCell ref="C162:F162"/>
    <mergeCell ref="C163:F163"/>
    <mergeCell ref="C164:F164"/>
    <mergeCell ref="C170:F170"/>
    <mergeCell ref="C171:F171"/>
    <mergeCell ref="C172:F172"/>
    <mergeCell ref="C74:F74"/>
    <mergeCell ref="B159:H159"/>
    <mergeCell ref="B149:H149"/>
    <mergeCell ref="B155:H155"/>
    <mergeCell ref="B151:H151"/>
    <mergeCell ref="C112:F112"/>
    <mergeCell ref="C107:F107"/>
    <mergeCell ref="C108:F108"/>
    <mergeCell ref="C109:F109"/>
    <mergeCell ref="C110:F110"/>
    <mergeCell ref="C111:F111"/>
    <mergeCell ref="C138:F138"/>
    <mergeCell ref="C139:F139"/>
    <mergeCell ref="C146:F146"/>
    <mergeCell ref="B140:H140"/>
    <mergeCell ref="C137:F137"/>
    <mergeCell ref="C121:F121"/>
    <mergeCell ref="C122:F122"/>
    <mergeCell ref="C129:F129"/>
    <mergeCell ref="C130:F130"/>
    <mergeCell ref="C131:F131"/>
    <mergeCell ref="C132:F132"/>
    <mergeCell ref="C133:F133"/>
    <mergeCell ref="C124:F124"/>
    <mergeCell ref="C46:F46"/>
    <mergeCell ref="C47:F47"/>
    <mergeCell ref="C48:F48"/>
    <mergeCell ref="C59:F59"/>
    <mergeCell ref="C60:F60"/>
    <mergeCell ref="C54:F54"/>
    <mergeCell ref="C55:F55"/>
    <mergeCell ref="C56:F56"/>
    <mergeCell ref="C57:F57"/>
    <mergeCell ref="C58:F58"/>
    <mergeCell ref="G18:H18"/>
    <mergeCell ref="C88:F88"/>
    <mergeCell ref="C89:F89"/>
    <mergeCell ref="C90:F90"/>
    <mergeCell ref="C91:F91"/>
    <mergeCell ref="C80:F80"/>
    <mergeCell ref="C81:F81"/>
    <mergeCell ref="C82:F82"/>
    <mergeCell ref="C83:F83"/>
    <mergeCell ref="C69:F69"/>
    <mergeCell ref="C70:F70"/>
    <mergeCell ref="C71:F71"/>
    <mergeCell ref="C50:F50"/>
    <mergeCell ref="C51:F51"/>
    <mergeCell ref="C52:F52"/>
    <mergeCell ref="C64:F64"/>
    <mergeCell ref="C65:F65"/>
    <mergeCell ref="C66:F66"/>
    <mergeCell ref="C67:F67"/>
    <mergeCell ref="C68:F68"/>
    <mergeCell ref="C38:F38"/>
    <mergeCell ref="C39:F39"/>
    <mergeCell ref="G19:H19"/>
    <mergeCell ref="G20:H20"/>
    <mergeCell ref="G7:H7"/>
    <mergeCell ref="G8:H8"/>
    <mergeCell ref="G9:H9"/>
    <mergeCell ref="G10:H10"/>
    <mergeCell ref="G11:H11"/>
    <mergeCell ref="G12:H12"/>
    <mergeCell ref="G13:H13"/>
    <mergeCell ref="G14:H14"/>
    <mergeCell ref="G15:H15"/>
    <mergeCell ref="C156:F156"/>
    <mergeCell ref="C157:F157"/>
    <mergeCell ref="C158:F158"/>
    <mergeCell ref="C119:F119"/>
    <mergeCell ref="C100:F100"/>
    <mergeCell ref="C101:F101"/>
    <mergeCell ref="C102:F102"/>
    <mergeCell ref="C103:F103"/>
    <mergeCell ref="C104:F104"/>
    <mergeCell ref="C105:F105"/>
    <mergeCell ref="C114:F114"/>
    <mergeCell ref="C115:F115"/>
    <mergeCell ref="C116:F116"/>
    <mergeCell ref="C117:F117"/>
    <mergeCell ref="C118:F118"/>
    <mergeCell ref="C134:F134"/>
    <mergeCell ref="C135:F135"/>
    <mergeCell ref="C136:F136"/>
    <mergeCell ref="C125:F125"/>
    <mergeCell ref="G21:H21"/>
    <mergeCell ref="G22:H22"/>
    <mergeCell ref="G23:H23"/>
    <mergeCell ref="G29:H29"/>
    <mergeCell ref="G30:H30"/>
    <mergeCell ref="C98:F98"/>
    <mergeCell ref="C93:F93"/>
    <mergeCell ref="C94:F94"/>
    <mergeCell ref="C95:F95"/>
    <mergeCell ref="C96:F96"/>
    <mergeCell ref="G31:H31"/>
    <mergeCell ref="G32:H32"/>
    <mergeCell ref="G24:H24"/>
    <mergeCell ref="G25:H25"/>
    <mergeCell ref="G26:H26"/>
    <mergeCell ref="G27:H27"/>
    <mergeCell ref="G28:H28"/>
    <mergeCell ref="C97:F97"/>
    <mergeCell ref="C40:F40"/>
    <mergeCell ref="C62:F62"/>
    <mergeCell ref="C63:F63"/>
    <mergeCell ref="C42:F42"/>
    <mergeCell ref="C43:F43"/>
    <mergeCell ref="C44:F44"/>
  </mergeCells>
  <conditionalFormatting sqref="B121:B122">
    <cfRule type="expression" dxfId="134" priority="2" stopIfTrue="1">
      <formula>mgmt_stretched_cluster_result="Excluded"</formula>
    </cfRule>
    <cfRule type="containsBlanks" dxfId="133" priority="3">
      <formula>LEN(TRIM(B121))=0</formula>
    </cfRule>
    <cfRule type="notContainsBlanks" dxfId="131" priority="5" stopIfTrue="1">
      <formula>LEN(TRIM(B121))&gt;0</formula>
    </cfRule>
  </conditionalFormatting>
  <conditionalFormatting sqref="B124:B139">
    <cfRule type="expression" dxfId="130" priority="6" stopIfTrue="1">
      <formula>mgmt_stretched_cluster_result="Excluded"</formula>
    </cfRule>
    <cfRule type="containsBlanks" dxfId="129" priority="7">
      <formula>LEN(TRIM(B124))=0</formula>
    </cfRule>
    <cfRule type="notContainsBlanks" dxfId="127" priority="9" stopIfTrue="1">
      <formula>LEN(TRIM(B124))&gt;0</formula>
    </cfRule>
  </conditionalFormatting>
  <conditionalFormatting sqref="G38:G40 G42:G44 G50:G52">
    <cfRule type="expression" dxfId="126" priority="54">
      <formula>OR((mgmt_domain_result="Excluded"),(mgmt_vns_result="Excluded"))</formula>
    </cfRule>
    <cfRule type="containsBlanks" dxfId="125" priority="55">
      <formula>LEN(TRIM(G38))=0</formula>
    </cfRule>
  </conditionalFormatting>
  <conditionalFormatting sqref="G38:G40 G42:G44">
    <cfRule type="notContainsBlanks" dxfId="123" priority="84">
      <formula>LEN(TRIM(G38))&gt;0</formula>
    </cfRule>
  </conditionalFormatting>
  <conditionalFormatting sqref="G46:G48">
    <cfRule type="expression" dxfId="122" priority="61">
      <formula>OR((mgmt_domain_result="Excluded"),(mgmt_vns_result="Excluded"))</formula>
    </cfRule>
    <cfRule type="containsBlanks" dxfId="121" priority="62">
      <formula>LEN(TRIM(G46))=0</formula>
    </cfRule>
  </conditionalFormatting>
  <conditionalFormatting sqref="G46:G52">
    <cfRule type="notContainsBlanks" dxfId="119" priority="82">
      <formula>LEN(TRIM(G46))&gt;0</formula>
    </cfRule>
  </conditionalFormatting>
  <conditionalFormatting sqref="G49 G36:G37">
    <cfRule type="expression" dxfId="118" priority="80">
      <formula>mgmt_domain_existing_vcenter_chosen="Selected"</formula>
    </cfRule>
  </conditionalFormatting>
  <conditionalFormatting sqref="G49">
    <cfRule type="expression" dxfId="117" priority="79">
      <formula>input_mgmt_principal_storage_chosen="VMFS on Fibre Channel (FC)"</formula>
    </cfRule>
    <cfRule type="containsBlanks" dxfId="115" priority="83">
      <formula>LEN(TRIM(G49))=0</formula>
    </cfRule>
  </conditionalFormatting>
  <conditionalFormatting sqref="G54:G60">
    <cfRule type="expression" dxfId="114" priority="71">
      <formula>mgmt_vns_chosen&lt;&gt;"Centralized Connectivity"</formula>
    </cfRule>
    <cfRule type="expression" dxfId="113" priority="72">
      <formula>OR((mgmt_domain_result="Excluded"),(mgmt_vns_result="Excluded"))</formula>
    </cfRule>
    <cfRule type="containsBlanks" dxfId="111" priority="74">
      <formula>LEN(TRIM(G54))=0</formula>
    </cfRule>
    <cfRule type="notContainsBlanks" dxfId="110" priority="86">
      <formula>LEN(TRIM(G54))&gt;0</formula>
    </cfRule>
  </conditionalFormatting>
  <conditionalFormatting sqref="G62:G71">
    <cfRule type="expression" dxfId="109" priority="67">
      <formula>OR((mgmt_domain_result="Excluded"),(mgmt_vns_result="Excluded"))</formula>
    </cfRule>
    <cfRule type="containsBlanks" dxfId="108" priority="68">
      <formula>LEN(TRIM(G62))=0</formula>
    </cfRule>
    <cfRule type="notContainsBlanks" dxfId="106" priority="70">
      <formula>LEN(TRIM(G62))&gt;0</formula>
    </cfRule>
  </conditionalFormatting>
  <conditionalFormatting sqref="G74:G75">
    <cfRule type="expression" dxfId="105" priority="50">
      <formula>mgmt_domain_existing_vcenter_chosen="Selected"</formula>
    </cfRule>
  </conditionalFormatting>
  <conditionalFormatting sqref="G76:G78 G80:G83">
    <cfRule type="expression" dxfId="104" priority="46">
      <formula>mgmt_avi_loadbalancer_result="Excluded"</formula>
    </cfRule>
  </conditionalFormatting>
  <conditionalFormatting sqref="G76:G78">
    <cfRule type="containsBlanks" dxfId="103" priority="47">
      <formula>LEN(TRIM(G76))=0</formula>
    </cfRule>
    <cfRule type="notContainsBlanks" dxfId="101" priority="49">
      <formula>LEN(TRIM(G76))&gt;0</formula>
    </cfRule>
  </conditionalFormatting>
  <conditionalFormatting sqref="G80:G83">
    <cfRule type="containsBlanks" dxfId="100" priority="51">
      <formula>LEN(TRIM(G80))=0</formula>
    </cfRule>
    <cfRule type="notContainsBlanks" dxfId="98" priority="53">
      <formula>LEN(TRIM(G80))&gt;0</formula>
    </cfRule>
  </conditionalFormatting>
  <conditionalFormatting sqref="G86:G87">
    <cfRule type="expression" dxfId="97" priority="45">
      <formula>mgmt_domain_existing_vcenter_chosen="Selected"</formula>
    </cfRule>
  </conditionalFormatting>
  <conditionalFormatting sqref="G88:G91 G121:G122 G124:G139">
    <cfRule type="expression" dxfId="96" priority="36" stopIfTrue="1">
      <formula>mgmt_stretched_cluster_result="Excluded"</formula>
    </cfRule>
    <cfRule type="containsBlanks" dxfId="95" priority="37">
      <formula>LEN(TRIM(G88))=0</formula>
    </cfRule>
    <cfRule type="notContainsBlanks" dxfId="94" priority="39" stopIfTrue="1">
      <formula>LEN(TRIM(G88))&gt;0</formula>
    </cfRule>
  </conditionalFormatting>
  <conditionalFormatting sqref="G93:G98">
    <cfRule type="expression" dxfId="93" priority="22" stopIfTrue="1">
      <formula>mgmt_stretched_cluster_result="Excluded"</formula>
    </cfRule>
    <cfRule type="containsBlanks" dxfId="92" priority="23">
      <formula>LEN(TRIM(G93))=0</formula>
    </cfRule>
    <cfRule type="notContainsBlanks" dxfId="90" priority="25" stopIfTrue="1">
      <formula>LEN(TRIM(G93))&gt;0</formula>
    </cfRule>
  </conditionalFormatting>
  <conditionalFormatting sqref="G100:G105">
    <cfRule type="expression" dxfId="89" priority="18" stopIfTrue="1">
      <formula>mgmt_stretched_cluster_result="Excluded"</formula>
    </cfRule>
    <cfRule type="containsBlanks" dxfId="88" priority="19">
      <formula>LEN(TRIM(G100))=0</formula>
    </cfRule>
    <cfRule type="notContainsBlanks" dxfId="86" priority="21" stopIfTrue="1">
      <formula>LEN(TRIM(G100))&gt;0</formula>
    </cfRule>
  </conditionalFormatting>
  <conditionalFormatting sqref="G107:G112">
    <cfRule type="expression" dxfId="85" priority="1">
      <formula>mgmt_principal_storage_chosen&lt;&gt;"NFSv3"</formula>
    </cfRule>
  </conditionalFormatting>
  <conditionalFormatting sqref="G114:G119">
    <cfRule type="expression" dxfId="84" priority="14" stopIfTrue="1">
      <formula>mgmt_stretched_cluster_result="Excluded"</formula>
    </cfRule>
    <cfRule type="containsBlanks" dxfId="83" priority="15">
      <formula>LEN(TRIM(G114))=0</formula>
    </cfRule>
    <cfRule type="notContainsBlanks" dxfId="81" priority="17" stopIfTrue="1">
      <formula>LEN(TRIM(G114))&gt;0</formula>
    </cfRule>
  </conditionalFormatting>
  <conditionalFormatting sqref="G141:G147">
    <cfRule type="expression" dxfId="79" priority="38">
      <formula>mgmt_vns_chosen&lt;&gt;"Overlay-Backed"</formula>
    </cfRule>
    <cfRule type="expression" dxfId="78" priority="40">
      <formula>OR((mgmt_domain_result="Excluded"),(mgmt_vns_result="Excluded"))</formula>
    </cfRule>
    <cfRule type="containsBlanks" dxfId="77" priority="42">
      <formula>LEN(TRIM(G141))=0</formula>
    </cfRule>
    <cfRule type="notContainsBlanks" dxfId="76" priority="43">
      <formula>LEN(TRIM(G141))&gt;0</formula>
    </cfRule>
  </conditionalFormatting>
  <conditionalFormatting sqref="G150:G151">
    <cfRule type="expression" dxfId="74" priority="30">
      <formula>mgmt_domain_existing_vcenter_chosen="Selected"</formula>
    </cfRule>
  </conditionalFormatting>
  <conditionalFormatting sqref="G152:G154">
    <cfRule type="expression" dxfId="73" priority="26">
      <formula>mgmt_avi_loadbalancer_result="Excluded"</formula>
    </cfRule>
    <cfRule type="containsBlanks" dxfId="72" priority="27">
      <formula>LEN(TRIM(G152))=0</formula>
    </cfRule>
    <cfRule type="notContainsBlanks" dxfId="70" priority="29">
      <formula>LEN(TRIM(G152))&gt;0</formula>
    </cfRule>
  </conditionalFormatting>
  <conditionalFormatting sqref="G155">
    <cfRule type="expression" dxfId="69" priority="35">
      <formula>mgmt_domain_existing_vcenter_chosen="Selected"</formula>
    </cfRule>
  </conditionalFormatting>
  <conditionalFormatting sqref="G156:G158">
    <cfRule type="expression" dxfId="68" priority="10">
      <formula>mgmt_avi_loadbalancer_result="Excluded"</formula>
    </cfRule>
    <cfRule type="containsBlanks" dxfId="67" priority="11">
      <formula>LEN(TRIM(G156))=0</formula>
    </cfRule>
    <cfRule type="notContainsBlanks" dxfId="65" priority="13">
      <formula>LEN(TRIM(G156))&gt;0</formula>
    </cfRule>
  </conditionalFormatting>
  <conditionalFormatting sqref="G160:G173">
    <cfRule type="expression" dxfId="64" priority="31">
      <formula>OR((mgmt_domain_result="Excluded"),(mgmt_vns_result="Excluded"))</formula>
    </cfRule>
    <cfRule type="containsBlanks" dxfId="63" priority="32">
      <formula>LEN(TRIM(G160))=0</formula>
    </cfRule>
    <cfRule type="notContainsBlanks" dxfId="61" priority="34">
      <formula>LEN(TRIM(G160))&gt;0</formula>
    </cfRule>
  </conditionalFormatting>
  <pageMargins left="0.7" right="0.7" top="0.75" bottom="0.75" header="0.3" footer="0.3"/>
  <pageSetup paperSize="9" orientation="portrait" horizontalDpi="0" verticalDpi="0"/>
  <ignoredErrors>
    <ignoredError sqref="C8:F31" unlocked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4" stopIfTrue="1" operator="containsText" id="{5332AF51-4EB9-D944-827C-6C26B9375CB4}">
            <xm:f>NOT(ISERROR(SEARCH("Value Missing",B121)))</xm:f>
            <xm:f>"Value Missing"</xm:f>
            <x14:dxf>
              <font>
                <color theme="1"/>
              </font>
              <fill>
                <patternFill>
                  <bgColor rgb="FFFFBE29"/>
                </patternFill>
              </fill>
            </x14:dxf>
          </x14:cfRule>
          <xm:sqref>B121:B122</xm:sqref>
        </x14:conditionalFormatting>
        <x14:conditionalFormatting xmlns:xm="http://schemas.microsoft.com/office/excel/2006/main">
          <x14:cfRule type="containsText" priority="8" stopIfTrue="1" operator="containsText" id="{6F12DB5D-E0A9-454B-A486-C5017B91CD9E}">
            <xm:f>NOT(ISERROR(SEARCH("Value Missing",B124)))</xm:f>
            <xm:f>"Value Missing"</xm:f>
            <x14:dxf>
              <font>
                <color theme="1"/>
              </font>
              <fill>
                <patternFill>
                  <bgColor rgb="FFFFBE29"/>
                </patternFill>
              </fill>
            </x14:dxf>
          </x14:cfRule>
          <xm:sqref>B124:B139</xm:sqref>
        </x14:conditionalFormatting>
        <x14:conditionalFormatting xmlns:xm="http://schemas.microsoft.com/office/excel/2006/main">
          <x14:cfRule type="containsText" priority="56" operator="containsText" id="{0BACB2E9-1795-A042-8238-B4388C39E7AA}">
            <xm:f>NOT(ISERROR(SEARCH("Value Missing",G38)))</xm:f>
            <xm:f>"Value Missing"</xm:f>
            <x14:dxf>
              <font>
                <color theme="1"/>
              </font>
              <fill>
                <patternFill>
                  <bgColor rgb="FFFFBE29"/>
                </patternFill>
              </fill>
            </x14:dxf>
          </x14:cfRule>
          <xm:sqref>G38:G40 G42:G44 G50:G52</xm:sqref>
        </x14:conditionalFormatting>
        <x14:conditionalFormatting xmlns:xm="http://schemas.microsoft.com/office/excel/2006/main">
          <x14:cfRule type="containsText" priority="63" operator="containsText" id="{79F169C9-1172-984F-8F9F-1EBED5A03215}">
            <xm:f>NOT(ISERROR(SEARCH("Value Missing",G46)))</xm:f>
            <xm:f>"Value Missing"</xm:f>
            <x14:dxf>
              <font>
                <color theme="1"/>
              </font>
              <fill>
                <patternFill>
                  <bgColor rgb="FFFFBE29"/>
                </patternFill>
              </fill>
            </x14:dxf>
          </x14:cfRule>
          <xm:sqref>G46:G48</xm:sqref>
        </x14:conditionalFormatting>
        <x14:conditionalFormatting xmlns:xm="http://schemas.microsoft.com/office/excel/2006/main">
          <x14:cfRule type="containsText" priority="81" stopIfTrue="1" operator="containsText" id="{DD02FDDE-7EF3-D947-9541-B9C59C9D9B36}">
            <xm:f>NOT(ISERROR(SEARCH("Value Missing",G49)))</xm:f>
            <xm:f>"Value Missing"</xm:f>
            <x14:dxf>
              <font>
                <color rgb="FF0E223A"/>
              </font>
              <fill>
                <patternFill>
                  <bgColor rgb="FFFFBE29"/>
                </patternFill>
              </fill>
            </x14:dxf>
          </x14:cfRule>
          <xm:sqref>G49</xm:sqref>
        </x14:conditionalFormatting>
        <x14:conditionalFormatting xmlns:xm="http://schemas.microsoft.com/office/excel/2006/main">
          <x14:cfRule type="containsText" priority="73" operator="containsText" id="{A63EF1E4-6E52-114B-AAE8-13A520C9936D}">
            <xm:f>NOT(ISERROR(SEARCH("Value Missing",G54)))</xm:f>
            <xm:f>"Value Missing"</xm:f>
            <x14:dxf>
              <font>
                <color theme="1"/>
              </font>
              <fill>
                <patternFill>
                  <bgColor rgb="FFFFBE29"/>
                </patternFill>
              </fill>
            </x14:dxf>
          </x14:cfRule>
          <xm:sqref>G54:G60</xm:sqref>
        </x14:conditionalFormatting>
        <x14:conditionalFormatting xmlns:xm="http://schemas.microsoft.com/office/excel/2006/main">
          <x14:cfRule type="containsText" priority="69" operator="containsText" id="{1663532D-294C-CB4C-B41A-F924FBAB7090}">
            <xm:f>NOT(ISERROR(SEARCH("Value Missing",G62)))</xm:f>
            <xm:f>"Value Missing"</xm:f>
            <x14:dxf>
              <font>
                <color theme="1"/>
              </font>
              <fill>
                <patternFill>
                  <bgColor rgb="FFFFBE29"/>
                </patternFill>
              </fill>
            </x14:dxf>
          </x14:cfRule>
          <xm:sqref>G62:G71</xm:sqref>
        </x14:conditionalFormatting>
        <x14:conditionalFormatting xmlns:xm="http://schemas.microsoft.com/office/excel/2006/main">
          <x14:cfRule type="containsText" priority="48" operator="containsText" id="{59A10F34-52E1-2D40-AEA2-A11B56421DE3}">
            <xm:f>NOT(ISERROR(SEARCH("Value Missing",G76)))</xm:f>
            <xm:f>"Value Missing"</xm:f>
            <x14:dxf>
              <font>
                <color theme="1"/>
              </font>
              <fill>
                <patternFill>
                  <bgColor rgb="FFFFBE29"/>
                </patternFill>
              </fill>
            </x14:dxf>
          </x14:cfRule>
          <xm:sqref>G76:G78</xm:sqref>
        </x14:conditionalFormatting>
        <x14:conditionalFormatting xmlns:xm="http://schemas.microsoft.com/office/excel/2006/main">
          <x14:cfRule type="containsText" priority="52" operator="containsText" id="{B011AF18-DC27-9B45-BEA8-FB410A93DD8E}">
            <xm:f>NOT(ISERROR(SEARCH("Value Missing",G80)))</xm:f>
            <xm:f>"Value Missing"</xm:f>
            <x14:dxf>
              <font>
                <color theme="1"/>
              </font>
              <fill>
                <patternFill>
                  <bgColor rgb="FFFFBE29"/>
                </patternFill>
              </fill>
            </x14:dxf>
          </x14:cfRule>
          <xm:sqref>G80:G83</xm:sqref>
        </x14:conditionalFormatting>
        <x14:conditionalFormatting xmlns:xm="http://schemas.microsoft.com/office/excel/2006/main">
          <x14:cfRule type="containsText" priority="24" stopIfTrue="1" operator="containsText" id="{C16AD4A5-7146-8546-88CE-DCF4A43945A3}">
            <xm:f>NOT(ISERROR(SEARCH("Value Missing",G93)))</xm:f>
            <xm:f>"Value Missing"</xm:f>
            <x14:dxf>
              <font>
                <color theme="1"/>
              </font>
              <fill>
                <patternFill>
                  <bgColor rgb="FFFFBE29"/>
                </patternFill>
              </fill>
            </x14:dxf>
          </x14:cfRule>
          <xm:sqref>G93:G98</xm:sqref>
        </x14:conditionalFormatting>
        <x14:conditionalFormatting xmlns:xm="http://schemas.microsoft.com/office/excel/2006/main">
          <x14:cfRule type="containsText" priority="20" stopIfTrue="1" operator="containsText" id="{4A17EEEC-C710-F945-B9F5-1B25E7BFCD7C}">
            <xm:f>NOT(ISERROR(SEARCH("Value Missing",G100)))</xm:f>
            <xm:f>"Value Missing"</xm:f>
            <x14:dxf>
              <font>
                <color theme="1"/>
              </font>
              <fill>
                <patternFill>
                  <bgColor rgb="FFFFBE29"/>
                </patternFill>
              </fill>
            </x14:dxf>
          </x14:cfRule>
          <xm:sqref>G100:G105</xm:sqref>
        </x14:conditionalFormatting>
        <x14:conditionalFormatting xmlns:xm="http://schemas.microsoft.com/office/excel/2006/main">
          <x14:cfRule type="containsText" priority="16" stopIfTrue="1" operator="containsText" id="{096F47E6-5F8D-694F-A137-DADCBC45FD18}">
            <xm:f>NOT(ISERROR(SEARCH("Value Missing",G114)))</xm:f>
            <xm:f>"Value Missing"</xm:f>
            <x14:dxf>
              <font>
                <color theme="1"/>
              </font>
              <fill>
                <patternFill>
                  <bgColor rgb="FFFFBE29"/>
                </patternFill>
              </fill>
            </x14:dxf>
          </x14:cfRule>
          <xm:sqref>G114:G119</xm:sqref>
        </x14:conditionalFormatting>
        <x14:conditionalFormatting xmlns:xm="http://schemas.microsoft.com/office/excel/2006/main">
          <x14:cfRule type="containsText" priority="41" stopIfTrue="1" operator="containsText" id="{2BEACADF-F6E6-874B-8004-073C384B0E26}">
            <xm:f>NOT(ISERROR(SEARCH("Value Missing",G88)))</xm:f>
            <xm:f>"Value Missing"</xm:f>
            <x14:dxf>
              <font>
                <color theme="1"/>
              </font>
              <fill>
                <patternFill>
                  <bgColor rgb="FFFFBE29"/>
                </patternFill>
              </fill>
            </x14:dxf>
          </x14:cfRule>
          <xm:sqref>G141:G147 G88:G91 G121:G122 G124:G139</xm:sqref>
        </x14:conditionalFormatting>
        <x14:conditionalFormatting xmlns:xm="http://schemas.microsoft.com/office/excel/2006/main">
          <x14:cfRule type="containsText" priority="44" operator="containsText" id="{2992D1B3-A8B1-7C44-98C5-75E07A3AEA22}">
            <xm:f>NOT(ISERROR(SEARCH("Value Missing",G141)))</xm:f>
            <xm:f>"Value Missing"</xm:f>
            <x14:dxf>
              <font>
                <color theme="1"/>
              </font>
              <fill>
                <patternFill>
                  <bgColor rgb="FFFFBE29"/>
                </patternFill>
              </fill>
            </x14:dxf>
          </x14:cfRule>
          <xm:sqref>G141:G147</xm:sqref>
        </x14:conditionalFormatting>
        <x14:conditionalFormatting xmlns:xm="http://schemas.microsoft.com/office/excel/2006/main">
          <x14:cfRule type="containsText" priority="28" operator="containsText" id="{9454E179-569A-7A41-9E83-FA9A8C9DF310}">
            <xm:f>NOT(ISERROR(SEARCH("Value Missing",G152)))</xm:f>
            <xm:f>"Value Missing"</xm:f>
            <x14:dxf>
              <font>
                <color theme="1"/>
              </font>
              <fill>
                <patternFill>
                  <bgColor rgb="FFFFBE29"/>
                </patternFill>
              </fill>
            </x14:dxf>
          </x14:cfRule>
          <xm:sqref>G152:G154</xm:sqref>
        </x14:conditionalFormatting>
        <x14:conditionalFormatting xmlns:xm="http://schemas.microsoft.com/office/excel/2006/main">
          <x14:cfRule type="containsText" priority="12" operator="containsText" id="{EA074F36-CE07-E14B-8C09-3FE943F4657A}">
            <xm:f>NOT(ISERROR(SEARCH("Value Missing",G156)))</xm:f>
            <xm:f>"Value Missing"</xm:f>
            <x14:dxf>
              <font>
                <color theme="1"/>
              </font>
              <fill>
                <patternFill>
                  <bgColor rgb="FFFFBE29"/>
                </patternFill>
              </fill>
            </x14:dxf>
          </x14:cfRule>
          <xm:sqref>G156:G158</xm:sqref>
        </x14:conditionalFormatting>
        <x14:conditionalFormatting xmlns:xm="http://schemas.microsoft.com/office/excel/2006/main">
          <x14:cfRule type="containsText" priority="33" operator="containsText" id="{434F7923-6B80-C34E-8FB8-B27C9ECED7D0}">
            <xm:f>NOT(ISERROR(SEARCH("Value Missing",G160)))</xm:f>
            <xm:f>"Value Missing"</xm:f>
            <x14:dxf>
              <font>
                <color theme="1"/>
              </font>
              <fill>
                <patternFill>
                  <bgColor rgb="FFFFBE29"/>
                </patternFill>
              </fill>
            </x14:dxf>
          </x14:cfRule>
          <xm:sqref>G160:G173</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0795-3E77-9C43-AF5A-A17717ED4688}">
  <sheetPr codeName="Sheet12"/>
  <dimension ref="A1:F124"/>
  <sheetViews>
    <sheetView showGridLines="0" workbookViewId="0">
      <pane ySplit="4" topLeftCell="A12" activePane="bottomLeft" state="frozen"/>
      <selection pane="bottomLeft"/>
    </sheetView>
  </sheetViews>
  <sheetFormatPr baseColWidth="10" defaultRowHeight="16" x14ac:dyDescent="0.2"/>
  <cols>
    <col min="1" max="1" width="2.83203125" customWidth="1"/>
    <col min="2" max="4" width="75.83203125" customWidth="1"/>
    <col min="5" max="5" width="100.83203125" customWidth="1"/>
  </cols>
  <sheetData>
    <row r="1" spans="1:6" x14ac:dyDescent="0.2">
      <c r="A1" s="147"/>
      <c r="B1" s="147"/>
      <c r="C1" s="147"/>
      <c r="D1" s="147"/>
      <c r="E1" s="147"/>
      <c r="F1" s="147"/>
    </row>
    <row r="2" spans="1:6" ht="54" customHeight="1" x14ac:dyDescent="0.2">
      <c r="A2" s="253"/>
      <c r="B2" s="682" t="s">
        <v>2683</v>
      </c>
      <c r="C2" s="683"/>
      <c r="D2" s="683"/>
      <c r="E2" s="684"/>
      <c r="F2" s="147"/>
    </row>
    <row r="3" spans="1:6" x14ac:dyDescent="0.2">
      <c r="A3" s="254"/>
      <c r="B3" s="540" t="s">
        <v>1</v>
      </c>
      <c r="C3" s="541"/>
      <c r="D3" s="541"/>
      <c r="E3" s="677"/>
      <c r="F3" s="255"/>
    </row>
    <row r="4" spans="1:6" x14ac:dyDescent="0.2">
      <c r="A4" s="147"/>
      <c r="B4" s="147"/>
      <c r="C4" s="147"/>
      <c r="D4" s="147"/>
      <c r="E4" s="147"/>
      <c r="F4" s="147"/>
    </row>
    <row r="5" spans="1:6" x14ac:dyDescent="0.2">
      <c r="A5" s="147"/>
      <c r="B5" s="147"/>
      <c r="C5" s="147"/>
      <c r="D5" s="147"/>
      <c r="E5" s="147"/>
      <c r="F5" s="147"/>
    </row>
    <row r="6" spans="1:6" s="9" customFormat="1" ht="34" customHeight="1" x14ac:dyDescent="0.2">
      <c r="B6" s="412" t="s">
        <v>3080</v>
      </c>
      <c r="C6" s="413"/>
      <c r="D6" s="413"/>
      <c r="E6" s="414"/>
    </row>
    <row r="7" spans="1:6" s="9" customFormat="1" ht="20" customHeight="1" x14ac:dyDescent="0.2">
      <c r="B7" s="537" t="s">
        <v>2684</v>
      </c>
      <c r="C7" s="538"/>
      <c r="D7" s="538"/>
      <c r="E7" s="539"/>
    </row>
    <row r="8" spans="1:6" s="9" customFormat="1" ht="20" customHeight="1" x14ac:dyDescent="0.2">
      <c r="B8" s="63" t="s">
        <v>18</v>
      </c>
      <c r="C8" s="63" t="s">
        <v>19</v>
      </c>
      <c r="D8" s="63" t="s">
        <v>20</v>
      </c>
      <c r="E8" s="63" t="s">
        <v>21</v>
      </c>
    </row>
    <row r="9" spans="1:6" s="9" customFormat="1" ht="20" customHeight="1" x14ac:dyDescent="0.2">
      <c r="B9" s="521" t="s">
        <v>789</v>
      </c>
      <c r="C9" s="522"/>
      <c r="D9" s="522"/>
      <c r="E9" s="523"/>
    </row>
    <row r="10" spans="1:6" s="9" customFormat="1" ht="20" customHeight="1" x14ac:dyDescent="0.2">
      <c r="B10" s="155" t="s">
        <v>85</v>
      </c>
      <c r="C10" s="103" t="str">
        <f>IF(wld_dpg_separation_result="Included",CONCATENATE(prefix_wld_az1_vlan,"11"),CONCATENATE(prefix_wld_az1_vlan,"10"))</f>
        <v>1310</v>
      </c>
      <c r="D10" s="8" t="str">
        <f>wld_az1_mgmt_vm_vlan</f>
        <v>Value Missing</v>
      </c>
      <c r="E10" s="43"/>
    </row>
    <row r="11" spans="1:6" s="9" customFormat="1" ht="20" customHeight="1" x14ac:dyDescent="0.2">
      <c r="B11" s="155" t="s">
        <v>180</v>
      </c>
      <c r="C11" s="103" t="str">
        <f>IF(wld_dpg_separation_result="Included",CONCATENATE(prefix_wld_az1_cidr,"11.1/24"),CONCATENATE(prefix_wld_az1_cidr,"10.1/24"))</f>
        <v>10.13.10.1/24</v>
      </c>
      <c r="D11" s="8" t="str">
        <f>wld_az1_mgmt_vm_gateway_cidr</f>
        <v>Value Missing</v>
      </c>
      <c r="E11" s="43"/>
    </row>
    <row r="12" spans="1:6" s="9" customFormat="1" ht="20" customHeight="1" x14ac:dyDescent="0.2">
      <c r="B12" s="4" t="s">
        <v>155</v>
      </c>
      <c r="C12" s="103">
        <v>1500</v>
      </c>
      <c r="D12" s="8" t="str">
        <f>wld_az1_mgmt_vm_mtu</f>
        <v>Value Missing</v>
      </c>
      <c r="E12" s="43"/>
    </row>
    <row r="13" spans="1:6" s="9" customFormat="1" ht="20" customHeight="1" x14ac:dyDescent="0.2">
      <c r="B13" s="521" t="s">
        <v>177</v>
      </c>
      <c r="C13" s="522"/>
      <c r="D13" s="522"/>
      <c r="E13" s="523"/>
    </row>
    <row r="14" spans="1:6" s="9" customFormat="1" ht="20" customHeight="1" x14ac:dyDescent="0.2">
      <c r="B14" s="4" t="s">
        <v>85</v>
      </c>
      <c r="C14" s="103" t="str">
        <f>sample_wld_az1_uplink01_vlan</f>
        <v>1317</v>
      </c>
      <c r="D14" s="8" t="str">
        <f>wld_az1_uplink01_vlan</f>
        <v>Value Missing</v>
      </c>
      <c r="E14" s="42"/>
    </row>
    <row r="15" spans="1:6" s="9" customFormat="1" ht="20" customHeight="1" x14ac:dyDescent="0.2">
      <c r="B15" s="4" t="s">
        <v>180</v>
      </c>
      <c r="C15" s="103" t="str">
        <f>sample_wld_az1_uplink01_gateway_ip</f>
        <v>10.13.17.1</v>
      </c>
      <c r="D15" s="8" t="str">
        <f>wld_az1_uplink01_gateway_ip</f>
        <v>Value Missing</v>
      </c>
      <c r="E15" s="42"/>
    </row>
    <row r="16" spans="1:6" s="9" customFormat="1" ht="20" customHeight="1" x14ac:dyDescent="0.2">
      <c r="B16" s="4" t="s">
        <v>155</v>
      </c>
      <c r="C16" s="103">
        <f>sample_wld_az1_uplink01_mtu</f>
        <v>9000</v>
      </c>
      <c r="D16" s="8" t="str">
        <f>wld_az1_uplink01_mtu</f>
        <v>Value Missing</v>
      </c>
      <c r="E16" s="42"/>
    </row>
    <row r="17" spans="2:5" s="9" customFormat="1" ht="20" customHeight="1" x14ac:dyDescent="0.2">
      <c r="B17" s="521" t="s">
        <v>182</v>
      </c>
      <c r="C17" s="522"/>
      <c r="D17" s="522"/>
      <c r="E17" s="523"/>
    </row>
    <row r="18" spans="2:5" s="9" customFormat="1" ht="20" customHeight="1" x14ac:dyDescent="0.2">
      <c r="B18" s="4" t="s">
        <v>85</v>
      </c>
      <c r="C18" s="103" t="str">
        <f>sample_wld_az1_uplink02_vlan</f>
        <v>1318</v>
      </c>
      <c r="D18" s="8" t="str">
        <f>wld_az1_uplink02_vlan</f>
        <v>Value Missing</v>
      </c>
      <c r="E18" s="113"/>
    </row>
    <row r="19" spans="2:5" s="9" customFormat="1" ht="20" customHeight="1" x14ac:dyDescent="0.2">
      <c r="B19" s="4" t="s">
        <v>180</v>
      </c>
      <c r="C19" s="103" t="str">
        <f>sample_wld_az1_uplink02_gateway_ip</f>
        <v>10.13.18.1</v>
      </c>
      <c r="D19" s="8" t="str">
        <f>wld_az1_uplink02_gateway_ip</f>
        <v>Value Missing</v>
      </c>
      <c r="E19" s="42"/>
    </row>
    <row r="20" spans="2:5" s="9" customFormat="1" ht="20" customHeight="1" x14ac:dyDescent="0.2">
      <c r="B20" s="4" t="s">
        <v>155</v>
      </c>
      <c r="C20" s="103">
        <f>sample_wld_az1_uplink02_mtu</f>
        <v>9000</v>
      </c>
      <c r="D20" s="8" t="str">
        <f>wld_az1_uplink02_mtu</f>
        <v>Value Missing</v>
      </c>
      <c r="E20" s="42"/>
    </row>
    <row r="21" spans="2:5" s="9" customFormat="1" ht="20" customHeight="1" x14ac:dyDescent="0.2">
      <c r="B21" s="521" t="s">
        <v>183</v>
      </c>
      <c r="C21" s="522"/>
      <c r="D21" s="522"/>
      <c r="E21" s="523"/>
    </row>
    <row r="22" spans="2:5" s="9" customFormat="1" ht="20" customHeight="1" x14ac:dyDescent="0.2">
      <c r="B22" s="4" t="s">
        <v>85</v>
      </c>
      <c r="C22" s="103" t="str">
        <f>CONCATENATE(prefix_wld_az1_vlan,"19")</f>
        <v>1319</v>
      </c>
      <c r="D22" s="8" t="str">
        <f>wld_az1_edge_overlay_vlan</f>
        <v>Value Missing</v>
      </c>
      <c r="E22" s="42" t="str">
        <f>IF(AND(mgmt_stretched_cluster_result="Included",mgmt_dpg_reuse_result="Included"),"Stretched L2","")</f>
        <v/>
      </c>
    </row>
    <row r="23" spans="2:5" s="9" customFormat="1" ht="20" customHeight="1" x14ac:dyDescent="0.2">
      <c r="B23" s="4" t="s">
        <v>180</v>
      </c>
      <c r="C23" s="103" t="str">
        <f>sample_wld_az1_edge_overlay_gateway_ip</f>
        <v>10.13.19.1</v>
      </c>
      <c r="D23" s="8" t="str">
        <f>wld_az1_edge_overlay_gateway_ip</f>
        <v>Value Missing</v>
      </c>
      <c r="E23" s="42" t="str">
        <f>IF(AND(mgmt_stretched_cluster_result="Included",mgmt_dpg_reuse_result="Excluded"),"Stretched L2","")</f>
        <v/>
      </c>
    </row>
    <row r="24" spans="2:5" s="9" customFormat="1" ht="20" customHeight="1" x14ac:dyDescent="0.2">
      <c r="B24" s="572" t="s">
        <v>2685</v>
      </c>
      <c r="C24" s="572"/>
      <c r="D24" s="572"/>
      <c r="E24" s="572"/>
    </row>
    <row r="25" spans="2:5" s="9" customFormat="1" ht="20" customHeight="1" x14ac:dyDescent="0.2">
      <c r="B25" s="4" t="s">
        <v>1006</v>
      </c>
      <c r="C25" s="103" t="str">
        <f>sample_wld_en_asn</f>
        <v>65102</v>
      </c>
      <c r="D25" s="8" t="str">
        <f>wld_en_asn</f>
        <v>Value Missing</v>
      </c>
      <c r="E25" s="42"/>
    </row>
    <row r="26" spans="2:5" s="9" customFormat="1" ht="20" customHeight="1" x14ac:dyDescent="0.2">
      <c r="B26" s="4" t="s">
        <v>163</v>
      </c>
      <c r="C26" s="103" t="str">
        <f>sample_wld_az1_tor1_peer_ip</f>
        <v>10.13.17.10</v>
      </c>
      <c r="D26" s="8" t="str">
        <f>wld_az1_tor1_peer_ip</f>
        <v>Value Missing</v>
      </c>
      <c r="E26" s="42"/>
    </row>
    <row r="27" spans="2:5" s="9" customFormat="1" ht="20" customHeight="1" x14ac:dyDescent="0.2">
      <c r="B27" s="4" t="s">
        <v>164</v>
      </c>
      <c r="C27" s="103" t="str">
        <f>sample_wld_az1_tor1_peer_asn</f>
        <v>65131</v>
      </c>
      <c r="D27" s="8" t="str">
        <f>wld_az1_tor1_peer_asn</f>
        <v>Value Missing</v>
      </c>
      <c r="E27" s="42"/>
    </row>
    <row r="28" spans="2:5" s="9" customFormat="1" ht="20" customHeight="1" x14ac:dyDescent="0.2">
      <c r="B28" s="4" t="s">
        <v>165</v>
      </c>
      <c r="C28" s="103" t="str">
        <f>sample_wld_az1_tor1_peer_bgp_password</f>
        <v>VMw@re1!</v>
      </c>
      <c r="D28" s="8" t="str">
        <f>wld_az1_tor1_peer_bgp_password</f>
        <v>Value Missing</v>
      </c>
      <c r="E28" s="42"/>
    </row>
    <row r="29" spans="2:5" s="9" customFormat="1" ht="20" customHeight="1" x14ac:dyDescent="0.2">
      <c r="B29" s="4" t="s">
        <v>166</v>
      </c>
      <c r="C29" s="103" t="str">
        <f>sample_wld_az1_tor2_peer_ip</f>
        <v>10.13.18.10</v>
      </c>
      <c r="D29" s="8" t="str">
        <f>wld_az1_tor2_peer_ip</f>
        <v>Value Missing</v>
      </c>
      <c r="E29" s="42"/>
    </row>
    <row r="30" spans="2:5" s="9" customFormat="1" ht="20" customHeight="1" x14ac:dyDescent="0.2">
      <c r="B30" s="4" t="s">
        <v>167</v>
      </c>
      <c r="C30" s="103" t="str">
        <f>sample_wld_az1_tor2_peer_asn</f>
        <v>65131</v>
      </c>
      <c r="D30" s="8" t="str">
        <f>wld_az1_tor2_peer_asn</f>
        <v>Value Missing</v>
      </c>
      <c r="E30" s="42"/>
    </row>
    <row r="31" spans="2:5" s="9" customFormat="1" ht="20" customHeight="1" x14ac:dyDescent="0.2">
      <c r="B31" s="4" t="s">
        <v>168</v>
      </c>
      <c r="C31" s="103" t="str">
        <f>sample_wld_az1_tor2_peer_bgp_password</f>
        <v>VMw@re1!</v>
      </c>
      <c r="D31" s="8" t="str">
        <f>wld_az1_tor2_peer_bgp_password</f>
        <v>Value Missing</v>
      </c>
      <c r="E31" s="42"/>
    </row>
    <row r="32" spans="2:5" s="9" customFormat="1" ht="20" customHeight="1" x14ac:dyDescent="0.2">
      <c r="B32" s="521" t="s">
        <v>2673</v>
      </c>
      <c r="C32" s="522"/>
      <c r="D32" s="522"/>
      <c r="E32" s="523"/>
    </row>
    <row r="33" spans="2:5" s="9" customFormat="1" ht="20" customHeight="1" x14ac:dyDescent="0.2">
      <c r="B33" s="40" t="str">
        <f>wld_az1_en1_fqdn</f>
        <v>Value Missing</v>
      </c>
      <c r="C33" s="103" t="str">
        <f>sample_wld_az1_en1_mgmt_cidr</f>
        <v>10.13.11.135/24</v>
      </c>
      <c r="D33" s="8" t="str">
        <f>wld_az1_en1_mgmt_cidr</f>
        <v>Value Missing</v>
      </c>
      <c r="E33" s="8"/>
    </row>
    <row r="34" spans="2:5" s="9" customFormat="1" ht="20" customHeight="1" x14ac:dyDescent="0.2">
      <c r="B34" s="120" t="s">
        <v>2129</v>
      </c>
      <c r="C34" s="103" t="str">
        <f>sample_wld_az1_en1_uplink01_interface_cidr</f>
        <v>10.13.17.2/24</v>
      </c>
      <c r="D34" s="8" t="str">
        <f>wld_az1_en1_uplink01_interface_cidr</f>
        <v>Value Missing</v>
      </c>
      <c r="E34" s="8" t="s">
        <v>151</v>
      </c>
    </row>
    <row r="35" spans="2:5" s="9" customFormat="1" ht="20" customHeight="1" x14ac:dyDescent="0.2">
      <c r="B35" s="120" t="s">
        <v>2129</v>
      </c>
      <c r="C35" s="103" t="str">
        <f>sample_wld_az1_en1_uplink02_interface_cidr</f>
        <v>10.13.18.2/24</v>
      </c>
      <c r="D35" s="8" t="str">
        <f>wld_az1_en1_uplink02_interface_cidr</f>
        <v>Value Missing</v>
      </c>
      <c r="E35" s="8" t="s">
        <v>842</v>
      </c>
    </row>
    <row r="36" spans="2:5" s="9" customFormat="1" ht="20" customHeight="1" x14ac:dyDescent="0.2">
      <c r="B36" s="212" t="s">
        <v>2129</v>
      </c>
      <c r="C36" s="103" t="str">
        <f>sample_wld_az1_en1_edge_overlay_interface_ip_1_ip</f>
        <v>10.13.19.2</v>
      </c>
      <c r="D36" s="8" t="str">
        <f>wld_az1_en1_edge_overlay_interface_ip_1_ip</f>
        <v>Value Missing</v>
      </c>
      <c r="E36" s="8" t="s">
        <v>830</v>
      </c>
    </row>
    <row r="37" spans="2:5" s="9" customFormat="1" ht="20" customHeight="1" x14ac:dyDescent="0.2">
      <c r="B37" s="213" t="s">
        <v>2129</v>
      </c>
      <c r="C37" s="103" t="str">
        <f>sample_wld_az1_en1_edge_overlay_interface_ip_2_ip</f>
        <v>10.13.19.3</v>
      </c>
      <c r="D37" s="8" t="str">
        <f>wld_az1_en1_edge_overlay_interface_ip_2_ip</f>
        <v>Value Missing</v>
      </c>
      <c r="E37" s="8" t="s">
        <v>2674</v>
      </c>
    </row>
    <row r="38" spans="2:5" s="9" customFormat="1" ht="20" customHeight="1" x14ac:dyDescent="0.2">
      <c r="B38" s="40" t="str">
        <f>wld_az1_en2_fqdn</f>
        <v>Value Missing</v>
      </c>
      <c r="C38" s="103" t="str">
        <f>sample_wld_az1_en2_mgmt_cidr</f>
        <v>10.13.11.136/24</v>
      </c>
      <c r="D38" s="8" t="str">
        <f>wld_az1_en2_mgmt_cidr</f>
        <v>Value Missing</v>
      </c>
      <c r="E38" s="8"/>
    </row>
    <row r="39" spans="2:5" s="9" customFormat="1" ht="20" customHeight="1" x14ac:dyDescent="0.2">
      <c r="B39" s="120" t="s">
        <v>2129</v>
      </c>
      <c r="C39" s="103" t="str">
        <f>sample_wld_az1_en2_uplink01_interface_cidr</f>
        <v>10.13.17.3/24</v>
      </c>
      <c r="D39" s="8" t="str">
        <f>wld_az1_en2_uplink01_interface_cidr</f>
        <v>Value Missing</v>
      </c>
      <c r="E39" s="8" t="s">
        <v>162</v>
      </c>
    </row>
    <row r="40" spans="2:5" s="9" customFormat="1" ht="20" customHeight="1" x14ac:dyDescent="0.2">
      <c r="B40" s="120" t="s">
        <v>2129</v>
      </c>
      <c r="C40" s="103" t="str">
        <f>sample_wld_az1_en2_uplink02_interface_cidr</f>
        <v>10.13.18.3/24</v>
      </c>
      <c r="D40" s="8" t="str">
        <f>wld_az1_en2_uplink02_interface_cidr</f>
        <v>Value Missing</v>
      </c>
      <c r="E40" s="8" t="s">
        <v>160</v>
      </c>
    </row>
    <row r="41" spans="2:5" s="9" customFormat="1" ht="20" customHeight="1" x14ac:dyDescent="0.2">
      <c r="B41" s="212" t="s">
        <v>2129</v>
      </c>
      <c r="C41" s="103" t="str">
        <f>sample_wld_az1_en2_edge_overlay_interface_ip_1_ip</f>
        <v>10.13.19.4</v>
      </c>
      <c r="D41" s="8" t="str">
        <f>wld_az1_en2_edge_overlay_interface_ip_1_ip</f>
        <v>Value Missing</v>
      </c>
      <c r="E41" s="8" t="s">
        <v>837</v>
      </c>
    </row>
    <row r="42" spans="2:5" s="9" customFormat="1" ht="20" customHeight="1" x14ac:dyDescent="0.2">
      <c r="B42" s="213" t="s">
        <v>2129</v>
      </c>
      <c r="C42" s="103" t="str">
        <f>sample_wld_az1_en2_edge_overlay_interface_ip_2_ip</f>
        <v>10.13.19.5</v>
      </c>
      <c r="D42" s="8" t="str">
        <f>wld_az1_en2_edge_overlay_interface_ip_2_ip</f>
        <v>Value Missing</v>
      </c>
      <c r="E42" s="8" t="s">
        <v>839</v>
      </c>
    </row>
    <row r="43" spans="2:5" s="9" customFormat="1" ht="20" customHeight="1" x14ac:dyDescent="0.2"/>
    <row r="44" spans="2:5" s="9" customFormat="1" ht="34" customHeight="1" x14ac:dyDescent="0.2">
      <c r="B44" s="412" t="s">
        <v>2686</v>
      </c>
      <c r="C44" s="413"/>
      <c r="D44" s="413"/>
      <c r="E44" s="414"/>
    </row>
    <row r="45" spans="2:5" s="9" customFormat="1" ht="20" customHeight="1" x14ac:dyDescent="0.2">
      <c r="B45" s="63" t="s">
        <v>18</v>
      </c>
      <c r="C45" s="63" t="s">
        <v>19</v>
      </c>
      <c r="D45" s="63" t="s">
        <v>20</v>
      </c>
      <c r="E45" s="63" t="s">
        <v>21</v>
      </c>
    </row>
    <row r="46" spans="2:5" s="9" customFormat="1" ht="20" customHeight="1" x14ac:dyDescent="0.2">
      <c r="B46" s="521" t="s">
        <v>789</v>
      </c>
      <c r="C46" s="522"/>
      <c r="D46" s="522"/>
      <c r="E46" s="523"/>
    </row>
    <row r="47" spans="2:5" s="9" customFormat="1" ht="20" customHeight="1" x14ac:dyDescent="0.2">
      <c r="B47" s="4" t="s">
        <v>85</v>
      </c>
      <c r="C47" s="109" t="str">
        <f>sample_wld_az1_mgmt_vm_vlan</f>
        <v>1311</v>
      </c>
      <c r="D47" s="8" t="str">
        <f>wld_az1_mgmt_vm_vlan</f>
        <v>Value Missing</v>
      </c>
      <c r="E47" s="43"/>
    </row>
    <row r="48" spans="2:5" s="9" customFormat="1" ht="20" customHeight="1" x14ac:dyDescent="0.2">
      <c r="B48" s="4" t="s">
        <v>180</v>
      </c>
      <c r="C48" s="103" t="str">
        <f>IF(wld_dpg_separation_result="Included",CONCATENATE(prefix_wld_az1_cidr,"11.1/24"),CONCATENATE(prefix_wld_az1_cidr,"10.1/24"))</f>
        <v>10.13.10.1/24</v>
      </c>
      <c r="D48" s="8" t="str">
        <f>wld_az1_mgmt_vm_gateway_ip</f>
        <v>Value Missing</v>
      </c>
      <c r="E48" s="43"/>
    </row>
    <row r="49" spans="2:5" s="9" customFormat="1" ht="20" customHeight="1" x14ac:dyDescent="0.2">
      <c r="B49" s="4" t="s">
        <v>155</v>
      </c>
      <c r="C49" s="103">
        <f>sample_wld_az1_mgmt_vm_mtu</f>
        <v>1500</v>
      </c>
      <c r="D49" s="8" t="str">
        <f>wld_az1_mgmt_vm_mtu</f>
        <v>Value Missing</v>
      </c>
      <c r="E49" s="43"/>
    </row>
    <row r="50" spans="2:5" s="9" customFormat="1" ht="20" customHeight="1" x14ac:dyDescent="0.2">
      <c r="B50" s="521" t="s">
        <v>2673</v>
      </c>
      <c r="C50" s="522"/>
      <c r="D50" s="522"/>
      <c r="E50" s="523"/>
    </row>
    <row r="51" spans="2:5" s="9" customFormat="1" ht="20" customHeight="1" x14ac:dyDescent="0.2">
      <c r="B51" s="40" t="str">
        <f>sample_wld_avilb_fqdn</f>
        <v>sfo-w01-avilb01.sfo.rainpole.io</v>
      </c>
      <c r="C51" s="103" t="str">
        <f>sample_wld_avilb_ip</f>
        <v>10.11.10.151</v>
      </c>
      <c r="D51" s="8" t="str">
        <f>wld_avilb_ip</f>
        <v>Value Missing</v>
      </c>
      <c r="E51" s="120" t="s">
        <v>198</v>
      </c>
    </row>
    <row r="52" spans="2:5" s="9" customFormat="1" ht="20" customHeight="1" x14ac:dyDescent="0.2">
      <c r="B52" s="120" t="s">
        <v>2129</v>
      </c>
      <c r="C52" s="103" t="str">
        <f>sample_wld_avilb_mgra_ip</f>
        <v>10.11.10.152</v>
      </c>
      <c r="D52" s="8" t="str">
        <f>wld_avilb_mgra_ip</f>
        <v>Value Missing</v>
      </c>
      <c r="E52" s="120" t="s">
        <v>192</v>
      </c>
    </row>
    <row r="53" spans="2:5" s="9" customFormat="1" ht="20" customHeight="1" x14ac:dyDescent="0.2">
      <c r="B53" s="120" t="s">
        <v>2129</v>
      </c>
      <c r="C53" s="103" t="str">
        <f>sample_wld_avilb_mgrb_ip</f>
        <v>10.11.10.153</v>
      </c>
      <c r="D53" s="8" t="str">
        <f>wld_avilb_mgrb_ip</f>
        <v>Value Missing</v>
      </c>
      <c r="E53" s="120" t="s">
        <v>194</v>
      </c>
    </row>
    <row r="54" spans="2:5" s="9" customFormat="1" ht="20" customHeight="1" x14ac:dyDescent="0.2">
      <c r="B54" s="120" t="s">
        <v>2129</v>
      </c>
      <c r="C54" s="103" t="str">
        <f>sample_wld_avilb_mgrc_ip</f>
        <v>10.11.10.154</v>
      </c>
      <c r="D54" s="8" t="str">
        <f>wld_avilb_mgrc_ip</f>
        <v>Value Missing</v>
      </c>
      <c r="E54" s="120" t="s">
        <v>196</v>
      </c>
    </row>
    <row r="55" spans="2:5" s="9" customFormat="1" ht="20" customHeight="1" x14ac:dyDescent="0.2"/>
    <row r="56" spans="2:5" s="9" customFormat="1" ht="34" customHeight="1" x14ac:dyDescent="0.2">
      <c r="B56" s="412" t="s">
        <v>6</v>
      </c>
      <c r="C56" s="413"/>
      <c r="D56" s="413"/>
      <c r="E56" s="414"/>
    </row>
    <row r="57" spans="2:5" s="9" customFormat="1" ht="20" customHeight="1" x14ac:dyDescent="0.2">
      <c r="B57" s="63" t="s">
        <v>18</v>
      </c>
      <c r="C57" s="63" t="s">
        <v>19</v>
      </c>
      <c r="D57" s="63" t="s">
        <v>20</v>
      </c>
      <c r="E57" s="63" t="s">
        <v>21</v>
      </c>
    </row>
    <row r="58" spans="2:5" s="9" customFormat="1" ht="20" customHeight="1" x14ac:dyDescent="0.2">
      <c r="B58" s="521" t="s">
        <v>2678</v>
      </c>
      <c r="C58" s="522"/>
      <c r="D58" s="522"/>
      <c r="E58" s="523"/>
    </row>
    <row r="59" spans="2:5" s="9" customFormat="1" ht="20" customHeight="1" x14ac:dyDescent="0.2">
      <c r="B59" s="4" t="s">
        <v>85</v>
      </c>
      <c r="C59" s="103" t="str">
        <f>IF(mgmt_dpg_reuse_result="Included",CONCATENATE(prefix_wld_witness_vlan,"10"),CONCATENATE(prefix_wld_witness_vlan,"11"))</f>
        <v>2110</v>
      </c>
      <c r="D59" s="267" t="str">
        <f>wld_witnessaz_mgmt_vlan</f>
        <v>Value Missing</v>
      </c>
      <c r="E59" s="42"/>
    </row>
    <row r="60" spans="2:5" s="9" customFormat="1" ht="20" customHeight="1" x14ac:dyDescent="0.2">
      <c r="B60" s="4" t="s">
        <v>180</v>
      </c>
      <c r="C60" s="65" t="str">
        <f>sample_wld_witnessaz_mgmt_gateway_ip</f>
        <v>10.21.10.1</v>
      </c>
      <c r="D60" s="267" t="str">
        <f>wld_witnessaz_mgmt_gateway_ip</f>
        <v>Value Missing</v>
      </c>
      <c r="E60" s="42"/>
    </row>
    <row r="61" spans="2:5" s="9" customFormat="1" ht="20" customHeight="1" x14ac:dyDescent="0.2">
      <c r="B61" s="4" t="s">
        <v>181</v>
      </c>
      <c r="C61" s="103" t="str">
        <f>IF(mgmt_dpg_reuse_result="Included",CONCATENATE(prefix_wld_witness_cidr,"10.0/24"),CONCATENATE(prefix_wld_witness_cidr,"11.0/24"))</f>
        <v>10.21.10.0/24</v>
      </c>
      <c r="D61" s="267" t="str">
        <f>wld_witnessaz_mgmt_cidr</f>
        <v>Value Missing</v>
      </c>
      <c r="E61" s="42"/>
    </row>
    <row r="62" spans="2:5" s="9" customFormat="1" ht="20" customHeight="1" x14ac:dyDescent="0.2">
      <c r="B62" s="4" t="s">
        <v>155</v>
      </c>
      <c r="C62" s="65">
        <f>sample_wld_witnessaz_mgmt_mtu</f>
        <v>1500</v>
      </c>
      <c r="D62" s="267" t="str">
        <f>wld_witnessaz_mgmt_mtu</f>
        <v>Value Missing</v>
      </c>
      <c r="E62" s="42"/>
    </row>
    <row r="63" spans="2:5" s="9" customFormat="1" ht="20" customHeight="1" x14ac:dyDescent="0.2">
      <c r="B63" s="540" t="s">
        <v>240</v>
      </c>
      <c r="C63" s="541"/>
      <c r="D63" s="541"/>
      <c r="E63" s="677"/>
    </row>
    <row r="64" spans="2:5" s="9" customFormat="1" ht="20" customHeight="1" x14ac:dyDescent="0.2">
      <c r="B64" s="30" t="s">
        <v>85</v>
      </c>
      <c r="C64" s="103" t="str">
        <f>sample_wld_az2_vmotion_vlan</f>
        <v>1412</v>
      </c>
      <c r="D64" s="267" t="str">
        <f>wld_az2_vmotion_vlan</f>
        <v>Value Missing</v>
      </c>
      <c r="E64" s="236"/>
    </row>
    <row r="65" spans="2:5" s="9" customFormat="1" ht="20" customHeight="1" x14ac:dyDescent="0.2">
      <c r="B65" s="30" t="s">
        <v>180</v>
      </c>
      <c r="C65" s="103" t="str">
        <f>sample_wld_az2_vmotion_gateway_ip</f>
        <v>10.14.12.1</v>
      </c>
      <c r="D65" s="267" t="str">
        <f>wld_az2_vmotion_gateway_ip</f>
        <v>Value Missing</v>
      </c>
      <c r="E65" s="193"/>
    </row>
    <row r="66" spans="2:5" s="9" customFormat="1" ht="20" customHeight="1" x14ac:dyDescent="0.2">
      <c r="B66" s="30" t="s">
        <v>155</v>
      </c>
      <c r="C66" s="103">
        <f>sample_wld_az2_vmotion_mtu</f>
        <v>9000</v>
      </c>
      <c r="D66" s="267" t="str">
        <f>wld_az2_vmotion_mtu</f>
        <v>Value Missing</v>
      </c>
      <c r="E66" s="193"/>
    </row>
    <row r="67" spans="2:5" s="9" customFormat="1" ht="20" customHeight="1" x14ac:dyDescent="0.2">
      <c r="B67" s="30" t="s">
        <v>244</v>
      </c>
      <c r="C67" s="103" t="str">
        <f>sample_wld_az2_vmotion_pool_end_ip</f>
        <v>10.14.12.116</v>
      </c>
      <c r="D67" s="267" t="str">
        <f>wld_az2_vmotion_pool_end_ip</f>
        <v>Value Missing</v>
      </c>
      <c r="E67" s="193"/>
    </row>
    <row r="68" spans="2:5" s="9" customFormat="1" ht="20" customHeight="1" x14ac:dyDescent="0.2">
      <c r="B68" s="30" t="s">
        <v>245</v>
      </c>
      <c r="C68" s="103" t="str">
        <f>sample_wld_az2_vmotion_pool_start_ip</f>
        <v>10.14.12.101</v>
      </c>
      <c r="D68" s="267" t="str">
        <f>wld_az2_vmotion_pool_start_ip</f>
        <v>Value Missing</v>
      </c>
      <c r="E68" s="193"/>
    </row>
    <row r="69" spans="2:5" s="9" customFormat="1" ht="20" customHeight="1" x14ac:dyDescent="0.2">
      <c r="B69" s="540" t="s">
        <v>246</v>
      </c>
      <c r="C69" s="541"/>
      <c r="D69" s="541"/>
      <c r="E69" s="542"/>
    </row>
    <row r="70" spans="2:5" s="9" customFormat="1" ht="20" customHeight="1" x14ac:dyDescent="0.2">
      <c r="B70" s="30" t="s">
        <v>85</v>
      </c>
      <c r="C70" s="103" t="str">
        <f>sample_wld_az2_principal_storage_vlan</f>
        <v>1413</v>
      </c>
      <c r="D70" s="10" t="str">
        <f>wld_az2_principal_storage_vlan</f>
        <v>Value Missing</v>
      </c>
      <c r="E70" s="193"/>
    </row>
    <row r="71" spans="2:5" s="9" customFormat="1" ht="20" customHeight="1" x14ac:dyDescent="0.2">
      <c r="B71" s="30" t="s">
        <v>180</v>
      </c>
      <c r="C71" s="103" t="str">
        <f>sample_wld_az2_principal_storage_gateway_ip</f>
        <v>10.14.13.1</v>
      </c>
      <c r="D71" s="10" t="str">
        <f>wld_az2_principal_storage_gateway_ip</f>
        <v>Value Missing</v>
      </c>
      <c r="E71" s="193"/>
    </row>
    <row r="72" spans="2:5" s="9" customFormat="1" ht="20" customHeight="1" x14ac:dyDescent="0.2">
      <c r="B72" s="30" t="s">
        <v>155</v>
      </c>
      <c r="C72" s="103">
        <f>sample_wld_az2_principal_storage_mtu</f>
        <v>9000</v>
      </c>
      <c r="D72" s="10" t="str">
        <f>wld_az2_principal_storage_mtu</f>
        <v>Value Missing</v>
      </c>
      <c r="E72" s="193"/>
    </row>
    <row r="73" spans="2:5" s="9" customFormat="1" ht="20" customHeight="1" x14ac:dyDescent="0.2">
      <c r="B73" s="30" t="s">
        <v>244</v>
      </c>
      <c r="C73" s="103" t="str">
        <f>sample_mgmt_az2_vsan_pool_start_ip</f>
        <v>10.12.13.101</v>
      </c>
      <c r="D73" s="10" t="str">
        <f>wld_az2_principal_storage_pool_start_ip</f>
        <v>Value Missing</v>
      </c>
      <c r="E73" s="193"/>
    </row>
    <row r="74" spans="2:5" s="9" customFormat="1" ht="20" customHeight="1" x14ac:dyDescent="0.2">
      <c r="B74" s="30" t="s">
        <v>245</v>
      </c>
      <c r="C74" s="103" t="str">
        <f>sample_mgmt_az2_vsan_pool_end_ip</f>
        <v>10.12.13.116</v>
      </c>
      <c r="D74" s="10" t="str">
        <f>wld_az2_principal_storage_pool_end_ip</f>
        <v>Value Missing</v>
      </c>
      <c r="E74" s="193"/>
    </row>
    <row r="75" spans="2:5" s="9" customFormat="1" ht="20" customHeight="1" x14ac:dyDescent="0.2">
      <c r="B75" s="540" t="s">
        <v>247</v>
      </c>
      <c r="C75" s="541"/>
      <c r="D75" s="541"/>
      <c r="E75" s="542"/>
    </row>
    <row r="76" spans="2:5" s="9" customFormat="1" ht="20" customHeight="1" x14ac:dyDescent="0.2">
      <c r="B76" s="30" t="s">
        <v>85</v>
      </c>
      <c r="C76" s="165" t="str">
        <f>sample_wld_az2_secondary_storage_vlan</f>
        <v>1415</v>
      </c>
      <c r="D76" s="10" t="str">
        <f>wld_az2_secondary_storage_vlan</f>
        <v>Value Missing</v>
      </c>
      <c r="E76" s="193"/>
    </row>
    <row r="77" spans="2:5" s="9" customFormat="1" ht="20" customHeight="1" x14ac:dyDescent="0.2">
      <c r="B77" s="30" t="s">
        <v>180</v>
      </c>
      <c r="C77" s="165" t="str">
        <f>sample_wld_az2_secondary_storage_gateway_ip</f>
        <v>10.14.15.1</v>
      </c>
      <c r="D77" s="10" t="str">
        <f>wld_az2_secondary_storage_gateway_ip</f>
        <v>Value Missing</v>
      </c>
      <c r="E77" s="193"/>
    </row>
    <row r="78" spans="2:5" s="9" customFormat="1" ht="20" customHeight="1" x14ac:dyDescent="0.2">
      <c r="B78" s="30" t="s">
        <v>155</v>
      </c>
      <c r="C78" s="165">
        <f>sample_wld_az2_secondary_storage_mtu</f>
        <v>9000</v>
      </c>
      <c r="D78" s="10" t="str">
        <f>wld_az2_secondary_storage_mtu</f>
        <v>Value Missing</v>
      </c>
      <c r="E78" s="193"/>
    </row>
    <row r="79" spans="2:5" s="9" customFormat="1" ht="20" customHeight="1" x14ac:dyDescent="0.2">
      <c r="B79" s="30" t="s">
        <v>244</v>
      </c>
      <c r="C79" s="165" t="str">
        <f>sample_wld_az2_secondary_storage_pool_start_ip</f>
        <v>10.14.15.101</v>
      </c>
      <c r="D79" s="10" t="str">
        <f>wld_az2_secondary_storage_pool_start_ip</f>
        <v>Value Missing</v>
      </c>
      <c r="E79" s="193"/>
    </row>
    <row r="80" spans="2:5" s="9" customFormat="1" ht="20" customHeight="1" x14ac:dyDescent="0.2">
      <c r="B80" s="30" t="s">
        <v>245</v>
      </c>
      <c r="C80" s="165" t="str">
        <f>sample_wld_az2_secondary_storage_pool_end_ip</f>
        <v>10.14.15.116</v>
      </c>
      <c r="D80" s="10" t="str">
        <f>wld_az2_secondary_storage_pool_end_ip</f>
        <v>Value Missing</v>
      </c>
      <c r="E80" s="193"/>
    </row>
    <row r="81" spans="2:5" s="9" customFormat="1" ht="20" customHeight="1" x14ac:dyDescent="0.2">
      <c r="B81" s="521" t="s">
        <v>2687</v>
      </c>
      <c r="C81" s="522"/>
      <c r="D81" s="522"/>
      <c r="E81" s="523"/>
    </row>
    <row r="82" spans="2:5" s="9" customFormat="1" ht="20" customHeight="1" x14ac:dyDescent="0.2">
      <c r="B82" s="4" t="s">
        <v>85</v>
      </c>
      <c r="C82" s="65" t="str">
        <f>sample_wld_az2_host_overlay_vlan</f>
        <v>1414</v>
      </c>
      <c r="D82" s="267" t="str">
        <f>wld_az2_host_overlay_vlan</f>
        <v>Value Missing</v>
      </c>
      <c r="E82" s="80"/>
    </row>
    <row r="83" spans="2:5" s="9" customFormat="1" ht="20" customHeight="1" x14ac:dyDescent="0.2">
      <c r="B83" s="4" t="s">
        <v>180</v>
      </c>
      <c r="C83" s="103" t="str">
        <f>sample_wld_az2_host_overlay_gateway_ip</f>
        <v>10.14.14.1</v>
      </c>
      <c r="D83" s="267" t="str">
        <f>wld_az2_host_overlay_gateway_ip</f>
        <v>Value Missing</v>
      </c>
      <c r="E83" s="80"/>
    </row>
    <row r="84" spans="2:5" s="9" customFormat="1" ht="20" customHeight="1" x14ac:dyDescent="0.2">
      <c r="B84" s="4" t="s">
        <v>155</v>
      </c>
      <c r="C84" s="103">
        <f>sample_wld_az2_host_overlay_mtu</f>
        <v>9000</v>
      </c>
      <c r="D84" s="267" t="str">
        <f>wld_az2_host_overlay_cidr</f>
        <v>Value Missing</v>
      </c>
    </row>
    <row r="85" spans="2:5" s="9" customFormat="1" ht="20" customHeight="1" x14ac:dyDescent="0.2">
      <c r="B85" s="30" t="s">
        <v>244</v>
      </c>
      <c r="C85" s="103" t="str">
        <f>sample_wld_az2_host_overlay_pool_start_ip</f>
        <v>10.14.14.101</v>
      </c>
      <c r="D85" s="10" t="str">
        <f>wld_az2_host_overlay_pool_start_ip</f>
        <v>Value Missing</v>
      </c>
      <c r="E85" s="193"/>
    </row>
    <row r="86" spans="2:5" s="9" customFormat="1" ht="20" customHeight="1" x14ac:dyDescent="0.2">
      <c r="B86" s="30" t="s">
        <v>245</v>
      </c>
      <c r="C86" s="103" t="str">
        <f>sample_wld_az2_host_overlay_pool_end_ip</f>
        <v>10.14.14.132</v>
      </c>
      <c r="D86" s="10" t="str">
        <f>wld_az2_host_overlay_pool_end_ip</f>
        <v>Value Missing</v>
      </c>
      <c r="E86" s="193"/>
    </row>
    <row r="87" spans="2:5" s="9" customFormat="1" ht="20" customHeight="1" x14ac:dyDescent="0.2">
      <c r="B87" s="521" t="s">
        <v>795</v>
      </c>
      <c r="C87" s="522"/>
      <c r="D87" s="522"/>
      <c r="E87" s="523"/>
    </row>
    <row r="88" spans="2:5" s="9" customFormat="1" ht="20" customHeight="1" x14ac:dyDescent="0.2">
      <c r="B88" s="10" t="str">
        <f>mgmt_witness_hostname</f>
        <v>Value Missing</v>
      </c>
      <c r="C88" s="214" t="str">
        <f>sample_wld_witness_ip</f>
        <v>10.21.10.219</v>
      </c>
      <c r="D88" s="215" t="str">
        <f>wld_witness_mgmt_ip</f>
        <v>Value Missing</v>
      </c>
      <c r="E88" s="180" t="s">
        <v>267</v>
      </c>
    </row>
    <row r="89" spans="2:5" s="9" customFormat="1" ht="20" customHeight="1" x14ac:dyDescent="0.2">
      <c r="B89" s="10" t="str">
        <f>wld_witness_zone_vc_hostname</f>
        <v>Value Missing</v>
      </c>
      <c r="C89" s="214" t="str">
        <f>sample_wld_witness_zone_vc_ip</f>
        <v>10.21.10.70</v>
      </c>
      <c r="D89" s="215" t="str">
        <f>wld_witness_zone_vc_ip</f>
        <v>Value Missing</v>
      </c>
      <c r="E89" s="180" t="s">
        <v>263</v>
      </c>
    </row>
    <row r="90" spans="2:5" s="9" customFormat="1" ht="20" customHeight="1" x14ac:dyDescent="0.2">
      <c r="B90" s="572" t="s">
        <v>2685</v>
      </c>
      <c r="C90" s="572"/>
      <c r="D90" s="572"/>
      <c r="E90" s="572"/>
    </row>
    <row r="91" spans="2:5" s="9" customFormat="1" ht="20" customHeight="1" x14ac:dyDescent="0.2">
      <c r="B91" s="4" t="s">
        <v>1006</v>
      </c>
      <c r="C91" s="103" t="str">
        <f>sample_wld_en_asn</f>
        <v>65102</v>
      </c>
      <c r="D91" s="215" t="str">
        <f>wld_en_asn</f>
        <v>Value Missing</v>
      </c>
      <c r="E91" s="42"/>
    </row>
    <row r="92" spans="2:5" s="9" customFormat="1" ht="20" customHeight="1" x14ac:dyDescent="0.2">
      <c r="B92" s="4" t="s">
        <v>163</v>
      </c>
      <c r="C92" s="103" t="str">
        <f>sample_wld_az2_tor1_peer_ip</f>
        <v>10.13.17.11</v>
      </c>
      <c r="D92" s="215" t="str">
        <f>wld_az1_tor1_peer_ip</f>
        <v>Value Missing</v>
      </c>
      <c r="E92" s="42"/>
    </row>
    <row r="93" spans="2:5" s="9" customFormat="1" ht="20" customHeight="1" x14ac:dyDescent="0.2">
      <c r="B93" s="4" t="s">
        <v>164</v>
      </c>
      <c r="C93" s="103" t="str">
        <f>sample_wld_az2_tor1_peer_asn</f>
        <v>65141</v>
      </c>
      <c r="D93" s="215" t="str">
        <f>wld_az1_tor1_peer_asn</f>
        <v>Value Missing</v>
      </c>
      <c r="E93" s="42"/>
    </row>
    <row r="94" spans="2:5" s="9" customFormat="1" ht="20" customHeight="1" x14ac:dyDescent="0.2">
      <c r="B94" s="4" t="s">
        <v>165</v>
      </c>
      <c r="C94" s="103" t="str">
        <f>sample_wld_az2_tor1_peer_bgp_password</f>
        <v>VMw@re1!</v>
      </c>
      <c r="D94" s="215" t="str">
        <f>wld_az1_tor1_peer_bgp_password</f>
        <v>Value Missing</v>
      </c>
      <c r="E94" s="42"/>
    </row>
    <row r="95" spans="2:5" s="9" customFormat="1" ht="20" customHeight="1" x14ac:dyDescent="0.2">
      <c r="B95" s="4" t="s">
        <v>166</v>
      </c>
      <c r="C95" s="103" t="str">
        <f>sample_wld_az2_tor2_peer_ip</f>
        <v>10.13.18.11</v>
      </c>
      <c r="D95" s="215" t="str">
        <f>wld_az1_tor2_peer_ip</f>
        <v>Value Missing</v>
      </c>
      <c r="E95" s="42"/>
    </row>
    <row r="96" spans="2:5" s="9" customFormat="1" ht="20" customHeight="1" x14ac:dyDescent="0.2">
      <c r="B96" s="4" t="s">
        <v>167</v>
      </c>
      <c r="C96" s="103" t="str">
        <f>sample_wld_az2_tor2_peer_asn</f>
        <v>65141</v>
      </c>
      <c r="D96" s="215" t="str">
        <f>wld_az1_tor2_peer_asn</f>
        <v>Value Missing</v>
      </c>
      <c r="E96" s="42"/>
    </row>
    <row r="97" spans="2:5" s="9" customFormat="1" ht="20" customHeight="1" x14ac:dyDescent="0.2">
      <c r="B97" s="4" t="s">
        <v>168</v>
      </c>
      <c r="C97" s="103" t="str">
        <f>sample_wld_az2_tor2_peer_bgp_password</f>
        <v>VMw@re1!</v>
      </c>
      <c r="D97" s="215" t="str">
        <f>wld_az1_tor2_peer_bgp_password</f>
        <v>Value Missing</v>
      </c>
      <c r="E97" s="42"/>
    </row>
    <row r="98" spans="2:5" s="9" customFormat="1" ht="20" customHeight="1" x14ac:dyDescent="0.2"/>
    <row r="99" spans="2:5" s="9" customFormat="1" ht="34" customHeight="1" x14ac:dyDescent="0.2">
      <c r="B99" s="412" t="s">
        <v>817</v>
      </c>
      <c r="C99" s="413"/>
      <c r="D99" s="413"/>
      <c r="E99" s="414"/>
    </row>
    <row r="100" spans="2:5" s="9" customFormat="1" ht="20" customHeight="1" x14ac:dyDescent="0.2">
      <c r="B100" s="63" t="s">
        <v>18</v>
      </c>
      <c r="C100" s="63" t="s">
        <v>19</v>
      </c>
      <c r="D100" s="63" t="s">
        <v>20</v>
      </c>
      <c r="E100" s="63" t="s">
        <v>21</v>
      </c>
    </row>
    <row r="101" spans="2:5" s="9" customFormat="1" ht="20" customHeight="1" x14ac:dyDescent="0.2">
      <c r="B101" s="521" t="s">
        <v>789</v>
      </c>
      <c r="C101" s="522"/>
      <c r="D101" s="522"/>
      <c r="E101" s="523"/>
    </row>
    <row r="102" spans="2:5" s="9" customFormat="1" ht="20" customHeight="1" x14ac:dyDescent="0.2">
      <c r="B102" s="4" t="s">
        <v>85</v>
      </c>
      <c r="C102" s="109" t="str">
        <f>sample_mgmt_az1_mgmt_vm_vlan</f>
        <v>1110</v>
      </c>
      <c r="D102" s="8" t="str">
        <f>mgmt_az1_mgmt_vm_vlan</f>
        <v>Value Missing</v>
      </c>
      <c r="E102" s="43"/>
    </row>
    <row r="103" spans="2:5" s="9" customFormat="1" ht="20" customHeight="1" x14ac:dyDescent="0.2">
      <c r="B103" s="4" t="s">
        <v>180</v>
      </c>
      <c r="C103" s="103" t="str">
        <f>sample_mgmt_az1_mgmt_vm_gateway_cidr</f>
        <v>10.11.10.1/24</v>
      </c>
      <c r="D103" s="8" t="str">
        <f>mgmt_az1_mgmt_vm_gateway_ip</f>
        <v>Value Missing</v>
      </c>
      <c r="E103" s="43"/>
    </row>
    <row r="104" spans="2:5" s="9" customFormat="1" ht="20" customHeight="1" x14ac:dyDescent="0.2">
      <c r="B104" s="4" t="s">
        <v>155</v>
      </c>
      <c r="C104" s="103">
        <v>1500</v>
      </c>
      <c r="D104" s="8" t="str">
        <f>wld_witnessaz_mgmt_mtu</f>
        <v>Value Missing</v>
      </c>
      <c r="E104" s="43"/>
    </row>
    <row r="105" spans="2:5" s="9" customFormat="1" ht="20" customHeight="1" x14ac:dyDescent="0.2">
      <c r="B105" s="521" t="s">
        <v>2682</v>
      </c>
      <c r="C105" s="522"/>
      <c r="D105" s="522"/>
      <c r="E105" s="523"/>
    </row>
    <row r="106" spans="2:5" s="9" customFormat="1" ht="20" customHeight="1" x14ac:dyDescent="0.2">
      <c r="B106" s="4" t="s">
        <v>85</v>
      </c>
      <c r="C106" s="65" t="str">
        <f>sample_wld_az1_rtep_overlay_vlan</f>
        <v>1320</v>
      </c>
      <c r="D106" s="8" t="str">
        <f>wld_az1_rtep_overlay_vlan</f>
        <v>Value Missing</v>
      </c>
      <c r="E106" s="8"/>
    </row>
    <row r="107" spans="2:5" s="9" customFormat="1" ht="20" customHeight="1" x14ac:dyDescent="0.2">
      <c r="B107" s="4" t="s">
        <v>180</v>
      </c>
      <c r="C107" s="65" t="str">
        <f>sample_wld_az1_rtep_overlay_gateway_ip</f>
        <v>10.13.20.1</v>
      </c>
      <c r="D107" s="8" t="str">
        <f>wld_az1_rtep_overlay_gateway_ip</f>
        <v>Value Missing</v>
      </c>
      <c r="E107" s="8"/>
    </row>
    <row r="108" spans="2:5" s="9" customFormat="1" ht="20" customHeight="1" x14ac:dyDescent="0.2">
      <c r="B108" s="4" t="s">
        <v>181</v>
      </c>
      <c r="C108" s="65" t="str">
        <f>sample_wld_az1_rtep_overlay_cidr</f>
        <v>10.13.20.0/24</v>
      </c>
      <c r="D108" s="8" t="str">
        <f>wld_az1_rtep_overlay_cidr</f>
        <v>Value Missing</v>
      </c>
      <c r="E108" s="8"/>
    </row>
    <row r="109" spans="2:5" s="9" customFormat="1" ht="20" customHeight="1" x14ac:dyDescent="0.2">
      <c r="B109" s="521" t="s">
        <v>2673</v>
      </c>
      <c r="C109" s="522"/>
      <c r="D109" s="522"/>
      <c r="E109" s="523"/>
    </row>
    <row r="110" spans="2:5" s="9" customFormat="1" ht="20" customHeight="1" x14ac:dyDescent="0.2">
      <c r="B110" s="4" t="str">
        <f>wld_nsxt_global_mgra_fqdn</f>
        <v>Value Missing</v>
      </c>
      <c r="C110" s="65" t="str">
        <f>sample_wld_nsxt_gm_vip_ip</f>
        <v>10.11.10.141</v>
      </c>
      <c r="D110" s="8" t="str">
        <f>wld_nsxt_gm_vip_ip</f>
        <v>Value Missing</v>
      </c>
      <c r="E110" s="8"/>
    </row>
    <row r="111" spans="2:5" s="9" customFormat="1" ht="20" customHeight="1" x14ac:dyDescent="0.2">
      <c r="B111" s="4" t="str">
        <f>wld_nsxt_global_mgra_fqdn</f>
        <v>Value Missing</v>
      </c>
      <c r="C111" s="65" t="str">
        <f>sample_wld_nsxt_global_mgra_ip</f>
        <v>10.11.10.142</v>
      </c>
      <c r="D111" s="8" t="str">
        <f>wld_nsxt_global_mgra_ip</f>
        <v>Value Missing</v>
      </c>
      <c r="E111" s="8"/>
    </row>
    <row r="112" spans="2:5" s="9" customFormat="1" ht="20" customHeight="1" x14ac:dyDescent="0.2">
      <c r="B112" s="4" t="str">
        <f>wld_nsxt_global_mgrb_fqdn</f>
        <v>Value Missing</v>
      </c>
      <c r="C112" s="65" t="str">
        <f>sample_wld_nsxt_global_mgrb_ip</f>
        <v>10.11.10.143</v>
      </c>
      <c r="D112" s="8" t="str">
        <f>wld_nsxt_global_mgrb_ip</f>
        <v>Value Missing</v>
      </c>
      <c r="E112" s="8"/>
    </row>
    <row r="113" spans="2:5" s="9" customFormat="1" ht="20" customHeight="1" x14ac:dyDescent="0.2">
      <c r="B113" s="4" t="str">
        <f>wld_nsxt_global_mgrc_fqdn</f>
        <v>Value Missing</v>
      </c>
      <c r="C113" s="65" t="str">
        <f>sample_wld_nsxt_global_mgrc_ip</f>
        <v>10.11.10.144</v>
      </c>
      <c r="D113" s="8" t="str">
        <f>wld_nsxt_global_mgrc_ip</f>
        <v>Value Missing</v>
      </c>
      <c r="E113" s="8"/>
    </row>
    <row r="114" spans="2:5" s="9" customFormat="1" ht="20" customHeight="1" x14ac:dyDescent="0.2">
      <c r="B114" s="40" t="str">
        <f>wld_az1_en1_hostname</f>
        <v>Value Missing</v>
      </c>
      <c r="C114" s="103" t="str">
        <f>sample_wld_az1_en1_mgmt_cidr</f>
        <v>10.13.11.135/24</v>
      </c>
      <c r="D114" s="8" t="str">
        <f>wld_az1_en1_mgmt_cidr</f>
        <v>Value Missing</v>
      </c>
      <c r="E114" s="8"/>
    </row>
    <row r="115" spans="2:5" s="9" customFormat="1" ht="20" customHeight="1" x14ac:dyDescent="0.2">
      <c r="B115" s="120" t="s">
        <v>2129</v>
      </c>
      <c r="C115" s="103" t="str">
        <f>sample_wld_az1_en1_uplink01_interface_cidr</f>
        <v>10.13.17.2/24</v>
      </c>
      <c r="D115" s="8" t="str">
        <f>wld_az1_en1_uplink01_interface_cidr</f>
        <v>Value Missing</v>
      </c>
      <c r="E115" s="8" t="s">
        <v>151</v>
      </c>
    </row>
    <row r="116" spans="2:5" s="9" customFormat="1" ht="20" customHeight="1" x14ac:dyDescent="0.2">
      <c r="B116" s="120" t="s">
        <v>2129</v>
      </c>
      <c r="C116" s="103" t="str">
        <f>sample_wld_az1_en1_uplink02_interface_cidr</f>
        <v>10.13.18.2/24</v>
      </c>
      <c r="D116" s="8" t="str">
        <f>wld_az1_en1_uplink02_interface_cidr</f>
        <v>Value Missing</v>
      </c>
      <c r="E116" s="8" t="s">
        <v>842</v>
      </c>
    </row>
    <row r="117" spans="2:5" s="9" customFormat="1" ht="20" customHeight="1" x14ac:dyDescent="0.2">
      <c r="B117" s="212" t="s">
        <v>2129</v>
      </c>
      <c r="C117" s="103" t="str">
        <f>sample_wld_az1_en1_edge_overlay_interface_ip_1_ip</f>
        <v>10.13.19.2</v>
      </c>
      <c r="D117" s="8" t="str">
        <f>wld_az1_en1_edge_overlay_interface_ip_1_ip</f>
        <v>Value Missing</v>
      </c>
      <c r="E117" s="8" t="s">
        <v>830</v>
      </c>
    </row>
    <row r="118" spans="2:5" s="9" customFormat="1" ht="20" customHeight="1" x14ac:dyDescent="0.2">
      <c r="B118" s="213" t="s">
        <v>2129</v>
      </c>
      <c r="C118" s="103" t="str">
        <f>sample_wld_az1_en1_edge_overlay_interface_ip_2_ip</f>
        <v>10.13.19.3</v>
      </c>
      <c r="D118" s="8" t="str">
        <f>wld_az1_en1_edge_overlay_interface_ip_2_ip</f>
        <v>Value Missing</v>
      </c>
      <c r="E118" s="8" t="s">
        <v>2674</v>
      </c>
    </row>
    <row r="119" spans="2:5" s="9" customFormat="1" ht="20" customHeight="1" x14ac:dyDescent="0.2">
      <c r="B119" s="40" t="str">
        <f>wld_az1_en2_hostname</f>
        <v>Value Missing</v>
      </c>
      <c r="C119" s="103" t="str">
        <f>sample_wld_az1_en2_mgmt_cidr</f>
        <v>10.13.11.136/24</v>
      </c>
      <c r="D119" s="8" t="str">
        <f>wld_az1_en2_mgmt_cidr</f>
        <v>Value Missing</v>
      </c>
      <c r="E119" s="8"/>
    </row>
    <row r="120" spans="2:5" s="9" customFormat="1" ht="20" customHeight="1" x14ac:dyDescent="0.2">
      <c r="B120" s="120" t="s">
        <v>2129</v>
      </c>
      <c r="C120" s="103" t="str">
        <f>sample_wld_az1_en2_uplink01_interface_cidr</f>
        <v>10.13.17.3/24</v>
      </c>
      <c r="D120" s="8" t="str">
        <f>wld_az1_en2_uplink01_interface_cidr</f>
        <v>Value Missing</v>
      </c>
      <c r="E120" s="8" t="s">
        <v>162</v>
      </c>
    </row>
    <row r="121" spans="2:5" s="9" customFormat="1" ht="20" customHeight="1" x14ac:dyDescent="0.2">
      <c r="B121" s="120" t="s">
        <v>2129</v>
      </c>
      <c r="C121" s="103" t="str">
        <f>sample_wld_az1_en2_uplink02_interface_cidr</f>
        <v>10.13.18.3/24</v>
      </c>
      <c r="D121" s="8" t="str">
        <f>wld_az1_en2_uplink02_interface_cidr</f>
        <v>Value Missing</v>
      </c>
      <c r="E121" s="8" t="s">
        <v>160</v>
      </c>
    </row>
    <row r="122" spans="2:5" s="9" customFormat="1" ht="20" customHeight="1" x14ac:dyDescent="0.2">
      <c r="B122" s="212" t="s">
        <v>2129</v>
      </c>
      <c r="C122" s="103" t="str">
        <f>sample_wld_az1_en2_edge_overlay_interface_ip_1_ip</f>
        <v>10.13.19.4</v>
      </c>
      <c r="D122" s="8" t="str">
        <f>wld_az1_en2_edge_overlay_interface_ip_1_ip</f>
        <v>Value Missing</v>
      </c>
      <c r="E122" s="8" t="s">
        <v>837</v>
      </c>
    </row>
    <row r="123" spans="2:5" s="9" customFormat="1" ht="20" customHeight="1" x14ac:dyDescent="0.2">
      <c r="B123" s="213" t="s">
        <v>2129</v>
      </c>
      <c r="C123" s="103" t="str">
        <f>sample_wld_az1_en2_edge_overlay_interface_ip_2_ip</f>
        <v>10.13.19.5</v>
      </c>
      <c r="D123" s="8" t="str">
        <f>wld_az1_en2_edge_overlay_interface_ip_2_ip</f>
        <v>Value Missing</v>
      </c>
      <c r="E123" s="8" t="s">
        <v>839</v>
      </c>
    </row>
    <row r="124" spans="2:5" s="9" customFormat="1" x14ac:dyDescent="0.2"/>
  </sheetData>
  <sheetProtection algorithmName="SHA-512" hashValue="S6EDebelIMA3Ce1f/n/Wd8TwMBH9DrkpPWBWI22EhMFMIjfGsgRX3mT4IaZk81sMbnV/1521A09TtIe7rUblqQ==" saltValue="M4EdoxpLiVoZjjiZZNMK8A==" spinCount="100000" sheet="1" objects="1" scenarios="1"/>
  <mergeCells count="25">
    <mergeCell ref="B2:E2"/>
    <mergeCell ref="B3:E3"/>
    <mergeCell ref="B6:E6"/>
    <mergeCell ref="B90:E90"/>
    <mergeCell ref="B99:E99"/>
    <mergeCell ref="B21:E21"/>
    <mergeCell ref="B24:E24"/>
    <mergeCell ref="B7:E7"/>
    <mergeCell ref="B9:E9"/>
    <mergeCell ref="B13:E13"/>
    <mergeCell ref="B17:E17"/>
    <mergeCell ref="B32:E32"/>
    <mergeCell ref="B109:E109"/>
    <mergeCell ref="B44:E44"/>
    <mergeCell ref="B46:E46"/>
    <mergeCell ref="B50:E50"/>
    <mergeCell ref="B56:E56"/>
    <mergeCell ref="B58:E58"/>
    <mergeCell ref="B101:E101"/>
    <mergeCell ref="B87:E87"/>
    <mergeCell ref="B105:E105"/>
    <mergeCell ref="B81:E81"/>
    <mergeCell ref="B63:E63"/>
    <mergeCell ref="B69:E69"/>
    <mergeCell ref="B75:E75"/>
  </mergeCells>
  <conditionalFormatting sqref="D10:D12 D14:D16 D18:D20 D25:D31 D33:D42">
    <cfRule type="expression" dxfId="60" priority="116">
      <formula>OR((wld_domain_result="Excluded"),(wld_bgp_result="Excluded"))</formula>
    </cfRule>
  </conditionalFormatting>
  <conditionalFormatting sqref="D10:D12 D14:D16 D47:D49">
    <cfRule type="containsBlanks" dxfId="59" priority="123">
      <formula>LEN(TRIM(D10))=0</formula>
    </cfRule>
    <cfRule type="notContainsBlanks" dxfId="57" priority="139">
      <formula>LEN(TRIM(D10))&gt;0</formula>
    </cfRule>
  </conditionalFormatting>
  <conditionalFormatting sqref="D18:D20">
    <cfRule type="containsBlanks" dxfId="56" priority="125">
      <formula>LEN(TRIM(D18))=0</formula>
    </cfRule>
  </conditionalFormatting>
  <conditionalFormatting sqref="D18:D23">
    <cfRule type="notContainsBlanks" dxfId="54" priority="137">
      <formula>LEN(TRIM(D18))&gt;0</formula>
    </cfRule>
  </conditionalFormatting>
  <conditionalFormatting sqref="D21 D8:D9">
    <cfRule type="expression" dxfId="53" priority="135">
      <formula>mgmt_domain_existing_vcenter_chosen="Selected"</formula>
    </cfRule>
  </conditionalFormatting>
  <conditionalFormatting sqref="D21">
    <cfRule type="expression" dxfId="52" priority="134">
      <formula>input_mgmt_principal_storage_chosen="VMFS on Fibre Channel (FC)"</formula>
    </cfRule>
    <cfRule type="containsBlanks" dxfId="50" priority="138">
      <formula>LEN(TRIM(D21))=0</formula>
    </cfRule>
  </conditionalFormatting>
  <conditionalFormatting sqref="D22:D23">
    <cfRule type="expression" dxfId="49" priority="2">
      <formula>OR((wld_domain_result="Excluded"),(wld_bgp_result="Excluded"))</formula>
    </cfRule>
    <cfRule type="containsBlanks" dxfId="48" priority="3">
      <formula>LEN(TRIM(D22))=0</formula>
    </cfRule>
  </conditionalFormatting>
  <conditionalFormatting sqref="D25:D31">
    <cfRule type="containsBlanks" dxfId="46" priority="132">
      <formula>LEN(TRIM(D25))=0</formula>
    </cfRule>
    <cfRule type="notContainsBlanks" dxfId="44" priority="141">
      <formula>LEN(TRIM(D25))&gt;0</formula>
    </cfRule>
  </conditionalFormatting>
  <conditionalFormatting sqref="D33:D42">
    <cfRule type="containsBlanks" dxfId="43" priority="129">
      <formula>LEN(TRIM(D33))=0</formula>
    </cfRule>
    <cfRule type="notContainsBlanks" dxfId="41" priority="131">
      <formula>LEN(TRIM(D33))&gt;0</formula>
    </cfRule>
  </conditionalFormatting>
  <conditionalFormatting sqref="D45:D46">
    <cfRule type="expression" dxfId="40" priority="105">
      <formula>mgmt_domain_existing_vcenter_chosen="Selected"</formula>
    </cfRule>
  </conditionalFormatting>
  <conditionalFormatting sqref="D47:D49 D51:D54">
    <cfRule type="expression" dxfId="39" priority="101">
      <formula>wld_avi_loadbalancer_result="Excluded"</formula>
    </cfRule>
  </conditionalFormatting>
  <conditionalFormatting sqref="D51:D54">
    <cfRule type="containsBlanks" dxfId="38" priority="106">
      <formula>LEN(TRIM(D51))=0</formula>
    </cfRule>
    <cfRule type="notContainsBlanks" dxfId="36" priority="108">
      <formula>LEN(TRIM(D51))&gt;0</formula>
    </cfRule>
  </conditionalFormatting>
  <conditionalFormatting sqref="D57:D58">
    <cfRule type="expression" dxfId="35" priority="100">
      <formula>mgmt_domain_existing_vcenter_chosen="Selected"</formula>
    </cfRule>
  </conditionalFormatting>
  <conditionalFormatting sqref="D59:D62 D64:D68">
    <cfRule type="expression" dxfId="34" priority="14">
      <formula>mgmt_domain_deployment_type_chosen="VMware vSphere Foundation"</formula>
    </cfRule>
    <cfRule type="expression" dxfId="33" priority="15" stopIfTrue="1">
      <formula>wld_stretched_cluster_result="Excluded"</formula>
    </cfRule>
    <cfRule type="containsBlanks" dxfId="32" priority="16">
      <formula>LEN(TRIM(D59))=0</formula>
    </cfRule>
    <cfRule type="notContainsBlanks" dxfId="30" priority="18" stopIfTrue="1">
      <formula>LEN(TRIM(D59))&gt;0</formula>
    </cfRule>
  </conditionalFormatting>
  <conditionalFormatting sqref="D70:D74 D82:D84 B88:B89">
    <cfRule type="containsBlanks" dxfId="29" priority="70">
      <formula>LEN(TRIM(B70))=0</formula>
    </cfRule>
    <cfRule type="notContainsBlanks" dxfId="27" priority="72" stopIfTrue="1">
      <formula>LEN(TRIM(B70))&gt;0</formula>
    </cfRule>
  </conditionalFormatting>
  <conditionalFormatting sqref="D76:D80">
    <cfRule type="expression" dxfId="26" priority="1">
      <formula>wld_secondary_storage_result="Excluded"</formula>
    </cfRule>
    <cfRule type="expression" dxfId="25" priority="5" stopIfTrue="1">
      <formula>wld_stretched_cluster_result="Excluded"</formula>
    </cfRule>
    <cfRule type="containsBlanks" dxfId="24" priority="6">
      <formula>LEN(TRIM(D76))=0</formula>
    </cfRule>
    <cfRule type="notContainsBlanks" dxfId="22" priority="8" stopIfTrue="1">
      <formula>LEN(TRIM(D76))&gt;0</formula>
    </cfRule>
  </conditionalFormatting>
  <conditionalFormatting sqref="D81">
    <cfRule type="expression" dxfId="21" priority="66">
      <formula>mgmt_domain_existing_vcenter_chosen="Selected"</formula>
    </cfRule>
  </conditionalFormatting>
  <conditionalFormatting sqref="D82:D84 D70:D74 B88:B89">
    <cfRule type="expression" dxfId="20" priority="69" stopIfTrue="1">
      <formula>wld_stretched_cluster_result="Excluded"</formula>
    </cfRule>
  </conditionalFormatting>
  <conditionalFormatting sqref="D82:D84">
    <cfRule type="expression" dxfId="19" priority="58">
      <formula>mgmt_domain_deployment_type_chosen="VMware vSphere Foundation"</formula>
    </cfRule>
  </conditionalFormatting>
  <conditionalFormatting sqref="D85:D86">
    <cfRule type="expression" dxfId="18" priority="46" stopIfTrue="1">
      <formula>wld_stretched_cluster_result="Excluded"</formula>
    </cfRule>
    <cfRule type="containsBlanks" dxfId="17" priority="47">
      <formula>LEN(TRIM(D85))=0</formula>
    </cfRule>
    <cfRule type="notContainsBlanks" dxfId="15" priority="49" stopIfTrue="1">
      <formula>LEN(TRIM(D85))&gt;0</formula>
    </cfRule>
  </conditionalFormatting>
  <conditionalFormatting sqref="D88:D89">
    <cfRule type="expression" dxfId="14" priority="96" stopIfTrue="1">
      <formula>wld_stretched_cluster_result="Excluded"</formula>
    </cfRule>
    <cfRule type="containsBlanks" dxfId="13" priority="97">
      <formula>LEN(TRIM(D88))=0</formula>
    </cfRule>
    <cfRule type="notContainsBlanks" dxfId="11" priority="99" stopIfTrue="1">
      <formula>LEN(TRIM(D88))&gt;0</formula>
    </cfRule>
  </conditionalFormatting>
  <conditionalFormatting sqref="D91:D97">
    <cfRule type="expression" dxfId="10" priority="19" stopIfTrue="1">
      <formula>wld_stretched_cluster_result="Excluded"</formula>
    </cfRule>
    <cfRule type="containsBlanks" dxfId="9" priority="20">
      <formula>LEN(TRIM(D91))=0</formula>
    </cfRule>
    <cfRule type="notContainsBlanks" dxfId="7" priority="22" stopIfTrue="1">
      <formula>LEN(TRIM(D91))&gt;0</formula>
    </cfRule>
  </conditionalFormatting>
  <conditionalFormatting sqref="D100:D101">
    <cfRule type="expression" dxfId="6" priority="92">
      <formula>mgmt_domain_existing_vcenter_chosen="Selected"</formula>
    </cfRule>
  </conditionalFormatting>
  <conditionalFormatting sqref="D102:D104 D106:D108 D110:D123">
    <cfRule type="expression" dxfId="5" priority="68">
      <formula>wld_nsxt_federation_result="Excluded"</formula>
    </cfRule>
    <cfRule type="notContainsBlanks" dxfId="3" priority="94">
      <formula>LEN(TRIM(D102))&gt;0</formula>
    </cfRule>
  </conditionalFormatting>
  <conditionalFormatting sqref="D105">
    <cfRule type="expression" dxfId="2" priority="95">
      <formula>mgmt_domain_existing_vcenter_chosen="Selected"</formula>
    </cfRule>
  </conditionalFormatting>
  <conditionalFormatting sqref="D110:D123 D102:D104 D106:D108">
    <cfRule type="containsBlanks" dxfId="1" priority="91">
      <formula>LEN(TRIM(D102))=0</formula>
    </cfRule>
  </conditionalFormatting>
  <conditionalFormatting sqref="D114:D123">
    <cfRule type="expression" dxfId="0" priority="90">
      <formula>wld_domain_result="Excluded"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24" operator="containsText" id="{E5EDB088-127A-FA48-A29E-E371BE0C58AE}">
            <xm:f>NOT(ISERROR(SEARCH("Value Missing",D10)))</xm:f>
            <xm:f>"Value Missing"</xm:f>
            <x14:dxf>
              <font>
                <color theme="1"/>
              </font>
              <fill>
                <patternFill>
                  <bgColor rgb="FFFFBE29"/>
                </patternFill>
              </fill>
            </x14:dxf>
          </x14:cfRule>
          <xm:sqref>D10:D12 D14:D16 D47:D49</xm:sqref>
        </x14:conditionalFormatting>
        <x14:conditionalFormatting xmlns:xm="http://schemas.microsoft.com/office/excel/2006/main">
          <x14:cfRule type="containsText" priority="126" operator="containsText" id="{7EA8EC3C-8EE8-5642-8C97-E653304C54C5}">
            <xm:f>NOT(ISERROR(SEARCH("Value Missing",D18)))</xm:f>
            <xm:f>"Value Missing"</xm:f>
            <x14:dxf>
              <font>
                <color theme="1"/>
              </font>
              <fill>
                <patternFill>
                  <bgColor rgb="FFFFBE29"/>
                </patternFill>
              </fill>
            </x14:dxf>
          </x14:cfRule>
          <xm:sqref>D18:D20</xm:sqref>
        </x14:conditionalFormatting>
        <x14:conditionalFormatting xmlns:xm="http://schemas.microsoft.com/office/excel/2006/main">
          <x14:cfRule type="containsText" priority="136" stopIfTrue="1" operator="containsText" id="{DB0F4BB3-D523-4447-878D-DF8B4A81E554}">
            <xm:f>NOT(ISERROR(SEARCH("Value Missing",D21)))</xm:f>
            <xm:f>"Value Missing"</xm:f>
            <x14:dxf>
              <font>
                <color rgb="FF0E223A"/>
              </font>
              <fill>
                <patternFill>
                  <bgColor rgb="FFFFBE29"/>
                </patternFill>
              </fill>
            </x14:dxf>
          </x14:cfRule>
          <xm:sqref>D21</xm:sqref>
        </x14:conditionalFormatting>
        <x14:conditionalFormatting xmlns:xm="http://schemas.microsoft.com/office/excel/2006/main">
          <x14:cfRule type="containsText" priority="4" operator="containsText" id="{F2A4D477-D319-6342-B8D1-8D1E6F60A54B}">
            <xm:f>NOT(ISERROR(SEARCH("Value Missing",D22)))</xm:f>
            <xm:f>"Value Missing"</xm:f>
            <x14:dxf>
              <font>
                <color theme="1"/>
              </font>
              <fill>
                <patternFill>
                  <bgColor rgb="FFFFBE29"/>
                </patternFill>
              </fill>
            </x14:dxf>
          </x14:cfRule>
          <xm:sqref>D22:D23</xm:sqref>
        </x14:conditionalFormatting>
        <x14:conditionalFormatting xmlns:xm="http://schemas.microsoft.com/office/excel/2006/main">
          <x14:cfRule type="containsText" priority="133" operator="containsText" id="{56C4391B-0BF1-0444-B6AB-C42DA8B5D5EA}">
            <xm:f>NOT(ISERROR(SEARCH("Value Missing",D25)))</xm:f>
            <xm:f>"Value Missing"</xm:f>
            <x14:dxf>
              <font>
                <color theme="1"/>
              </font>
              <fill>
                <patternFill>
                  <bgColor rgb="FFFFBE29"/>
                </patternFill>
              </fill>
            </x14:dxf>
          </x14:cfRule>
          <xm:sqref>D25:D31</xm:sqref>
        </x14:conditionalFormatting>
        <x14:conditionalFormatting xmlns:xm="http://schemas.microsoft.com/office/excel/2006/main">
          <x14:cfRule type="containsText" priority="130" operator="containsText" id="{44A45759-F4F9-D145-946E-23FF84BC6853}">
            <xm:f>NOT(ISERROR(SEARCH("Value Missing",D33)))</xm:f>
            <xm:f>"Value Missing"</xm:f>
            <x14:dxf>
              <font>
                <color theme="1"/>
              </font>
              <fill>
                <patternFill>
                  <bgColor rgb="FFFFBE29"/>
                </patternFill>
              </fill>
            </x14:dxf>
          </x14:cfRule>
          <xm:sqref>D33:D42</xm:sqref>
        </x14:conditionalFormatting>
        <x14:conditionalFormatting xmlns:xm="http://schemas.microsoft.com/office/excel/2006/main">
          <x14:cfRule type="containsText" priority="107" operator="containsText" id="{BC64B5A3-7E55-D04C-9EE5-A7FD1E8BE104}">
            <xm:f>NOT(ISERROR(SEARCH("Value Missing",D51)))</xm:f>
            <xm:f>"Value Missing"</xm:f>
            <x14:dxf>
              <font>
                <color theme="1"/>
              </font>
              <fill>
                <patternFill>
                  <bgColor rgb="FFFFBE29"/>
                </patternFill>
              </fill>
            </x14:dxf>
          </x14:cfRule>
          <xm:sqref>D51:D54</xm:sqref>
        </x14:conditionalFormatting>
        <x14:conditionalFormatting xmlns:xm="http://schemas.microsoft.com/office/excel/2006/main">
          <x14:cfRule type="containsText" priority="17" stopIfTrue="1" operator="containsText" id="{66CDB210-9332-BD43-985C-D86C318F2B67}">
            <xm:f>NOT(ISERROR(SEARCH("Value Missing",D59)))</xm:f>
            <xm:f>"Value Missing"</xm:f>
            <x14:dxf>
              <font>
                <color theme="1"/>
              </font>
              <fill>
                <patternFill>
                  <bgColor rgb="FFFFBE29"/>
                </patternFill>
              </fill>
            </x14:dxf>
          </x14:cfRule>
          <xm:sqref>D59:D62 D64:D68</xm:sqref>
        </x14:conditionalFormatting>
        <x14:conditionalFormatting xmlns:xm="http://schemas.microsoft.com/office/excel/2006/main">
          <x14:cfRule type="containsText" priority="71" stopIfTrue="1" operator="containsText" id="{FE5607DF-0EB2-6744-B779-8E1B8E69A7EF}">
            <xm:f>NOT(ISERROR(SEARCH("Value Missing",B70)))</xm:f>
            <xm:f>"Value Missing"</xm:f>
            <x14:dxf>
              <font>
                <color theme="1"/>
              </font>
              <fill>
                <patternFill>
                  <bgColor rgb="FFFFBE29"/>
                </patternFill>
              </fill>
            </x14:dxf>
          </x14:cfRule>
          <xm:sqref>D70:D74 D82:D84 B88:B89</xm:sqref>
        </x14:conditionalFormatting>
        <x14:conditionalFormatting xmlns:xm="http://schemas.microsoft.com/office/excel/2006/main">
          <x14:cfRule type="containsText" priority="7" stopIfTrue="1" operator="containsText" id="{9AB7BA9A-510F-1949-ABEF-62389D7135D1}">
            <xm:f>NOT(ISERROR(SEARCH("Value Missing",D76)))</xm:f>
            <xm:f>"Value Missing"</xm:f>
            <x14:dxf>
              <font>
                <color theme="1"/>
              </font>
              <fill>
                <patternFill>
                  <bgColor rgb="FFFFBE29"/>
                </patternFill>
              </fill>
            </x14:dxf>
          </x14:cfRule>
          <xm:sqref>D76:D80</xm:sqref>
        </x14:conditionalFormatting>
        <x14:conditionalFormatting xmlns:xm="http://schemas.microsoft.com/office/excel/2006/main">
          <x14:cfRule type="containsText" priority="48" stopIfTrue="1" operator="containsText" id="{ABEE340E-16B7-DE4B-B09E-B60F6355486F}">
            <xm:f>NOT(ISERROR(SEARCH("Value Missing",D85)))</xm:f>
            <xm:f>"Value Missing"</xm:f>
            <x14:dxf>
              <font>
                <color theme="1"/>
              </font>
              <fill>
                <patternFill>
                  <bgColor rgb="FFFFBE29"/>
                </patternFill>
              </fill>
            </x14:dxf>
          </x14:cfRule>
          <xm:sqref>D85:D86</xm:sqref>
        </x14:conditionalFormatting>
        <x14:conditionalFormatting xmlns:xm="http://schemas.microsoft.com/office/excel/2006/main">
          <x14:cfRule type="containsText" priority="98" stopIfTrue="1" operator="containsText" id="{D6D77E41-DD4C-274C-9606-212298DFF473}">
            <xm:f>NOT(ISERROR(SEARCH("Value Missing",D88)))</xm:f>
            <xm:f>"Value Missing"</xm:f>
            <x14:dxf>
              <font>
                <color theme="1"/>
              </font>
              <fill>
                <patternFill>
                  <bgColor rgb="FFFFBE29"/>
                </patternFill>
              </fill>
            </x14:dxf>
          </x14:cfRule>
          <xm:sqref>D88:D89</xm:sqref>
        </x14:conditionalFormatting>
        <x14:conditionalFormatting xmlns:xm="http://schemas.microsoft.com/office/excel/2006/main">
          <x14:cfRule type="containsText" priority="21" stopIfTrue="1" operator="containsText" id="{BB9E7CB7-0730-4C49-9A77-0A67090896A5}">
            <xm:f>NOT(ISERROR(SEARCH("Value Missing",D91)))</xm:f>
            <xm:f>"Value Missing"</xm:f>
            <x14:dxf>
              <font>
                <color theme="1"/>
              </font>
              <fill>
                <patternFill>
                  <bgColor rgb="FFFFBE29"/>
                </patternFill>
              </fill>
            </x14:dxf>
          </x14:cfRule>
          <xm:sqref>D91:D97</xm:sqref>
        </x14:conditionalFormatting>
        <x14:conditionalFormatting xmlns:xm="http://schemas.microsoft.com/office/excel/2006/main">
          <x14:cfRule type="containsText" priority="93" operator="containsText" id="{2D87D5BA-6A9D-DB43-83CB-A355E471219A}">
            <xm:f>NOT(ISERROR(SEARCH("Value Missing",D102)))</xm:f>
            <xm:f>"Value Missing"</xm:f>
            <x14:dxf>
              <font>
                <color theme="1"/>
              </font>
              <fill>
                <patternFill>
                  <bgColor rgb="FFFFBE29"/>
                </patternFill>
              </fill>
            </x14:dxf>
          </x14:cfRule>
          <xm:sqref>D102:D104 D106:D108 D110:D123</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138FB-C469-F441-8BEF-2334A930E7C2}">
  <sheetPr codeName="Sheet1"/>
  <dimension ref="A1:F13"/>
  <sheetViews>
    <sheetView showGridLines="0" workbookViewId="0">
      <pane ySplit="4" topLeftCell="A6" activePane="bottomLeft" state="frozen"/>
      <selection pane="bottomLeft" activeCell="D9" sqref="D9:E9"/>
    </sheetView>
  </sheetViews>
  <sheetFormatPr baseColWidth="10" defaultRowHeight="16" x14ac:dyDescent="0.2"/>
  <cols>
    <col min="1" max="1" width="2.83203125" customWidth="1"/>
    <col min="2" max="2" width="14.1640625" customWidth="1"/>
    <col min="3" max="3" width="21.1640625" bestFit="1" customWidth="1"/>
    <col min="4" max="4" width="75.83203125" customWidth="1"/>
    <col min="5" max="5" width="151.83203125" customWidth="1"/>
  </cols>
  <sheetData>
    <row r="1" spans="1:6" x14ac:dyDescent="0.2">
      <c r="A1" s="147"/>
      <c r="B1" s="147"/>
      <c r="C1" s="147"/>
      <c r="D1" s="147"/>
      <c r="E1" s="147"/>
      <c r="F1" s="147"/>
    </row>
    <row r="2" spans="1:6" ht="54" customHeight="1" x14ac:dyDescent="0.2">
      <c r="A2" s="253"/>
      <c r="B2" s="682" t="s">
        <v>2683</v>
      </c>
      <c r="C2" s="683"/>
      <c r="D2" s="683"/>
      <c r="E2" s="684"/>
      <c r="F2" s="147"/>
    </row>
    <row r="3" spans="1:6" x14ac:dyDescent="0.2">
      <c r="A3" s="254"/>
      <c r="B3" s="540" t="s">
        <v>1</v>
      </c>
      <c r="C3" s="541"/>
      <c r="D3" s="541"/>
      <c r="E3" s="677"/>
      <c r="F3" s="255"/>
    </row>
    <row r="4" spans="1:6" x14ac:dyDescent="0.2">
      <c r="A4" s="147"/>
      <c r="B4" s="147"/>
      <c r="C4" s="147"/>
      <c r="D4" s="147"/>
      <c r="E4" s="147"/>
      <c r="F4" s="147"/>
    </row>
    <row r="6" spans="1:6" ht="34" customHeight="1" x14ac:dyDescent="0.2">
      <c r="B6" s="412" t="s">
        <v>2688</v>
      </c>
      <c r="C6" s="413"/>
      <c r="D6" s="413"/>
      <c r="E6" s="414"/>
    </row>
    <row r="7" spans="1:6" x14ac:dyDescent="0.2">
      <c r="B7" s="319" t="s">
        <v>186</v>
      </c>
      <c r="C7" s="320" t="s">
        <v>2689</v>
      </c>
      <c r="D7" s="538" t="s">
        <v>2690</v>
      </c>
      <c r="E7" s="539"/>
    </row>
    <row r="8" spans="1:6" ht="48" customHeight="1" x14ac:dyDescent="0.2">
      <c r="B8" s="330" t="s">
        <v>3721</v>
      </c>
      <c r="C8" s="368" t="s">
        <v>3722</v>
      </c>
      <c r="D8" s="690" t="s">
        <v>3723</v>
      </c>
      <c r="E8" s="688"/>
    </row>
    <row r="9" spans="1:6" ht="20" customHeight="1" x14ac:dyDescent="0.2">
      <c r="B9" s="330" t="s">
        <v>3615</v>
      </c>
      <c r="C9" s="368" t="s">
        <v>3616</v>
      </c>
      <c r="D9" s="689" t="s">
        <v>2691</v>
      </c>
      <c r="E9" s="688"/>
    </row>
    <row r="11" spans="1:6" ht="34" customHeight="1" x14ac:dyDescent="0.2">
      <c r="B11" s="412" t="s">
        <v>21</v>
      </c>
      <c r="C11" s="413"/>
      <c r="D11" s="413"/>
      <c r="E11" s="414"/>
    </row>
    <row r="12" spans="1:6" ht="20" customHeight="1" x14ac:dyDescent="0.2">
      <c r="B12" s="537" t="s">
        <v>2692</v>
      </c>
      <c r="C12" s="538"/>
      <c r="D12" s="538"/>
      <c r="E12" s="539"/>
    </row>
    <row r="13" spans="1:6" ht="20" customHeight="1" x14ac:dyDescent="0.2">
      <c r="B13" s="685" t="s">
        <v>2693</v>
      </c>
      <c r="C13" s="686"/>
      <c r="D13" s="686"/>
      <c r="E13" s="687"/>
    </row>
  </sheetData>
  <sheetProtection algorithmName="SHA-512" hashValue="8VU+rHXoyzLs+ua+RVcwjD4RO+D65bC/GnjsJcqAO5ZfxvHhClWzjgtqGMgLG+eoBWBT1lK8kFYsfRqBlMwB8g==" saltValue="V2awCipV/rU3umjpuH1bVA==" spinCount="100000" sheet="1" scenarios="1" selectLockedCells="1" selectUnlockedCells="1"/>
  <mergeCells count="9">
    <mergeCell ref="B11:E11"/>
    <mergeCell ref="B12:E12"/>
    <mergeCell ref="B13:E13"/>
    <mergeCell ref="B2:E2"/>
    <mergeCell ref="B3:E3"/>
    <mergeCell ref="B6:E6"/>
    <mergeCell ref="D7:E7"/>
    <mergeCell ref="D9:E9"/>
    <mergeCell ref="D8:E8"/>
  </mergeCells>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b3a237d-4129-4a2a-8fb3-b20be8ca4bd3" xsi:nil="true"/>
    <lcf76f155ced4ddcb4097134ff3c332f xmlns="7dc73e9a-a2c7-410e-a6a7-fe1b70e2a0b9">
      <Terms xmlns="http://schemas.microsoft.com/office/infopath/2007/PartnerControls"/>
    </lcf76f155ced4ddcb4097134ff3c332f>
    <SharedWithUsers xmlns="daa80f42-9ae5-4835-be60-e49709dd5722">
      <UserInfo>
        <DisplayName>Andy Beltz</DisplayName>
        <AccountId>525</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2EF44E0227C24E85294C0D2197735E" ma:contentTypeVersion="16" ma:contentTypeDescription="Create a new document." ma:contentTypeScope="" ma:versionID="0762e96695b87e50645077735b0a3394">
  <xsd:schema xmlns:xsd="http://www.w3.org/2001/XMLSchema" xmlns:xs="http://www.w3.org/2001/XMLSchema" xmlns:p="http://schemas.microsoft.com/office/2006/metadata/properties" xmlns:ns2="7dc73e9a-a2c7-410e-a6a7-fe1b70e2a0b9" xmlns:ns3="daa80f42-9ae5-4835-be60-e49709dd5722" xmlns:ns4="eb3a237d-4129-4a2a-8fb3-b20be8ca4bd3" targetNamespace="http://schemas.microsoft.com/office/2006/metadata/properties" ma:root="true" ma:fieldsID="277ebc50a8058a9c036e40c5cb4292f8" ns2:_="" ns3:_="" ns4:_="">
    <xsd:import namespace="7dc73e9a-a2c7-410e-a6a7-fe1b70e2a0b9"/>
    <xsd:import namespace="daa80f42-9ae5-4835-be60-e49709dd5722"/>
    <xsd:import namespace="eb3a237d-4129-4a2a-8fb3-b20be8ca4bd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4:TaxCatchAll"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73e9a-a2c7-410e-a6a7-fe1b70e2a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5e2881d-93c9-4b6d-a08c-48bb4ed1ec6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a80f42-9ae5-4835-be60-e49709dd572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3a237d-4129-4a2a-8fb3-b20be8ca4bd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cf06e5e-f23f-4c2a-8b0f-6461e8fdd81c}" ma:internalName="TaxCatchAll" ma:showField="CatchAllData" ma:web="daa80f42-9ae5-4835-be60-e49709dd57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38FDAF-6C1D-43F6-B941-6E104C721C9F}">
  <ds:schemaRefs>
    <ds:schemaRef ds:uri="eb3a237d-4129-4a2a-8fb3-b20be8ca4bd3"/>
    <ds:schemaRef ds:uri="daa80f42-9ae5-4835-be60-e49709dd5722"/>
    <ds:schemaRef ds:uri="http://www.w3.org/XML/1998/namespace"/>
    <ds:schemaRef ds:uri="http://schemas.microsoft.com/office/2006/metadata/properties"/>
    <ds:schemaRef ds:uri="http://schemas.microsoft.com/office/2006/documentManagement/types"/>
    <ds:schemaRef ds:uri="http://purl.org/dc/elements/1.1/"/>
    <ds:schemaRef ds:uri="http://purl.org/dc/terms/"/>
    <ds:schemaRef ds:uri="7dc73e9a-a2c7-410e-a6a7-fe1b70e2a0b9"/>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68027453-C8FB-4CB4-AFBB-858BEA4663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73e9a-a2c7-410e-a6a7-fe1b70e2a0b9"/>
    <ds:schemaRef ds:uri="daa80f42-9ae5-4835-be60-e49709dd5722"/>
    <ds:schemaRef ds:uri="eb3a237d-4129-4a2a-8fb3-b20be8ca4b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A35F94-42D7-4DE9-8B50-E0DB83B46D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22</vt:i4>
      </vt:variant>
      <vt:variant>
        <vt:lpstr>Named Ranges</vt:lpstr>
      </vt:variant>
      <vt:variant>
        <vt:i4>8032</vt:i4>
      </vt:variant>
    </vt:vector>
  </HeadingPairs>
  <TitlesOfParts>
    <vt:vector size="8054" baseType="lpstr">
      <vt:lpstr>Prerequisite Checklist</vt:lpstr>
      <vt:lpstr>VCF &amp; VVF Planning</vt:lpstr>
      <vt:lpstr>Management Domain Sizing</vt:lpstr>
      <vt:lpstr>Static Reference Tables</vt:lpstr>
      <vt:lpstr>Deploy Management Domain</vt:lpstr>
      <vt:lpstr>Configure Management Domain</vt:lpstr>
      <vt:lpstr>Deploy Fleet Management Day-N</vt:lpstr>
      <vt:lpstr>Deploy Workload Domain</vt:lpstr>
      <vt:lpstr>Configure Workload Domain</vt:lpstr>
      <vt:lpstr>Deploy Cluster</vt:lpstr>
      <vt:lpstr>Change Control</vt:lpstr>
      <vt:lpstr>Arkham</vt:lpstr>
      <vt:lpstr>Value Reference Tables - MR</vt:lpstr>
      <vt:lpstr>Value Reference Tables</vt:lpstr>
      <vt:lpstr>Dumping Ground</vt:lpstr>
      <vt:lpstr>Additional Racks</vt:lpstr>
      <vt:lpstr>Site Protection &amp; DR</vt:lpstr>
      <vt:lpstr>Cyber Recovery</vt:lpstr>
      <vt:lpstr>On-Premises Ransomware Recovery</vt:lpstr>
      <vt:lpstr>Management Domain As Built</vt:lpstr>
      <vt:lpstr>Workload Domain As Built</vt:lpstr>
      <vt:lpstr>Version History</vt:lpstr>
      <vt:lpstr>Additional_Instance</vt:lpstr>
      <vt:lpstr>administrator_vsphere_local_password</vt:lpstr>
      <vt:lpstr>asn_instance</vt:lpstr>
      <vt:lpstr>asn_mgmt_az1</vt:lpstr>
      <vt:lpstr>asn_mgmt_az2</vt:lpstr>
      <vt:lpstr>asn_start</vt:lpstr>
      <vt:lpstr>asn_wld_az1</vt:lpstr>
      <vt:lpstr>asn_wld_az2</vt:lpstr>
      <vt:lpstr>aws_regions</vt:lpstr>
      <vt:lpstr>ca_administrator_password</vt:lpstr>
      <vt:lpstr>ca_administrator_username</vt:lpstr>
      <vt:lpstr>ca_algorithm</vt:lpstr>
      <vt:lpstr>ca_country</vt:lpstr>
      <vt:lpstr>ca_email_address</vt:lpstr>
      <vt:lpstr>ca_key_size</vt:lpstr>
      <vt:lpstr>ca_locality</vt:lpstr>
      <vt:lpstr>ca_organization</vt:lpstr>
      <vt:lpstr>ca_organization_unit</vt:lpstr>
      <vt:lpstr>ca_state</vt:lpstr>
      <vt:lpstr>ca_template_name</vt:lpstr>
      <vt:lpstr>calculated_mgmt_host_count</vt:lpstr>
      <vt:lpstr>certificate_authority_fqdn</vt:lpstr>
      <vt:lpstr>certificate_authority_model</vt:lpstr>
      <vt:lpstr>certificate_authority_name</vt:lpstr>
      <vt:lpstr>change_control_new</vt:lpstr>
      <vt:lpstr>change_control_old</vt:lpstr>
      <vt:lpstr>child_dns_zone</vt:lpstr>
      <vt:lpstr>cluster_az1_host_fqdns</vt:lpstr>
      <vt:lpstr>cluster_az1_host_mgmt_ips</vt:lpstr>
      <vt:lpstr>cluster_az1_host_overlay_cidr</vt:lpstr>
      <vt:lpstr>cluster_az1_host_overlay_gateway_ip</vt:lpstr>
      <vt:lpstr>cluster_az1_host_overlay_network_pool_description</vt:lpstr>
      <vt:lpstr>cluster_az1_host_overlay_network_pool_name</vt:lpstr>
      <vt:lpstr>cluster_az1_host_overlay_network_profile_name</vt:lpstr>
      <vt:lpstr>cluster_az1_host_overlay_new_pool_chosen</vt:lpstr>
      <vt:lpstr>cluster_az1_host_overlay_pool_end_ip</vt:lpstr>
      <vt:lpstr>cluster_az1_host_overlay_pool_start_ip</vt:lpstr>
      <vt:lpstr>cluster_az1_host_overlay_transport_zone</vt:lpstr>
      <vt:lpstr>cluster_az1_host_overlay_uplink_profile_name</vt:lpstr>
      <vt:lpstr>cluster_az1_host_overlay_vlan</vt:lpstr>
      <vt:lpstr>cluster_az1_host1_fqdn</vt:lpstr>
      <vt:lpstr>cluster_az1_host1_mgmt_ip</vt:lpstr>
      <vt:lpstr>cluster_az1_host10_fqdn</vt:lpstr>
      <vt:lpstr>cluster_az1_host10_mgmt_ip</vt:lpstr>
      <vt:lpstr>cluster_az1_host11_fqdn</vt:lpstr>
      <vt:lpstr>cluster_az1_host11_mgmt_ip</vt:lpstr>
      <vt:lpstr>cluster_az1_host12_fqdn</vt:lpstr>
      <vt:lpstr>cluster_az1_host12_mgmt_ip</vt:lpstr>
      <vt:lpstr>cluster_az1_host13_fqdn</vt:lpstr>
      <vt:lpstr>cluster_az1_host13_mgmt_ip</vt:lpstr>
      <vt:lpstr>cluster_az1_host14_fqdn</vt:lpstr>
      <vt:lpstr>cluster_az1_host14_mgmt_ip</vt:lpstr>
      <vt:lpstr>cluster_az1_host15_fqdn</vt:lpstr>
      <vt:lpstr>cluster_az1_host15_mgmt_ip</vt:lpstr>
      <vt:lpstr>cluster_az1_host16_fqdn</vt:lpstr>
      <vt:lpstr>cluster_az1_host16_mgmt_ip</vt:lpstr>
      <vt:lpstr>cluster_az1_host2_fqdn</vt:lpstr>
      <vt:lpstr>cluster_az1_host2_mgmt_ip</vt:lpstr>
      <vt:lpstr>cluster_az1_host3_fqdn</vt:lpstr>
      <vt:lpstr>cluster_az1_host3_mgmt_ip</vt:lpstr>
      <vt:lpstr>cluster_az1_host4_fqdn</vt:lpstr>
      <vt:lpstr>cluster_az1_host4_mgmt_ip</vt:lpstr>
      <vt:lpstr>cluster_az1_host5_fqdn</vt:lpstr>
      <vt:lpstr>cluster_az1_host5_mgmt_ip</vt:lpstr>
      <vt:lpstr>cluster_az1_host6_fqdn</vt:lpstr>
      <vt:lpstr>cluster_az1_host6_mgmt_ip</vt:lpstr>
      <vt:lpstr>cluster_az1_host7_fqdn</vt:lpstr>
      <vt:lpstr>cluster_az1_host7_mgmt_ip</vt:lpstr>
      <vt:lpstr>cluster_az1_host8_fqdn</vt:lpstr>
      <vt:lpstr>cluster_az1_host8_mgmt_ip</vt:lpstr>
      <vt:lpstr>cluster_az1_host9_fqdn</vt:lpstr>
      <vt:lpstr>cluster_az1_host9_mgmt_ip</vt:lpstr>
      <vt:lpstr>cluster_az1_mgmt_cidr</vt:lpstr>
      <vt:lpstr>cluster_az1_mgmt_gateway_ip</vt:lpstr>
      <vt:lpstr>cluster_az1_mgmt_lbt_chosen</vt:lpstr>
      <vt:lpstr>cluster_az1_mgmt_mtu</vt:lpstr>
      <vt:lpstr>cluster_az1_mgmt_pg</vt:lpstr>
      <vt:lpstr>cluster_az1_mgmt_uplink1_chosen</vt:lpstr>
      <vt:lpstr>cluster_az1_mgmt_uplink2_chosen</vt:lpstr>
      <vt:lpstr>cluster_az1_mgmt_vlan</vt:lpstr>
      <vt:lpstr>cluster_az1_mgmt_vm_lbt_chosen</vt:lpstr>
      <vt:lpstr>cluster_az1_mgmt_vm_pg</vt:lpstr>
      <vt:lpstr>cluster_az1_mgmt_vm_uplink1_chosen</vt:lpstr>
      <vt:lpstr>cluster_az1_mgmt_vm_uplink2_chosen</vt:lpstr>
      <vt:lpstr>cluster_az1_nsx_lbt_chosen</vt:lpstr>
      <vt:lpstr>cluster_az1_nsx_uplink_count</vt:lpstr>
      <vt:lpstr>cluster_az1_nsx_uplink1</vt:lpstr>
      <vt:lpstr>cluster_az1_nsx_uplink1_active</vt:lpstr>
      <vt:lpstr>cluster_az1_nsx_uplink2</vt:lpstr>
      <vt:lpstr>cluster_az1_nsx_uplink2_active</vt:lpstr>
      <vt:lpstr>cluster_az1_pool_name</vt:lpstr>
      <vt:lpstr>cluster_az1_principal_storage_cidr</vt:lpstr>
      <vt:lpstr>cluster_az1_principal_storage_gateway_cidr</vt:lpstr>
      <vt:lpstr>cluster_az1_principal_storage_gateway_ip</vt:lpstr>
      <vt:lpstr>cluster_az1_principal_storage_ip_assignment_chosen</vt:lpstr>
      <vt:lpstr>cluster_az1_principal_storage_ip_scheme_chosen</vt:lpstr>
      <vt:lpstr>cluster_az1_principal_storage_lbt_chosen</vt:lpstr>
      <vt:lpstr>cluster_az1_principal_storage_mask</vt:lpstr>
      <vt:lpstr>cluster_az1_principal_storage_mtu</vt:lpstr>
      <vt:lpstr>cluster_az1_principal_storage_network</vt:lpstr>
      <vt:lpstr>cluster_az1_principal_storage_pg</vt:lpstr>
      <vt:lpstr>cluster_az1_principal_storage_pool_end_ip</vt:lpstr>
      <vt:lpstr>cluster_az1_principal_storage_pool_start_ip</vt:lpstr>
      <vt:lpstr>cluster_az1_principal_storage_uplink1_chosen</vt:lpstr>
      <vt:lpstr>cluster_az1_principal_storage_uplink2_chosen</vt:lpstr>
      <vt:lpstr>cluster_az1_principal_storage_vlan</vt:lpstr>
      <vt:lpstr>cluster_az1_reuse_vcf_networkpool_chosen</vt:lpstr>
      <vt:lpstr>cluster_az1_reuse_vcf_networkpool_result</vt:lpstr>
      <vt:lpstr>cluster_az1_secondary_storage_cidr</vt:lpstr>
      <vt:lpstr>cluster_az1_secondary_storage_gateway_cidr</vt:lpstr>
      <vt:lpstr>cluster_az1_secondary_storage_gateway_ip</vt:lpstr>
      <vt:lpstr>cluster_az1_secondary_storage_ip_assignment_chosen</vt:lpstr>
      <vt:lpstr>cluster_az1_secondary_storage_ip_scheme_chosen</vt:lpstr>
      <vt:lpstr>cluster_az1_secondary_storage_mask</vt:lpstr>
      <vt:lpstr>cluster_az1_secondary_storage_mtu</vt:lpstr>
      <vt:lpstr>cluster_az1_secondary_storage_network</vt:lpstr>
      <vt:lpstr>cluster_az1_secondary_storage_pool_end_ip</vt:lpstr>
      <vt:lpstr>cluster_az1_secondary_storage_pool_start_ip</vt:lpstr>
      <vt:lpstr>cluster_az1_secondary_storage_vlan</vt:lpstr>
      <vt:lpstr>cluster_az1_storage_cluster_cidr</vt:lpstr>
      <vt:lpstr>cluster_az1_storage_cluster_gateway_cidr</vt:lpstr>
      <vt:lpstr>cluster_az1_storage_cluster_gateway_ip</vt:lpstr>
      <vt:lpstr>cluster_az1_storage_cluster_ip_assignment_chosen</vt:lpstr>
      <vt:lpstr>cluster_az1_storage_cluster_ip_scheme_chosen</vt:lpstr>
      <vt:lpstr>cluster_az1_storage_cluster_mask</vt:lpstr>
      <vt:lpstr>cluster_az1_storage_cluster_mtu</vt:lpstr>
      <vt:lpstr>cluster_az1_storage_cluster_network</vt:lpstr>
      <vt:lpstr>cluster_az1_storage_cluster_pool_end_ip</vt:lpstr>
      <vt:lpstr>cluster_az1_storage_cluster_pool_start_ip</vt:lpstr>
      <vt:lpstr>cluster_az1_storage_cluster_vlan</vt:lpstr>
      <vt:lpstr>cluster_az1_vmotion_cidr</vt:lpstr>
      <vt:lpstr>cluster_az1_vmotion_gateway_cidr</vt:lpstr>
      <vt:lpstr>cluster_az1_vmotion_gateway_ip</vt:lpstr>
      <vt:lpstr>cluster_az1_vmotion_ip_assignment_chosen</vt:lpstr>
      <vt:lpstr>cluster_az1_vmotion_ip_scheme_chosen</vt:lpstr>
      <vt:lpstr>cluster_az1_vmotion_lbt_chosen</vt:lpstr>
      <vt:lpstr>cluster_az1_vmotion_mask</vt:lpstr>
      <vt:lpstr>cluster_az1_vmotion_mtu</vt:lpstr>
      <vt:lpstr>cluster_az1_vmotion_network</vt:lpstr>
      <vt:lpstr>cluster_az1_vmotion_pg</vt:lpstr>
      <vt:lpstr>cluster_az1_vmotion_pool_end_ip</vt:lpstr>
      <vt:lpstr>cluster_az1_vmotion_pool_start_ip</vt:lpstr>
      <vt:lpstr>cluster_az1_vmotion_uplink1_chosen</vt:lpstr>
      <vt:lpstr>cluster_az1_vmotion_uplink2_chosen</vt:lpstr>
      <vt:lpstr>cluster_az1_vmotion_vlan</vt:lpstr>
      <vt:lpstr>cluster_az1_vsan_storage_client_lbt_chosen</vt:lpstr>
      <vt:lpstr>cluster_az1_vsan_storage_client_pg</vt:lpstr>
      <vt:lpstr>cluster_az1_vsan_storage_client_uplink1</vt:lpstr>
      <vt:lpstr>cluster_az1_vsan_storage_client_uplink2</vt:lpstr>
      <vt:lpstr>cluster_az2_host_fqdns</vt:lpstr>
      <vt:lpstr>cluster_az2_host_mgmt_ips</vt:lpstr>
      <vt:lpstr>cluster_az2_host_overlay_cidr</vt:lpstr>
      <vt:lpstr>cluster_az2_host_overlay_gateway_ip</vt:lpstr>
      <vt:lpstr>cluster_az2_host_overlay_gateway_mtu</vt:lpstr>
      <vt:lpstr>cluster_az2_host_overlay_network_pool_name</vt:lpstr>
      <vt:lpstr>cluster_az2_host_overlay_network_profile_name</vt:lpstr>
      <vt:lpstr>cluster_az2_host_overlay_new_pool_chosen</vt:lpstr>
      <vt:lpstr>cluster_az2_host_overlay_pool_end_ip</vt:lpstr>
      <vt:lpstr>cluster_az2_host_overlay_pool_start_ip</vt:lpstr>
      <vt:lpstr>cluster_az2_host_overlay_uplink_profile_name</vt:lpstr>
      <vt:lpstr>cluster_az2_host_overlay_vlan</vt:lpstr>
      <vt:lpstr>cluster_az2_host1_fqdn</vt:lpstr>
      <vt:lpstr>cluster_az2_host1_mgmt_ip</vt:lpstr>
      <vt:lpstr>cluster_az2_host10_fqdn</vt:lpstr>
      <vt:lpstr>cluster_az2_host10_mgmt_ip</vt:lpstr>
      <vt:lpstr>cluster_az2_host11_fqdn</vt:lpstr>
      <vt:lpstr>cluster_az2_host11_mgmt_ip</vt:lpstr>
      <vt:lpstr>cluster_az2_host12_fqdn</vt:lpstr>
      <vt:lpstr>cluster_az2_host12_mgmt_ip</vt:lpstr>
      <vt:lpstr>cluster_az2_host13_fqdn</vt:lpstr>
      <vt:lpstr>cluster_az2_host13_mgmt_ip</vt:lpstr>
      <vt:lpstr>cluster_az2_host14_fqdn</vt:lpstr>
      <vt:lpstr>cluster_az2_host14_mgmt_ip</vt:lpstr>
      <vt:lpstr>cluster_az2_host15_fqdn</vt:lpstr>
      <vt:lpstr>cluster_az2_host15_mgmt_ip</vt:lpstr>
      <vt:lpstr>cluster_az2_host16_fqdn</vt:lpstr>
      <vt:lpstr>cluster_az2_host16_mgmt_ip</vt:lpstr>
      <vt:lpstr>cluster_az2_host2_fqdn</vt:lpstr>
      <vt:lpstr>cluster_az2_host2_mgmt_ip</vt:lpstr>
      <vt:lpstr>cluster_az2_host3_fqdn</vt:lpstr>
      <vt:lpstr>cluster_az2_host3_mgmt_ip</vt:lpstr>
      <vt:lpstr>cluster_az2_host4_fqdn</vt:lpstr>
      <vt:lpstr>cluster_az2_host4_mgmt_ip</vt:lpstr>
      <vt:lpstr>cluster_az2_host5_fqdn</vt:lpstr>
      <vt:lpstr>cluster_az2_host5_mgmt_ip</vt:lpstr>
      <vt:lpstr>cluster_az2_host6_fqdn</vt:lpstr>
      <vt:lpstr>cluster_az2_host6_mgmt_ip</vt:lpstr>
      <vt:lpstr>cluster_az2_host7_fqdn</vt:lpstr>
      <vt:lpstr>cluster_az2_host7_mgmt_ip</vt:lpstr>
      <vt:lpstr>cluster_az2_host8_fqdn</vt:lpstr>
      <vt:lpstr>cluster_az2_host8_mgmt_ip</vt:lpstr>
      <vt:lpstr>cluster_az2_host9_fqdn</vt:lpstr>
      <vt:lpstr>cluster_az2_host9_mgmt_ip</vt:lpstr>
      <vt:lpstr>cluster_az2_mgmt_cidr</vt:lpstr>
      <vt:lpstr>cluster_az2_mgmt_gateway_ip</vt:lpstr>
      <vt:lpstr>cluster_az2_mgmt_mtu</vt:lpstr>
      <vt:lpstr>cluster_az2_mgmt_vlan</vt:lpstr>
      <vt:lpstr>cluster_az2_pool_name</vt:lpstr>
      <vt:lpstr>cluster_az2_principal_storage_cidr</vt:lpstr>
      <vt:lpstr>cluster_az2_principal_storage_gateway_ip</vt:lpstr>
      <vt:lpstr>cluster_az2_principal_storage_mask</vt:lpstr>
      <vt:lpstr>cluster_az2_principal_storage_mtu</vt:lpstr>
      <vt:lpstr>cluster_az2_principal_storage_network</vt:lpstr>
      <vt:lpstr>cluster_az2_principal_storage_pool_end_ip</vt:lpstr>
      <vt:lpstr>cluster_az2_principal_storage_pool_start_ip</vt:lpstr>
      <vt:lpstr>cluster_az2_principal_storage_vlan</vt:lpstr>
      <vt:lpstr>cluster_az2_reuse_vcf_networkpool_chosen</vt:lpstr>
      <vt:lpstr>cluster_az2_secondary_storage_gateway_ip</vt:lpstr>
      <vt:lpstr>cluster_az2_secondary_storage_mask</vt:lpstr>
      <vt:lpstr>cluster_az2_secondary_storage_mtu</vt:lpstr>
      <vt:lpstr>cluster_az2_secondary_storage_network</vt:lpstr>
      <vt:lpstr>cluster_az2_secondary_storage_pool_end_ip</vt:lpstr>
      <vt:lpstr>cluster_az2_secondary_storage_pool_start_ip</vt:lpstr>
      <vt:lpstr>cluster_az2_secondary_storage_vlan</vt:lpstr>
      <vt:lpstr>cluster_az2_storage_cluster_cidr</vt:lpstr>
      <vt:lpstr>cluster_az2_storage_cluster_gateway_ip</vt:lpstr>
      <vt:lpstr>cluster_az2_storage_cluster_mask</vt:lpstr>
      <vt:lpstr>cluster_az2_storage_cluster_mtu</vt:lpstr>
      <vt:lpstr>cluster_az2_storage_cluster_network</vt:lpstr>
      <vt:lpstr>cluster_az2_storage_cluster_pool_end_ip</vt:lpstr>
      <vt:lpstr>cluster_az2_storage_cluster_pool_start_ip</vt:lpstr>
      <vt:lpstr>cluster_az2_storage_cluster_vlan</vt:lpstr>
      <vt:lpstr>cluster_az2_tor1_peer_asn</vt:lpstr>
      <vt:lpstr>cluster_az2_tor1_peer_ip</vt:lpstr>
      <vt:lpstr>cluster_az2_tor2_peer_asn</vt:lpstr>
      <vt:lpstr>cluster_az2_tor2_peer_ip</vt:lpstr>
      <vt:lpstr>cluster_az2_vmotion_cidr</vt:lpstr>
      <vt:lpstr>cluster_az2_vmotion_gateway_ip</vt:lpstr>
      <vt:lpstr>cluster_az2_vmotion_mask</vt:lpstr>
      <vt:lpstr>cluster_az2_vmotion_mtu</vt:lpstr>
      <vt:lpstr>cluster_az2_vmotion_network</vt:lpstr>
      <vt:lpstr>cluster_az2_vmotion_pool_end_ip</vt:lpstr>
      <vt:lpstr>cluster_az2_vmotion_pool_start_ip</vt:lpstr>
      <vt:lpstr>cluster_az2_vmotion_vlan</vt:lpstr>
      <vt:lpstr>cluster_chosen</vt:lpstr>
      <vt:lpstr>cluster_cl01_vds_copy_profile_chosen</vt:lpstr>
      <vt:lpstr>cluster_cluster_sddc_id</vt:lpstr>
      <vt:lpstr>cluster_compute_hosts_per_rack_chosen</vt:lpstr>
      <vt:lpstr>cluster_compute_hosts_per_rack_result</vt:lpstr>
      <vt:lpstr>cluster_datacenter</vt:lpstr>
      <vt:lpstr>cluster_domain_name</vt:lpstr>
      <vt:lpstr>cluster_esx_root_password</vt:lpstr>
      <vt:lpstr>cluster_esx_root_username</vt:lpstr>
      <vt:lpstr>cluster_host_overlay_addressing_chosen</vt:lpstr>
      <vt:lpstr>cluster_host_overlay_transportzone</vt:lpstr>
      <vt:lpstr>cluster_image_name</vt:lpstr>
      <vt:lpstr>cluster_multi_rack_count_chosen</vt:lpstr>
      <vt:lpstr>cluster_multi_rack_count_result</vt:lpstr>
      <vt:lpstr>cluster_name</vt:lpstr>
      <vt:lpstr>cluster_nfs_datastore_name</vt:lpstr>
      <vt:lpstr>cluster_nfs_server_address</vt:lpstr>
      <vt:lpstr>cluster_nfs_share_path</vt:lpstr>
      <vt:lpstr>cluster_nsx_default_operation_mode_chosen</vt:lpstr>
      <vt:lpstr>cluster_nsx_operation_mode_chosen</vt:lpstr>
      <vt:lpstr>cluster_nsx_overlay_transport_zone_chosen</vt:lpstr>
      <vt:lpstr>cluster_nsx_vlan_transport_zone_chosen</vt:lpstr>
      <vt:lpstr>cluster_nsx_vlan_transport_zone_name</vt:lpstr>
      <vt:lpstr>cluster_nsxt_vip_fqdn</vt:lpstr>
      <vt:lpstr>cluster_principal_storage_chosen</vt:lpstr>
      <vt:lpstr>cluster_principal_storage_result</vt:lpstr>
      <vt:lpstr>cluster_result</vt:lpstr>
      <vt:lpstr>cluster_secondary_storage_chosen</vt:lpstr>
      <vt:lpstr>cluster_secondary_storage_result</vt:lpstr>
      <vt:lpstr>cluster_storage_cluster_name</vt:lpstr>
      <vt:lpstr>cluster_stretched_cluster_chosen</vt:lpstr>
      <vt:lpstr>cluster_stretched_cluster_result</vt:lpstr>
      <vt:lpstr>cluster_vc_fqdn</vt:lpstr>
      <vt:lpstr>cluster_vds_profile_chosen</vt:lpstr>
      <vt:lpstr>cluster_vds01_lacp_mode_chosen</vt:lpstr>
      <vt:lpstr>cluster_vds01_lacp_timeout_chosen</vt:lpstr>
      <vt:lpstr>cluster_vds01_lag_lbt_chosen</vt:lpstr>
      <vt:lpstr>cluster_vds01_lag_name</vt:lpstr>
      <vt:lpstr>cluster_vds01_link_type_chosen</vt:lpstr>
      <vt:lpstr>cluster_vds01_mtu</vt:lpstr>
      <vt:lpstr>cluster_vds01_name</vt:lpstr>
      <vt:lpstr>cluster_vds01_pnics</vt:lpstr>
      <vt:lpstr>cluster_vds01_traffic_type</vt:lpstr>
      <vt:lpstr>cluster_vds01_uplink_count</vt:lpstr>
      <vt:lpstr>cluster_vds02_lacp_mode_chosen</vt:lpstr>
      <vt:lpstr>cluster_vds02_lacp_timeout_chosen</vt:lpstr>
      <vt:lpstr>cluster_vds02_lag_lbt_chosen</vt:lpstr>
      <vt:lpstr>cluster_vds02_lag_name</vt:lpstr>
      <vt:lpstr>cluster_vds02_link_type_chosen</vt:lpstr>
      <vt:lpstr>cluster_vds02_mtu</vt:lpstr>
      <vt:lpstr>cluster_vds02_name</vt:lpstr>
      <vt:lpstr>cluster_vds02_pnics</vt:lpstr>
      <vt:lpstr>cluster_vds02_traffic_type</vt:lpstr>
      <vt:lpstr>cluster_vds02_uplink_count</vt:lpstr>
      <vt:lpstr>cluster_vds03_lacp_mode_chosen</vt:lpstr>
      <vt:lpstr>cluster_vds03_lacp_timeout_chosen</vt:lpstr>
      <vt:lpstr>cluster_vds03_lag_lbt_chosen</vt:lpstr>
      <vt:lpstr>cluster_vds03_lag_name</vt:lpstr>
      <vt:lpstr>cluster_vds03_link_type_chosen</vt:lpstr>
      <vt:lpstr>cluster_vds03_mtu</vt:lpstr>
      <vt:lpstr>cluster_vds03_name</vt:lpstr>
      <vt:lpstr>cluster_vds03_pnics</vt:lpstr>
      <vt:lpstr>cluster_vds03_traffic_type</vt:lpstr>
      <vt:lpstr>cluster_vds03_uplink_count</vt:lpstr>
      <vt:lpstr>cluster_vmfs_datastore_name</vt:lpstr>
      <vt:lpstr>cluster_vsan_client_network</vt:lpstr>
      <vt:lpstr>cluster_vsan_compute_fault_domain_mapping_chosen</vt:lpstr>
      <vt:lpstr>cluster_vsan_compute_network_topology_chosen</vt:lpstr>
      <vt:lpstr>cluster_vsan_datastore</vt:lpstr>
      <vt:lpstr>cluster_vsan_dedupe_compression_chosen</vt:lpstr>
      <vt:lpstr>cluster_vsan_dit_chosen</vt:lpstr>
      <vt:lpstr>cluster_vsan_dit_rekey_custom_interval</vt:lpstr>
      <vt:lpstr>cluster_vsan_dit_rekey_default_interval</vt:lpstr>
      <vt:lpstr>cluster_vsan_dit_rekey_result</vt:lpstr>
      <vt:lpstr>cluster_vsan_dit_rekey_type_chosen</vt:lpstr>
      <vt:lpstr>cluster_vsan_esa_hcl_check_chosen</vt:lpstr>
      <vt:lpstr>cluster_vsan_ftt_chosen</vt:lpstr>
      <vt:lpstr>cluster_vsan_type</vt:lpstr>
      <vt:lpstr>cluster_witness_cluster</vt:lpstr>
      <vt:lpstr>cluster_witness_dns1_ip</vt:lpstr>
      <vt:lpstr>cluster_witness_dns2_ip</vt:lpstr>
      <vt:lpstr>cluster_witness_fqdn</vt:lpstr>
      <vt:lpstr>cluster_witness_hostname</vt:lpstr>
      <vt:lpstr>cluster_witness_ip</vt:lpstr>
      <vt:lpstr>cluster_witness_mgmt_pg</vt:lpstr>
      <vt:lpstr>cluster_witness_ntp1_server</vt:lpstr>
      <vt:lpstr>cluster_witness_ntp2_server</vt:lpstr>
      <vt:lpstr>cluster_witness_vm_folder</vt:lpstr>
      <vt:lpstr>cluster_witness_vsan_datastore</vt:lpstr>
      <vt:lpstr>cluster_witness_zone_vc_fqdn</vt:lpstr>
      <vt:lpstr>cluster_witnessaz_mask</vt:lpstr>
      <vt:lpstr>cluster_witnessaz_mgmt_cidr</vt:lpstr>
      <vt:lpstr>cluster_witnessaz_mgmt_gateway_ip</vt:lpstr>
      <vt:lpstr>cluster_witnessaz_mgmt_mask</vt:lpstr>
      <vt:lpstr>cluster_witnessaz_mgmt_mtu</vt:lpstr>
      <vt:lpstr>cluster_witnessaz_mgmt_vlan</vt:lpstr>
      <vt:lpstr>cluster_wld_domain_chosen</vt:lpstr>
      <vt:lpstr>cr_clean_room</vt:lpstr>
      <vt:lpstr>cr_console_cloud</vt:lpstr>
      <vt:lpstr>cr_mgmt_protect_vc_domain</vt:lpstr>
      <vt:lpstr>cr_mgmt_protect_vc_fqdn</vt:lpstr>
      <vt:lpstr>cr_wld_pnr_fqdn</vt:lpstr>
      <vt:lpstr>cr_wld_pnr_ip</vt:lpstr>
      <vt:lpstr>cr_wld_protect_vc_replication_user</vt:lpstr>
      <vt:lpstr>cr_wld_vrms_pg</vt:lpstr>
      <vt:lpstr>deployment_type_vcf</vt:lpstr>
      <vt:lpstr>deployment_type_vvf</vt:lpstr>
      <vt:lpstr>domain_controller_hostname</vt:lpstr>
      <vt:lpstr>esxi_root_password</vt:lpstr>
      <vt:lpstr>first_domain_mgmt_only_viable</vt:lpstr>
      <vt:lpstr>first_domain_mgmt_vi_viable</vt:lpstr>
      <vt:lpstr>First_Instance</vt:lpstr>
      <vt:lpstr>flt_auto_node_pool_end_ip</vt:lpstr>
      <vt:lpstr>flt_auto_node_pool_start_ip</vt:lpstr>
      <vt:lpstr>flt_auto_sr_fqdn</vt:lpstr>
      <vt:lpstr>flt_custom_management_cidr</vt:lpstr>
      <vt:lpstr>flt_custom_management_gateway_ip</vt:lpstr>
      <vt:lpstr>flt_custom_management_mask</vt:lpstr>
      <vt:lpstr>flt_custom_management_mtu</vt:lpstr>
      <vt:lpstr>flt_custom_management_network</vt:lpstr>
      <vt:lpstr>flt_custom_management_vlan</vt:lpstr>
      <vt:lpstr>flt_custom_network_chosen</vt:lpstr>
      <vt:lpstr>flt_custom_network_result</vt:lpstr>
      <vt:lpstr>flt_custom_network_vcf_ops_automation_chosen</vt:lpstr>
      <vt:lpstr>flt_custom_network_vcf_ops_automation_result</vt:lpstr>
      <vt:lpstr>flt_def_administrator_vsphere_local_password</vt:lpstr>
      <vt:lpstr>flt_def_administrator_vsphere_local_username</vt:lpstr>
      <vt:lpstr>flt_def_auto_admin_password</vt:lpstr>
      <vt:lpstr>flt_def_auto_cluster_cidr</vt:lpstr>
      <vt:lpstr>flt_def_auto_node_pool_end_ip</vt:lpstr>
      <vt:lpstr>flt_def_auto_node_pool_start_ip</vt:lpstr>
      <vt:lpstr>flt_def_auto_node_prefix</vt:lpstr>
      <vt:lpstr>flt_def_auto_size_chosen</vt:lpstr>
      <vt:lpstr>flt_def_auto_size_result</vt:lpstr>
      <vt:lpstr>flt_def_auto_sr_fqdn</vt:lpstr>
      <vt:lpstr>flt_def_auto_sr_ip</vt:lpstr>
      <vt:lpstr>flt_def_ceip_status_chosen</vt:lpstr>
      <vt:lpstr>flt_def_sddc_mgr_fqdn</vt:lpstr>
      <vt:lpstr>flt_def_vcf_custom_network_chosen</vt:lpstr>
      <vt:lpstr>flt_def_vcf_custom_passwords_chosen</vt:lpstr>
      <vt:lpstr>flt_def_vcf_custom_size_chosen</vt:lpstr>
      <vt:lpstr>flt_def_vcf_operations_admin_password</vt:lpstr>
      <vt:lpstr>flt_def_vcf_operations_az1_vcf_mgmt_gateway_cidr</vt:lpstr>
      <vt:lpstr>flt_def_vcf_operations_az1_vcf_mgmt_pg</vt:lpstr>
      <vt:lpstr>flt_def_vcf_operations_custom_size_chosen</vt:lpstr>
      <vt:lpstr>flt_def_vcf_operations_data_root_password</vt:lpstr>
      <vt:lpstr>flt_def_vcf_operations_ha_mode_chosen</vt:lpstr>
      <vt:lpstr>flt_def_vcf_operations_lc_fqdn</vt:lpstr>
      <vt:lpstr>flt_def_vcf_operations_lc_ip</vt:lpstr>
      <vt:lpstr>flt_def_vcf_operations_nodea_fqdn</vt:lpstr>
      <vt:lpstr>flt_def_vcf_operations_nodea_ip</vt:lpstr>
      <vt:lpstr>flt_def_vcf_operations_nodeb_fqdn</vt:lpstr>
      <vt:lpstr>flt_def_vcf_operations_nodeb_ip</vt:lpstr>
      <vt:lpstr>flt_def_vcf_operations_nodec_fqdn</vt:lpstr>
      <vt:lpstr>flt_def_vcf_operations_nodec_ip</vt:lpstr>
      <vt:lpstr>flt_def_vcf_operations_proxy_az1_vcf_mgmt_gateway_cidr</vt:lpstr>
      <vt:lpstr>flt_def_vcf_operations_proxy_az1_vcf_mgmt_pg</vt:lpstr>
      <vt:lpstr>flt_def_vcf_operations_proxy_custom_size_chosen</vt:lpstr>
      <vt:lpstr>flt_def_vcf_operations_proxy_fqdn</vt:lpstr>
      <vt:lpstr>flt_def_vcf_operations_proxy_ip</vt:lpstr>
      <vt:lpstr>flt_def_vcf_operations_proxy_root_password</vt:lpstr>
      <vt:lpstr>flt_def_vcf_operations_proxy_size_result</vt:lpstr>
      <vt:lpstr>flt_def_vcf_operations_replica_root_password</vt:lpstr>
      <vt:lpstr>flt_def_vcf_operations_root_password</vt:lpstr>
      <vt:lpstr>flt_def_vcf_operations_size_chosen</vt:lpstr>
      <vt:lpstr>flt_def_vcf_operations_size_result</vt:lpstr>
      <vt:lpstr>flt_def_vcf_operations_virtual_fqdn</vt:lpstr>
      <vt:lpstr>flt_def_vcf_operations_virtual_ip</vt:lpstr>
      <vt:lpstr>flt_def_vcf_skip_vcfa_chosen</vt:lpstr>
      <vt:lpstr>flt_def_vra_virtual_fqdn</vt:lpstr>
      <vt:lpstr>flt_def_vra_virtual_ip</vt:lpstr>
      <vt:lpstr>flt_fc_fqdn</vt:lpstr>
      <vt:lpstr>flt_fc_ip</vt:lpstr>
      <vt:lpstr>flt_ic_fqdn</vt:lpstr>
      <vt:lpstr>flt_ic_ip</vt:lpstr>
      <vt:lpstr>flt_lc_fqdn</vt:lpstr>
      <vt:lpstr>flt_logs_admin_password</vt:lpstr>
      <vt:lpstr>flt_logs_admin_username</vt:lpstr>
      <vt:lpstr>flt_logs_cert_ip_addresses</vt:lpstr>
      <vt:lpstr>flt_logs_chosen</vt:lpstr>
      <vt:lpstr>flt_logs_install_type_chosen</vt:lpstr>
      <vt:lpstr>flt_logs_install_version</vt:lpstr>
      <vt:lpstr>flt_logs_node_size_chosen</vt:lpstr>
      <vt:lpstr>flt_logs_number_replicas_chosen</vt:lpstr>
      <vt:lpstr>flt_logs_result</vt:lpstr>
      <vt:lpstr>flt_logs_vip_fqdn</vt:lpstr>
      <vt:lpstr>flt_logs_vip_ip</vt:lpstr>
      <vt:lpstr>flt_net_admin_password</vt:lpstr>
      <vt:lpstr>flt_net_chosen</vt:lpstr>
      <vt:lpstr>flt_net_dual_stack_chosen</vt:lpstr>
      <vt:lpstr>flt_net_ha_mode_chosen</vt:lpstr>
      <vt:lpstr>flt_net_install_type_chosen</vt:lpstr>
      <vt:lpstr>flt_net_install_version</vt:lpstr>
      <vt:lpstr>flt_net_nodea_fqdn</vt:lpstr>
      <vt:lpstr>flt_net_nodea_gateway_cidr</vt:lpstr>
      <vt:lpstr>flt_net_nodea_hostname</vt:lpstr>
      <vt:lpstr>flt_net_nodea_ip</vt:lpstr>
      <vt:lpstr>flt_net_nodea_pg</vt:lpstr>
      <vt:lpstr>flt_net_prxy_fqdn</vt:lpstr>
      <vt:lpstr>flt_net_prxy_gateway_cidr</vt:lpstr>
      <vt:lpstr>flt_net_prxy_hostname</vt:lpstr>
      <vt:lpstr>flt_net_prxy_ip</vt:lpstr>
      <vt:lpstr>flt_net_prxy_pg</vt:lpstr>
      <vt:lpstr>flt_net_result</vt:lpstr>
      <vt:lpstr>flt_sr_fqdn</vt:lpstr>
      <vt:lpstr>flt_sr_ip</vt:lpstr>
      <vt:lpstr>flt_vcfms_k8s_cluster_cidr_chosen</vt:lpstr>
      <vt:lpstr>flt_vcfms_node_pool_end_ip</vt:lpstr>
      <vt:lpstr>flt_vcfms_node_pool_start_ip</vt:lpstr>
      <vt:lpstr>flt_vidb_base_dn</vt:lpstr>
      <vt:lpstr>flt_vidb_bind_password</vt:lpstr>
      <vt:lpstr>flt_vidb_bind_username</vt:lpstr>
      <vt:lpstr>flt_vidb_chosen</vt:lpstr>
      <vt:lpstr>flt_vidb_directory_name</vt:lpstr>
      <vt:lpstr>flt_vidb_directory_search_chosen</vt:lpstr>
      <vt:lpstr>flt_vidb_distinguished_name</vt:lpstr>
      <vt:lpstr>flt_vidb_employeeID</vt:lpstr>
      <vt:lpstr>flt_vidb_encrypted_cert</vt:lpstr>
      <vt:lpstr>flt_vidb_encrypted_connection_chosen</vt:lpstr>
      <vt:lpstr>flt_vidb_first_name</vt:lpstr>
      <vt:lpstr>flt_vidb_global_catalog_chosen</vt:lpstr>
      <vt:lpstr>flt_vidb_group_base_dn</vt:lpstr>
      <vt:lpstr>flt_vidb_hostname</vt:lpstr>
      <vt:lpstr>flt_vidb_identity_provider_chosen</vt:lpstr>
      <vt:lpstr>flt_vidb_last_name</vt:lpstr>
      <vt:lpstr>flt_vidb_mail</vt:lpstr>
      <vt:lpstr>flt_vidb_primary_domain_controller</vt:lpstr>
      <vt:lpstr>flt_vidb_primary_domain_controller_port</vt:lpstr>
      <vt:lpstr>flt_vidb_result</vt:lpstr>
      <vt:lpstr>flt_vidb_secondary_domain_controller</vt:lpstr>
      <vt:lpstr>flt_vidb_secondary_domain_controller_port</vt:lpstr>
      <vt:lpstr>flt_vidb_server_location_chosen</vt:lpstr>
      <vt:lpstr>flt_vidb_user_base_dn</vt:lpstr>
      <vt:lpstr>flt_vidb_user_name</vt:lpstr>
      <vt:lpstr>flt_vidb_user_principal_name</vt:lpstr>
      <vt:lpstr>flt_vidb_vip_fqdn</vt:lpstr>
      <vt:lpstr>flt_vidb_vip_ip</vt:lpstr>
      <vt:lpstr>input_administrator_vsphere_local_password</vt:lpstr>
      <vt:lpstr>input_ca_administrator_password</vt:lpstr>
      <vt:lpstr>input_ca_administrator_username</vt:lpstr>
      <vt:lpstr>input_ca_algorithm</vt:lpstr>
      <vt:lpstr>input_ca_country</vt:lpstr>
      <vt:lpstr>input_ca_email_address</vt:lpstr>
      <vt:lpstr>input_ca_key_size</vt:lpstr>
      <vt:lpstr>input_ca_locality</vt:lpstr>
      <vt:lpstr>input_ca_organization</vt:lpstr>
      <vt:lpstr>input_ca_organization_unit</vt:lpstr>
      <vt:lpstr>input_ca_state</vt:lpstr>
      <vt:lpstr>input_ca_template_name</vt:lpstr>
      <vt:lpstr>input_certificate_authority_fqdn</vt:lpstr>
      <vt:lpstr>input_certificate_authority_name</vt:lpstr>
      <vt:lpstr>input_child_dns_zone</vt:lpstr>
      <vt:lpstr>input_cluster_az1_host_overlay_cidr</vt:lpstr>
      <vt:lpstr>input_cluster_az1_host_overlay_gateway_ip</vt:lpstr>
      <vt:lpstr>input_cluster_az1_host_overlay_network_pool_description</vt:lpstr>
      <vt:lpstr>input_cluster_az1_host_overlay_network_pool_name</vt:lpstr>
      <vt:lpstr>input_cluster_az1_host_overlay_network_profile_name</vt:lpstr>
      <vt:lpstr>input_cluster_az1_host_overlay_pool_end_ip</vt:lpstr>
      <vt:lpstr>input_cluster_az1_host_overlay_pool_start_ip</vt:lpstr>
      <vt:lpstr>input_cluster_az1_host_overlay_uplink_profile_name</vt:lpstr>
      <vt:lpstr>input_cluster_az1_host_overlay_vlan</vt:lpstr>
      <vt:lpstr>input_cluster_az1_host1_fqdn</vt:lpstr>
      <vt:lpstr>input_cluster_az1_host1_mgmt_ip</vt:lpstr>
      <vt:lpstr>input_cluster_az1_host10_fqdn</vt:lpstr>
      <vt:lpstr>input_cluster_az1_host10_mgmt_ip</vt:lpstr>
      <vt:lpstr>input_cluster_az1_host11_fqdn</vt:lpstr>
      <vt:lpstr>input_cluster_az1_host11_mgmt_ip</vt:lpstr>
      <vt:lpstr>input_cluster_az1_host12_fqdn</vt:lpstr>
      <vt:lpstr>input_cluster_az1_host12_mgmt_ip</vt:lpstr>
      <vt:lpstr>input_cluster_az1_host13_fqdn</vt:lpstr>
      <vt:lpstr>input_cluster_az1_host13_mgmt_ip</vt:lpstr>
      <vt:lpstr>input_cluster_az1_host14_fqdn</vt:lpstr>
      <vt:lpstr>input_cluster_az1_host14_mgmt_ip</vt:lpstr>
      <vt:lpstr>input_cluster_az1_host15_fqdn</vt:lpstr>
      <vt:lpstr>input_cluster_az1_host15_mgmt_ip</vt:lpstr>
      <vt:lpstr>input_cluster_az1_host16_fqdn</vt:lpstr>
      <vt:lpstr>input_cluster_az1_host16_mgmt_ip</vt:lpstr>
      <vt:lpstr>input_cluster_az1_host2_fqdn</vt:lpstr>
      <vt:lpstr>input_cluster_az1_host2_mgmt_ip</vt:lpstr>
      <vt:lpstr>input_cluster_az1_host3_fqdn</vt:lpstr>
      <vt:lpstr>input_cluster_az1_host3_mgmt_ip</vt:lpstr>
      <vt:lpstr>input_cluster_az1_host4_fqdn</vt:lpstr>
      <vt:lpstr>input_cluster_az1_host4_mgmt_ip</vt:lpstr>
      <vt:lpstr>input_cluster_az1_host5_fqdn</vt:lpstr>
      <vt:lpstr>input_cluster_az1_host5_mgmt_ip</vt:lpstr>
      <vt:lpstr>input_cluster_az1_host6_fqdn</vt:lpstr>
      <vt:lpstr>input_cluster_az1_host6_mgmt_ip</vt:lpstr>
      <vt:lpstr>input_cluster_az1_host7_fqdn</vt:lpstr>
      <vt:lpstr>input_cluster_az1_host7_mgmt_ip</vt:lpstr>
      <vt:lpstr>input_cluster_az1_host8_fqdn</vt:lpstr>
      <vt:lpstr>input_cluster_az1_host8_mgmt_ip</vt:lpstr>
      <vt:lpstr>input_cluster_az1_host9_fqdn</vt:lpstr>
      <vt:lpstr>input_cluster_az1_host9_mgmt_ip</vt:lpstr>
      <vt:lpstr>input_cluster_az1_mgmt_cidr</vt:lpstr>
      <vt:lpstr>input_cluster_az1_mgmt_gateway_ip</vt:lpstr>
      <vt:lpstr>input_cluster_az1_mgmt_mtu</vt:lpstr>
      <vt:lpstr>input_cluster_az1_mgmt_pg</vt:lpstr>
      <vt:lpstr>input_cluster_az1_mgmt_vlan</vt:lpstr>
      <vt:lpstr>input_cluster_az1_mgmt_vm_pg</vt:lpstr>
      <vt:lpstr>input_cluster_az1_nsx_uplink_count</vt:lpstr>
      <vt:lpstr>input_cluster_az1_nsx_uplink1</vt:lpstr>
      <vt:lpstr>input_cluster_az1_nsx_uplink1_active</vt:lpstr>
      <vt:lpstr>input_cluster_az1_nsx_uplink2</vt:lpstr>
      <vt:lpstr>input_cluster_az1_nsx_uplink2_active</vt:lpstr>
      <vt:lpstr>input_cluster_az1_pool_name</vt:lpstr>
      <vt:lpstr>input_cluster_az1_principal_storage_gateway_cidr</vt:lpstr>
      <vt:lpstr>input_cluster_az1_principal_storage_mtu</vt:lpstr>
      <vt:lpstr>input_cluster_az1_principal_storage_pg</vt:lpstr>
      <vt:lpstr>input_cluster_az1_principal_storage_pool_end_ip</vt:lpstr>
      <vt:lpstr>input_cluster_az1_principal_storage_pool_start_ip</vt:lpstr>
      <vt:lpstr>input_cluster_az1_principal_storage_vlan</vt:lpstr>
      <vt:lpstr>input_cluster_az1_secondary_storage_gateway_cidr</vt:lpstr>
      <vt:lpstr>input_cluster_az1_secondary_storage_mtu</vt:lpstr>
      <vt:lpstr>input_cluster_az1_secondary_storage_pool_end_ip</vt:lpstr>
      <vt:lpstr>input_cluster_az1_secondary_storage_pool_start_ip</vt:lpstr>
      <vt:lpstr>input_cluster_az1_secondary_storage_vlan</vt:lpstr>
      <vt:lpstr>input_cluster_az1_storage_cluster_gateway_cidr</vt:lpstr>
      <vt:lpstr>input_cluster_az1_storage_cluster_mtu</vt:lpstr>
      <vt:lpstr>input_cluster_az1_storage_cluster_pool_end_ip</vt:lpstr>
      <vt:lpstr>input_cluster_az1_storage_cluster_pool_start_ip</vt:lpstr>
      <vt:lpstr>input_cluster_az1_storage_cluster_vlan</vt:lpstr>
      <vt:lpstr>input_cluster_az1_vmotion_gateway_cidr</vt:lpstr>
      <vt:lpstr>input_cluster_az1_vmotion_mtu</vt:lpstr>
      <vt:lpstr>input_cluster_az1_vmotion_pg</vt:lpstr>
      <vt:lpstr>input_cluster_az1_vmotion_pool_end_ip</vt:lpstr>
      <vt:lpstr>input_cluster_az1_vmotion_pool_start_ip</vt:lpstr>
      <vt:lpstr>input_cluster_az1_vmotion_vlan</vt:lpstr>
      <vt:lpstr>input_cluster_az1_vsan_storage_client_pg</vt:lpstr>
      <vt:lpstr>input_cluster_az2_host_overlay_cidr</vt:lpstr>
      <vt:lpstr>input_cluster_az2_host_overlay_gateway_ip</vt:lpstr>
      <vt:lpstr>input_cluster_az2_host_overlay_gateway_mtu</vt:lpstr>
      <vt:lpstr>input_cluster_az2_host_overlay_network_pool_name</vt:lpstr>
      <vt:lpstr>input_cluster_az2_host_overlay_network_profile_name</vt:lpstr>
      <vt:lpstr>input_cluster_az2_host_overlay_pool_end_ip</vt:lpstr>
      <vt:lpstr>input_cluster_az2_host_overlay_pool_start_ip</vt:lpstr>
      <vt:lpstr>input_cluster_az2_host_overlay_uplink_profile_name</vt:lpstr>
      <vt:lpstr>input_cluster_az2_host_overlay_vlan</vt:lpstr>
      <vt:lpstr>input_cluster_az2_host1_fqdn</vt:lpstr>
      <vt:lpstr>input_cluster_az2_host1_mgmt_ip</vt:lpstr>
      <vt:lpstr>input_cluster_az2_host10_fqdn</vt:lpstr>
      <vt:lpstr>input_cluster_az2_host10_mgmt_ip</vt:lpstr>
      <vt:lpstr>input_cluster_az2_host11_fqdn</vt:lpstr>
      <vt:lpstr>input_cluster_az2_host11_mgmt_ip</vt:lpstr>
      <vt:lpstr>input_cluster_az2_host12_fqdn</vt:lpstr>
      <vt:lpstr>input_cluster_az2_host12_mgmt_ip</vt:lpstr>
      <vt:lpstr>input_cluster_az2_host13_fqdn</vt:lpstr>
      <vt:lpstr>input_cluster_az2_host13_mgmt_ip</vt:lpstr>
      <vt:lpstr>input_cluster_az2_host14_fqdn</vt:lpstr>
      <vt:lpstr>input_cluster_az2_host14_mgmt_ip</vt:lpstr>
      <vt:lpstr>input_cluster_az2_host15_fqdn</vt:lpstr>
      <vt:lpstr>input_cluster_az2_host15_mgmt_ip</vt:lpstr>
      <vt:lpstr>input_cluster_az2_host16_fqdn</vt:lpstr>
      <vt:lpstr>input_cluster_az2_host16_mgmt_ip</vt:lpstr>
      <vt:lpstr>input_cluster_az2_host2_fqdn</vt:lpstr>
      <vt:lpstr>input_cluster_az2_host2_mgmt_ip</vt:lpstr>
      <vt:lpstr>input_cluster_az2_host3_fqdn</vt:lpstr>
      <vt:lpstr>input_cluster_az2_host3_mgmt_ip</vt:lpstr>
      <vt:lpstr>input_cluster_az2_host4_fqdn</vt:lpstr>
      <vt:lpstr>input_cluster_az2_host4_mgmt_ip</vt:lpstr>
      <vt:lpstr>input_cluster_az2_host5_fqdn</vt:lpstr>
      <vt:lpstr>input_cluster_az2_host5_mgmt_ip</vt:lpstr>
      <vt:lpstr>input_cluster_az2_host6_fqdn</vt:lpstr>
      <vt:lpstr>input_cluster_az2_host6_mgmt_ip</vt:lpstr>
      <vt:lpstr>input_cluster_az2_host7_fqdn</vt:lpstr>
      <vt:lpstr>input_cluster_az2_host7_mgmt_ip</vt:lpstr>
      <vt:lpstr>input_cluster_az2_host8_fqdn</vt:lpstr>
      <vt:lpstr>input_cluster_az2_host8_mgmt_ip</vt:lpstr>
      <vt:lpstr>input_cluster_az2_host9_fqdn</vt:lpstr>
      <vt:lpstr>input_cluster_az2_host9_mgmt_ip</vt:lpstr>
      <vt:lpstr>input_cluster_az2_mgmt_cidr</vt:lpstr>
      <vt:lpstr>input_cluster_az2_mgmt_gateway_ip</vt:lpstr>
      <vt:lpstr>input_cluster_az2_mgmt_mtu</vt:lpstr>
      <vt:lpstr>input_cluster_az2_mgmt_vlan</vt:lpstr>
      <vt:lpstr>input_cluster_az2_pool_name</vt:lpstr>
      <vt:lpstr>input_cluster_az2_principal_storage_gateway_ip</vt:lpstr>
      <vt:lpstr>input_cluster_az2_principal_storage_mask</vt:lpstr>
      <vt:lpstr>input_cluster_az2_principal_storage_mtu</vt:lpstr>
      <vt:lpstr>input_cluster_az2_principal_storage_network</vt:lpstr>
      <vt:lpstr>input_cluster_az2_principal_storage_pool_end_ip</vt:lpstr>
      <vt:lpstr>input_cluster_az2_principal_storage_pool_start_ip</vt:lpstr>
      <vt:lpstr>input_cluster_az2_principal_storage_vlan</vt:lpstr>
      <vt:lpstr>input_cluster_az2_secondary_storage_gateway_ip</vt:lpstr>
      <vt:lpstr>input_cluster_az2_secondary_storage_mask</vt:lpstr>
      <vt:lpstr>input_cluster_az2_secondary_storage_mtu</vt:lpstr>
      <vt:lpstr>input_cluster_az2_secondary_storage_network</vt:lpstr>
      <vt:lpstr>input_cluster_az2_secondary_storage_pool_end_ip</vt:lpstr>
      <vt:lpstr>input_cluster_az2_secondary_storage_pool_start_ip</vt:lpstr>
      <vt:lpstr>input_cluster_az2_secondary_storage_vlan</vt:lpstr>
      <vt:lpstr>input_cluster_az2_storage_cluster_gateway_ip</vt:lpstr>
      <vt:lpstr>input_cluster_az2_storage_cluster_mask</vt:lpstr>
      <vt:lpstr>input_cluster_az2_storage_cluster_mtu</vt:lpstr>
      <vt:lpstr>input_cluster_az2_storage_cluster_network</vt:lpstr>
      <vt:lpstr>input_cluster_az2_storage_cluster_pool_end_ip</vt:lpstr>
      <vt:lpstr>input_cluster_az2_storage_cluster_pool_start_ip</vt:lpstr>
      <vt:lpstr>input_cluster_az2_storage_cluster_vlan</vt:lpstr>
      <vt:lpstr>input_cluster_az2_tor1_peer_asn</vt:lpstr>
      <vt:lpstr>input_cluster_az2_tor1_peer_ip</vt:lpstr>
      <vt:lpstr>input_cluster_az2_tor2_peer_asn</vt:lpstr>
      <vt:lpstr>input_cluster_az2_tor2_peer_ip</vt:lpstr>
      <vt:lpstr>input_cluster_az2_vmotion_gateway_ip</vt:lpstr>
      <vt:lpstr>input_cluster_az2_vmotion_mask</vt:lpstr>
      <vt:lpstr>input_cluster_az2_vmotion_mtu</vt:lpstr>
      <vt:lpstr>input_cluster_az2_vmotion_network</vt:lpstr>
      <vt:lpstr>input_cluster_az2_vmotion_pool_end_ip</vt:lpstr>
      <vt:lpstr>input_cluster_az2_vmotion_pool_start_ip</vt:lpstr>
      <vt:lpstr>input_cluster_az2_vmotion_vlan</vt:lpstr>
      <vt:lpstr>input_cluster_cluster_sddc_id</vt:lpstr>
      <vt:lpstr>input_cluster_datacenter</vt:lpstr>
      <vt:lpstr>input_cluster_domain_name</vt:lpstr>
      <vt:lpstr>input_cluster_esx_root_password</vt:lpstr>
      <vt:lpstr>input_cluster_esx_root_username</vt:lpstr>
      <vt:lpstr>input_cluster_host_overlay_transportzone</vt:lpstr>
      <vt:lpstr>input_cluster_image_name</vt:lpstr>
      <vt:lpstr>input_cluster_name</vt:lpstr>
      <vt:lpstr>input_cluster_nfs_datastore_name</vt:lpstr>
      <vt:lpstr>input_cluster_nfs_server_address</vt:lpstr>
      <vt:lpstr>input_cluster_nfs_share_path</vt:lpstr>
      <vt:lpstr>input_cluster_nsx_vlan_transport_zone_name</vt:lpstr>
      <vt:lpstr>input_cluster_nsxt_vip_fqdn</vt:lpstr>
      <vt:lpstr>input_cluster_storage_cluster_name</vt:lpstr>
      <vt:lpstr>input_cluster_vc_fqdn</vt:lpstr>
      <vt:lpstr>input_cluster_vds01_lag_name</vt:lpstr>
      <vt:lpstr>input_cluster_vds01_mtu</vt:lpstr>
      <vt:lpstr>input_cluster_vds01_name</vt:lpstr>
      <vt:lpstr>input_cluster_vds01_pnics</vt:lpstr>
      <vt:lpstr>input_cluster_vds01_uplink_count</vt:lpstr>
      <vt:lpstr>input_cluster_vds02_lag_name</vt:lpstr>
      <vt:lpstr>input_cluster_vds02_mtu</vt:lpstr>
      <vt:lpstr>input_cluster_vds02_name</vt:lpstr>
      <vt:lpstr>input_cluster_vds02_pnics</vt:lpstr>
      <vt:lpstr>input_cluster_vds02_uplink_count</vt:lpstr>
      <vt:lpstr>input_cluster_vds03_lag_name</vt:lpstr>
      <vt:lpstr>input_cluster_vds03_mtu</vt:lpstr>
      <vt:lpstr>input_cluster_vds03_name</vt:lpstr>
      <vt:lpstr>input_cluster_vds03_pnics</vt:lpstr>
      <vt:lpstr>input_cluster_vds03_uplink_count</vt:lpstr>
      <vt:lpstr>input_cluster_vmfs_datastore_name</vt:lpstr>
      <vt:lpstr>input_cluster_vsan_datastore</vt:lpstr>
      <vt:lpstr>input_cluster_vsan_dit_rekey_custom_interval</vt:lpstr>
      <vt:lpstr>input_cluster_vsan_dit_rekey_default_interval</vt:lpstr>
      <vt:lpstr>input_cluster_witness_cluster</vt:lpstr>
      <vt:lpstr>input_cluster_witness_dns1_ip</vt:lpstr>
      <vt:lpstr>input_cluster_witness_dns2_ip</vt:lpstr>
      <vt:lpstr>input_cluster_witness_fqdn</vt:lpstr>
      <vt:lpstr>input_cluster_witness_hostname</vt:lpstr>
      <vt:lpstr>input_cluster_witness_ip</vt:lpstr>
      <vt:lpstr>input_cluster_witness_mgmt_pg</vt:lpstr>
      <vt:lpstr>input_cluster_witness_ntp1_server</vt:lpstr>
      <vt:lpstr>input_cluster_witness_ntp2_server</vt:lpstr>
      <vt:lpstr>input_cluster_witness_vm_folder</vt:lpstr>
      <vt:lpstr>input_cluster_witness_vsan_datastore</vt:lpstr>
      <vt:lpstr>input_cluster_witness_zone_vc_fqdn</vt:lpstr>
      <vt:lpstr>input_cluster_witnessaz_mask</vt:lpstr>
      <vt:lpstr>input_cluster_witnessaz_mgmt_cidr</vt:lpstr>
      <vt:lpstr>input_cluster_witnessaz_mgmt_gateway_ip</vt:lpstr>
      <vt:lpstr>input_cluster_witnessaz_mgmt_mtu</vt:lpstr>
      <vt:lpstr>input_cluster_witnessaz_mgmt_vlan</vt:lpstr>
      <vt:lpstr>input_cr_clean_room</vt:lpstr>
      <vt:lpstr>input_cr_console_cloud</vt:lpstr>
      <vt:lpstr>input_cr_mgmt_protect_vc_domain</vt:lpstr>
      <vt:lpstr>input_cr_mgmt_protect_vc_fqdn</vt:lpstr>
      <vt:lpstr>input_cr_wld_pnr_fqdn</vt:lpstr>
      <vt:lpstr>input_cr_wld_pnr_ip</vt:lpstr>
      <vt:lpstr>input_cr_wld_protect_vc_replication_user</vt:lpstr>
      <vt:lpstr>input_cr_wld_vrms_pg</vt:lpstr>
      <vt:lpstr>input_domain_controller_hostname</vt:lpstr>
      <vt:lpstr>input_esxi_root_password</vt:lpstr>
      <vt:lpstr>input_flt_auto_node_pool_end_ip</vt:lpstr>
      <vt:lpstr>input_flt_auto_node_pool_start_ip</vt:lpstr>
      <vt:lpstr>input_flt_auto_sr_fqdn</vt:lpstr>
      <vt:lpstr>input_flt_def_administrator_vsphere_local_password</vt:lpstr>
      <vt:lpstr>input_flt_def_administrator_vsphere_local_username</vt:lpstr>
      <vt:lpstr>input_flt_def_auto_admin_password</vt:lpstr>
      <vt:lpstr>input_flt_def_auto_cluster_cidr</vt:lpstr>
      <vt:lpstr>input_flt_def_auto_node_pool_end_ip</vt:lpstr>
      <vt:lpstr>input_flt_def_auto_node_pool_start_ip</vt:lpstr>
      <vt:lpstr>input_flt_def_auto_node_prefix</vt:lpstr>
      <vt:lpstr>input_flt_def_auto_sr_fqdn</vt:lpstr>
      <vt:lpstr>input_flt_def_auto_sr_ip</vt:lpstr>
      <vt:lpstr>input_flt_def_sddc_mgr_fqdn</vt:lpstr>
      <vt:lpstr>input_flt_def_vcf_operations_admin_password</vt:lpstr>
      <vt:lpstr>input_flt_def_vcf_operations_az1_vcf_mgmt_gateway_cidr</vt:lpstr>
      <vt:lpstr>input_flt_def_vcf_operations_az1_vcf_mgmt_pg</vt:lpstr>
      <vt:lpstr>input_flt_def_vcf_operations_data_root_password</vt:lpstr>
      <vt:lpstr>input_flt_def_vcf_operations_lc_fqdn</vt:lpstr>
      <vt:lpstr>input_flt_def_vcf_operations_lc_ip</vt:lpstr>
      <vt:lpstr>input_flt_def_vcf_operations_nodea_fqdn</vt:lpstr>
      <vt:lpstr>input_flt_def_vcf_operations_nodea_ip</vt:lpstr>
      <vt:lpstr>input_flt_def_vcf_operations_nodeb_fqdn</vt:lpstr>
      <vt:lpstr>input_flt_def_vcf_operations_nodeb_ip</vt:lpstr>
      <vt:lpstr>input_flt_def_vcf_operations_nodec_fqdn</vt:lpstr>
      <vt:lpstr>input_flt_def_vcf_operations_nodec_ip</vt:lpstr>
      <vt:lpstr>input_flt_def_vcf_operations_proxy_az1_vcf_mgmt_gateway_cidr</vt:lpstr>
      <vt:lpstr>input_flt_def_vcf_operations_proxy_az1_vcf_mgmt_pg</vt:lpstr>
      <vt:lpstr>input_flt_def_vcf_operations_proxy_fqdn</vt:lpstr>
      <vt:lpstr>input_flt_def_vcf_operations_proxy_ip</vt:lpstr>
      <vt:lpstr>input_flt_def_vcf_operations_proxy_root_password</vt:lpstr>
      <vt:lpstr>input_flt_def_vcf_operations_replica_root_password</vt:lpstr>
      <vt:lpstr>input_flt_def_vcf_operations_root_password</vt:lpstr>
      <vt:lpstr>input_flt_def_vcf_operations_virtual_fqdn</vt:lpstr>
      <vt:lpstr>input_flt_def_vcf_operations_virtual_ip</vt:lpstr>
      <vt:lpstr>input_flt_def_vra_virtual_fqdn</vt:lpstr>
      <vt:lpstr>input_flt_def_vra_virtual_ip</vt:lpstr>
      <vt:lpstr>input_flt_fc_fqdn</vt:lpstr>
      <vt:lpstr>input_flt_fc_ip</vt:lpstr>
      <vt:lpstr>input_flt_ic_fqdn</vt:lpstr>
      <vt:lpstr>input_flt_ic_ip</vt:lpstr>
      <vt:lpstr>input_flt_lc_fqdn</vt:lpstr>
      <vt:lpstr>input_flt_lc_ip</vt:lpstr>
      <vt:lpstr>input_flt_logs_admin_password</vt:lpstr>
      <vt:lpstr>input_flt_logs_admin_username</vt:lpstr>
      <vt:lpstr>input_flt_logs_vip_fqdn</vt:lpstr>
      <vt:lpstr>input_flt_logs_vip_ip</vt:lpstr>
      <vt:lpstr>input_flt_net_admin_password</vt:lpstr>
      <vt:lpstr>input_flt_net_nodea_fqdn</vt:lpstr>
      <vt:lpstr>input_flt_net_nodea_gateway_cidr</vt:lpstr>
      <vt:lpstr>input_flt_net_nodea_ip</vt:lpstr>
      <vt:lpstr>input_flt_net_nodea_pg</vt:lpstr>
      <vt:lpstr>input_flt_net_prxy_fqdn</vt:lpstr>
      <vt:lpstr>input_flt_net_prxy_gateway_cidr</vt:lpstr>
      <vt:lpstr>input_flt_net_prxy_ip</vt:lpstr>
      <vt:lpstr>input_flt_net_prxy_pg</vt:lpstr>
      <vt:lpstr>input_flt_sr_fqdn</vt:lpstr>
      <vt:lpstr>input_flt_sr_ip</vt:lpstr>
      <vt:lpstr>input_flt_vcfms_node_pool_end_ip</vt:lpstr>
      <vt:lpstr>input_flt_vcfms_node_pool_start_ip</vt:lpstr>
      <vt:lpstr>input_flt_vidb_base_dn</vt:lpstr>
      <vt:lpstr>input_flt_vidb_bind_password</vt:lpstr>
      <vt:lpstr>input_flt_vidb_bind_username</vt:lpstr>
      <vt:lpstr>input_flt_vidb_directory_name</vt:lpstr>
      <vt:lpstr>input_flt_vidb_distinguished_name</vt:lpstr>
      <vt:lpstr>input_flt_vidb_employeeID</vt:lpstr>
      <vt:lpstr>input_flt_vidb_encrypted_cert</vt:lpstr>
      <vt:lpstr>input_flt_vidb_first_name</vt:lpstr>
      <vt:lpstr>input_flt_vidb_group_base_dn</vt:lpstr>
      <vt:lpstr>input_flt_vidb_last_name</vt:lpstr>
      <vt:lpstr>input_flt_vidb_mail</vt:lpstr>
      <vt:lpstr>input_flt_vidb_primary_domain_controller</vt:lpstr>
      <vt:lpstr>input_flt_vidb_primary_domain_controller_port</vt:lpstr>
      <vt:lpstr>input_flt_vidb_secondary_domain_controller</vt:lpstr>
      <vt:lpstr>input_flt_vidb_secondary_domain_controller_port</vt:lpstr>
      <vt:lpstr>input_flt_vidb_user_base_dn</vt:lpstr>
      <vt:lpstr>input_flt_vidb_user_name</vt:lpstr>
      <vt:lpstr>input_flt_vidb_user_principal_name</vt:lpstr>
      <vt:lpstr>input_flt_vidb_vip_fqdn</vt:lpstr>
      <vt:lpstr>input_flt_vidb_vip_ip</vt:lpstr>
      <vt:lpstr>input_mgmt_avilb_cluster_name</vt:lpstr>
      <vt:lpstr>input_mgmt_avilb_cluster_version</vt:lpstr>
      <vt:lpstr>input_mgmt_avilb_fqdn</vt:lpstr>
      <vt:lpstr>input_mgmt_avilb_ip</vt:lpstr>
      <vt:lpstr>input_mgmt_avilb_mgra_ip</vt:lpstr>
      <vt:lpstr>input_mgmt_avilb_mgrb_ip</vt:lpstr>
      <vt:lpstr>input_mgmt_avilb_mgrc_ip</vt:lpstr>
      <vt:lpstr>input_mgmt_avilb_root_password</vt:lpstr>
      <vt:lpstr>input_mgmt_avilb_vcfops_password</vt:lpstr>
      <vt:lpstr>input_mgmt_az1_dtgw_gateway_cidr</vt:lpstr>
      <vt:lpstr>input_mgmt_az1_dtgw_vlan</vt:lpstr>
      <vt:lpstr>input_mgmt_az1_edge_overlay_cidr</vt:lpstr>
      <vt:lpstr>input_mgmt_az1_edge_overlay_gateway_ip</vt:lpstr>
      <vt:lpstr>input_mgmt_az1_edge_overlay_mask</vt:lpstr>
      <vt:lpstr>input_mgmt_az1_edge_overlay_mtu</vt:lpstr>
      <vt:lpstr>input_mgmt_az1_edge_overlay_network_pool_name</vt:lpstr>
      <vt:lpstr>input_mgmt_az1_edge_overlay_pool_end_ip</vt:lpstr>
      <vt:lpstr>input_mgmt_az1_edge_overlay_pool_start_ip</vt:lpstr>
      <vt:lpstr>input_mgmt_az1_edge_overlay_vlan</vt:lpstr>
      <vt:lpstr>input_mgmt_az1_en1_edge_overlay_interface_ip_1_ip</vt:lpstr>
      <vt:lpstr>input_mgmt_az1_en1_edge_overlay_interface_ip_2_ip</vt:lpstr>
      <vt:lpstr>input_mgmt_az1_en1_eth0_uplink0</vt:lpstr>
      <vt:lpstr>input_mgmt_az1_en1_eth0_uplink1</vt:lpstr>
      <vt:lpstr>input_mgmt_az1_en1_eth1_uplink0</vt:lpstr>
      <vt:lpstr>input_mgmt_az1_en1_eth1_uplink1</vt:lpstr>
      <vt:lpstr>input_mgmt_az1_en1_fqdn</vt:lpstr>
      <vt:lpstr>input_mgmt_az1_en1_mgmt_cidr</vt:lpstr>
      <vt:lpstr>input_mgmt_az1_en1_uplink01_interface_cidr</vt:lpstr>
      <vt:lpstr>input_mgmt_az1_en1_uplink02_interface_cidr</vt:lpstr>
      <vt:lpstr>input_mgmt_az1_en2_edge_overlay_interface_ip_1_ip</vt:lpstr>
      <vt:lpstr>input_mgmt_az1_en2_edge_overlay_interface_ip_2_ip</vt:lpstr>
      <vt:lpstr>input_mgmt_az1_en2_eth0_uplink0</vt:lpstr>
      <vt:lpstr>input_mgmt_az1_en2_eth0_uplink1</vt:lpstr>
      <vt:lpstr>input_mgmt_az1_en2_eth1_uplink0</vt:lpstr>
      <vt:lpstr>input_mgmt_az1_en2_eth1_uplink1</vt:lpstr>
      <vt:lpstr>input_mgmt_az1_en2_fqdn</vt:lpstr>
      <vt:lpstr>input_mgmt_az1_en2_mgmt_cidr</vt:lpstr>
      <vt:lpstr>input_mgmt_az1_en2_uplink01_interface_cidr</vt:lpstr>
      <vt:lpstr>input_mgmt_az1_en2_uplink02_interface_cidr</vt:lpstr>
      <vt:lpstr>input_mgmt_az1_host_overlay_gateway_cidr</vt:lpstr>
      <vt:lpstr>input_mgmt_az1_host_overlay_mtu</vt:lpstr>
      <vt:lpstr>input_mgmt_az1_host_overlay_network_pool_description</vt:lpstr>
      <vt:lpstr>input_mgmt_az1_host_overlay_network_pool_name</vt:lpstr>
      <vt:lpstr>input_mgmt_az1_host_overlay_pool_end_ip</vt:lpstr>
      <vt:lpstr>input_mgmt_az1_host_overlay_pool_start_ip</vt:lpstr>
      <vt:lpstr>input_mgmt_az1_host_overlay_vlan</vt:lpstr>
      <vt:lpstr>input_mgmt_az1_host1_fqdn</vt:lpstr>
      <vt:lpstr>input_mgmt_az1_host1_mgmt_ip</vt:lpstr>
      <vt:lpstr>input_mgmt_az1_host1_vrms_ip</vt:lpstr>
      <vt:lpstr>input_mgmt_az1_host10_fqdn</vt:lpstr>
      <vt:lpstr>input_mgmt_az1_host10_mgmt_ip</vt:lpstr>
      <vt:lpstr>input_mgmt_az1_host10_vrms_ip</vt:lpstr>
      <vt:lpstr>input_mgmt_az1_host11_fqdn</vt:lpstr>
      <vt:lpstr>input_mgmt_az1_host11_mgmt_ip</vt:lpstr>
      <vt:lpstr>input_mgmt_az1_host11_vrms_ip</vt:lpstr>
      <vt:lpstr>input_mgmt_az1_host12_fqdn</vt:lpstr>
      <vt:lpstr>input_mgmt_az1_host12_mgmt_ip</vt:lpstr>
      <vt:lpstr>input_mgmt_az1_host12_vrms_ip</vt:lpstr>
      <vt:lpstr>input_mgmt_az1_host13_fqdn</vt:lpstr>
      <vt:lpstr>input_mgmt_az1_host13_mgmt_ip</vt:lpstr>
      <vt:lpstr>input_mgmt_az1_host13_vrms_ip</vt:lpstr>
      <vt:lpstr>input_mgmt_az1_host14_fqdn</vt:lpstr>
      <vt:lpstr>input_mgmt_az1_host14_mgmt_ip</vt:lpstr>
      <vt:lpstr>input_mgmt_az1_host14_vrms_ip</vt:lpstr>
      <vt:lpstr>input_mgmt_az1_host15_fqdn</vt:lpstr>
      <vt:lpstr>input_mgmt_az1_host15_mgmt_ip</vt:lpstr>
      <vt:lpstr>input_mgmt_az1_host15_vrms_ip</vt:lpstr>
      <vt:lpstr>input_mgmt_az1_host16_fqdn</vt:lpstr>
      <vt:lpstr>input_mgmt_az1_host16_mgmt_ip</vt:lpstr>
      <vt:lpstr>input_mgmt_az1_host16_vrms_ip</vt:lpstr>
      <vt:lpstr>input_mgmt_az1_host2_fqdn</vt:lpstr>
      <vt:lpstr>input_mgmt_az1_host2_mgmt_ip</vt:lpstr>
      <vt:lpstr>input_mgmt_az1_host2_vrms_ip</vt:lpstr>
      <vt:lpstr>input_mgmt_az1_host3_fqdn</vt:lpstr>
      <vt:lpstr>input_mgmt_az1_host3_mgmt_ip</vt:lpstr>
      <vt:lpstr>input_mgmt_az1_host3_vrms_ip</vt:lpstr>
      <vt:lpstr>input_mgmt_az1_host4_fqdn</vt:lpstr>
      <vt:lpstr>input_mgmt_az1_host4_mgmt_ip</vt:lpstr>
      <vt:lpstr>input_mgmt_az1_host4_vrms_ip</vt:lpstr>
      <vt:lpstr>input_mgmt_az1_host5_fqdn</vt:lpstr>
      <vt:lpstr>input_mgmt_az1_host5_mgmt_ip</vt:lpstr>
      <vt:lpstr>input_mgmt_az1_host5_vrms_ip</vt:lpstr>
      <vt:lpstr>input_mgmt_az1_host6_fqdn</vt:lpstr>
      <vt:lpstr>input_mgmt_az1_host6_mgmt_ip</vt:lpstr>
      <vt:lpstr>input_mgmt_az1_host6_vrms_ip</vt:lpstr>
      <vt:lpstr>input_mgmt_az1_host7_fqdn</vt:lpstr>
      <vt:lpstr>input_mgmt_az1_host7_mgmt_ip</vt:lpstr>
      <vt:lpstr>input_mgmt_az1_host7_vrms_ip</vt:lpstr>
      <vt:lpstr>input_mgmt_az1_host8_fqdn</vt:lpstr>
      <vt:lpstr>input_mgmt_az1_host8_mgmt_ip</vt:lpstr>
      <vt:lpstr>input_mgmt_az1_host8_vrms_ip</vt:lpstr>
      <vt:lpstr>input_mgmt_az1_host9_fqdn</vt:lpstr>
      <vt:lpstr>input_mgmt_az1_host9_mgmt_ip</vt:lpstr>
      <vt:lpstr>input_mgmt_az1_host9_vrms_ip</vt:lpstr>
      <vt:lpstr>input_mgmt_az1_mgmt_gateway_cidr</vt:lpstr>
      <vt:lpstr>input_mgmt_az1_mgmt_mtu</vt:lpstr>
      <vt:lpstr>input_mgmt_az1_mgmt_vlan</vt:lpstr>
      <vt:lpstr>input_mgmt_az1_mgmt_vm_gateway_cidr</vt:lpstr>
      <vt:lpstr>input_mgmt_az1_mgmt_vm_mtu</vt:lpstr>
      <vt:lpstr>input_mgmt_az1_mgmt_vm_vlan</vt:lpstr>
      <vt:lpstr>input_mgmt_az1_rtep_ip_pool_name</vt:lpstr>
      <vt:lpstr>input_mgmt_az1_rtep_overlay_cidr</vt:lpstr>
      <vt:lpstr>input_mgmt_az1_rtep_overlay_gateway_ip</vt:lpstr>
      <vt:lpstr>input_mgmt_az1_rtep_overlay_vlan</vt:lpstr>
      <vt:lpstr>input_mgmt_az1_secondary_storage_gateway_cidr</vt:lpstr>
      <vt:lpstr>input_mgmt_az1_secondary_storage_mtu</vt:lpstr>
      <vt:lpstr>input_mgmt_az1_secondary_storage_pool_end_ip</vt:lpstr>
      <vt:lpstr>input_mgmt_az1_secondary_storage_pool_start_ip</vt:lpstr>
      <vt:lpstr>input_mgmt_az1_secondary_storage_vlan</vt:lpstr>
      <vt:lpstr>input_mgmt_az1_tor1_peer_asn</vt:lpstr>
      <vt:lpstr>input_mgmt_az1_tor1_peer_bgp_password</vt:lpstr>
      <vt:lpstr>input_mgmt_az1_tor1_peer_ip</vt:lpstr>
      <vt:lpstr>input_mgmt_az1_tor2_peer_asn</vt:lpstr>
      <vt:lpstr>input_mgmt_az1_tor2_peer_bgp_password</vt:lpstr>
      <vt:lpstr>input_mgmt_az1_tor2_peer_ip</vt:lpstr>
      <vt:lpstr>input_mgmt_az1_uplink01_cidr</vt:lpstr>
      <vt:lpstr>input_mgmt_az1_uplink01_gateway_ip</vt:lpstr>
      <vt:lpstr>input_mgmt_az1_uplink01_mtu</vt:lpstr>
      <vt:lpstr>input_mgmt_az1_uplink01_vlan</vt:lpstr>
      <vt:lpstr>input_mgmt_az1_uplink02_cidr</vt:lpstr>
      <vt:lpstr>input_mgmt_az1_uplink02_gateway_ip</vt:lpstr>
      <vt:lpstr>input_mgmt_az1_uplink02_mtu</vt:lpstr>
      <vt:lpstr>input_mgmt_az1_uplink02_vlan</vt:lpstr>
      <vt:lpstr>input_mgmt_az1_vcf_mgmt_gateway_cidr</vt:lpstr>
      <vt:lpstr>input_mgmt_az1_vcf_mgmt_gateway_ipv6_cidr</vt:lpstr>
      <vt:lpstr>input_mgmt_az1_vcf_mgmt_mtu</vt:lpstr>
      <vt:lpstr>input_mgmt_az1_vcf_mgmt_vlan</vt:lpstr>
      <vt:lpstr>input_mgmt_az1_vmotion_gateway_cidr</vt:lpstr>
      <vt:lpstr>input_mgmt_az1_vmotion_mtu</vt:lpstr>
      <vt:lpstr>input_mgmt_az1_vmotion_pool_end_ip</vt:lpstr>
      <vt:lpstr>input_mgmt_az1_vmotion_pool_start_ip</vt:lpstr>
      <vt:lpstr>input_mgmt_az1_vmotion_vlan</vt:lpstr>
      <vt:lpstr>input_mgmt_az1_vrms_mask</vt:lpstr>
      <vt:lpstr>input_mgmt_az1_vrms_mtu</vt:lpstr>
      <vt:lpstr>input_mgmt_az1_vrms_vlan</vt:lpstr>
      <vt:lpstr>input_mgmt_az1_vsan_gateway_cidr</vt:lpstr>
      <vt:lpstr>input_mgmt_az1_vsan_mtu</vt:lpstr>
      <vt:lpstr>input_mgmt_az1_vsan_pool_end_ip</vt:lpstr>
      <vt:lpstr>input_mgmt_az1_vsan_pool_start_ip</vt:lpstr>
      <vt:lpstr>input_mgmt_az1_vsan_vlan</vt:lpstr>
      <vt:lpstr>input_mgmt_az2_host_overlay_cidr</vt:lpstr>
      <vt:lpstr>input_mgmt_az2_host_overlay_gateway_ip</vt:lpstr>
      <vt:lpstr>input_mgmt_az2_host_overlay_mtu</vt:lpstr>
      <vt:lpstr>input_mgmt_az2_host_overlay_network_pool_name</vt:lpstr>
      <vt:lpstr>input_mgmt_az2_host_overlay_network_profile_name</vt:lpstr>
      <vt:lpstr>input_mgmt_az2_host_overlay_pool_end_ip</vt:lpstr>
      <vt:lpstr>input_mgmt_az2_host_overlay_pool_start_ip</vt:lpstr>
      <vt:lpstr>input_mgmt_az2_host_overlay_uplink_profile_name</vt:lpstr>
      <vt:lpstr>input_mgmt_az2_host_overlay_vlan</vt:lpstr>
      <vt:lpstr>input_mgmt_az2_host1_fqdn</vt:lpstr>
      <vt:lpstr>input_mgmt_az2_host1_mgmt_ip</vt:lpstr>
      <vt:lpstr>input_mgmt_az2_host1_sddc_id</vt:lpstr>
      <vt:lpstr>input_mgmt_az2_host1_vrms_ip</vt:lpstr>
      <vt:lpstr>input_mgmt_az2_host10_fqdn</vt:lpstr>
      <vt:lpstr>input_mgmt_az2_host10_mgmt_ip</vt:lpstr>
      <vt:lpstr>input_mgmt_az2_host10_vrms_ip</vt:lpstr>
      <vt:lpstr>input_mgmt_az2_host11_fqdn</vt:lpstr>
      <vt:lpstr>input_mgmt_az2_host11_mgmt_ip</vt:lpstr>
      <vt:lpstr>input_mgmt_az2_host11_vrms_ip</vt:lpstr>
      <vt:lpstr>input_mgmt_az2_host12_fqdn</vt:lpstr>
      <vt:lpstr>input_mgmt_az2_host12_mgmt_ip</vt:lpstr>
      <vt:lpstr>input_mgmt_az2_host12_vrms_ip</vt:lpstr>
      <vt:lpstr>input_mgmt_az2_host13_fqdn</vt:lpstr>
      <vt:lpstr>input_mgmt_az2_host13_mgmt_ip</vt:lpstr>
      <vt:lpstr>input_mgmt_az2_host13_vrms_ip</vt:lpstr>
      <vt:lpstr>input_mgmt_az2_host14_fqdn</vt:lpstr>
      <vt:lpstr>input_mgmt_az2_host14_mgmt_ip</vt:lpstr>
      <vt:lpstr>input_mgmt_az2_host14_vrms_ip</vt:lpstr>
      <vt:lpstr>input_mgmt_az2_host15_fqdn</vt:lpstr>
      <vt:lpstr>input_mgmt_az2_host15_mgmt_ip</vt:lpstr>
      <vt:lpstr>input_mgmt_az2_host15_vrms_ip</vt:lpstr>
      <vt:lpstr>input_mgmt_az2_host16_fqdn</vt:lpstr>
      <vt:lpstr>input_mgmt_az2_host16_mgmt_ip</vt:lpstr>
      <vt:lpstr>input_mgmt_az2_host16_vrms_ip</vt:lpstr>
      <vt:lpstr>input_mgmt_az2_host2_fqdn</vt:lpstr>
      <vt:lpstr>input_mgmt_az2_host2_mgmt_ip</vt:lpstr>
      <vt:lpstr>input_mgmt_az2_host2_sddc_id</vt:lpstr>
      <vt:lpstr>input_mgmt_az2_host2_vrms_ip</vt:lpstr>
      <vt:lpstr>input_mgmt_az2_host3_fqdn</vt:lpstr>
      <vt:lpstr>input_mgmt_az2_host3_mgmt_ip</vt:lpstr>
      <vt:lpstr>input_mgmt_az2_host3_sddc_id</vt:lpstr>
      <vt:lpstr>input_mgmt_az2_host3_vrms_ip</vt:lpstr>
      <vt:lpstr>input_mgmt_az2_host4_fqdn</vt:lpstr>
      <vt:lpstr>input_mgmt_az2_host4_mgmt_ip</vt:lpstr>
      <vt:lpstr>input_mgmt_az2_host4_sddc_id</vt:lpstr>
      <vt:lpstr>input_mgmt_az2_host4_vrms_ip</vt:lpstr>
      <vt:lpstr>input_mgmt_az2_host5_fqdn</vt:lpstr>
      <vt:lpstr>input_mgmt_az2_host5_mgmt_ip</vt:lpstr>
      <vt:lpstr>input_mgmt_az2_host5_vrms_ip</vt:lpstr>
      <vt:lpstr>input_mgmt_az2_host6_fqdn</vt:lpstr>
      <vt:lpstr>input_mgmt_az2_host6_mgmt_ip</vt:lpstr>
      <vt:lpstr>input_mgmt_az2_host6_vrms_ip</vt:lpstr>
      <vt:lpstr>input_mgmt_az2_host7_fqdn</vt:lpstr>
      <vt:lpstr>input_mgmt_az2_host7_mgmt_ip</vt:lpstr>
      <vt:lpstr>input_mgmt_az2_host7_vrms_ip</vt:lpstr>
      <vt:lpstr>input_mgmt_az2_host8_fqdn</vt:lpstr>
      <vt:lpstr>input_mgmt_az2_host8_mgmt_ip</vt:lpstr>
      <vt:lpstr>input_mgmt_az2_host8_vrms_ip</vt:lpstr>
      <vt:lpstr>input_mgmt_az2_host9_fqdn</vt:lpstr>
      <vt:lpstr>input_mgmt_az2_host9_mgmt_ip</vt:lpstr>
      <vt:lpstr>input_mgmt_az2_host9_vrms_ip</vt:lpstr>
      <vt:lpstr>input_mgmt_az2_mgmt_cidr</vt:lpstr>
      <vt:lpstr>input_mgmt_az2_mgmt_gateway_ip</vt:lpstr>
      <vt:lpstr>input_mgmt_az2_mgmt_mtu</vt:lpstr>
      <vt:lpstr>input_mgmt_az2_mgmt_vlan</vt:lpstr>
      <vt:lpstr>input_mgmt_az2_pool_name</vt:lpstr>
      <vt:lpstr>input_mgmt_az2_secondary_storage_gateway_ip</vt:lpstr>
      <vt:lpstr>input_mgmt_az2_secondary_storage_mask</vt:lpstr>
      <vt:lpstr>input_mgmt_az2_secondary_storage_mtu</vt:lpstr>
      <vt:lpstr>input_mgmt_az2_secondary_storage_network</vt:lpstr>
      <vt:lpstr>input_mgmt_az2_secondary_storage_pool_end_ip</vt:lpstr>
      <vt:lpstr>input_mgmt_az2_secondary_storage_pool_start_ip</vt:lpstr>
      <vt:lpstr>input_mgmt_az2_secondary_storage_vlan</vt:lpstr>
      <vt:lpstr>input_mgmt_az2_tor1_peer_asn</vt:lpstr>
      <vt:lpstr>input_mgmt_az2_tor1_peer_bgp_password</vt:lpstr>
      <vt:lpstr>input_mgmt_az2_tor1_peer_ip</vt:lpstr>
      <vt:lpstr>input_mgmt_az2_tor2_peer_asn</vt:lpstr>
      <vt:lpstr>input_mgmt_az2_tor2_peer_bgp_password</vt:lpstr>
      <vt:lpstr>input_mgmt_az2_tor2_peer_ip</vt:lpstr>
      <vt:lpstr>input_mgmt_az2_vmotion_gateway_ip</vt:lpstr>
      <vt:lpstr>input_mgmt_az2_vmotion_mask</vt:lpstr>
      <vt:lpstr>input_mgmt_az2_vmotion_mtu</vt:lpstr>
      <vt:lpstr>input_mgmt_az2_vmotion_network</vt:lpstr>
      <vt:lpstr>input_mgmt_az2_vmotion_pool_end_ip</vt:lpstr>
      <vt:lpstr>input_mgmt_az2_vmotion_pool_start_ip</vt:lpstr>
      <vt:lpstr>input_mgmt_az2_vmotion_vlan</vt:lpstr>
      <vt:lpstr>input_mgmt_az2_vsan_gateway_ip</vt:lpstr>
      <vt:lpstr>input_mgmt_az2_vsan_mask</vt:lpstr>
      <vt:lpstr>input_mgmt_az2_vsan_mtu</vt:lpstr>
      <vt:lpstr>input_mgmt_az2_vsan_network</vt:lpstr>
      <vt:lpstr>input_mgmt_az2_vsan_pool_end_ip</vt:lpstr>
      <vt:lpstr>input_mgmt_az2_vsan_pool_start_ip</vt:lpstr>
      <vt:lpstr>input_mgmt_az2_vsan_vlan</vt:lpstr>
      <vt:lpstr>input_mgmt_cl01_az1_mgmt_pg</vt:lpstr>
      <vt:lpstr>input_mgmt_cl01_az1_mgmt_vm_pg</vt:lpstr>
      <vt:lpstr>input_mgmt_cl01_az1_nfs_pg</vt:lpstr>
      <vt:lpstr>input_mgmt_cl01_az1_uplink01_pg</vt:lpstr>
      <vt:lpstr>input_mgmt_cl01_az1_uplink02_pg</vt:lpstr>
      <vt:lpstr>input_mgmt_cl01_az1_vcf_mgmt_pg</vt:lpstr>
      <vt:lpstr>input_mgmt_cl01_az1_vmotion_pg</vt:lpstr>
      <vt:lpstr>input_mgmt_cl01_az1_vsan_pg</vt:lpstr>
      <vt:lpstr>input_mgmt_cl01_cluster</vt:lpstr>
      <vt:lpstr>input_mgmt_cl01_cluster_sddc_id</vt:lpstr>
      <vt:lpstr>input_mgmt_cl01_nfs_server_ip</vt:lpstr>
      <vt:lpstr>input_mgmt_cl01_nfs_share</vt:lpstr>
      <vt:lpstr>input_mgmt_cl01_vds01_lag_name</vt:lpstr>
      <vt:lpstr>input_mgmt_cl01_vds01_mtu</vt:lpstr>
      <vt:lpstr>input_mgmt_cl01_vds01_name</vt:lpstr>
      <vt:lpstr>input_mgmt_cl01_vds01_uplink_count</vt:lpstr>
      <vt:lpstr>input_mgmt_cl01_vds01_uplink1</vt:lpstr>
      <vt:lpstr>input_mgmt_cl01_vds01_uplink2</vt:lpstr>
      <vt:lpstr>input_mgmt_cl01_vds02_lag_name</vt:lpstr>
      <vt:lpstr>input_mgmt_cl01_vds02_mtu</vt:lpstr>
      <vt:lpstr>input_mgmt_cl01_vds02_name</vt:lpstr>
      <vt:lpstr>input_mgmt_cl01_vds02_uplink_count</vt:lpstr>
      <vt:lpstr>input_mgmt_cl01_vds02_uplink1</vt:lpstr>
      <vt:lpstr>input_mgmt_cl01_vds02_uplink2</vt:lpstr>
      <vt:lpstr>input_mgmt_cl01_vds03_lag_name</vt:lpstr>
      <vt:lpstr>input_mgmt_cl01_vds03_mtu</vt:lpstr>
      <vt:lpstr>input_mgmt_cl01_vds03_name</vt:lpstr>
      <vt:lpstr>input_mgmt_cl01_vds03_uplink_count</vt:lpstr>
      <vt:lpstr>input_mgmt_cl01_vds03_uplink1</vt:lpstr>
      <vt:lpstr>input_mgmt_cl01_vds03_uplink2</vt:lpstr>
      <vt:lpstr>input_mgmt_cl01_vsan_datastore</vt:lpstr>
      <vt:lpstr>input_mgmt_cross_instance_linked_t0_name</vt:lpstr>
      <vt:lpstr>input_mgmt_datacenter</vt:lpstr>
      <vt:lpstr>input_mgmt_depot_activation_code</vt:lpstr>
      <vt:lpstr>input_mgmt_ec_mtu</vt:lpstr>
      <vt:lpstr>input_mgmt_ec_name</vt:lpstr>
      <vt:lpstr>input_mgmt_ec_rp_name</vt:lpstr>
      <vt:lpstr>input_mgmt_ec01_en01_host_group_affinity_rule_name</vt:lpstr>
      <vt:lpstr>input_mgmt_ec01_en02_host_group_affinity_rule_name</vt:lpstr>
      <vt:lpstr>input_mgmt_en_asn</vt:lpstr>
      <vt:lpstr>input_mgmt_existing_active_nsx_gm</vt:lpstr>
      <vt:lpstr>input_mgmt_existing_cross_instance_t0_name</vt:lpstr>
      <vt:lpstr>input_mgmt_host_overlay_transportzone</vt:lpstr>
      <vt:lpstr>input_mgmt_internet_proxy_address</vt:lpstr>
      <vt:lpstr>input_mgmt_internet_proxy_email</vt:lpstr>
      <vt:lpstr>input_mgmt_internet_proxy_password</vt:lpstr>
      <vt:lpstr>input_mgmt_internet_proxy_port</vt:lpstr>
      <vt:lpstr>input_mgmt_nsxt_en_admin_password</vt:lpstr>
      <vt:lpstr>input_mgmt_nsxt_en_root_password</vt:lpstr>
      <vt:lpstr>input_mgmt_nsxt_federation_global_manager_name</vt:lpstr>
      <vt:lpstr>input_mgmt_nsxt_federation_location_name</vt:lpstr>
      <vt:lpstr>input_mgmt_nsxt_global_mgr_anti_affinity_rule_name</vt:lpstr>
      <vt:lpstr>input_mgmt_nsxt_global_mgr_certificate_id</vt:lpstr>
      <vt:lpstr>input_mgmt_nsxt_global_mgr_cluster_id</vt:lpstr>
      <vt:lpstr>input_mgmt_nsxt_global_mgr_vmca_signed_thumbprint</vt:lpstr>
      <vt:lpstr>input_mgmt_nsxt_global_mgra_fqdn</vt:lpstr>
      <vt:lpstr>input_mgmt_nsxt_global_mgra_hostname</vt:lpstr>
      <vt:lpstr>input_mgmt_nsxt_global_mgra_ip</vt:lpstr>
      <vt:lpstr>input_mgmt_nsxt_global_mgrb_fqdn</vt:lpstr>
      <vt:lpstr>input_mgmt_nsxt_global_mgrb_hostname</vt:lpstr>
      <vt:lpstr>input_mgmt_nsxt_global_mgrb_ip</vt:lpstr>
      <vt:lpstr>input_mgmt_nsxt_global_mgrc_fqdn</vt:lpstr>
      <vt:lpstr>input_mgmt_nsxt_global_mgrc_hostname</vt:lpstr>
      <vt:lpstr>input_mgmt_nsxt_global_mgrc_ip</vt:lpstr>
      <vt:lpstr>input_mgmt_nsxt_gm_fingerprint</vt:lpstr>
      <vt:lpstr>input_mgmt_nsxt_gm_vip_fqdn</vt:lpstr>
      <vt:lpstr>input_mgmt_nsxt_gm_vip_ip</vt:lpstr>
      <vt:lpstr>input_mgmt_nsxt_lm_fingerprint</vt:lpstr>
      <vt:lpstr>input_mgmt_nsxt_mgra_fqdn</vt:lpstr>
      <vt:lpstr>input_mgmt_nsxt_mgra_ip</vt:lpstr>
      <vt:lpstr>input_mgmt_nsxt_mgrb_fqdn</vt:lpstr>
      <vt:lpstr>input_mgmt_nsxt_mgrb_ip</vt:lpstr>
      <vt:lpstr>input_mgmt_nsxt_mgrc_fqdn</vt:lpstr>
      <vt:lpstr>input_mgmt_nsxt_mgrc_ip</vt:lpstr>
      <vt:lpstr>input_mgmt_nsxt_vip_fqdn</vt:lpstr>
      <vt:lpstr>input_mgmt_nsxt_vip_ip</vt:lpstr>
      <vt:lpstr>input_mgmt_nsxt_xreg_t1_name</vt:lpstr>
      <vt:lpstr>input_mgmt_offline_depot_fqdn</vt:lpstr>
      <vt:lpstr>input_mgmt_offline_depot_port</vt:lpstr>
      <vt:lpstr>input_mgmt_recovery_lb_creation_method</vt:lpstr>
      <vt:lpstr>input_mgmt_rtep_overlay_pool_end_ip</vt:lpstr>
      <vt:lpstr>input_mgmt_rtep_overlay_pool_start_ip</vt:lpstr>
      <vt:lpstr>input_mgmt_rwr_recovery_site_az1_mgmt_cidr</vt:lpstr>
      <vt:lpstr>input_mgmt_rwr_vc_fqdn</vt:lpstr>
      <vt:lpstr>input_mgmt_sddc_domain</vt:lpstr>
      <vt:lpstr>input_mgmt_srm_admin_email</vt:lpstr>
      <vt:lpstr>input_mgmt_srm_admin_password</vt:lpstr>
      <vt:lpstr>input_mgmt_srm_database_password</vt:lpstr>
      <vt:lpstr>input_mgmt_srm_days</vt:lpstr>
      <vt:lpstr>input_mgmt_srm_instances_per_day</vt:lpstr>
      <vt:lpstr>input_mgmt_srm_ip</vt:lpstr>
      <vt:lpstr>input_mgmt_srm_logs_pg</vt:lpstr>
      <vt:lpstr>input_mgmt_srm_logs_rp</vt:lpstr>
      <vt:lpstr>input_mgmt_srm_net_pg</vt:lpstr>
      <vt:lpstr>input_mgmt_srm_net_rp</vt:lpstr>
      <vt:lpstr>input_mgmt_srm_p12_password</vt:lpstr>
      <vt:lpstr>input_mgmt_srm_recovery_cluster</vt:lpstr>
      <vt:lpstr>input_mgmt_srm_recovery_datastore</vt:lpstr>
      <vt:lpstr>input_mgmt_srm_recovery_gateway</vt:lpstr>
      <vt:lpstr>input_mgmt_srm_recovery_mask</vt:lpstr>
      <vt:lpstr>input_mgmt_srm_recovery_nsx_ec_name</vt:lpstr>
      <vt:lpstr>input_mgmt_srm_recovery_nsx_location</vt:lpstr>
      <vt:lpstr>input_mgmt_srm_recovery_pg</vt:lpstr>
      <vt:lpstr>input_mgmt_srm_recovery_sddc_manager_domain</vt:lpstr>
      <vt:lpstr>input_mgmt_srm_recovery_sddc_manager_fqdn</vt:lpstr>
      <vt:lpstr>input_mgmt_srm_recovery_sddc_manager_password</vt:lpstr>
      <vt:lpstr>input_mgmt_srm_recovery_sddc_manager_username</vt:lpstr>
      <vt:lpstr>input_mgmt_srm_recovery_t1_si_ip</vt:lpstr>
      <vt:lpstr>input_mgmt_srm_recovery_vcenter_fqdn</vt:lpstr>
      <vt:lpstr>input_mgmt_srm_recovery_vcenter_password</vt:lpstr>
      <vt:lpstr>input_mgmt_srm_recovery_vcenter_username</vt:lpstr>
      <vt:lpstr>input_mgmt_srm_root_password</vt:lpstr>
      <vt:lpstr>input_mgmt_srm_rpo</vt:lpstr>
      <vt:lpstr>input_mgmt_srm_site_name</vt:lpstr>
      <vt:lpstr>input_mgmt_srm_sso_domain_membership</vt:lpstr>
      <vt:lpstr>input_mgmt_srm_vm_folder</vt:lpstr>
      <vt:lpstr>input_mgmt_srm_vm_size</vt:lpstr>
      <vt:lpstr>input_mgmt_srm_vra_pg</vt:lpstr>
      <vt:lpstr>input_mgmt_srm_vra_rp</vt:lpstr>
      <vt:lpstr>input_mgmt_srm_vrops_pg</vt:lpstr>
      <vt:lpstr>input_mgmt_srm_vrops_rp</vt:lpstr>
      <vt:lpstr>input_mgmt_srm_vrslcm_wsa_pg</vt:lpstr>
      <vt:lpstr>input_mgmt_srm_vrslcm_wsa_rp</vt:lpstr>
      <vt:lpstr>input_mgmt_sso_domain</vt:lpstr>
      <vt:lpstr>input_mgmt_sso_domain_username</vt:lpstr>
      <vt:lpstr>input_mgmt_supvr_api_server_fqdn</vt:lpstr>
      <vt:lpstr>input_mgmt_supvr_cp_storage_policy</vt:lpstr>
      <vt:lpstr>input_mgmt_supvr_ed_storage_policy</vt:lpstr>
      <vt:lpstr>input_mgmt_supvr_ic_storage_policy</vt:lpstr>
      <vt:lpstr>input_mgmt_supvr_ip_address_range</vt:lpstr>
      <vt:lpstr>input_mgmt_supvr_mgmt_dns_server</vt:lpstr>
      <vt:lpstr>input_mgmt_supvr_mgmt_dns_zones</vt:lpstr>
      <vt:lpstr>input_mgmt_supvr_mgmt_ntp_server</vt:lpstr>
      <vt:lpstr>input_mgmt_supvr_name</vt:lpstr>
      <vt:lpstr>input_mgmt_supvr_nsx_project</vt:lpstr>
      <vt:lpstr>input_mgmt_supvr_vpc_connectivity_profile</vt:lpstr>
      <vt:lpstr>input_mgmt_supvr_vpc_ext_ip_blocks_name</vt:lpstr>
      <vt:lpstr>input_mgmt_supvr_vpc_priv_cidr</vt:lpstr>
      <vt:lpstr>input_mgmt_supvr_vpc_priv_ip_blocks_name</vt:lpstr>
      <vt:lpstr>input_mgmt_supvr_vpc_service_cidr</vt:lpstr>
      <vt:lpstr>input_mgmt_supvr_wld_dns_server</vt:lpstr>
      <vt:lpstr>input_mgmt_supvr_wld_ntp_server</vt:lpstr>
      <vt:lpstr>input_mgmt_supvr_zone_name</vt:lpstr>
      <vt:lpstr>input_mgmt_tier0_name</vt:lpstr>
      <vt:lpstr>input_mgmt_vc_fqdn</vt:lpstr>
      <vt:lpstr>input_mgmt_vc_ip</vt:lpstr>
      <vt:lpstr>input_mgmt_vna_rp_name</vt:lpstr>
      <vt:lpstr>input_mgmt_vnaa_cidr</vt:lpstr>
      <vt:lpstr>input_mgmt_vnaa_fqdn</vt:lpstr>
      <vt:lpstr>input_mgmt_vnab_cidr</vt:lpstr>
      <vt:lpstr>input_mgmt_vnab_fqdn</vt:lpstr>
      <vt:lpstr>input_mgmt_vpc_ext_ip_blocks_cidr</vt:lpstr>
      <vt:lpstr>input_mgmt_vpc_ext_ip_blocks_excluded_ips</vt:lpstr>
      <vt:lpstr>input_mgmt_vpc_ext_ip_blocks_name</vt:lpstr>
      <vt:lpstr>input_mgmt_vpc_ext_ip_blocks_reserved</vt:lpstr>
      <vt:lpstr>input_mgmt_vpc_ext_ip_blocks_visability</vt:lpstr>
      <vt:lpstr>input_mgmt_vpc_priv_ip_blocks_excluded_ips</vt:lpstr>
      <vt:lpstr>input_mgmt_vpc_priv_ip_blocks_name</vt:lpstr>
      <vt:lpstr>input_mgmt_vpc_priv_ip_blocks_reserved</vt:lpstr>
      <vt:lpstr>input_mgmt_vpc_priv_ip_blocks_visability</vt:lpstr>
      <vt:lpstr>input_mgmt_vpc_transit_gateway_ip_blocks_cidr</vt:lpstr>
      <vt:lpstr>input_mgmt_vpc_vna_cluster_name</vt:lpstr>
      <vt:lpstr>input_mgmt_vrms_admin_email</vt:lpstr>
      <vt:lpstr>input_mgmt_vrms_admin_password</vt:lpstr>
      <vt:lpstr>input_mgmt_vrms_hostname</vt:lpstr>
      <vt:lpstr>input_mgmt_vrms_mgmt_ip</vt:lpstr>
      <vt:lpstr>input_mgmt_vrms_p12_password</vt:lpstr>
      <vt:lpstr>input_mgmt_vrms_pg</vt:lpstr>
      <vt:lpstr>input_mgmt_vrms_recovery_replication_cidr</vt:lpstr>
      <vt:lpstr>input_mgmt_vrms_root_password</vt:lpstr>
      <vt:lpstr>input_mgmt_vrms_site_name</vt:lpstr>
      <vt:lpstr>input_mgmt_vrms_vm_folder</vt:lpstr>
      <vt:lpstr>input_mgmt_vrms_vrms_ip</vt:lpstr>
      <vt:lpstr>input_mgmt_vsan_dit_rekey_custom_interval</vt:lpstr>
      <vt:lpstr>input_mgmt_vsan_dit_rekey_default_interval</vt:lpstr>
      <vt:lpstr>input_mgmt_witness_cluster</vt:lpstr>
      <vt:lpstr>input_mgmt_witness_dns1_ip</vt:lpstr>
      <vt:lpstr>input_mgmt_witness_dns2_ip</vt:lpstr>
      <vt:lpstr>input_mgmt_witness_fqdn</vt:lpstr>
      <vt:lpstr>input_mgmt_witness_hostname</vt:lpstr>
      <vt:lpstr>input_mgmt_witness_ip</vt:lpstr>
      <vt:lpstr>input_mgmt_witness_mgmt_pg</vt:lpstr>
      <vt:lpstr>input_mgmt_witness_ntp1_server</vt:lpstr>
      <vt:lpstr>input_mgmt_witness_ntp2_server</vt:lpstr>
      <vt:lpstr>input_mgmt_witness_root_password</vt:lpstr>
      <vt:lpstr>input_mgmt_witness_vm_folder</vt:lpstr>
      <vt:lpstr>input_mgmt_witness_vsan_datastore</vt:lpstr>
      <vt:lpstr>input_mgmt_witness_zone_vc_fqdn</vt:lpstr>
      <vt:lpstr>input_mgmt_witness_zone_vc_ip</vt:lpstr>
      <vt:lpstr>input_mgmt_witnessaz_mgmt_cidr</vt:lpstr>
      <vt:lpstr>input_mgmt_witnessaz_mgmt_gateway_ip</vt:lpstr>
      <vt:lpstr>input_mgmt_witnessaz_mgmt_mtu</vt:lpstr>
      <vt:lpstr>input_mgmt_witnessaz_mgmt_vlan</vt:lpstr>
      <vt:lpstr>input_nsxt_gm_admin_password</vt:lpstr>
      <vt:lpstr>input_nsxt_gm_audit_password</vt:lpstr>
      <vt:lpstr>input_nsxt_gm_root_password</vt:lpstr>
      <vt:lpstr>input_nsxt_lm_admin_password</vt:lpstr>
      <vt:lpstr>input_nsxt_lm_audit_password</vt:lpstr>
      <vt:lpstr>input_nsxt_lm_root_password</vt:lpstr>
      <vt:lpstr>input_parent_dns_zone</vt:lpstr>
      <vt:lpstr>input_region_dns1_ip</vt:lpstr>
      <vt:lpstr>input_region_dns2_ip</vt:lpstr>
      <vt:lpstr>input_region_ntp1_server</vt:lpstr>
      <vt:lpstr>input_region_ntp2_server</vt:lpstr>
      <vt:lpstr>input_rwr_child_dns_zone</vt:lpstr>
      <vt:lpstr>input_rwr_datacenter</vt:lpstr>
      <vt:lpstr>input_rwr_sso_domain_name</vt:lpstr>
      <vt:lpstr>input_rwr_vlr_replication_password</vt:lpstr>
      <vt:lpstr>input_rwr_vrms_pg</vt:lpstr>
      <vt:lpstr>input_sddc_mgr_admin_local_password</vt:lpstr>
      <vt:lpstr>input_sddc_mgr_fqdn</vt:lpstr>
      <vt:lpstr>input_sddc_mgr_ip</vt:lpstr>
      <vt:lpstr>input_sddc_mgr_root_password</vt:lpstr>
      <vt:lpstr>input_sddc_mgr_vcf_password</vt:lpstr>
      <vt:lpstr>input_sftp_server</vt:lpstr>
      <vt:lpstr>input_sftp_server_backup_dir</vt:lpstr>
      <vt:lpstr>input_sftp_server_passphrase</vt:lpstr>
      <vt:lpstr>input_sftp_server_port</vt:lpstr>
      <vt:lpstr>input_sftp_server_protocol</vt:lpstr>
      <vt:lpstr>input_sftp_server_sshfingerprint</vt:lpstr>
      <vt:lpstr>input_smtp_server</vt:lpstr>
      <vt:lpstr>input_smtp_server_port</vt:lpstr>
      <vt:lpstr>input_svc_my_vmware_password</vt:lpstr>
      <vt:lpstr>input_svc_vcf_bck_password</vt:lpstr>
      <vt:lpstr>input_svc_vcf_bck_user</vt:lpstr>
      <vt:lpstr>input_svc_vcf_ca_vcf_password</vt:lpstr>
      <vt:lpstr>input_svc_vcf_ca_vcf_user</vt:lpstr>
      <vt:lpstr>input_vcenter_root_password</vt:lpstr>
      <vt:lpstr>input_vcf_automation_additional_vips</vt:lpstr>
      <vt:lpstr>input_vcf_automation_admin_password</vt:lpstr>
      <vt:lpstr>input_vcf_automation_admin_password_alias</vt:lpstr>
      <vt:lpstr>input_vcf_automation_admin_password_description</vt:lpstr>
      <vt:lpstr>input_vcf_automation_admin_username</vt:lpstr>
      <vt:lpstr>input_vcf_automation_cert_alias</vt:lpstr>
      <vt:lpstr>input_vcf_automation_cert_common_name</vt:lpstr>
      <vt:lpstr>input_vcf_automation_cert_country_code</vt:lpstr>
      <vt:lpstr>input_vcf_automation_cert_file</vt:lpstr>
      <vt:lpstr>input_vcf_automation_cert_locality</vt:lpstr>
      <vt:lpstr>input_vcf_automation_cert_organisation</vt:lpstr>
      <vt:lpstr>input_vcf_automation_cert_state</vt:lpstr>
      <vt:lpstr>input_vcf_automation_dpg</vt:lpstr>
      <vt:lpstr>input_vcf_automation_folder</vt:lpstr>
      <vt:lpstr>input_vcf_automation_gateway_cidr</vt:lpstr>
      <vt:lpstr>input_vcf_automation_gateway_ip</vt:lpstr>
      <vt:lpstr>input_vcf_automation_mask</vt:lpstr>
      <vt:lpstr>input_vcf_automation_nodea_ip</vt:lpstr>
      <vt:lpstr>input_vcf_automation_nodeb_ip</vt:lpstr>
      <vt:lpstr>input_vcf_automation_nodec_ip</vt:lpstr>
      <vt:lpstr>input_vcf_automation_noded_ip</vt:lpstr>
      <vt:lpstr>input_vcf_automation_nodee_ip</vt:lpstr>
      <vt:lpstr>input_vcf_automation_nodeef_ip</vt:lpstr>
      <vt:lpstr>input_vcf_automation_ou_cert</vt:lpstr>
      <vt:lpstr>input_vcf_automation_portgroup</vt:lpstr>
      <vt:lpstr>input_vcf_automation_resource_pool</vt:lpstr>
      <vt:lpstr>input_vcf_automation_root_password</vt:lpstr>
      <vt:lpstr>input_vcf_automation_root_password_alias</vt:lpstr>
      <vt:lpstr>input_vcf_automation_root_password_description</vt:lpstr>
      <vt:lpstr>input_vcf_automation_root_username</vt:lpstr>
      <vt:lpstr>input_vcf_automation_runtime_cidr</vt:lpstr>
      <vt:lpstr>input_vcf_automation_runtime_ips</vt:lpstr>
      <vt:lpstr>input_vcf_automation_sr_fqdn</vt:lpstr>
      <vt:lpstr>input_vcf_automation_sr_ip</vt:lpstr>
      <vt:lpstr>input_vcf_automation_version</vt:lpstr>
      <vt:lpstr>input_vcf_automation_vip_fqdn</vt:lpstr>
      <vt:lpstr>input_vcf_automation_vip_ip</vt:lpstr>
      <vt:lpstr>input_vcf_installer_fqdn</vt:lpstr>
      <vt:lpstr>input_vcf_installer_ip</vt:lpstr>
      <vt:lpstr>input_vcf_instance_name</vt:lpstr>
      <vt:lpstr>input_vcfms_system_password</vt:lpstr>
      <vt:lpstr>input_vvs_dr_dns1_ip</vt:lpstr>
      <vt:lpstr>input_vvs_dr_dns2_ip</vt:lpstr>
      <vt:lpstr>input_vvs_dr_flt_auto_fqdn</vt:lpstr>
      <vt:lpstr>input_vvs_dr_flt_fleet_manager_fqdn</vt:lpstr>
      <vt:lpstr>input_vvs_dr_flt_logs_nodea_fqdn</vt:lpstr>
      <vt:lpstr>input_vvs_dr_flt_logs_nodeb_fqdn</vt:lpstr>
      <vt:lpstr>input_vvs_dr_flt_logs_nodec_fqdn</vt:lpstr>
      <vt:lpstr>input_vvs_dr_flt_net_nodea_fqdn</vt:lpstr>
      <vt:lpstr>input_vvs_dr_flt_net_nodeb_fqdn</vt:lpstr>
      <vt:lpstr>input_vvs_dr_flt_net_nodec_fqdn</vt:lpstr>
      <vt:lpstr>input_vvs_dr_flt_ops_nodea_fqdn</vt:lpstr>
      <vt:lpstr>input_vvs_dr_flt_ops_nodeb_fqdn</vt:lpstr>
      <vt:lpstr>input_vvs_dr_flt_ops_nodec_fqdn</vt:lpstr>
      <vt:lpstr>input_vvs_dr_mgmt_az1_mgmt_vm_pg</vt:lpstr>
      <vt:lpstr>input_vvs_dr_mgmt_cl01_cluster</vt:lpstr>
      <vt:lpstr>input_vvs_dr_mgmt_cl01_datastore</vt:lpstr>
      <vt:lpstr>input_vvs_dr_mgmt_vc_fqdn</vt:lpstr>
      <vt:lpstr>input_vvs_dr_ntp1_server</vt:lpstr>
      <vt:lpstr>input_vvs_dr_parent_dns_zone</vt:lpstr>
      <vt:lpstr>input_vvs_dr_sso_domain</vt:lpstr>
      <vt:lpstr>input_vvs_dr_vr_password</vt:lpstr>
      <vt:lpstr>input_vvs_dr_vr_username</vt:lpstr>
      <vt:lpstr>input_vvs_mgmt_dr_vlr_fqdn</vt:lpstr>
      <vt:lpstr>input_vvs_mgmt_dr_vlr_hostname</vt:lpstr>
      <vt:lpstr>input_witness_dns_zone</vt:lpstr>
      <vt:lpstr>input_wld_administrator_vsphere_local_password</vt:lpstr>
      <vt:lpstr>input_wld_avilb_cluster_name</vt:lpstr>
      <vt:lpstr>input_wld_avilb_cluster_version</vt:lpstr>
      <vt:lpstr>input_wld_avilb_fqdn</vt:lpstr>
      <vt:lpstr>input_wld_avilb_ip</vt:lpstr>
      <vt:lpstr>input_wld_avilb_mgra_ip</vt:lpstr>
      <vt:lpstr>input_wld_avilb_mgrb_ip</vt:lpstr>
      <vt:lpstr>input_wld_avilb_mgrc_ip</vt:lpstr>
      <vt:lpstr>input_wld_avilb_root_password</vt:lpstr>
      <vt:lpstr>input_wld_avilb_vcfops_password</vt:lpstr>
      <vt:lpstr>input_wld_az1_dtgw_gateway_cidr</vt:lpstr>
      <vt:lpstr>input_wld_az1_dtgw_vlan</vt:lpstr>
      <vt:lpstr>input_wld_az1_edge_overlay_cidr</vt:lpstr>
      <vt:lpstr>input_wld_az1_edge_overlay_gateway_ip</vt:lpstr>
      <vt:lpstr>input_wld_az1_edge_overlay_mask</vt:lpstr>
      <vt:lpstr>input_wld_az1_edge_overlay_network_pool_name</vt:lpstr>
      <vt:lpstr>input_wld_az1_edge_overlay_pool_end_ip</vt:lpstr>
      <vt:lpstr>input_wld_az1_edge_overlay_pool_start_ip</vt:lpstr>
      <vt:lpstr>input_wld_az1_edge_overlay_vlan</vt:lpstr>
      <vt:lpstr>input_wld_az1_en1_edge_overlay_interface_ip_1_ip</vt:lpstr>
      <vt:lpstr>input_wld_az1_en1_edge_overlay_interface_ip_2_ip</vt:lpstr>
      <vt:lpstr>input_wld_az1_en1_eth0_uplink0</vt:lpstr>
      <vt:lpstr>input_wld_az1_en1_eth0_uplink1</vt:lpstr>
      <vt:lpstr>input_wld_az1_en1_eth1_uplink0</vt:lpstr>
      <vt:lpstr>input_wld_az1_en1_eth1_uplink1</vt:lpstr>
      <vt:lpstr>input_wld_az1_en1_fqdn</vt:lpstr>
      <vt:lpstr>input_wld_az1_en1_mgmt_cidr</vt:lpstr>
      <vt:lpstr>input_wld_az1_en1_uplink01_interface_cidr</vt:lpstr>
      <vt:lpstr>input_wld_az1_en1_uplink02_interface_cidr</vt:lpstr>
      <vt:lpstr>input_wld_az1_en2_edge_overlay_interface_ip_1_ip</vt:lpstr>
      <vt:lpstr>input_wld_az1_en2_edge_overlay_interface_ip_2_ip</vt:lpstr>
      <vt:lpstr>input_wld_az1_en2_eth0_uplink0</vt:lpstr>
      <vt:lpstr>input_wld_az1_en2_eth0_uplink1</vt:lpstr>
      <vt:lpstr>input_wld_az1_en2_eth1_uplink0</vt:lpstr>
      <vt:lpstr>input_wld_az1_en2_eth1_uplink1</vt:lpstr>
      <vt:lpstr>input_wld_az1_en2_fqdn</vt:lpstr>
      <vt:lpstr>input_wld_az1_en2_mgmt_cidr</vt:lpstr>
      <vt:lpstr>input_wld_az1_en2_uplink01_interface_cidr</vt:lpstr>
      <vt:lpstr>input_wld_az1_en2_uplink02_interface_cidr</vt:lpstr>
      <vt:lpstr>input_wld_az1_host_overlay_cidr</vt:lpstr>
      <vt:lpstr>input_wld_az1_host_overlay_gateway_ip</vt:lpstr>
      <vt:lpstr>input_wld_az1_host_overlay_mtu</vt:lpstr>
      <vt:lpstr>input_wld_az1_host_overlay_network_pool_description</vt:lpstr>
      <vt:lpstr>input_wld_az1_host_overlay_network_pool_name</vt:lpstr>
      <vt:lpstr>input_wld_az1_host_overlay_pool_end_ip</vt:lpstr>
      <vt:lpstr>input_wld_az1_host_overlay_pool_start_ip</vt:lpstr>
      <vt:lpstr>input_wld_az1_host_overlay_uplink_profile_name</vt:lpstr>
      <vt:lpstr>input_wld_az1_host_overlay_vlan</vt:lpstr>
      <vt:lpstr>input_wld_az1_host1_fqdn</vt:lpstr>
      <vt:lpstr>input_wld_az1_host1_mgmt_ip</vt:lpstr>
      <vt:lpstr>input_wld_az1_host1_vrms_ip</vt:lpstr>
      <vt:lpstr>input_wld_az1_host10_fqdn</vt:lpstr>
      <vt:lpstr>input_wld_az1_host10_mgmt_ip</vt:lpstr>
      <vt:lpstr>input_wld_az1_host10_vrms_ip</vt:lpstr>
      <vt:lpstr>input_wld_az1_host11_fqdn</vt:lpstr>
      <vt:lpstr>input_wld_az1_host11_mgmt_ip</vt:lpstr>
      <vt:lpstr>input_wld_az1_host11_vrms_ip</vt:lpstr>
      <vt:lpstr>input_wld_az1_host12_fqdn</vt:lpstr>
      <vt:lpstr>input_wld_az1_host12_mgmt_ip</vt:lpstr>
      <vt:lpstr>input_wld_az1_host12_vrms_ip</vt:lpstr>
      <vt:lpstr>input_wld_az1_host13_fqdn</vt:lpstr>
      <vt:lpstr>input_wld_az1_host13_mgmt_ip</vt:lpstr>
      <vt:lpstr>input_wld_az1_host13_vrms_ip</vt:lpstr>
      <vt:lpstr>input_wld_az1_host14_fqdn</vt:lpstr>
      <vt:lpstr>input_wld_az1_host14_mgmt_ip</vt:lpstr>
      <vt:lpstr>input_wld_az1_host14_vrms_ip</vt:lpstr>
      <vt:lpstr>input_wld_az1_host15_fqdn</vt:lpstr>
      <vt:lpstr>input_wld_az1_host15_mgmt_ip</vt:lpstr>
      <vt:lpstr>input_wld_az1_host15_vrms_ip</vt:lpstr>
      <vt:lpstr>input_wld_az1_host16_fqdn</vt:lpstr>
      <vt:lpstr>input_wld_az1_host16_mgmt_ip</vt:lpstr>
      <vt:lpstr>input_wld_az1_host16_vrms_ip</vt:lpstr>
      <vt:lpstr>input_wld_az1_host2_fqdn</vt:lpstr>
      <vt:lpstr>input_wld_az1_host2_mgmt_ip</vt:lpstr>
      <vt:lpstr>input_wld_az1_host2_vrms_ip</vt:lpstr>
      <vt:lpstr>input_wld_az1_host3_fqdn</vt:lpstr>
      <vt:lpstr>input_wld_az1_host3_mgmt_ip</vt:lpstr>
      <vt:lpstr>input_wld_az1_host3_vrms_ip</vt:lpstr>
      <vt:lpstr>input_wld_az1_host4_fqdn</vt:lpstr>
      <vt:lpstr>input_wld_az1_host4_mgmt_ip</vt:lpstr>
      <vt:lpstr>input_wld_az1_host4_vrms_ip</vt:lpstr>
      <vt:lpstr>input_wld_az1_host5_fqdn</vt:lpstr>
      <vt:lpstr>input_wld_az1_host5_mgmt_ip</vt:lpstr>
      <vt:lpstr>input_wld_az1_host5_vrms_ip</vt:lpstr>
      <vt:lpstr>input_wld_az1_host6_fqdn</vt:lpstr>
      <vt:lpstr>input_wld_az1_host6_mgmt_ip</vt:lpstr>
      <vt:lpstr>input_wld_az1_host6_vrms_ip</vt:lpstr>
      <vt:lpstr>input_wld_az1_host7_fqdn</vt:lpstr>
      <vt:lpstr>input_wld_az1_host7_mgmt_ip</vt:lpstr>
      <vt:lpstr>input_wld_az1_host7_vrms_ip</vt:lpstr>
      <vt:lpstr>input_wld_az1_host8_fqdn</vt:lpstr>
      <vt:lpstr>input_wld_az1_host8_mgmt_ip</vt:lpstr>
      <vt:lpstr>input_wld_az1_host8_vrms_ip</vt:lpstr>
      <vt:lpstr>input_wld_az1_host9_fqdn</vt:lpstr>
      <vt:lpstr>input_wld_az1_host9_mgmt_ip</vt:lpstr>
      <vt:lpstr>input_wld_az1_host9_vrms_ip</vt:lpstr>
      <vt:lpstr>input_wld_az1_mgmt_gateway_cidr</vt:lpstr>
      <vt:lpstr>input_wld_az1_mgmt_mtu</vt:lpstr>
      <vt:lpstr>input_wld_az1_mgmt_vlan</vt:lpstr>
      <vt:lpstr>input_wld_az1_mgmt_vm_gateway_cidr</vt:lpstr>
      <vt:lpstr>input_wld_az1_mgmt_vm_mtu</vt:lpstr>
      <vt:lpstr>input_wld_az1_mgmt_vm_vlan</vt:lpstr>
      <vt:lpstr>input_wld_az1_pool_name</vt:lpstr>
      <vt:lpstr>input_wld_az1_principal_storage_gateway_cidr</vt:lpstr>
      <vt:lpstr>input_wld_az1_principal_storage_mtu</vt:lpstr>
      <vt:lpstr>input_wld_az1_principal_storage_pool_end_ip</vt:lpstr>
      <vt:lpstr>input_wld_az1_principal_storage_pool_start_ip</vt:lpstr>
      <vt:lpstr>input_wld_az1_principal_storage_vlan</vt:lpstr>
      <vt:lpstr>input_wld_az1_rack1_host_overlay_network_profile_name</vt:lpstr>
      <vt:lpstr>input_wld_az1_rack2_edge_overlay_gateway_ip</vt:lpstr>
      <vt:lpstr>input_wld_az1_rack2_edge_overlay_mask</vt:lpstr>
      <vt:lpstr>input_wld_az1_rack2_edge_overlay_mtu</vt:lpstr>
      <vt:lpstr>input_wld_az1_rack2_edge_overlay_network</vt:lpstr>
      <vt:lpstr>input_wld_az1_rack2_edge_overlay_network_pool_name</vt:lpstr>
      <vt:lpstr>input_wld_az1_rack2_edge_overlay_pool_end_ip</vt:lpstr>
      <vt:lpstr>input_wld_az1_rack2_edge_overlay_pool_start_ip</vt:lpstr>
      <vt:lpstr>input_wld_az1_rack2_edge_overlay_vlan</vt:lpstr>
      <vt:lpstr>input_wld_az1_rack2_host_overlay_cidr</vt:lpstr>
      <vt:lpstr>input_wld_az1_rack2_host_overlay_gateway_ip</vt:lpstr>
      <vt:lpstr>input_wld_az1_rack2_host_overlay_mask</vt:lpstr>
      <vt:lpstr>input_wld_az1_rack2_host_overlay_mtu</vt:lpstr>
      <vt:lpstr>input_wld_az1_rack2_host_overlay_network</vt:lpstr>
      <vt:lpstr>input_wld_az1_rack2_host_overlay_network_pool_name</vt:lpstr>
      <vt:lpstr>input_wld_az1_rack2_host_overlay_network_profile_name</vt:lpstr>
      <vt:lpstr>input_wld_az1_rack2_host_overlay_pool_end_ip</vt:lpstr>
      <vt:lpstr>input_wld_az1_rack2_host_overlay_pool_start_ip</vt:lpstr>
      <vt:lpstr>input_wld_az1_rack2_host_overlay_uplink_profile_name</vt:lpstr>
      <vt:lpstr>input_wld_az1_rack2_host_overlay_vlan</vt:lpstr>
      <vt:lpstr>input_wld_az1_rack2_host1_fqdn</vt:lpstr>
      <vt:lpstr>input_wld_az1_rack2_host1_mgmt_ip</vt:lpstr>
      <vt:lpstr>input_wld_az1_rack2_host10_fqdn</vt:lpstr>
      <vt:lpstr>input_wld_az1_rack2_host10_mgmt_ip</vt:lpstr>
      <vt:lpstr>input_wld_az1_rack2_host11_fqdn</vt:lpstr>
      <vt:lpstr>input_wld_az1_rack2_host11_mgmt_ip</vt:lpstr>
      <vt:lpstr>input_wld_az1_rack2_host12_fqdn</vt:lpstr>
      <vt:lpstr>input_wld_az1_rack2_host12_mgmt_ip</vt:lpstr>
      <vt:lpstr>input_wld_az1_rack2_host13_fqdn</vt:lpstr>
      <vt:lpstr>input_wld_az1_rack2_host13_mgmt_ip</vt:lpstr>
      <vt:lpstr>input_wld_az1_rack2_host14_fqdn</vt:lpstr>
      <vt:lpstr>input_wld_az1_rack2_host14_mgmt_ip</vt:lpstr>
      <vt:lpstr>input_wld_az1_rack2_host15_fqdn</vt:lpstr>
      <vt:lpstr>input_wld_az1_rack2_host15_mgmt_ip</vt:lpstr>
      <vt:lpstr>input_wld_az1_rack2_host16_fqdn</vt:lpstr>
      <vt:lpstr>input_wld_az1_rack2_host16_mgmt_ip</vt:lpstr>
      <vt:lpstr>input_wld_az1_rack2_host2_fqdn</vt:lpstr>
      <vt:lpstr>input_wld_az1_rack2_host2_mgmt_ip</vt:lpstr>
      <vt:lpstr>input_wld_az1_rack2_host3_fqdn</vt:lpstr>
      <vt:lpstr>input_wld_az1_rack2_host3_mgmt_ip</vt:lpstr>
      <vt:lpstr>input_wld_az1_rack2_host4_fqdn</vt:lpstr>
      <vt:lpstr>input_wld_az1_rack2_host4_mgmt_ip</vt:lpstr>
      <vt:lpstr>input_wld_az1_rack2_host5_fqdn</vt:lpstr>
      <vt:lpstr>input_wld_az1_rack2_host5_mgmt_ip</vt:lpstr>
      <vt:lpstr>input_wld_az1_rack2_host6_fqdn</vt:lpstr>
      <vt:lpstr>input_wld_az1_rack2_host6_mgmt_ip</vt:lpstr>
      <vt:lpstr>input_wld_az1_rack2_host7_fqdn</vt:lpstr>
      <vt:lpstr>input_wld_az1_rack2_host7_mgmt_ip</vt:lpstr>
      <vt:lpstr>input_wld_az1_rack2_host8_fqdn</vt:lpstr>
      <vt:lpstr>input_wld_az1_rack2_host8_mgmt_ip</vt:lpstr>
      <vt:lpstr>input_wld_az1_rack2_host9_fqdn</vt:lpstr>
      <vt:lpstr>input_wld_az1_rack2_host9_mgmt_ip</vt:lpstr>
      <vt:lpstr>input_wld_az1_rack2_mgmt_cidr</vt:lpstr>
      <vt:lpstr>input_wld_az1_rack2_mgmt_gateway_ip</vt:lpstr>
      <vt:lpstr>input_wld_az1_rack2_mgmt_mtu</vt:lpstr>
      <vt:lpstr>input_wld_az1_rack2_mgmt_vlan</vt:lpstr>
      <vt:lpstr>input_wld_az1_rack2_mgmt_vm_cidr</vt:lpstr>
      <vt:lpstr>input_wld_az1_rack2_mgmt_vm_gateway_ip</vt:lpstr>
      <vt:lpstr>input_wld_az1_rack2_mgmt_vm_mtu</vt:lpstr>
      <vt:lpstr>input_wld_az1_rack2_mgmt_vm_vlan</vt:lpstr>
      <vt:lpstr>input_wld_az1_rack2_pool_name</vt:lpstr>
      <vt:lpstr>input_wld_az1_rack2_principal_storage_cidr</vt:lpstr>
      <vt:lpstr>input_wld_az1_rack2_principal_storage_gateway_ip</vt:lpstr>
      <vt:lpstr>input_wld_az1_rack2_principal_storage_mask</vt:lpstr>
      <vt:lpstr>input_wld_az1_rack2_principal_storage_mtu</vt:lpstr>
      <vt:lpstr>input_wld_az1_rack2_principal_storage_network</vt:lpstr>
      <vt:lpstr>input_wld_az1_rack2_principal_storage_pool_end_ip</vt:lpstr>
      <vt:lpstr>input_wld_az1_rack2_principal_storage_pool_start_ip</vt:lpstr>
      <vt:lpstr>input_wld_az1_rack2_principal_storage_vlan</vt:lpstr>
      <vt:lpstr>input_wld_az1_rack2_rtep_ip_pool_name</vt:lpstr>
      <vt:lpstr>input_wld_az1_rack2_secondary_storage_cidr</vt:lpstr>
      <vt:lpstr>input_wld_az1_rack2_secondary_storage_gateway_ip</vt:lpstr>
      <vt:lpstr>input_wld_az1_rack2_secondary_storage_mask</vt:lpstr>
      <vt:lpstr>input_wld_az1_rack2_secondary_storage_mtu</vt:lpstr>
      <vt:lpstr>input_wld_az1_rack2_secondary_storage_network</vt:lpstr>
      <vt:lpstr>input_wld_az1_rack2_secondary_storage_pool_end_ip</vt:lpstr>
      <vt:lpstr>input_wld_az1_rack2_secondary_storage_pool_start_ip</vt:lpstr>
      <vt:lpstr>input_wld_az1_rack2_secondary_storage_vlan</vt:lpstr>
      <vt:lpstr>input_wld_az1_rack2_tor1_peer_asn</vt:lpstr>
      <vt:lpstr>input_wld_az1_rack2_tor1_peer_bgp_password</vt:lpstr>
      <vt:lpstr>input_wld_az1_rack2_tor1_peer_ip</vt:lpstr>
      <vt:lpstr>input_wld_az1_rack2_tor2_peer_asn</vt:lpstr>
      <vt:lpstr>input_wld_az1_rack2_tor2_peer_bgp_password</vt:lpstr>
      <vt:lpstr>input_wld_az1_rack2_tor2_peer_ip</vt:lpstr>
      <vt:lpstr>input_wld_az1_rack2_uplink01_gateway_ip</vt:lpstr>
      <vt:lpstr>input_wld_az1_rack2_uplink01_mask</vt:lpstr>
      <vt:lpstr>input_wld_az1_rack2_uplink01_mtu</vt:lpstr>
      <vt:lpstr>input_wld_az1_rack2_uplink01_network</vt:lpstr>
      <vt:lpstr>input_wld_az1_rack2_uplink01_vlan</vt:lpstr>
      <vt:lpstr>input_wld_az1_rack2_uplink02_gateway_ip</vt:lpstr>
      <vt:lpstr>input_wld_az1_rack2_uplink02_mask</vt:lpstr>
      <vt:lpstr>input_wld_az1_rack2_uplink02_mtu</vt:lpstr>
      <vt:lpstr>input_wld_az1_rack2_uplink02_network</vt:lpstr>
      <vt:lpstr>input_wld_az1_rack2_uplink02_vlan</vt:lpstr>
      <vt:lpstr>input_wld_az1_rack2_vmotion_cidr</vt:lpstr>
      <vt:lpstr>input_wld_az1_rack2_vmotion_gateway_ip</vt:lpstr>
      <vt:lpstr>input_wld_az1_rack2_vmotion_mask</vt:lpstr>
      <vt:lpstr>input_wld_az1_rack2_vmotion_mtu</vt:lpstr>
      <vt:lpstr>input_wld_az1_rack2_vmotion_network</vt:lpstr>
      <vt:lpstr>input_wld_az1_rack2_vmotion_pool_end_ip</vt:lpstr>
      <vt:lpstr>input_wld_az1_rack2_vmotion_pool_start_ip</vt:lpstr>
      <vt:lpstr>input_wld_az1_rack2_vmotion_vlan</vt:lpstr>
      <vt:lpstr>input_wld_az1_rack2_vsan_fault_domain</vt:lpstr>
      <vt:lpstr>input_wld_az1_rack3_edge_overlay_gateway_ip</vt:lpstr>
      <vt:lpstr>input_wld_az1_rack3_edge_overlay_mask</vt:lpstr>
      <vt:lpstr>input_wld_az1_rack3_edge_overlay_mtu</vt:lpstr>
      <vt:lpstr>input_wld_az1_rack3_edge_overlay_network</vt:lpstr>
      <vt:lpstr>input_wld_az1_rack3_edge_overlay_network_pool_name</vt:lpstr>
      <vt:lpstr>input_wld_az1_rack3_edge_overlay_pool_end_ip</vt:lpstr>
      <vt:lpstr>input_wld_az1_rack3_edge_overlay_pool_start_ip</vt:lpstr>
      <vt:lpstr>input_wld_az1_rack3_edge_overlay_vlan</vt:lpstr>
      <vt:lpstr>input_wld_az1_rack3_host_overlay_cidr</vt:lpstr>
      <vt:lpstr>input_wld_az1_rack3_host_overlay_gateway_ip</vt:lpstr>
      <vt:lpstr>input_wld_az1_rack3_host_overlay_mask</vt:lpstr>
      <vt:lpstr>input_wld_az1_rack3_host_overlay_mtu</vt:lpstr>
      <vt:lpstr>input_wld_az1_rack3_host_overlay_network</vt:lpstr>
      <vt:lpstr>input_wld_az1_rack3_host_overlay_network_pool_name</vt:lpstr>
      <vt:lpstr>input_wld_az1_rack3_host_overlay_network_profile_name</vt:lpstr>
      <vt:lpstr>input_wld_az1_rack3_host_overlay_pool_end_ip</vt:lpstr>
      <vt:lpstr>input_wld_az1_rack3_host_overlay_pool_start_ip</vt:lpstr>
      <vt:lpstr>input_wld_az1_rack3_host_overlay_uplink_profile_name</vt:lpstr>
      <vt:lpstr>input_wld_az1_rack3_host_overlay_vlan</vt:lpstr>
      <vt:lpstr>input_wld_az1_rack3_host1_fqdn</vt:lpstr>
      <vt:lpstr>input_wld_az1_rack3_host1_mgmt_ip</vt:lpstr>
      <vt:lpstr>input_wld_az1_rack3_host10_fqdn</vt:lpstr>
      <vt:lpstr>input_wld_az1_rack3_host10_mgmt_ip</vt:lpstr>
      <vt:lpstr>input_wld_az1_rack3_host11_fqdn</vt:lpstr>
      <vt:lpstr>input_wld_az1_rack3_host11_mgmt_ip</vt:lpstr>
      <vt:lpstr>input_wld_az1_rack3_host12_fqdn</vt:lpstr>
      <vt:lpstr>input_wld_az1_rack3_host12_mgmt_ip</vt:lpstr>
      <vt:lpstr>input_wld_az1_rack3_host13_fqdn</vt:lpstr>
      <vt:lpstr>input_wld_az1_rack3_host13_mgmt_ip</vt:lpstr>
      <vt:lpstr>input_wld_az1_rack3_host14_fqdn</vt:lpstr>
      <vt:lpstr>input_wld_az1_rack3_host14_mgmt_ip</vt:lpstr>
      <vt:lpstr>input_wld_az1_rack3_host15_fqdn</vt:lpstr>
      <vt:lpstr>input_wld_az1_rack3_host15_mgmt_ip</vt:lpstr>
      <vt:lpstr>input_wld_az1_rack3_host16_fqdn</vt:lpstr>
      <vt:lpstr>input_wld_az1_rack3_host16_mgmt_ip</vt:lpstr>
      <vt:lpstr>input_wld_az1_rack3_host2_fqdn</vt:lpstr>
      <vt:lpstr>input_wld_az1_rack3_host2_mgmt_ip</vt:lpstr>
      <vt:lpstr>input_wld_az1_rack3_host3_fqdn</vt:lpstr>
      <vt:lpstr>input_wld_az1_rack3_host3_mgmt_ip</vt:lpstr>
      <vt:lpstr>input_wld_az1_rack3_host4_fqdn</vt:lpstr>
      <vt:lpstr>input_wld_az1_rack3_host4_mgmt_ip</vt:lpstr>
      <vt:lpstr>input_wld_az1_rack3_host5_fqdn</vt:lpstr>
      <vt:lpstr>input_wld_az1_rack3_host5_mgmt_ip</vt:lpstr>
      <vt:lpstr>input_wld_az1_rack3_host6_fqdn</vt:lpstr>
      <vt:lpstr>input_wld_az1_rack3_host6_mgmt_ip</vt:lpstr>
      <vt:lpstr>input_wld_az1_rack3_host7_fqdn</vt:lpstr>
      <vt:lpstr>input_wld_az1_rack3_host7_mgmt_ip</vt:lpstr>
      <vt:lpstr>input_wld_az1_rack3_host8_fqdn</vt:lpstr>
      <vt:lpstr>input_wld_az1_rack3_host8_mgmt_ip</vt:lpstr>
      <vt:lpstr>input_wld_az1_rack3_host9_fqdn</vt:lpstr>
      <vt:lpstr>input_wld_az1_rack3_host9_mgmt_ip</vt:lpstr>
      <vt:lpstr>input_wld_az1_rack3_mgmt_cidr</vt:lpstr>
      <vt:lpstr>input_wld_az1_rack3_mgmt_gateway_ip</vt:lpstr>
      <vt:lpstr>input_wld_az1_rack3_mgmt_mtu</vt:lpstr>
      <vt:lpstr>input_wld_az1_rack3_mgmt_vlan</vt:lpstr>
      <vt:lpstr>input_wld_az1_rack3_mgmt_vm_cidr</vt:lpstr>
      <vt:lpstr>input_wld_az1_rack3_mgmt_vm_gateway_ip</vt:lpstr>
      <vt:lpstr>input_wld_az1_rack3_mgmt_vm_mtu</vt:lpstr>
      <vt:lpstr>input_wld_az1_rack3_mgmt_vm_vlan</vt:lpstr>
      <vt:lpstr>input_wld_az1_rack3_pool_name</vt:lpstr>
      <vt:lpstr>input_wld_az1_rack3_principal_storage_cidr</vt:lpstr>
      <vt:lpstr>input_wld_az1_rack3_principal_storage_gateway_ip</vt:lpstr>
      <vt:lpstr>input_wld_az1_rack3_principal_storage_mask</vt:lpstr>
      <vt:lpstr>input_wld_az1_rack3_principal_storage_mtu</vt:lpstr>
      <vt:lpstr>input_wld_az1_rack3_principal_storage_network</vt:lpstr>
      <vt:lpstr>input_wld_az1_rack3_principal_storage_pool_end_ip</vt:lpstr>
      <vt:lpstr>input_wld_az1_rack3_principal_storage_pool_start_ip</vt:lpstr>
      <vt:lpstr>input_wld_az1_rack3_principal_storage_vlan</vt:lpstr>
      <vt:lpstr>input_wld_az1_rack3_rtep_ip_pool_name</vt:lpstr>
      <vt:lpstr>input_wld_az1_rack3_secondary_storage_cidr</vt:lpstr>
      <vt:lpstr>input_wld_az1_rack3_secondary_storage_gateway_ip</vt:lpstr>
      <vt:lpstr>input_wld_az1_rack3_secondary_storage_mask</vt:lpstr>
      <vt:lpstr>input_wld_az1_rack3_secondary_storage_mtu</vt:lpstr>
      <vt:lpstr>input_wld_az1_rack3_secondary_storage_network</vt:lpstr>
      <vt:lpstr>input_wld_az1_rack3_secondary_storage_pool_end_ip</vt:lpstr>
      <vt:lpstr>input_wld_az1_rack3_secondary_storage_pool_start_ip</vt:lpstr>
      <vt:lpstr>input_wld_az1_rack3_secondary_storage_vlan</vt:lpstr>
      <vt:lpstr>input_wld_az1_rack3_tor1_peer_asn</vt:lpstr>
      <vt:lpstr>input_wld_az1_rack3_tor1_peer_bgp_password</vt:lpstr>
      <vt:lpstr>input_wld_az1_rack3_tor1_peer_ip</vt:lpstr>
      <vt:lpstr>input_wld_az1_rack3_tor2_peer_asn</vt:lpstr>
      <vt:lpstr>input_wld_az1_rack3_tor2_peer_bgp_password</vt:lpstr>
      <vt:lpstr>input_wld_az1_rack3_tor2_peer_ip</vt:lpstr>
      <vt:lpstr>input_wld_az1_rack3_uplink01_gateway_ip</vt:lpstr>
      <vt:lpstr>input_wld_az1_rack3_uplink01_mask</vt:lpstr>
      <vt:lpstr>input_wld_az1_rack3_uplink01_mtu</vt:lpstr>
      <vt:lpstr>input_wld_az1_rack3_uplink01_network</vt:lpstr>
      <vt:lpstr>input_wld_az1_rack3_uplink01_vlan</vt:lpstr>
      <vt:lpstr>input_wld_az1_rack3_uplink02_gateway_ip</vt:lpstr>
      <vt:lpstr>input_wld_az1_rack3_uplink02_mask</vt:lpstr>
      <vt:lpstr>input_wld_az1_rack3_uplink02_mtu</vt:lpstr>
      <vt:lpstr>input_wld_az1_rack3_uplink02_network</vt:lpstr>
      <vt:lpstr>input_wld_az1_rack3_uplink02_vlan</vt:lpstr>
      <vt:lpstr>input_wld_az1_rack3_vmotion_cidr</vt:lpstr>
      <vt:lpstr>input_wld_az1_rack3_vmotion_gateway_ip</vt:lpstr>
      <vt:lpstr>input_wld_az1_rack3_vmotion_mask</vt:lpstr>
      <vt:lpstr>input_wld_az1_rack3_vmotion_mtu</vt:lpstr>
      <vt:lpstr>input_wld_az1_rack3_vmotion_network</vt:lpstr>
      <vt:lpstr>input_wld_az1_rack3_vmotion_pool_end_ip</vt:lpstr>
      <vt:lpstr>input_wld_az1_rack3_vmotion_pool_start_ip</vt:lpstr>
      <vt:lpstr>input_wld_az1_rack3_vmotion_vlan</vt:lpstr>
      <vt:lpstr>input_wld_az1_rack3_vsan_fault_domain</vt:lpstr>
      <vt:lpstr>input_wld_az1_rack4_edge_overlay_gateway_ip</vt:lpstr>
      <vt:lpstr>input_wld_az1_rack4_edge_overlay_mask</vt:lpstr>
      <vt:lpstr>input_wld_az1_rack4_edge_overlay_mtu</vt:lpstr>
      <vt:lpstr>input_wld_az1_rack4_edge_overlay_network</vt:lpstr>
      <vt:lpstr>input_wld_az1_rack4_edge_overlay_network_pool_name</vt:lpstr>
      <vt:lpstr>input_wld_az1_rack4_edge_overlay_pool_end_ip</vt:lpstr>
      <vt:lpstr>input_wld_az1_rack4_edge_overlay_pool_start_ip</vt:lpstr>
      <vt:lpstr>input_wld_az1_rack4_edge_overlay_vlan</vt:lpstr>
      <vt:lpstr>input_wld_az1_rack4_host_overlay_cidr</vt:lpstr>
      <vt:lpstr>input_wld_az1_rack4_host_overlay_gateway_ip</vt:lpstr>
      <vt:lpstr>input_wld_az1_rack4_host_overlay_mask</vt:lpstr>
      <vt:lpstr>input_wld_az1_rack4_host_overlay_mtu</vt:lpstr>
      <vt:lpstr>input_wld_az1_rack4_host_overlay_network</vt:lpstr>
      <vt:lpstr>input_wld_az1_rack4_host_overlay_network_pool_name</vt:lpstr>
      <vt:lpstr>input_wld_az1_rack4_host_overlay_network_profile_name</vt:lpstr>
      <vt:lpstr>input_wld_az1_rack4_host_overlay_pool_end_ip</vt:lpstr>
      <vt:lpstr>input_wld_az1_rack4_host_overlay_pool_start_ip</vt:lpstr>
      <vt:lpstr>input_wld_az1_rack4_host_overlay_uplink_profile_name</vt:lpstr>
      <vt:lpstr>input_wld_az1_rack4_host_overlay_vlan</vt:lpstr>
      <vt:lpstr>input_wld_az1_rack4_host1_fqdn</vt:lpstr>
      <vt:lpstr>input_wld_az1_rack4_host1_mgmt_ip</vt:lpstr>
      <vt:lpstr>input_wld_az1_rack4_host10_fqdn</vt:lpstr>
      <vt:lpstr>input_wld_az1_rack4_host10_mgmt_ip</vt:lpstr>
      <vt:lpstr>input_wld_az1_rack4_host11_fqdn</vt:lpstr>
      <vt:lpstr>input_wld_az1_rack4_host11_mgmt_ip</vt:lpstr>
      <vt:lpstr>input_wld_az1_rack4_host12_fqdn</vt:lpstr>
      <vt:lpstr>input_wld_az1_rack4_host12_mgmt_ip</vt:lpstr>
      <vt:lpstr>input_wld_az1_rack4_host13_fqdn</vt:lpstr>
      <vt:lpstr>input_wld_az1_rack4_host13_mgmt_ip</vt:lpstr>
      <vt:lpstr>input_wld_az1_rack4_host14_fqdn</vt:lpstr>
      <vt:lpstr>input_wld_az1_rack4_host14_mgmt_ip</vt:lpstr>
      <vt:lpstr>input_wld_az1_rack4_host15_fqdn</vt:lpstr>
      <vt:lpstr>input_wld_az1_rack4_host15_mgmt_ip</vt:lpstr>
      <vt:lpstr>input_wld_az1_rack4_host16_fqdn</vt:lpstr>
      <vt:lpstr>input_wld_az1_rack4_host16_mgmt_ip</vt:lpstr>
      <vt:lpstr>input_wld_az1_rack4_host2_fqdn</vt:lpstr>
      <vt:lpstr>input_wld_az1_rack4_host2_mgmt_ip</vt:lpstr>
      <vt:lpstr>input_wld_az1_rack4_host3_fqdn</vt:lpstr>
      <vt:lpstr>input_wld_az1_rack4_host3_mgmt_ip</vt:lpstr>
      <vt:lpstr>input_wld_az1_rack4_host4_fqdn</vt:lpstr>
      <vt:lpstr>input_wld_az1_rack4_host4_mgmt_ip</vt:lpstr>
      <vt:lpstr>input_wld_az1_rack4_host5_fqdn</vt:lpstr>
      <vt:lpstr>input_wld_az1_rack4_host5_mgmt_ip</vt:lpstr>
      <vt:lpstr>input_wld_az1_rack4_host6_fqdn</vt:lpstr>
      <vt:lpstr>input_wld_az1_rack4_host6_mgmt_ip</vt:lpstr>
      <vt:lpstr>input_wld_az1_rack4_host7_fqdn</vt:lpstr>
      <vt:lpstr>input_wld_az1_rack4_host7_mgmt_ip</vt:lpstr>
      <vt:lpstr>input_wld_az1_rack4_host8_fqdn</vt:lpstr>
      <vt:lpstr>input_wld_az1_rack4_host8_mgmt_ip</vt:lpstr>
      <vt:lpstr>input_wld_az1_rack4_host9_fqdn</vt:lpstr>
      <vt:lpstr>input_wld_az1_rack4_host9_mgmt_ip</vt:lpstr>
      <vt:lpstr>input_wld_az1_rack4_mgmt_cidr</vt:lpstr>
      <vt:lpstr>input_wld_az1_rack4_mgmt_gateway_ip</vt:lpstr>
      <vt:lpstr>input_wld_az1_rack4_mgmt_mtu</vt:lpstr>
      <vt:lpstr>input_wld_az1_rack4_mgmt_vlan</vt:lpstr>
      <vt:lpstr>input_wld_az1_rack4_mgmt_vm_cidr</vt:lpstr>
      <vt:lpstr>input_wld_az1_rack4_mgmt_vm_gateway_ip</vt:lpstr>
      <vt:lpstr>input_wld_az1_rack4_mgmt_vm_mtu</vt:lpstr>
      <vt:lpstr>input_wld_az1_rack4_mgmt_vm_vlan</vt:lpstr>
      <vt:lpstr>input_wld_az1_rack4_pool_name</vt:lpstr>
      <vt:lpstr>input_wld_az1_rack4_principal_storage_cidr</vt:lpstr>
      <vt:lpstr>input_wld_az1_rack4_principal_storage_gateway_ip</vt:lpstr>
      <vt:lpstr>input_wld_az1_rack4_principal_storage_mask</vt:lpstr>
      <vt:lpstr>input_wld_az1_rack4_principal_storage_mtu</vt:lpstr>
      <vt:lpstr>input_wld_az1_rack4_principal_storage_network</vt:lpstr>
      <vt:lpstr>input_wld_az1_rack4_principal_storage_pool_end_ip</vt:lpstr>
      <vt:lpstr>input_wld_az1_rack4_principal_storage_pool_start_ip</vt:lpstr>
      <vt:lpstr>input_wld_az1_rack4_principal_storage_vlan</vt:lpstr>
      <vt:lpstr>input_wld_az1_rack4_rtep_ip_pool_name</vt:lpstr>
      <vt:lpstr>input_wld_az1_rack4_secondary_storage_cidr</vt:lpstr>
      <vt:lpstr>input_wld_az1_rack4_secondary_storage_gateway_ip</vt:lpstr>
      <vt:lpstr>input_wld_az1_rack4_secondary_storage_mask</vt:lpstr>
      <vt:lpstr>input_wld_az1_rack4_secondary_storage_mtu</vt:lpstr>
      <vt:lpstr>input_wld_az1_rack4_secondary_storage_network</vt:lpstr>
      <vt:lpstr>input_wld_az1_rack4_secondary_storage_pool_end_ip</vt:lpstr>
      <vt:lpstr>input_wld_az1_rack4_secondary_storage_pool_start_ip</vt:lpstr>
      <vt:lpstr>input_wld_az1_rack4_secondary_storage_vlan</vt:lpstr>
      <vt:lpstr>input_wld_az1_rack4_tor1_peer_asn</vt:lpstr>
      <vt:lpstr>input_wld_az1_rack4_tor1_peer_bgp_password</vt:lpstr>
      <vt:lpstr>input_wld_az1_rack4_tor1_peer_ip</vt:lpstr>
      <vt:lpstr>input_wld_az1_rack4_tor2_peer_asn</vt:lpstr>
      <vt:lpstr>input_wld_az1_rack4_tor2_peer_bgp_password</vt:lpstr>
      <vt:lpstr>input_wld_az1_rack4_tor2_peer_ip</vt:lpstr>
      <vt:lpstr>input_wld_az1_rack4_uplink01_gateway_ip</vt:lpstr>
      <vt:lpstr>input_wld_az1_rack4_uplink01_mask</vt:lpstr>
      <vt:lpstr>input_wld_az1_rack4_uplink01_mtu</vt:lpstr>
      <vt:lpstr>input_wld_az1_rack4_uplink01_network</vt:lpstr>
      <vt:lpstr>input_wld_az1_rack4_uplink01_vlan</vt:lpstr>
      <vt:lpstr>input_wld_az1_rack4_uplink02_gateway_ip</vt:lpstr>
      <vt:lpstr>input_wld_az1_rack4_uplink02_mask</vt:lpstr>
      <vt:lpstr>input_wld_az1_rack4_uplink02_mtu</vt:lpstr>
      <vt:lpstr>input_wld_az1_rack4_uplink02_network</vt:lpstr>
      <vt:lpstr>input_wld_az1_rack4_uplink02_vlan</vt:lpstr>
      <vt:lpstr>input_wld_az1_rack4_vmotion_cidr</vt:lpstr>
      <vt:lpstr>input_wld_az1_rack4_vmotion_gateway_ip</vt:lpstr>
      <vt:lpstr>input_wld_az1_rack4_vmotion_mask</vt:lpstr>
      <vt:lpstr>input_wld_az1_rack4_vmotion_mtu</vt:lpstr>
      <vt:lpstr>input_wld_az1_rack4_vmotion_network</vt:lpstr>
      <vt:lpstr>input_wld_az1_rack4_vmotion_pool_end_ip</vt:lpstr>
      <vt:lpstr>input_wld_az1_rack4_vmotion_pool_start_ip</vt:lpstr>
      <vt:lpstr>input_wld_az1_rack4_vmotion_vlan</vt:lpstr>
      <vt:lpstr>input_wld_az1_rack4_vsan_fault_domain</vt:lpstr>
      <vt:lpstr>input_wld_az1_rack5_edge_overlay_gateway_ip</vt:lpstr>
      <vt:lpstr>input_wld_az1_rack5_edge_overlay_mask</vt:lpstr>
      <vt:lpstr>input_wld_az1_rack5_edge_overlay_mtu</vt:lpstr>
      <vt:lpstr>input_wld_az1_rack5_edge_overlay_network</vt:lpstr>
      <vt:lpstr>input_wld_az1_rack5_edge_overlay_network_pool_name</vt:lpstr>
      <vt:lpstr>input_wld_az1_rack5_edge_overlay_pool_end_ip</vt:lpstr>
      <vt:lpstr>input_wld_az1_rack5_edge_overlay_pool_start_ip</vt:lpstr>
      <vt:lpstr>input_wld_az1_rack5_edge_overlay_vlan</vt:lpstr>
      <vt:lpstr>input_wld_az1_rack5_host_overlay_cidr</vt:lpstr>
      <vt:lpstr>input_wld_az1_rack5_host_overlay_gateway_ip</vt:lpstr>
      <vt:lpstr>input_wld_az1_rack5_host_overlay_mask</vt:lpstr>
      <vt:lpstr>input_wld_az1_rack5_host_overlay_mtu</vt:lpstr>
      <vt:lpstr>input_wld_az1_rack5_host_overlay_network</vt:lpstr>
      <vt:lpstr>input_wld_az1_rack5_host_overlay_network_pool_name</vt:lpstr>
      <vt:lpstr>input_wld_az1_rack5_host_overlay_network_profile_name</vt:lpstr>
      <vt:lpstr>input_wld_az1_rack5_host_overlay_pool_end_ip</vt:lpstr>
      <vt:lpstr>input_wld_az1_rack5_host_overlay_pool_start_ip</vt:lpstr>
      <vt:lpstr>input_wld_az1_rack5_host_overlay_uplink_profile_name</vt:lpstr>
      <vt:lpstr>input_wld_az1_rack5_host_overlay_vlan</vt:lpstr>
      <vt:lpstr>input_wld_az1_rack5_host1_fqdn</vt:lpstr>
      <vt:lpstr>input_wld_az1_rack5_host1_mgmt_ip</vt:lpstr>
      <vt:lpstr>input_wld_az1_rack5_host10_fqdn</vt:lpstr>
      <vt:lpstr>input_wld_az1_rack5_host10_mgmt_ip</vt:lpstr>
      <vt:lpstr>input_wld_az1_rack5_host11_fqdn</vt:lpstr>
      <vt:lpstr>input_wld_az1_rack5_host11_mgmt_ip</vt:lpstr>
      <vt:lpstr>input_wld_az1_rack5_host12_fqdn</vt:lpstr>
      <vt:lpstr>input_wld_az1_rack5_host12_mgmt_ip</vt:lpstr>
      <vt:lpstr>input_wld_az1_rack5_host13_fqdn</vt:lpstr>
      <vt:lpstr>input_wld_az1_rack5_host13_mgmt_ip</vt:lpstr>
      <vt:lpstr>input_wld_az1_rack5_host14_fqdn</vt:lpstr>
      <vt:lpstr>input_wld_az1_rack5_host14_mgmt_ip</vt:lpstr>
      <vt:lpstr>input_wld_az1_rack5_host15_fqdn</vt:lpstr>
      <vt:lpstr>input_wld_az1_rack5_host15_mgmt_ip</vt:lpstr>
      <vt:lpstr>input_wld_az1_rack5_host16_fqdn</vt:lpstr>
      <vt:lpstr>input_wld_az1_rack5_host16_mgmt_ip</vt:lpstr>
      <vt:lpstr>input_wld_az1_rack5_host2_fqdn</vt:lpstr>
      <vt:lpstr>input_wld_az1_rack5_host2_mgmt_ip</vt:lpstr>
      <vt:lpstr>input_wld_az1_rack5_host3_fqdn</vt:lpstr>
      <vt:lpstr>input_wld_az1_rack5_host3_mgmt_ip</vt:lpstr>
      <vt:lpstr>input_wld_az1_rack5_host4_fqdn</vt:lpstr>
      <vt:lpstr>input_wld_az1_rack5_host4_mgmt_ip</vt:lpstr>
      <vt:lpstr>input_wld_az1_rack5_host5_fqdn</vt:lpstr>
      <vt:lpstr>input_wld_az1_rack5_host5_mgmt_ip</vt:lpstr>
      <vt:lpstr>input_wld_az1_rack5_host6_fqdn</vt:lpstr>
      <vt:lpstr>input_wld_az1_rack5_host6_mgmt_ip</vt:lpstr>
      <vt:lpstr>input_wld_az1_rack5_host7_fqdn</vt:lpstr>
      <vt:lpstr>input_wld_az1_rack5_host7_mgmt_ip</vt:lpstr>
      <vt:lpstr>input_wld_az1_rack5_host8_fqdn</vt:lpstr>
      <vt:lpstr>input_wld_az1_rack5_host8_mgmt_ip</vt:lpstr>
      <vt:lpstr>input_wld_az1_rack5_host9_fqdn</vt:lpstr>
      <vt:lpstr>input_wld_az1_rack5_host9_mgmt_ip</vt:lpstr>
      <vt:lpstr>input_wld_az1_rack5_mgmt_cidr</vt:lpstr>
      <vt:lpstr>input_wld_az1_rack5_mgmt_gateway_ip</vt:lpstr>
      <vt:lpstr>input_wld_az1_rack5_mgmt_mtu</vt:lpstr>
      <vt:lpstr>input_wld_az1_rack5_mgmt_vlan</vt:lpstr>
      <vt:lpstr>input_wld_az1_rack5_mgmt_vm_cidr</vt:lpstr>
      <vt:lpstr>input_wld_az1_rack5_mgmt_vm_gateway_ip</vt:lpstr>
      <vt:lpstr>input_wld_az1_rack5_mgmt_vm_mtu</vt:lpstr>
      <vt:lpstr>input_wld_az1_rack5_mgmt_vm_vlan</vt:lpstr>
      <vt:lpstr>input_wld_az1_rack5_pool_name</vt:lpstr>
      <vt:lpstr>input_wld_az1_rack5_principal_storage_cidr</vt:lpstr>
      <vt:lpstr>input_wld_az1_rack5_principal_storage_gateway_ip</vt:lpstr>
      <vt:lpstr>input_wld_az1_rack5_principal_storage_mask</vt:lpstr>
      <vt:lpstr>input_wld_az1_rack5_principal_storage_mtu</vt:lpstr>
      <vt:lpstr>input_wld_az1_rack5_principal_storage_network</vt:lpstr>
      <vt:lpstr>input_wld_az1_rack5_principal_storage_pool_end_ip</vt:lpstr>
      <vt:lpstr>input_wld_az1_rack5_principal_storage_pool_start_ip</vt:lpstr>
      <vt:lpstr>input_wld_az1_rack5_principal_storage_vlan</vt:lpstr>
      <vt:lpstr>input_wld_az1_rack5_rtep_ip_pool_name</vt:lpstr>
      <vt:lpstr>input_wld_az1_rack5_secondary_storage_cidr</vt:lpstr>
      <vt:lpstr>input_wld_az1_rack5_secondary_storage_gateway_ip</vt:lpstr>
      <vt:lpstr>input_wld_az1_rack5_secondary_storage_mask</vt:lpstr>
      <vt:lpstr>input_wld_az1_rack5_secondary_storage_mtu</vt:lpstr>
      <vt:lpstr>input_wld_az1_rack5_secondary_storage_network</vt:lpstr>
      <vt:lpstr>input_wld_az1_rack5_secondary_storage_pool_end_ip</vt:lpstr>
      <vt:lpstr>input_wld_az1_rack5_secondary_storage_pool_start_ip</vt:lpstr>
      <vt:lpstr>input_wld_az1_rack5_secondary_storage_vlan</vt:lpstr>
      <vt:lpstr>input_wld_az1_rack5_tor1_peer_asn</vt:lpstr>
      <vt:lpstr>input_wld_az1_rack5_tor1_peer_bgp_password</vt:lpstr>
      <vt:lpstr>input_wld_az1_rack5_tor1_peer_ip</vt:lpstr>
      <vt:lpstr>input_wld_az1_rack5_tor2_peer_asn</vt:lpstr>
      <vt:lpstr>input_wld_az1_rack5_tor2_peer_bgp_password</vt:lpstr>
      <vt:lpstr>input_wld_az1_rack5_tor2_peer_ip</vt:lpstr>
      <vt:lpstr>input_wld_az1_rack5_uplink01_gateway_ip</vt:lpstr>
      <vt:lpstr>input_wld_az1_rack5_uplink01_mask</vt:lpstr>
      <vt:lpstr>input_wld_az1_rack5_uplink01_mtu</vt:lpstr>
      <vt:lpstr>input_wld_az1_rack5_uplink01_network</vt:lpstr>
      <vt:lpstr>input_wld_az1_rack5_uplink01_vlan</vt:lpstr>
      <vt:lpstr>input_wld_az1_rack5_uplink02_gateway_ip</vt:lpstr>
      <vt:lpstr>input_wld_az1_rack5_uplink02_mask</vt:lpstr>
      <vt:lpstr>input_wld_az1_rack5_uplink02_mtu</vt:lpstr>
      <vt:lpstr>input_wld_az1_rack5_uplink02_network</vt:lpstr>
      <vt:lpstr>input_wld_az1_rack5_uplink02_vlan</vt:lpstr>
      <vt:lpstr>input_wld_az1_rack5_vmotion_cidr</vt:lpstr>
      <vt:lpstr>input_wld_az1_rack5_vmotion_gateway_ip</vt:lpstr>
      <vt:lpstr>input_wld_az1_rack5_vmotion_mask</vt:lpstr>
      <vt:lpstr>input_wld_az1_rack5_vmotion_mtu</vt:lpstr>
      <vt:lpstr>input_wld_az1_rack5_vmotion_network</vt:lpstr>
      <vt:lpstr>input_wld_az1_rack5_vmotion_pool_end_ip</vt:lpstr>
      <vt:lpstr>input_wld_az1_rack5_vmotion_pool_start_ip</vt:lpstr>
      <vt:lpstr>input_wld_az1_rack5_vmotion_vlan</vt:lpstr>
      <vt:lpstr>input_wld_az1_rack5_vsan_fault_domain</vt:lpstr>
      <vt:lpstr>input_wld_az1_rack6_edge_overlay_gateway_ip</vt:lpstr>
      <vt:lpstr>input_wld_az1_rack6_edge_overlay_mask</vt:lpstr>
      <vt:lpstr>input_wld_az1_rack6_edge_overlay_mtu</vt:lpstr>
      <vt:lpstr>input_wld_az1_rack6_edge_overlay_network</vt:lpstr>
      <vt:lpstr>input_wld_az1_rack6_edge_overlay_network_pool_name</vt:lpstr>
      <vt:lpstr>input_wld_az1_rack6_edge_overlay_pool_end_ip</vt:lpstr>
      <vt:lpstr>input_wld_az1_rack6_edge_overlay_pool_start_ip</vt:lpstr>
      <vt:lpstr>input_wld_az1_rack6_edge_overlay_vlan</vt:lpstr>
      <vt:lpstr>input_wld_az1_rack6_host_overlay_cidr</vt:lpstr>
      <vt:lpstr>input_wld_az1_rack6_host_overlay_gateway_ip</vt:lpstr>
      <vt:lpstr>input_wld_az1_rack6_host_overlay_mask</vt:lpstr>
      <vt:lpstr>input_wld_az1_rack6_host_overlay_mtu</vt:lpstr>
      <vt:lpstr>input_wld_az1_rack6_host_overlay_network</vt:lpstr>
      <vt:lpstr>input_wld_az1_rack6_host_overlay_network_pool_name</vt:lpstr>
      <vt:lpstr>input_wld_az1_rack6_host_overlay_network_profile_name</vt:lpstr>
      <vt:lpstr>input_wld_az1_rack6_host_overlay_pool_end_ip</vt:lpstr>
      <vt:lpstr>input_wld_az1_rack6_host_overlay_pool_start_ip</vt:lpstr>
      <vt:lpstr>input_wld_az1_rack6_host_overlay_uplink_profile_name</vt:lpstr>
      <vt:lpstr>input_wld_az1_rack6_host_overlay_vlan</vt:lpstr>
      <vt:lpstr>input_wld_az1_rack6_host1_fqdn</vt:lpstr>
      <vt:lpstr>input_wld_az1_rack6_host1_mgmt_ip</vt:lpstr>
      <vt:lpstr>input_wld_az1_rack6_host10_fqdn</vt:lpstr>
      <vt:lpstr>input_wld_az1_rack6_host10_mgmt_ip</vt:lpstr>
      <vt:lpstr>input_wld_az1_rack6_host11_fqdn</vt:lpstr>
      <vt:lpstr>input_wld_az1_rack6_host11_mgmt_ip</vt:lpstr>
      <vt:lpstr>input_wld_az1_rack6_host12_fqdn</vt:lpstr>
      <vt:lpstr>input_wld_az1_rack6_host12_mgmt_ip</vt:lpstr>
      <vt:lpstr>input_wld_az1_rack6_host13_fqdn</vt:lpstr>
      <vt:lpstr>input_wld_az1_rack6_host13_mgmt_ip</vt:lpstr>
      <vt:lpstr>input_wld_az1_rack6_host14_fqdn</vt:lpstr>
      <vt:lpstr>input_wld_az1_rack6_host14_mgmt_ip</vt:lpstr>
      <vt:lpstr>input_wld_az1_rack6_host15_fqdn</vt:lpstr>
      <vt:lpstr>input_wld_az1_rack6_host15_mgmt_ip</vt:lpstr>
      <vt:lpstr>input_wld_az1_rack6_host16_fqdn</vt:lpstr>
      <vt:lpstr>input_wld_az1_rack6_host16_mgmt_ip</vt:lpstr>
      <vt:lpstr>input_wld_az1_rack6_host2_fqdn</vt:lpstr>
      <vt:lpstr>input_wld_az1_rack6_host2_mgmt_ip</vt:lpstr>
      <vt:lpstr>input_wld_az1_rack6_host3_fqdn</vt:lpstr>
      <vt:lpstr>input_wld_az1_rack6_host3_mgmt_ip</vt:lpstr>
      <vt:lpstr>input_wld_az1_rack6_host4_fqdn</vt:lpstr>
      <vt:lpstr>input_wld_az1_rack6_host4_mgmt_ip</vt:lpstr>
      <vt:lpstr>input_wld_az1_rack6_host5_fqdn</vt:lpstr>
      <vt:lpstr>input_wld_az1_rack6_host5_mgmt_ip</vt:lpstr>
      <vt:lpstr>input_wld_az1_rack6_host6_fqdn</vt:lpstr>
      <vt:lpstr>input_wld_az1_rack6_host6_mgmt_ip</vt:lpstr>
      <vt:lpstr>input_wld_az1_rack6_host7_fqdn</vt:lpstr>
      <vt:lpstr>input_wld_az1_rack6_host7_mgmt_ip</vt:lpstr>
      <vt:lpstr>input_wld_az1_rack6_host8_fqdn</vt:lpstr>
      <vt:lpstr>input_wld_az1_rack6_host8_mgmt_ip</vt:lpstr>
      <vt:lpstr>input_wld_az1_rack6_host9_fqdn</vt:lpstr>
      <vt:lpstr>input_wld_az1_rack6_host9_mgmt_ip</vt:lpstr>
      <vt:lpstr>input_wld_az1_rack6_mgmt_cidr</vt:lpstr>
      <vt:lpstr>input_wld_az1_rack6_mgmt_gateway_ip</vt:lpstr>
      <vt:lpstr>input_wld_az1_rack6_mgmt_mtu</vt:lpstr>
      <vt:lpstr>input_wld_az1_rack6_mgmt_vlan</vt:lpstr>
      <vt:lpstr>input_wld_az1_rack6_mgmt_vm_cidr</vt:lpstr>
      <vt:lpstr>input_wld_az1_rack6_mgmt_vm_gateway_ip</vt:lpstr>
      <vt:lpstr>input_wld_az1_rack6_mgmt_vm_mtu</vt:lpstr>
      <vt:lpstr>input_wld_az1_rack6_mgmt_vm_vlan</vt:lpstr>
      <vt:lpstr>input_wld_az1_rack6_pool_name</vt:lpstr>
      <vt:lpstr>input_wld_az1_rack6_principal_storage_cidr</vt:lpstr>
      <vt:lpstr>input_wld_az1_rack6_principal_storage_gateway_ip</vt:lpstr>
      <vt:lpstr>input_wld_az1_rack6_principal_storage_mask</vt:lpstr>
      <vt:lpstr>input_wld_az1_rack6_principal_storage_mtu</vt:lpstr>
      <vt:lpstr>input_wld_az1_rack6_principal_storage_network</vt:lpstr>
      <vt:lpstr>input_wld_az1_rack6_principal_storage_pool_end_ip</vt:lpstr>
      <vt:lpstr>input_wld_az1_rack6_principal_storage_pool_start_ip</vt:lpstr>
      <vt:lpstr>input_wld_az1_rack6_principal_storage_vlan</vt:lpstr>
      <vt:lpstr>input_wld_az1_rack6_rtep_ip_pool_name</vt:lpstr>
      <vt:lpstr>input_wld_az1_rack6_secondary_storage_cidr</vt:lpstr>
      <vt:lpstr>input_wld_az1_rack6_secondary_storage_gateway_ip</vt:lpstr>
      <vt:lpstr>input_wld_az1_rack6_secondary_storage_mask</vt:lpstr>
      <vt:lpstr>input_wld_az1_rack6_secondary_storage_mtu</vt:lpstr>
      <vt:lpstr>input_wld_az1_rack6_secondary_storage_network</vt:lpstr>
      <vt:lpstr>input_wld_az1_rack6_secondary_storage_pool_end_ip</vt:lpstr>
      <vt:lpstr>input_wld_az1_rack6_secondary_storage_pool_start_ip</vt:lpstr>
      <vt:lpstr>input_wld_az1_rack6_secondary_storage_vlan</vt:lpstr>
      <vt:lpstr>input_wld_az1_rack6_tor1_peer_asn</vt:lpstr>
      <vt:lpstr>input_wld_az1_rack6_tor1_peer_bgp_password</vt:lpstr>
      <vt:lpstr>input_wld_az1_rack6_tor1_peer_ip</vt:lpstr>
      <vt:lpstr>input_wld_az1_rack6_tor2_peer_asn</vt:lpstr>
      <vt:lpstr>input_wld_az1_rack6_tor2_peer_bgp_password</vt:lpstr>
      <vt:lpstr>input_wld_az1_rack6_tor2_peer_ip</vt:lpstr>
      <vt:lpstr>input_wld_az1_rack6_uplink01_gateway_ip</vt:lpstr>
      <vt:lpstr>input_wld_az1_rack6_uplink01_mask</vt:lpstr>
      <vt:lpstr>input_wld_az1_rack6_uplink01_mtu</vt:lpstr>
      <vt:lpstr>input_wld_az1_rack6_uplink01_network</vt:lpstr>
      <vt:lpstr>input_wld_az1_rack6_uplink01_vlan</vt:lpstr>
      <vt:lpstr>input_wld_az1_rack6_uplink02_gateway_ip</vt:lpstr>
      <vt:lpstr>input_wld_az1_rack6_uplink02_mask</vt:lpstr>
      <vt:lpstr>input_wld_az1_rack6_uplink02_mtu</vt:lpstr>
      <vt:lpstr>input_wld_az1_rack6_uplink02_network</vt:lpstr>
      <vt:lpstr>input_wld_az1_rack6_uplink02_vlan</vt:lpstr>
      <vt:lpstr>input_wld_az1_rack6_vmotion_cidr</vt:lpstr>
      <vt:lpstr>input_wld_az1_rack6_vmotion_gateway_ip</vt:lpstr>
      <vt:lpstr>input_wld_az1_rack6_vmotion_mask</vt:lpstr>
      <vt:lpstr>input_wld_az1_rack6_vmotion_mtu</vt:lpstr>
      <vt:lpstr>input_wld_az1_rack6_vmotion_network</vt:lpstr>
      <vt:lpstr>input_wld_az1_rack6_vmotion_pool_end_ip</vt:lpstr>
      <vt:lpstr>input_wld_az1_rack6_vmotion_pool_start_ip</vt:lpstr>
      <vt:lpstr>input_wld_az1_rack6_vmotion_vlan</vt:lpstr>
      <vt:lpstr>input_wld_az1_rack6_vsan_fault_domain</vt:lpstr>
      <vt:lpstr>input_wld_az1_rack7_edge_overlay_gateway_ip</vt:lpstr>
      <vt:lpstr>input_wld_az1_rack7_edge_overlay_mask</vt:lpstr>
      <vt:lpstr>input_wld_az1_rack7_edge_overlay_mtu</vt:lpstr>
      <vt:lpstr>input_wld_az1_rack7_edge_overlay_network</vt:lpstr>
      <vt:lpstr>input_wld_az1_rack7_edge_overlay_network_pool_name</vt:lpstr>
      <vt:lpstr>input_wld_az1_rack7_edge_overlay_pool_end_ip</vt:lpstr>
      <vt:lpstr>input_wld_az1_rack7_edge_overlay_pool_start_ip</vt:lpstr>
      <vt:lpstr>input_wld_az1_rack7_edge_overlay_vlan</vt:lpstr>
      <vt:lpstr>input_wld_az1_rack7_host_overlay_cidr</vt:lpstr>
      <vt:lpstr>input_wld_az1_rack7_host_overlay_gateway_ip</vt:lpstr>
      <vt:lpstr>input_wld_az1_rack7_host_overlay_mask</vt:lpstr>
      <vt:lpstr>input_wld_az1_rack7_host_overlay_mtu</vt:lpstr>
      <vt:lpstr>input_wld_az1_rack7_host_overlay_network</vt:lpstr>
      <vt:lpstr>input_wld_az1_rack7_host_overlay_network_pool_name</vt:lpstr>
      <vt:lpstr>input_wld_az1_rack7_host_overlay_network_profile_name</vt:lpstr>
      <vt:lpstr>input_wld_az1_rack7_host_overlay_pool_end_ip</vt:lpstr>
      <vt:lpstr>input_wld_az1_rack7_host_overlay_pool_start_ip</vt:lpstr>
      <vt:lpstr>input_wld_az1_rack7_host_overlay_uplink_profile_name</vt:lpstr>
      <vt:lpstr>input_wld_az1_rack7_host_overlay_vlan</vt:lpstr>
      <vt:lpstr>input_wld_az1_rack7_host1_fqdn</vt:lpstr>
      <vt:lpstr>input_wld_az1_rack7_host1_mgmt_ip</vt:lpstr>
      <vt:lpstr>input_wld_az1_rack7_host10_fqdn</vt:lpstr>
      <vt:lpstr>input_wld_az1_rack7_host10_mgmt_ip</vt:lpstr>
      <vt:lpstr>input_wld_az1_rack7_host11_fqdn</vt:lpstr>
      <vt:lpstr>input_wld_az1_rack7_host11_mgmt_ip</vt:lpstr>
      <vt:lpstr>input_wld_az1_rack7_host12_fqdn</vt:lpstr>
      <vt:lpstr>input_wld_az1_rack7_host12_mgmt_ip</vt:lpstr>
      <vt:lpstr>input_wld_az1_rack7_host13_fqdn</vt:lpstr>
      <vt:lpstr>input_wld_az1_rack7_host13_mgmt_ip</vt:lpstr>
      <vt:lpstr>input_wld_az1_rack7_host14_fqdn</vt:lpstr>
      <vt:lpstr>input_wld_az1_rack7_host14_mgmt_ip</vt:lpstr>
      <vt:lpstr>input_wld_az1_rack7_host15_fqdn</vt:lpstr>
      <vt:lpstr>input_wld_az1_rack7_host15_mgmt_ip</vt:lpstr>
      <vt:lpstr>input_wld_az1_rack7_host16_fqdn</vt:lpstr>
      <vt:lpstr>input_wld_az1_rack7_host16_mgmt_ip</vt:lpstr>
      <vt:lpstr>input_wld_az1_rack7_host2_fqdn</vt:lpstr>
      <vt:lpstr>input_wld_az1_rack7_host2_mgmt_ip</vt:lpstr>
      <vt:lpstr>input_wld_az1_rack7_host3_fqdn</vt:lpstr>
      <vt:lpstr>input_wld_az1_rack7_host3_mgmt_ip</vt:lpstr>
      <vt:lpstr>input_wld_az1_rack7_host4_fqdn</vt:lpstr>
      <vt:lpstr>input_wld_az1_rack7_host4_mgmt_ip</vt:lpstr>
      <vt:lpstr>input_wld_az1_rack7_host5_fqdn</vt:lpstr>
      <vt:lpstr>input_wld_az1_rack7_host5_mgmt_ip</vt:lpstr>
      <vt:lpstr>input_wld_az1_rack7_host6_fqdn</vt:lpstr>
      <vt:lpstr>input_wld_az1_rack7_host6_mgmt_ip</vt:lpstr>
      <vt:lpstr>input_wld_az1_rack7_host7_fqdn</vt:lpstr>
      <vt:lpstr>input_wld_az1_rack7_host7_mgmt_ip</vt:lpstr>
      <vt:lpstr>input_wld_az1_rack7_host8_fqdn</vt:lpstr>
      <vt:lpstr>input_wld_az1_rack7_host8_mgmt_ip</vt:lpstr>
      <vt:lpstr>input_wld_az1_rack7_host9_fqdn</vt:lpstr>
      <vt:lpstr>input_wld_az1_rack7_host9_mgmt_ip</vt:lpstr>
      <vt:lpstr>input_wld_az1_rack7_mgmt_cidr</vt:lpstr>
      <vt:lpstr>input_wld_az1_rack7_mgmt_gateway_ip</vt:lpstr>
      <vt:lpstr>input_wld_az1_rack7_mgmt_mtu</vt:lpstr>
      <vt:lpstr>input_wld_az1_rack7_mgmt_vlan</vt:lpstr>
      <vt:lpstr>input_wld_az1_rack7_mgmt_vm_cidr</vt:lpstr>
      <vt:lpstr>input_wld_az1_rack7_mgmt_vm_gateway_ip</vt:lpstr>
      <vt:lpstr>input_wld_az1_rack7_mgmt_vm_mtu</vt:lpstr>
      <vt:lpstr>input_wld_az1_rack7_mgmt_vm_vlan</vt:lpstr>
      <vt:lpstr>input_wld_az1_rack7_pool_name</vt:lpstr>
      <vt:lpstr>input_wld_az1_rack7_principal_storage_cidr</vt:lpstr>
      <vt:lpstr>input_wld_az1_rack7_principal_storage_gateway_ip</vt:lpstr>
      <vt:lpstr>input_wld_az1_rack7_principal_storage_mask</vt:lpstr>
      <vt:lpstr>input_wld_az1_rack7_principal_storage_mtu</vt:lpstr>
      <vt:lpstr>input_wld_az1_rack7_principal_storage_network</vt:lpstr>
      <vt:lpstr>input_wld_az1_rack7_principal_storage_pool_end_ip</vt:lpstr>
      <vt:lpstr>input_wld_az1_rack7_principal_storage_pool_start_ip</vt:lpstr>
      <vt:lpstr>input_wld_az1_rack7_principal_storage_vlan</vt:lpstr>
      <vt:lpstr>input_wld_az1_rack7_rtep_ip_pool_name</vt:lpstr>
      <vt:lpstr>input_wld_az1_rack7_secondary_storage_cidr</vt:lpstr>
      <vt:lpstr>input_wld_az1_rack7_secondary_storage_gateway_ip</vt:lpstr>
      <vt:lpstr>input_wld_az1_rack7_secondary_storage_mask</vt:lpstr>
      <vt:lpstr>input_wld_az1_rack7_secondary_storage_mtu</vt:lpstr>
      <vt:lpstr>input_wld_az1_rack7_secondary_storage_network</vt:lpstr>
      <vt:lpstr>input_wld_az1_rack7_secondary_storage_pool_end_ip</vt:lpstr>
      <vt:lpstr>input_wld_az1_rack7_secondary_storage_pool_start_ip</vt:lpstr>
      <vt:lpstr>input_wld_az1_rack7_secondary_storage_vlan</vt:lpstr>
      <vt:lpstr>input_wld_az1_rack7_tor1_peer_asn</vt:lpstr>
      <vt:lpstr>input_wld_az1_rack7_tor1_peer_bgp_password</vt:lpstr>
      <vt:lpstr>input_wld_az1_rack7_tor1_peer_ip</vt:lpstr>
      <vt:lpstr>input_wld_az1_rack7_tor2_peer_asn</vt:lpstr>
      <vt:lpstr>input_wld_az1_rack7_tor2_peer_bgp_password</vt:lpstr>
      <vt:lpstr>input_wld_az1_rack7_tor2_peer_ip</vt:lpstr>
      <vt:lpstr>input_wld_az1_rack7_uplink01_gateway_ip</vt:lpstr>
      <vt:lpstr>input_wld_az1_rack7_uplink01_mask</vt:lpstr>
      <vt:lpstr>input_wld_az1_rack7_uplink01_mtu</vt:lpstr>
      <vt:lpstr>input_wld_az1_rack7_uplink01_network</vt:lpstr>
      <vt:lpstr>input_wld_az1_rack7_uplink01_vlan</vt:lpstr>
      <vt:lpstr>input_wld_az1_rack7_uplink02_gateway_ip</vt:lpstr>
      <vt:lpstr>input_wld_az1_rack7_uplink02_mask</vt:lpstr>
      <vt:lpstr>input_wld_az1_rack7_uplink02_mtu</vt:lpstr>
      <vt:lpstr>input_wld_az1_rack7_uplink02_network</vt:lpstr>
      <vt:lpstr>input_wld_az1_rack7_uplink02_vlan</vt:lpstr>
      <vt:lpstr>input_wld_az1_rack7_vmotion_cidr</vt:lpstr>
      <vt:lpstr>input_wld_az1_rack7_vmotion_gateway_ip</vt:lpstr>
      <vt:lpstr>input_wld_az1_rack7_vmotion_mask</vt:lpstr>
      <vt:lpstr>input_wld_az1_rack7_vmotion_mtu</vt:lpstr>
      <vt:lpstr>input_wld_az1_rack7_vmotion_network</vt:lpstr>
      <vt:lpstr>input_wld_az1_rack7_vmotion_pool_end_ip</vt:lpstr>
      <vt:lpstr>input_wld_az1_rack7_vmotion_pool_start_ip</vt:lpstr>
      <vt:lpstr>input_wld_az1_rack7_vmotion_vlan</vt:lpstr>
      <vt:lpstr>input_wld_az1_rack7_vsan_fault_domain</vt:lpstr>
      <vt:lpstr>input_wld_az1_rack8_edge_overlay_gateway_ip</vt:lpstr>
      <vt:lpstr>input_wld_az1_rack8_edge_overlay_mask</vt:lpstr>
      <vt:lpstr>input_wld_az1_rack8_edge_overlay_mtu</vt:lpstr>
      <vt:lpstr>input_wld_az1_rack8_edge_overlay_network</vt:lpstr>
      <vt:lpstr>input_wld_az1_rack8_edge_overlay_network_pool_name</vt:lpstr>
      <vt:lpstr>input_wld_az1_rack8_edge_overlay_pool_end_ip</vt:lpstr>
      <vt:lpstr>input_wld_az1_rack8_edge_overlay_pool_start_ip</vt:lpstr>
      <vt:lpstr>input_wld_az1_rack8_edge_overlay_vlan</vt:lpstr>
      <vt:lpstr>input_wld_az1_rack8_host_overlay_cidr</vt:lpstr>
      <vt:lpstr>input_wld_az1_rack8_host_overlay_gateway_ip</vt:lpstr>
      <vt:lpstr>input_wld_az1_rack8_host_overlay_mask</vt:lpstr>
      <vt:lpstr>input_wld_az1_rack8_host_overlay_mtu</vt:lpstr>
      <vt:lpstr>input_wld_az1_rack8_host_overlay_network</vt:lpstr>
      <vt:lpstr>input_wld_az1_rack8_host_overlay_network_pool_name</vt:lpstr>
      <vt:lpstr>input_wld_az1_rack8_host_overlay_network_profile_name</vt:lpstr>
      <vt:lpstr>input_wld_az1_rack8_host_overlay_pool_end_ip</vt:lpstr>
      <vt:lpstr>input_wld_az1_rack8_host_overlay_pool_start_ip</vt:lpstr>
      <vt:lpstr>input_wld_az1_rack8_host_overlay_uplink_profile_name</vt:lpstr>
      <vt:lpstr>input_wld_az1_rack8_host_overlay_vlan</vt:lpstr>
      <vt:lpstr>input_wld_az1_rack8_host1_fqdn</vt:lpstr>
      <vt:lpstr>input_wld_az1_rack8_host1_mgmt_ip</vt:lpstr>
      <vt:lpstr>input_wld_az1_rack8_host10_fqdn</vt:lpstr>
      <vt:lpstr>input_wld_az1_rack8_host10_mgmt_ip</vt:lpstr>
      <vt:lpstr>input_wld_az1_rack8_host11_fqdn</vt:lpstr>
      <vt:lpstr>input_wld_az1_rack8_host11_mgmt_ip</vt:lpstr>
      <vt:lpstr>input_wld_az1_rack8_host12_fqdn</vt:lpstr>
      <vt:lpstr>input_wld_az1_rack8_host12_mgmt_ip</vt:lpstr>
      <vt:lpstr>input_wld_az1_rack8_host13_fqdn</vt:lpstr>
      <vt:lpstr>input_wld_az1_rack8_host13_mgmt_ip</vt:lpstr>
      <vt:lpstr>input_wld_az1_rack8_host14_fqdn</vt:lpstr>
      <vt:lpstr>input_wld_az1_rack8_host14_mgmt_ip</vt:lpstr>
      <vt:lpstr>input_wld_az1_rack8_host15_fqdn</vt:lpstr>
      <vt:lpstr>input_wld_az1_rack8_host15_mgmt_ip</vt:lpstr>
      <vt:lpstr>input_wld_az1_rack8_host16_fqdn</vt:lpstr>
      <vt:lpstr>input_wld_az1_rack8_host16_mgmt_ip</vt:lpstr>
      <vt:lpstr>input_wld_az1_rack8_host2_fqdn</vt:lpstr>
      <vt:lpstr>input_wld_az1_rack8_host2_mgmt_ip</vt:lpstr>
      <vt:lpstr>input_wld_az1_rack8_host3_fqdn</vt:lpstr>
      <vt:lpstr>input_wld_az1_rack8_host3_mgmt_ip</vt:lpstr>
      <vt:lpstr>input_wld_az1_rack8_host4_fqdn</vt:lpstr>
      <vt:lpstr>input_wld_az1_rack8_host4_mgmt_ip</vt:lpstr>
      <vt:lpstr>input_wld_az1_rack8_host5_fqdn</vt:lpstr>
      <vt:lpstr>input_wld_az1_rack8_host5_mgmt_ip</vt:lpstr>
      <vt:lpstr>input_wld_az1_rack8_host6_fqdn</vt:lpstr>
      <vt:lpstr>input_wld_az1_rack8_host6_mgmt_ip</vt:lpstr>
      <vt:lpstr>input_wld_az1_rack8_host7_fqdn</vt:lpstr>
      <vt:lpstr>input_wld_az1_rack8_host7_mgmt_ip</vt:lpstr>
      <vt:lpstr>input_wld_az1_rack8_host8_fqdn</vt:lpstr>
      <vt:lpstr>input_wld_az1_rack8_host8_mgmt_ip</vt:lpstr>
      <vt:lpstr>input_wld_az1_rack8_host9_fqdn</vt:lpstr>
      <vt:lpstr>input_wld_az1_rack8_host9_mgmt_ip</vt:lpstr>
      <vt:lpstr>input_wld_az1_rack8_mgmt_cidr</vt:lpstr>
      <vt:lpstr>input_wld_az1_rack8_mgmt_gateway_ip</vt:lpstr>
      <vt:lpstr>input_wld_az1_rack8_mgmt_mtu</vt:lpstr>
      <vt:lpstr>input_wld_az1_rack8_mgmt_vlan</vt:lpstr>
      <vt:lpstr>input_wld_az1_rack8_mgmt_vm_cidr</vt:lpstr>
      <vt:lpstr>input_wld_az1_rack8_mgmt_vm_gateway_ip</vt:lpstr>
      <vt:lpstr>input_wld_az1_rack8_mgmt_vm_mtu</vt:lpstr>
      <vt:lpstr>input_wld_az1_rack8_mgmt_vm_vlan</vt:lpstr>
      <vt:lpstr>input_wld_az1_rack8_pool_name</vt:lpstr>
      <vt:lpstr>input_wld_az1_rack8_principal_storage_cidr</vt:lpstr>
      <vt:lpstr>input_wld_az1_rack8_principal_storage_gateway_ip</vt:lpstr>
      <vt:lpstr>input_wld_az1_rack8_principal_storage_mask</vt:lpstr>
      <vt:lpstr>input_wld_az1_rack8_principal_storage_mtu</vt:lpstr>
      <vt:lpstr>input_wld_az1_rack8_principal_storage_network</vt:lpstr>
      <vt:lpstr>input_wld_az1_rack8_principal_storage_pool_end_ip</vt:lpstr>
      <vt:lpstr>input_wld_az1_rack8_principal_storage_pool_start_ip</vt:lpstr>
      <vt:lpstr>input_wld_az1_rack8_principal_storage_vlan</vt:lpstr>
      <vt:lpstr>input_wld_az1_rack8_rtep_ip_pool_name</vt:lpstr>
      <vt:lpstr>input_wld_az1_rack8_secondary_storage_cidr</vt:lpstr>
      <vt:lpstr>input_wld_az1_rack8_secondary_storage_gateway_ip</vt:lpstr>
      <vt:lpstr>input_wld_az1_rack8_secondary_storage_mask</vt:lpstr>
      <vt:lpstr>input_wld_az1_rack8_secondary_storage_mtu</vt:lpstr>
      <vt:lpstr>input_wld_az1_rack8_secondary_storage_network</vt:lpstr>
      <vt:lpstr>input_wld_az1_rack8_secondary_storage_pool_end_ip</vt:lpstr>
      <vt:lpstr>input_wld_az1_rack8_secondary_storage_pool_start_ip</vt:lpstr>
      <vt:lpstr>input_wld_az1_rack8_secondary_storage_vlan</vt:lpstr>
      <vt:lpstr>input_wld_az1_rack8_tor1_peer_asn</vt:lpstr>
      <vt:lpstr>input_wld_az1_rack8_tor1_peer_bgp_password</vt:lpstr>
      <vt:lpstr>input_wld_az1_rack8_tor1_peer_ip</vt:lpstr>
      <vt:lpstr>input_wld_az1_rack8_tor2_peer_asn</vt:lpstr>
      <vt:lpstr>input_wld_az1_rack8_tor2_peer_bgp_password</vt:lpstr>
      <vt:lpstr>input_wld_az1_rack8_tor2_peer_ip</vt:lpstr>
      <vt:lpstr>input_wld_az1_rack8_uplink01_gateway_ip</vt:lpstr>
      <vt:lpstr>input_wld_az1_rack8_uplink01_mask</vt:lpstr>
      <vt:lpstr>input_wld_az1_rack8_uplink01_mtu</vt:lpstr>
      <vt:lpstr>input_wld_az1_rack8_uplink01_network</vt:lpstr>
      <vt:lpstr>input_wld_az1_rack8_uplink01_vlan</vt:lpstr>
      <vt:lpstr>input_wld_az1_rack8_uplink02_gateway_ip</vt:lpstr>
      <vt:lpstr>input_wld_az1_rack8_uplink02_mask</vt:lpstr>
      <vt:lpstr>input_wld_az1_rack8_uplink02_mtu</vt:lpstr>
      <vt:lpstr>input_wld_az1_rack8_uplink02_network</vt:lpstr>
      <vt:lpstr>input_wld_az1_rack8_uplink02_vlan</vt:lpstr>
      <vt:lpstr>input_wld_az1_rack8_vmotion_cidr</vt:lpstr>
      <vt:lpstr>input_wld_az1_rack8_vmotion_gateway_ip</vt:lpstr>
      <vt:lpstr>input_wld_az1_rack8_vmotion_mask</vt:lpstr>
      <vt:lpstr>input_wld_az1_rack8_vmotion_mtu</vt:lpstr>
      <vt:lpstr>input_wld_az1_rack8_vmotion_network</vt:lpstr>
      <vt:lpstr>input_wld_az1_rack8_vmotion_pool_end_ip</vt:lpstr>
      <vt:lpstr>input_wld_az1_rack8_vmotion_pool_start_ip</vt:lpstr>
      <vt:lpstr>input_wld_az1_rack8_vmotion_vlan</vt:lpstr>
      <vt:lpstr>input_wld_az1_rack8_vsan_fault_domain</vt:lpstr>
      <vt:lpstr>input_wld_az1_rtep_ip_pool_name</vt:lpstr>
      <vt:lpstr>input_wld_az1_rtep_overlay_cidr</vt:lpstr>
      <vt:lpstr>input_wld_az1_rtep_overlay_gateway_ip</vt:lpstr>
      <vt:lpstr>input_wld_az1_rtep_overlay_vlan</vt:lpstr>
      <vt:lpstr>input_wld_az1_secondary_storage_gateway_cidr</vt:lpstr>
      <vt:lpstr>input_wld_az1_secondary_storage_mtu</vt:lpstr>
      <vt:lpstr>input_wld_az1_secondary_storage_pool_end_ip</vt:lpstr>
      <vt:lpstr>input_wld_az1_secondary_storage_pool_start_ip</vt:lpstr>
      <vt:lpstr>input_wld_az1_secondary_storage_vlan</vt:lpstr>
      <vt:lpstr>input_wld_az1_storage_cluster_gateway_cidr</vt:lpstr>
      <vt:lpstr>input_wld_az1_storage_cluster_mtu</vt:lpstr>
      <vt:lpstr>input_wld_az1_storage_cluster_pool_end_ip</vt:lpstr>
      <vt:lpstr>input_wld_az1_storage_cluster_pool_start_ip</vt:lpstr>
      <vt:lpstr>input_wld_az1_storage_cluster_vlan</vt:lpstr>
      <vt:lpstr>input_wld_az1_tor1_peer_asn</vt:lpstr>
      <vt:lpstr>input_wld_az1_tor1_peer_bgp_password</vt:lpstr>
      <vt:lpstr>input_wld_az1_tor1_peer_ip</vt:lpstr>
      <vt:lpstr>input_wld_az1_tor2_peer_asn</vt:lpstr>
      <vt:lpstr>input_wld_az1_tor2_peer_bgp_password</vt:lpstr>
      <vt:lpstr>input_wld_az1_tor2_peer_ip</vt:lpstr>
      <vt:lpstr>input_wld_az1_uplink01_cidr</vt:lpstr>
      <vt:lpstr>input_wld_az1_uplink01_gateway_ip</vt:lpstr>
      <vt:lpstr>input_wld_az1_uplink01_mtu</vt:lpstr>
      <vt:lpstr>input_wld_az1_uplink01_vlan</vt:lpstr>
      <vt:lpstr>input_wld_az1_uplink02_cidr</vt:lpstr>
      <vt:lpstr>input_wld_az1_uplink02_gateway_ip</vt:lpstr>
      <vt:lpstr>input_wld_az1_uplink02_mtu</vt:lpstr>
      <vt:lpstr>input_wld_az1_uplink02_vlan</vt:lpstr>
      <vt:lpstr>input_wld_az1_vmotion_gateway_cidr</vt:lpstr>
      <vt:lpstr>input_wld_az1_vmotion_mtu</vt:lpstr>
      <vt:lpstr>input_wld_az1_vmotion_pool_end_ip</vt:lpstr>
      <vt:lpstr>input_wld_az1_vmotion_pool_start_ip</vt:lpstr>
      <vt:lpstr>input_wld_az1_vmotion_vlan</vt:lpstr>
      <vt:lpstr>input_wld_az1_vrms_cidr</vt:lpstr>
      <vt:lpstr>input_wld_az1_vrms_gateway_ip</vt:lpstr>
      <vt:lpstr>input_wld_az1_vrms_mtu</vt:lpstr>
      <vt:lpstr>input_wld_az1_vrms_vlan</vt:lpstr>
      <vt:lpstr>input_wld_az2_host_overlay_cidr</vt:lpstr>
      <vt:lpstr>input_wld_az2_host_overlay_gateway_ip</vt:lpstr>
      <vt:lpstr>input_wld_az2_host_overlay_mtu</vt:lpstr>
      <vt:lpstr>input_wld_az2_host_overlay_network_pool_name</vt:lpstr>
      <vt:lpstr>input_wld_az2_host_overlay_network_profile_name</vt:lpstr>
      <vt:lpstr>input_wld_az2_host_overlay_pool_end_ip</vt:lpstr>
      <vt:lpstr>input_wld_az2_host_overlay_pool_start_ip</vt:lpstr>
      <vt:lpstr>input_wld_az2_host_overlay_uplink_profile_name</vt:lpstr>
      <vt:lpstr>input_wld_az2_host_overlay_vlan</vt:lpstr>
      <vt:lpstr>input_wld_az2_host1_fqdn</vt:lpstr>
      <vt:lpstr>input_wld_az2_host1_mgmt_ip</vt:lpstr>
      <vt:lpstr>input_wld_az2_host1_sddc_id</vt:lpstr>
      <vt:lpstr>input_wld_az2_host1_vrms_ip</vt:lpstr>
      <vt:lpstr>input_wld_az2_host10_fqdn</vt:lpstr>
      <vt:lpstr>input_wld_az2_host10_mgmt_ip</vt:lpstr>
      <vt:lpstr>input_wld_az2_host10_vrms_ip</vt:lpstr>
      <vt:lpstr>input_wld_az2_host11_fqdn</vt:lpstr>
      <vt:lpstr>input_wld_az2_host11_mgmt_ip</vt:lpstr>
      <vt:lpstr>input_wld_az2_host11_vrms_ip</vt:lpstr>
      <vt:lpstr>input_wld_az2_host12_fqdn</vt:lpstr>
      <vt:lpstr>input_wld_az2_host12_mgmt_ip</vt:lpstr>
      <vt:lpstr>input_wld_az2_host12_vrms_ip</vt:lpstr>
      <vt:lpstr>input_wld_az2_host13_fqdn</vt:lpstr>
      <vt:lpstr>input_wld_az2_host13_mgmt_ip</vt:lpstr>
      <vt:lpstr>input_wld_az2_host13_vrms_ip</vt:lpstr>
      <vt:lpstr>input_wld_az2_host14_fqdn</vt:lpstr>
      <vt:lpstr>input_wld_az2_host14_mgmt_ip</vt:lpstr>
      <vt:lpstr>input_wld_az2_host14_vrms_ip</vt:lpstr>
      <vt:lpstr>input_wld_az2_host15_fqdn</vt:lpstr>
      <vt:lpstr>input_wld_az2_host15_mgmt_ip</vt:lpstr>
      <vt:lpstr>input_wld_az2_host15_vrms_ip</vt:lpstr>
      <vt:lpstr>input_wld_az2_host16_fqdn</vt:lpstr>
      <vt:lpstr>input_wld_az2_host16_mgmt_ip</vt:lpstr>
      <vt:lpstr>input_wld_az2_host16_vrms_ip</vt:lpstr>
      <vt:lpstr>input_wld_az2_host2_fqdn</vt:lpstr>
      <vt:lpstr>input_wld_az2_host2_mgmt_ip</vt:lpstr>
      <vt:lpstr>input_wld_az2_host2_sddc_id</vt:lpstr>
      <vt:lpstr>input_wld_az2_host2_vrms_ip</vt:lpstr>
      <vt:lpstr>input_wld_az2_host3_fqdn</vt:lpstr>
      <vt:lpstr>input_wld_az2_host3_mgmt_ip</vt:lpstr>
      <vt:lpstr>input_wld_az2_host3_sddc_id</vt:lpstr>
      <vt:lpstr>input_wld_az2_host3_vrms_ip</vt:lpstr>
      <vt:lpstr>input_wld_az2_host4_fqdn</vt:lpstr>
      <vt:lpstr>input_wld_az2_host4_mgmt_ip</vt:lpstr>
      <vt:lpstr>input_wld_az2_host4_sddc_id</vt:lpstr>
      <vt:lpstr>input_wld_az2_host4_vrms_ip</vt:lpstr>
      <vt:lpstr>input_wld_az2_host5_fqdn</vt:lpstr>
      <vt:lpstr>input_wld_az2_host5_mgmt_ip</vt:lpstr>
      <vt:lpstr>input_wld_az2_host5_vrms_ip</vt:lpstr>
      <vt:lpstr>input_wld_az2_host6_fqdn</vt:lpstr>
      <vt:lpstr>input_wld_az2_host6_mgmt_ip</vt:lpstr>
      <vt:lpstr>input_wld_az2_host6_vrms_ip</vt:lpstr>
      <vt:lpstr>input_wld_az2_host7_fqdn</vt:lpstr>
      <vt:lpstr>input_wld_az2_host7_mgmt_ip</vt:lpstr>
      <vt:lpstr>input_wld_az2_host7_vrms_ip</vt:lpstr>
      <vt:lpstr>input_wld_az2_host8_fqdn</vt:lpstr>
      <vt:lpstr>input_wld_az2_host8_mgmt_ip</vt:lpstr>
      <vt:lpstr>input_wld_az2_host8_vrms_ip</vt:lpstr>
      <vt:lpstr>input_wld_az2_host9_fqdn</vt:lpstr>
      <vt:lpstr>input_wld_az2_host9_mgmt_ip</vt:lpstr>
      <vt:lpstr>input_wld_az2_host9_vrms_ip</vt:lpstr>
      <vt:lpstr>input_wld_az2_mgmt_cidr</vt:lpstr>
      <vt:lpstr>input_wld_az2_mgmt_gateway_ip</vt:lpstr>
      <vt:lpstr>input_wld_az2_mgmt_mtu</vt:lpstr>
      <vt:lpstr>input_wld_az2_mgmt_vlan</vt:lpstr>
      <vt:lpstr>input_wld_az2_pool_name</vt:lpstr>
      <vt:lpstr>input_wld_az2_principal_storage_gateway_ip</vt:lpstr>
      <vt:lpstr>input_wld_az2_principal_storage_mask</vt:lpstr>
      <vt:lpstr>input_wld_az2_principal_storage_mtu</vt:lpstr>
      <vt:lpstr>input_wld_az2_principal_storage_network</vt:lpstr>
      <vt:lpstr>input_wld_az2_principal_storage_pool_end_ip</vt:lpstr>
      <vt:lpstr>input_wld_az2_principal_storage_pool_start_ip</vt:lpstr>
      <vt:lpstr>input_wld_az2_principal_storage_vlan</vt:lpstr>
      <vt:lpstr>input_wld_az2_secondary_storage_gateway_ip</vt:lpstr>
      <vt:lpstr>input_wld_az2_secondary_storage_mask</vt:lpstr>
      <vt:lpstr>input_wld_az2_secondary_storage_mtu</vt:lpstr>
      <vt:lpstr>input_wld_az2_secondary_storage_network</vt:lpstr>
      <vt:lpstr>input_wld_az2_secondary_storage_pool_end_ip</vt:lpstr>
      <vt:lpstr>input_wld_az2_secondary_storage_pool_start_ip</vt:lpstr>
      <vt:lpstr>input_wld_az2_secondary_storage_vlan</vt:lpstr>
      <vt:lpstr>input_wld_az2_storage_cluster_gateway_ip</vt:lpstr>
      <vt:lpstr>input_wld_az2_storage_cluster_mask</vt:lpstr>
      <vt:lpstr>input_wld_az2_storage_cluster_mtu</vt:lpstr>
      <vt:lpstr>input_wld_az2_storage_cluster_network</vt:lpstr>
      <vt:lpstr>input_wld_az2_storage_cluster_pool_end_ip</vt:lpstr>
      <vt:lpstr>input_wld_az2_storage_cluster_pool_start_ip</vt:lpstr>
      <vt:lpstr>input_wld_az2_storage_cluster_vlan</vt:lpstr>
      <vt:lpstr>input_wld_az2_tor1_peer_asn</vt:lpstr>
      <vt:lpstr>input_wld_az2_tor1_peer_bgp_password</vt:lpstr>
      <vt:lpstr>input_wld_az2_tor1_peer_ip</vt:lpstr>
      <vt:lpstr>input_wld_az2_tor2_peer_asn</vt:lpstr>
      <vt:lpstr>input_wld_az2_tor2_peer_bgp_password</vt:lpstr>
      <vt:lpstr>input_wld_az2_tor2_peer_ip</vt:lpstr>
      <vt:lpstr>input_wld_az2_vmotion_gateway_ip</vt:lpstr>
      <vt:lpstr>input_wld_az2_vmotion_mask</vt:lpstr>
      <vt:lpstr>input_wld_az2_vmotion_mtu</vt:lpstr>
      <vt:lpstr>input_wld_az2_vmotion_network</vt:lpstr>
      <vt:lpstr>input_wld_az2_vmotion_pool_end_ip</vt:lpstr>
      <vt:lpstr>input_wld_az2_vmotion_pool_start_ip</vt:lpstr>
      <vt:lpstr>input_wld_az2_vmotion_vlan</vt:lpstr>
      <vt:lpstr>input_wld_bf_nsxt_admin_password</vt:lpstr>
      <vt:lpstr>input_wld_bf_nsxt_audit_password</vt:lpstr>
      <vt:lpstr>input_wld_bf_nsxt_mgra_fqdn</vt:lpstr>
      <vt:lpstr>input_wld_bf_nsxt_mgrb_fqdn</vt:lpstr>
      <vt:lpstr>input_wld_bf_nsxt_mgrc_fqdn</vt:lpstr>
      <vt:lpstr>input_wld_bf_nsxt_root_password</vt:lpstr>
      <vt:lpstr>input_wld_bf_nsxt_vip_fqdn</vt:lpstr>
      <vt:lpstr>input_wld_bf_sddc_domain</vt:lpstr>
      <vt:lpstr>input_wld_bf_vc_fqdn</vt:lpstr>
      <vt:lpstr>input_wld_bf_vc_root_password</vt:lpstr>
      <vt:lpstr>input_wld_bf_vc_sso_password</vt:lpstr>
      <vt:lpstr>input_wld_bf_vc_sso_username</vt:lpstr>
      <vt:lpstr>input_wld_cl01_az1_mgmt_pg</vt:lpstr>
      <vt:lpstr>input_wld_cl01_az1_mgmt_vm_pg</vt:lpstr>
      <vt:lpstr>input_wld_cl01_az1_nsx_uplink_count</vt:lpstr>
      <vt:lpstr>input_wld_cl01_az1_principal_storage_pg</vt:lpstr>
      <vt:lpstr>input_wld_cl01_az1_uplink01_pg</vt:lpstr>
      <vt:lpstr>input_wld_cl01_az1_uplink02_pg</vt:lpstr>
      <vt:lpstr>input_wld_cl01_az1_vmotion_pg</vt:lpstr>
      <vt:lpstr>input_wld_cl01_az1_vsan_storage_client_pg</vt:lpstr>
      <vt:lpstr>input_wld_cl01_cluster</vt:lpstr>
      <vt:lpstr>input_wld_cl01_cluster_sddc_id</vt:lpstr>
      <vt:lpstr>input_wld_cl01_cluster_zn_name</vt:lpstr>
      <vt:lpstr>input_wld_cl01_evc_mode</vt:lpstr>
      <vt:lpstr>input_wld_cl01_image_name</vt:lpstr>
      <vt:lpstr>input_wld_cl01_nfs_datastore_name</vt:lpstr>
      <vt:lpstr>input_wld_cl01_nfs_server_address</vt:lpstr>
      <vt:lpstr>input_wld_cl01_nfs_share_path</vt:lpstr>
      <vt:lpstr>input_wld_cl01_supervisor_control_plane_ip_range</vt:lpstr>
      <vt:lpstr>input_wld_cl01_supervisor_dns</vt:lpstr>
      <vt:lpstr>input_wld_cl01_supervisor_ext_ip_block_gateway_cidr</vt:lpstr>
      <vt:lpstr>input_wld_cl01_supervisor_ext_ip_block_vlan</vt:lpstr>
      <vt:lpstr>input_wld_cl01_supervisor_name</vt:lpstr>
      <vt:lpstr>input_wld_cl01_supervisor_nsx_project</vt:lpstr>
      <vt:lpstr>input_wld_cl01_supervisor_ntp</vt:lpstr>
      <vt:lpstr>input_wld_cl01_supervisor_private_transit_gateway_cidr</vt:lpstr>
      <vt:lpstr>input_wld_cl01_supervisor_service_cidr</vt:lpstr>
      <vt:lpstr>input_wld_cl01_supervisor_vpc_profile</vt:lpstr>
      <vt:lpstr>input_wld_cl01_vds01_lag_name</vt:lpstr>
      <vt:lpstr>input_wld_cl01_vds01_mtu</vt:lpstr>
      <vt:lpstr>input_wld_cl01_vds01_name</vt:lpstr>
      <vt:lpstr>input_wld_cl01_vds01_pnics</vt:lpstr>
      <vt:lpstr>input_wld_cl01_vds01_uplink_count</vt:lpstr>
      <vt:lpstr>input_wld_cl01_vds02_lag_name</vt:lpstr>
      <vt:lpstr>input_wld_cl01_vds02_mtu</vt:lpstr>
      <vt:lpstr>input_wld_cl01_vds02_name</vt:lpstr>
      <vt:lpstr>input_wld_cl01_vds02_pnics</vt:lpstr>
      <vt:lpstr>input_wld_cl01_vds02_uplink_count</vt:lpstr>
      <vt:lpstr>input_wld_cl01_vds03_lag_name</vt:lpstr>
      <vt:lpstr>input_wld_cl01_vds03_mtu</vt:lpstr>
      <vt:lpstr>input_wld_cl01_vds03_name</vt:lpstr>
      <vt:lpstr>input_wld_cl01_vds03_pnics</vt:lpstr>
      <vt:lpstr>input_wld_cl01_vds03_uplink_count</vt:lpstr>
      <vt:lpstr>input_wld_cl01_vmfs_datastore_name</vt:lpstr>
      <vt:lpstr>input_wld_cl01_vsan_datastore</vt:lpstr>
      <vt:lpstr>input_wld_cl01_vsan_dit_rekey_custom_interval</vt:lpstr>
      <vt:lpstr>input_wld_cl01_vsan_dit_rekey_default_interval</vt:lpstr>
      <vt:lpstr>input_wld_datacenter</vt:lpstr>
      <vt:lpstr>input_wld_day2_vnaa_fqdn</vt:lpstr>
      <vt:lpstr>input_wld_day2_vnab_fqdn</vt:lpstr>
      <vt:lpstr>input_wld_ec_mtu</vt:lpstr>
      <vt:lpstr>input_wld_ec_name</vt:lpstr>
      <vt:lpstr>input_wld_ec_rp_name</vt:lpstr>
      <vt:lpstr>input_wld_ec01_en01_host_group_affinity_rule_name</vt:lpstr>
      <vt:lpstr>input_wld_ec01_en02_host_group_affinity_rule_name</vt:lpstr>
      <vt:lpstr>input_wld_en_asn</vt:lpstr>
      <vt:lpstr>input_wld_esx_root_password</vt:lpstr>
      <vt:lpstr>input_wld_esx_root_username</vt:lpstr>
      <vt:lpstr>input_wld_existing_active_nsx_gm</vt:lpstr>
      <vt:lpstr>input_wld_existing_cross_instance_t0_name</vt:lpstr>
      <vt:lpstr>input_wld_host_overlay_transportzone</vt:lpstr>
      <vt:lpstr>input_wld_nsx_vlan_transport_zone_name</vt:lpstr>
      <vt:lpstr>input_wld_nsxt_en_admin_password</vt:lpstr>
      <vt:lpstr>input_wld_nsxt_en_root_password</vt:lpstr>
      <vt:lpstr>input_wld_nsxt_federation_global_manager_name</vt:lpstr>
      <vt:lpstr>input_wld_nsxt_federation_location_name</vt:lpstr>
      <vt:lpstr>input_wld_nsxt_global_mgr_anti_affinity_rule_name</vt:lpstr>
      <vt:lpstr>input_wld_nsxt_global_mgr_certificate_id</vt:lpstr>
      <vt:lpstr>input_wld_nsxt_global_mgr_cluster_id</vt:lpstr>
      <vt:lpstr>input_wld_nsxt_global_mgr_vmca_signed_thumbprint</vt:lpstr>
      <vt:lpstr>input_wld_nsxt_global_mgra_fqdn</vt:lpstr>
      <vt:lpstr>input_wld_nsxt_global_mgra_hostname</vt:lpstr>
      <vt:lpstr>input_wld_nsxt_global_mgra_ip</vt:lpstr>
      <vt:lpstr>input_wld_nsxt_global_mgrb_fqdn</vt:lpstr>
      <vt:lpstr>input_wld_nsxt_global_mgrb_hostname</vt:lpstr>
      <vt:lpstr>input_wld_nsxt_global_mgrb_ip</vt:lpstr>
      <vt:lpstr>input_wld_nsxt_global_mgrc_fqdn</vt:lpstr>
      <vt:lpstr>input_wld_nsxt_global_mgrc_hostname</vt:lpstr>
      <vt:lpstr>input_wld_nsxt_global_mgrc_ip</vt:lpstr>
      <vt:lpstr>input_wld_nsxt_gm_admin_password</vt:lpstr>
      <vt:lpstr>input_wld_nsxt_gm_audit_password</vt:lpstr>
      <vt:lpstr>input_wld_nsxt_gm_fingerprint</vt:lpstr>
      <vt:lpstr>input_wld_nsxt_gm_root_password</vt:lpstr>
      <vt:lpstr>input_wld_nsxt_gm_vip_fqdn</vt:lpstr>
      <vt:lpstr>input_wld_nsxt_gm_vip_ip</vt:lpstr>
      <vt:lpstr>input_wld_nsxt_lm_admin_password</vt:lpstr>
      <vt:lpstr>input_wld_nsxt_lm_audit_password</vt:lpstr>
      <vt:lpstr>input_wld_nsxt_lm_fingerprint</vt:lpstr>
      <vt:lpstr>input_wld_nsxt_mgra_fqdn</vt:lpstr>
      <vt:lpstr>input_wld_nsxt_mgra_ip</vt:lpstr>
      <vt:lpstr>input_wld_nsxt_mgrb_fqdn</vt:lpstr>
      <vt:lpstr>input_wld_nsxt_mgrb_ip</vt:lpstr>
      <vt:lpstr>input_wld_nsxt_mgrc_fqdn</vt:lpstr>
      <vt:lpstr>input_wld_nsxt_mgrc_ip</vt:lpstr>
      <vt:lpstr>input_wld_nsxt_vip_fqdn</vt:lpstr>
      <vt:lpstr>input_wld_nsxt_vip_ip</vt:lpstr>
      <vt:lpstr>input_wld_nsxt_xreg_t1_name</vt:lpstr>
      <vt:lpstr>input_wld_rack2_en_asn</vt:lpstr>
      <vt:lpstr>input_wld_rack3_en_asn</vt:lpstr>
      <vt:lpstr>input_wld_rack4_en_asn</vt:lpstr>
      <vt:lpstr>input_wld_rack5_en_asn</vt:lpstr>
      <vt:lpstr>input_wld_rack6_en_asn</vt:lpstr>
      <vt:lpstr>input_wld_rack7_en_asn</vt:lpstr>
      <vt:lpstr>input_wld_rack8_en_asn</vt:lpstr>
      <vt:lpstr>input_wld_rtep_overlay_pool_end_ip</vt:lpstr>
      <vt:lpstr>input_wld_rtep_overlay_pool_start_ip</vt:lpstr>
      <vt:lpstr>input_wld_rwr_az1_vrms_gateway_ip</vt:lpstr>
      <vt:lpstr>input_wld_rwr_az1_vrms_gateway_mask</vt:lpstr>
      <vt:lpstr>input_wld_rwr_cl02_cluster</vt:lpstr>
      <vt:lpstr>input_wld_rwr_cl02_vds01</vt:lpstr>
      <vt:lpstr>input_wld_rwr_recovery_site_az1_vrms_cidr</vt:lpstr>
      <vt:lpstr>input_wld_rwr_recovery_site_vc_fqdn</vt:lpstr>
      <vt:lpstr>input_wld_rwr_recoverysite_fd</vt:lpstr>
      <vt:lpstr>input_wld_rwr_vc_fqdn</vt:lpstr>
      <vt:lpstr>input_wld_rwr_vcfops_vlsr_username</vt:lpstr>
      <vt:lpstr>input_wld_rwr_vcfops_vr_username</vt:lpstr>
      <vt:lpstr>input_wld_sddc_domain</vt:lpstr>
      <vt:lpstr>input_wld_srm_admin_email</vt:lpstr>
      <vt:lpstr>input_wld_srm_admin_password</vt:lpstr>
      <vt:lpstr>input_wld_srm_database_password</vt:lpstr>
      <vt:lpstr>input_wld_srm_hostname</vt:lpstr>
      <vt:lpstr>input_wld_srm_ip</vt:lpstr>
      <vt:lpstr>input_wld_srm_p12_password</vt:lpstr>
      <vt:lpstr>input_wld_srm_recovery_vcenter_fqdn</vt:lpstr>
      <vt:lpstr>input_wld_srm_recovery_vcenter_password</vt:lpstr>
      <vt:lpstr>input_wld_srm_recovery_vcenter_username</vt:lpstr>
      <vt:lpstr>input_wld_srm_root_password</vt:lpstr>
      <vt:lpstr>input_wld_srm_site_name</vt:lpstr>
      <vt:lpstr>input_wld_srm_sso_domain_membership</vt:lpstr>
      <vt:lpstr>input_wld_srm_vm_folder</vt:lpstr>
      <vt:lpstr>input_wld_srm_vm_size</vt:lpstr>
      <vt:lpstr>input_wld_sso_domain_name</vt:lpstr>
      <vt:lpstr>input_wld_supvr_api_server_fqdn</vt:lpstr>
      <vt:lpstr>input_wld_supvr_cp_storage_policy</vt:lpstr>
      <vt:lpstr>input_wld_supvr_ed_storage_policy</vt:lpstr>
      <vt:lpstr>input_wld_supvr_ic_storage_policy</vt:lpstr>
      <vt:lpstr>input_wld_supvr_ip_address_range</vt:lpstr>
      <vt:lpstr>input_wld_supvr_mgmt_dns_server</vt:lpstr>
      <vt:lpstr>input_wld_supvr_mgmt_dns_zones</vt:lpstr>
      <vt:lpstr>input_wld_supvr_mgmt_ntp_server</vt:lpstr>
      <vt:lpstr>input_wld_supvr_name</vt:lpstr>
      <vt:lpstr>input_wld_supvr_nsx_project</vt:lpstr>
      <vt:lpstr>input_wld_supvr_vpc_connectivity_profile</vt:lpstr>
      <vt:lpstr>input_wld_supvr_vpc_ext_ip_blocks_name</vt:lpstr>
      <vt:lpstr>input_wld_supvr_vpc_priv_cidr</vt:lpstr>
      <vt:lpstr>input_wld_supvr_vpc_priv_ip_blocks_name</vt:lpstr>
      <vt:lpstr>input_wld_supvr_vpc_service_cidr</vt:lpstr>
      <vt:lpstr>input_wld_supvr_wld_dns_server</vt:lpstr>
      <vt:lpstr>input_wld_supvr_wld_ntp_server</vt:lpstr>
      <vt:lpstr>input_wld_supvr_zone_name</vt:lpstr>
      <vt:lpstr>input_wld_tier0_name</vt:lpstr>
      <vt:lpstr>input_wld_vc_fqdn</vt:lpstr>
      <vt:lpstr>input_wld_vc_ip</vt:lpstr>
      <vt:lpstr>input_wld_vcenter_root_password</vt:lpstr>
      <vt:lpstr>input_wld_vlr_hostname</vt:lpstr>
      <vt:lpstr>input_wld_vlr_replication_user</vt:lpstr>
      <vt:lpstr>input_wld_vna_rp_name</vt:lpstr>
      <vt:lpstr>input_wld_vnaa_cidr</vt:lpstr>
      <vt:lpstr>input_wld_vnaa_fqdn</vt:lpstr>
      <vt:lpstr>input_wld_vnaa_ip</vt:lpstr>
      <vt:lpstr>input_wld_vnab_cidr</vt:lpstr>
      <vt:lpstr>input_wld_vnab_fqdn</vt:lpstr>
      <vt:lpstr>input_wld_vnab_ip</vt:lpstr>
      <vt:lpstr>input_wld_vpc_ext_ip_blocks_cidr</vt:lpstr>
      <vt:lpstr>input_wld_vpc_ext_ip_blocks_excluded_ips</vt:lpstr>
      <vt:lpstr>input_wld_vpc_ext_ip_blocks_name</vt:lpstr>
      <vt:lpstr>input_wld_vpc_ext_ip_blocks_reserved</vt:lpstr>
      <vt:lpstr>input_wld_vpc_ext_ip_blocks_visability</vt:lpstr>
      <vt:lpstr>input_wld_vpc_priv_ip_blocks_excluded_ips</vt:lpstr>
      <vt:lpstr>input_wld_vpc_priv_ip_blocks_name</vt:lpstr>
      <vt:lpstr>input_wld_vpc_priv_ip_blocks_reserved</vt:lpstr>
      <vt:lpstr>input_wld_vpc_priv_ip_blocks_visability</vt:lpstr>
      <vt:lpstr>input_wld_vpc_transit_gateway_ip_blocks_cidr</vt:lpstr>
      <vt:lpstr>input_wld_vpc_vna_cluster_name</vt:lpstr>
      <vt:lpstr>input_wld_vrms_admin_email</vt:lpstr>
      <vt:lpstr>input_wld_vrms_admin_password</vt:lpstr>
      <vt:lpstr>input_wld_vrms_hostname</vt:lpstr>
      <vt:lpstr>input_wld_vrms_mgmt_ip</vt:lpstr>
      <vt:lpstr>input_wld_vrms_p12_password</vt:lpstr>
      <vt:lpstr>input_wld_vrms_pg</vt:lpstr>
      <vt:lpstr>input_wld_vrms_recovery_replication_cidr</vt:lpstr>
      <vt:lpstr>input_wld_vrms_root_password</vt:lpstr>
      <vt:lpstr>input_wld_vrms_site_name</vt:lpstr>
      <vt:lpstr>input_wld_vrms_vm_folder</vt:lpstr>
      <vt:lpstr>input_wld_vrms_vrms_ip</vt:lpstr>
      <vt:lpstr>input_wld_witness_cluster</vt:lpstr>
      <vt:lpstr>input_wld_witness_dns1_ip</vt:lpstr>
      <vt:lpstr>input_wld_witness_dns2_ip</vt:lpstr>
      <vt:lpstr>input_wld_witness_fqdn</vt:lpstr>
      <vt:lpstr>input_wld_witness_hostname</vt:lpstr>
      <vt:lpstr>input_wld_witness_ip</vt:lpstr>
      <vt:lpstr>input_wld_witness_mgmt_pg</vt:lpstr>
      <vt:lpstr>input_wld_witness_ntp1_server</vt:lpstr>
      <vt:lpstr>input_wld_witness_ntp2_server</vt:lpstr>
      <vt:lpstr>input_wld_witness_root_password</vt:lpstr>
      <vt:lpstr>input_wld_witness_vm_folder</vt:lpstr>
      <vt:lpstr>input_wld_witness_vsan_datastore</vt:lpstr>
      <vt:lpstr>input_wld_witness_zone_vc_fqdn</vt:lpstr>
      <vt:lpstr>input_wld_witness_zone_vc_ip</vt:lpstr>
      <vt:lpstr>input_wld_witnessaz_mgmt_cidr</vt:lpstr>
      <vt:lpstr>input_wld_witnessaz_mgmt_gateway_ip</vt:lpstr>
      <vt:lpstr>input_wld_witnessaz_mgmt_mtu</vt:lpstr>
      <vt:lpstr>input_wld_witnessaz_mgmt_vlan</vt:lpstr>
      <vt:lpstr>input_xreg_vra_admin_password</vt:lpstr>
      <vt:lpstr>input_xreg_vra_prefix</vt:lpstr>
      <vt:lpstr>input_xreg_vra_virtual_fqdn</vt:lpstr>
      <vt:lpstr>input_xreg_vra_virtual_ip</vt:lpstr>
      <vt:lpstr>input_xreg_vrops_admin_password</vt:lpstr>
      <vt:lpstr>input_xreg_vrops_collector_fqdn</vt:lpstr>
      <vt:lpstr>input_xreg_vrops_collector_ip</vt:lpstr>
      <vt:lpstr>input_xreg_vrops_collector_root_password</vt:lpstr>
      <vt:lpstr>input_xreg_vrops_nodea_fqdn</vt:lpstr>
      <vt:lpstr>input_xreg_vrops_nodea_ip</vt:lpstr>
      <vt:lpstr>input_xreg_vrops_nodeb_fqdn</vt:lpstr>
      <vt:lpstr>input_xreg_vrops_nodeb_ip</vt:lpstr>
      <vt:lpstr>input_xreg_vrops_nodec_fqdn</vt:lpstr>
      <vt:lpstr>input_xreg_vrops_nodec_ip</vt:lpstr>
      <vt:lpstr>input_xreg_vrops_root_password</vt:lpstr>
      <vt:lpstr>input_xreg_vrops_srm_sso_password</vt:lpstr>
      <vt:lpstr>input_xreg_vrops_srm_sso_username</vt:lpstr>
      <vt:lpstr>input_xreg_vrops_virtual_fqdn</vt:lpstr>
      <vt:lpstr>input_xreg_vrops_virtual_ip</vt:lpstr>
      <vt:lpstr>input_xreg_vrops_vrms_sso_password</vt:lpstr>
      <vt:lpstr>input_xreg_vrops_vrms_sso_username</vt:lpstr>
      <vt:lpstr>input_xregion_dns1_ip</vt:lpstr>
      <vt:lpstr>input_xregion_dns2_ip</vt:lpstr>
      <vt:lpstr>input_xregion_ntp1_server</vt:lpstr>
      <vt:lpstr>input_xregion_ntp2_server</vt:lpstr>
      <vt:lpstr>lag_load_balancing</vt:lpstr>
      <vt:lpstr>mgmt_avi_loadbalancer_chosen</vt:lpstr>
      <vt:lpstr>mgmt_avi_loadbalancer_result</vt:lpstr>
      <vt:lpstr>mgmt_avilb_cluster_formfactor_chosen</vt:lpstr>
      <vt:lpstr>mgmt_avilb_cluster_name</vt:lpstr>
      <vt:lpstr>mgmt_avilb_cluster_version</vt:lpstr>
      <vt:lpstr>mgmt_avilb_fqdn</vt:lpstr>
      <vt:lpstr>mgmt_avilb_ha_chosen</vt:lpstr>
      <vt:lpstr>mgmt_avilb_hostname</vt:lpstr>
      <vt:lpstr>mgmt_avilb_ip</vt:lpstr>
      <vt:lpstr>mgmt_avilb_mgra_ip</vt:lpstr>
      <vt:lpstr>mgmt_avilb_mgrb_ip</vt:lpstr>
      <vt:lpstr>mgmt_avilb_mgrc_ip</vt:lpstr>
      <vt:lpstr>mgmt_avilb_root_password</vt:lpstr>
      <vt:lpstr>mgmt_avilb_vcfops_password</vt:lpstr>
      <vt:lpstr>mgmt_az1_dtgw_gateway_cidr</vt:lpstr>
      <vt:lpstr>mgmt_az1_dtgw_vlan</vt:lpstr>
      <vt:lpstr>mgmt_az1_ec01_password_creation_chosen</vt:lpstr>
      <vt:lpstr>mgmt_az1_edge_overlay_cidr</vt:lpstr>
      <vt:lpstr>mgmt_az1_edge_overlay_gateway_ip</vt:lpstr>
      <vt:lpstr>mgmt_az1_edge_overlay_mask</vt:lpstr>
      <vt:lpstr>mgmt_az1_edge_overlay_mtu</vt:lpstr>
      <vt:lpstr>mgmt_az1_edge_overlay_network</vt:lpstr>
      <vt:lpstr>mgmt_az1_edge_overlay_network_pool_name</vt:lpstr>
      <vt:lpstr>mgmt_az1_edge_overlay_pg</vt:lpstr>
      <vt:lpstr>mgmt_az1_edge_overlay_pool_end_ip</vt:lpstr>
      <vt:lpstr>mgmt_az1_edge_overlay_pool_start_ip</vt:lpstr>
      <vt:lpstr>mgmt_az1_edge_overlay_vlan</vt:lpstr>
      <vt:lpstr>mgmt_az1_en1_edge_overlay_interface_ip_1_ip</vt:lpstr>
      <vt:lpstr>mgmt_az1_en1_edge_overlay_interface_ip_2_ip</vt:lpstr>
      <vt:lpstr>mgmt_az1_en1_edge_overlay_network_ip_allocation_chosen</vt:lpstr>
      <vt:lpstr>mgmt_az1_en1_eth0_uplink0</vt:lpstr>
      <vt:lpstr>mgmt_az1_en1_eth0_uplink1</vt:lpstr>
      <vt:lpstr>mgmt_az1_en1_eth1_uplink0</vt:lpstr>
      <vt:lpstr>mgmt_az1_en1_eth1_uplink1</vt:lpstr>
      <vt:lpstr>mgmt_az1_en1_fqdn</vt:lpstr>
      <vt:lpstr>mgmt_az1_en1_hostname</vt:lpstr>
      <vt:lpstr>mgmt_az1_en1_ip_allocation_chosen</vt:lpstr>
      <vt:lpstr>mgmt_az1_en1_mgmt_cidr</vt:lpstr>
      <vt:lpstr>mgmt_az1_en1_mgmt_ip</vt:lpstr>
      <vt:lpstr>mgmt_az1_en1_uplink_ip_assignment_chosen</vt:lpstr>
      <vt:lpstr>mgmt_az1_en1_uplink01_interface_cidr</vt:lpstr>
      <vt:lpstr>mgmt_az1_en1_uplink02_interface_cidr</vt:lpstr>
      <vt:lpstr>mgmt_az1_en2_edge_overlay_interface_ip_1_ip</vt:lpstr>
      <vt:lpstr>mgmt_az1_en2_edge_overlay_interface_ip_2_ip</vt:lpstr>
      <vt:lpstr>mgmt_az1_en2_eth0_uplink0</vt:lpstr>
      <vt:lpstr>mgmt_az1_en2_eth0_uplink1</vt:lpstr>
      <vt:lpstr>mgmt_az1_en2_eth1_uplink0</vt:lpstr>
      <vt:lpstr>mgmt_az1_en2_eth1_uplink1</vt:lpstr>
      <vt:lpstr>mgmt_az1_en2_fqdn</vt:lpstr>
      <vt:lpstr>mgmt_az1_en2_hostname</vt:lpstr>
      <vt:lpstr>mgmt_az1_en2_mgmt_cidr</vt:lpstr>
      <vt:lpstr>mgmt_az1_en2_mgmt_ip</vt:lpstr>
      <vt:lpstr>mgmt_az1_en2_uplink01_interface_cidr</vt:lpstr>
      <vt:lpstr>mgmt_az1_en2_uplink02_interface_cidr</vt:lpstr>
      <vt:lpstr>mgmt_az1_host_fqdns</vt:lpstr>
      <vt:lpstr>mgmt_az1_host_hostnames</vt:lpstr>
      <vt:lpstr>mgmt_az1_host_mgmt_ips</vt:lpstr>
      <vt:lpstr>mgmt_az1_host_overlay_cidr</vt:lpstr>
      <vt:lpstr>mgmt_az1_host_overlay_gateway_cidr</vt:lpstr>
      <vt:lpstr>mgmt_az1_host_overlay_gateway_ip</vt:lpstr>
      <vt:lpstr>mgmt_az1_host_overlay_mask</vt:lpstr>
      <vt:lpstr>mgmt_az1_host_overlay_mtu</vt:lpstr>
      <vt:lpstr>mgmt_az1_host_overlay_network</vt:lpstr>
      <vt:lpstr>mgmt_az1_host_overlay_network_pool_description</vt:lpstr>
      <vt:lpstr>mgmt_az1_host_overlay_network_pool_name</vt:lpstr>
      <vt:lpstr>mgmt_az1_host_overlay_network_profile_name</vt:lpstr>
      <vt:lpstr>mgmt_az1_host_overlay_pg</vt:lpstr>
      <vt:lpstr>mgmt_az1_host_overlay_pool_end_ip</vt:lpstr>
      <vt:lpstr>mgmt_az1_host_overlay_pool_start_ip</vt:lpstr>
      <vt:lpstr>mgmt_az1_host_overlay_transport_zone</vt:lpstr>
      <vt:lpstr>mgmt_az1_host_overlay_vlan</vt:lpstr>
      <vt:lpstr>mgmt_az1_host1_fqdn</vt:lpstr>
      <vt:lpstr>mgmt_az1_host1_hostname</vt:lpstr>
      <vt:lpstr>mgmt_az1_host1_mgmt_ip</vt:lpstr>
      <vt:lpstr>mgmt_az1_host1_vrms_ip</vt:lpstr>
      <vt:lpstr>mgmt_az1_host10_fqdn</vt:lpstr>
      <vt:lpstr>mgmt_az1_host10_hostname</vt:lpstr>
      <vt:lpstr>mgmt_az1_host10_mgmt_ip</vt:lpstr>
      <vt:lpstr>mgmt_az1_host10_vrms_ip</vt:lpstr>
      <vt:lpstr>mgmt_az1_host11_fqdn</vt:lpstr>
      <vt:lpstr>mgmt_az1_host11_hostname</vt:lpstr>
      <vt:lpstr>mgmt_az1_host11_mgmt_ip</vt:lpstr>
      <vt:lpstr>mgmt_az1_host11_vrms_ip</vt:lpstr>
      <vt:lpstr>mgmt_az1_host12_fqdn</vt:lpstr>
      <vt:lpstr>mgmt_az1_host12_hostname</vt:lpstr>
      <vt:lpstr>mgmt_az1_host12_mgmt_ip</vt:lpstr>
      <vt:lpstr>mgmt_az1_host12_vrms_ip</vt:lpstr>
      <vt:lpstr>mgmt_az1_host13_fqdn</vt:lpstr>
      <vt:lpstr>mgmt_az1_host13_hostname</vt:lpstr>
      <vt:lpstr>mgmt_az1_host13_mgmt_ip</vt:lpstr>
      <vt:lpstr>mgmt_az1_host13_vrms_ip</vt:lpstr>
      <vt:lpstr>mgmt_az1_host14_fqdn</vt:lpstr>
      <vt:lpstr>mgmt_az1_host14_hostname</vt:lpstr>
      <vt:lpstr>mgmt_az1_host14_mgmt_ip</vt:lpstr>
      <vt:lpstr>mgmt_az1_host14_vrms_ip</vt:lpstr>
      <vt:lpstr>mgmt_az1_host15_fqdn</vt:lpstr>
      <vt:lpstr>mgmt_az1_host15_hostname</vt:lpstr>
      <vt:lpstr>mgmt_az1_host15_mgmt_ip</vt:lpstr>
      <vt:lpstr>mgmt_az1_host15_vrms_ip</vt:lpstr>
      <vt:lpstr>mgmt_az1_host16_fqdn</vt:lpstr>
      <vt:lpstr>mgmt_az1_host16_hostname</vt:lpstr>
      <vt:lpstr>mgmt_az1_host16_mgmt_ip</vt:lpstr>
      <vt:lpstr>mgmt_az1_host16_vrms_ip</vt:lpstr>
      <vt:lpstr>mgmt_az1_host2_fqdn</vt:lpstr>
      <vt:lpstr>mgmt_az1_host2_hostname</vt:lpstr>
      <vt:lpstr>mgmt_az1_host2_mgmt_ip</vt:lpstr>
      <vt:lpstr>mgmt_az1_host2_vrms_ip</vt:lpstr>
      <vt:lpstr>mgmt_az1_host3_fqdn</vt:lpstr>
      <vt:lpstr>mgmt_az1_host3_hostname</vt:lpstr>
      <vt:lpstr>mgmt_az1_host3_mgmt_ip</vt:lpstr>
      <vt:lpstr>mgmt_az1_host3_vrms_ip</vt:lpstr>
      <vt:lpstr>mgmt_az1_host4_fqdn</vt:lpstr>
      <vt:lpstr>mgmt_az1_host4_hostname</vt:lpstr>
      <vt:lpstr>mgmt_az1_host4_mgmt_ip</vt:lpstr>
      <vt:lpstr>mgmt_az1_host4_vrms_ip</vt:lpstr>
      <vt:lpstr>mgmt_az1_host5_fqdn</vt:lpstr>
      <vt:lpstr>mgmt_az1_host5_hostname</vt:lpstr>
      <vt:lpstr>mgmt_az1_host5_mgmt_ip</vt:lpstr>
      <vt:lpstr>mgmt_az1_host5_vrms_ip</vt:lpstr>
      <vt:lpstr>mgmt_az1_host6_fqdn</vt:lpstr>
      <vt:lpstr>mgmt_az1_host6_hostname</vt:lpstr>
      <vt:lpstr>mgmt_az1_host6_mgmt_ip</vt:lpstr>
      <vt:lpstr>mgmt_az1_host6_vrms_ip</vt:lpstr>
      <vt:lpstr>mgmt_az1_host7_fqdn</vt:lpstr>
      <vt:lpstr>mgmt_az1_host7_hostname</vt:lpstr>
      <vt:lpstr>mgmt_az1_host7_mgmt_ip</vt:lpstr>
      <vt:lpstr>mgmt_az1_host7_vrms_ip</vt:lpstr>
      <vt:lpstr>mgmt_az1_host8_fqdn</vt:lpstr>
      <vt:lpstr>mgmt_az1_host8_hostname</vt:lpstr>
      <vt:lpstr>mgmt_az1_host8_mgmt_ip</vt:lpstr>
      <vt:lpstr>mgmt_az1_host8_vrms_ip</vt:lpstr>
      <vt:lpstr>mgmt_az1_host9_fqdn</vt:lpstr>
      <vt:lpstr>mgmt_az1_host9_hostname</vt:lpstr>
      <vt:lpstr>mgmt_az1_host9_mgmt_ip</vt:lpstr>
      <vt:lpstr>mgmt_az1_host9_vrms_ip</vt:lpstr>
      <vt:lpstr>mgmt_az1_mgmt_cidr</vt:lpstr>
      <vt:lpstr>mgmt_az1_mgmt_gateway_cidr</vt:lpstr>
      <vt:lpstr>mgmt_az1_mgmt_gateway_ip</vt:lpstr>
      <vt:lpstr>mgmt_az1_mgmt_mask</vt:lpstr>
      <vt:lpstr>mgmt_az1_mgmt_mtu</vt:lpstr>
      <vt:lpstr>mgmt_az1_mgmt_network</vt:lpstr>
      <vt:lpstr>mgmt_az1_mgmt_vlan</vt:lpstr>
      <vt:lpstr>mgmt_az1_mgmt_vm_cidr</vt:lpstr>
      <vt:lpstr>mgmt_az1_mgmt_vm_gateway_cidr</vt:lpstr>
      <vt:lpstr>mgmt_az1_mgmt_vm_gateway_ip</vt:lpstr>
      <vt:lpstr>mgmt_az1_mgmt_vm_mask</vt:lpstr>
      <vt:lpstr>mgmt_az1_mgmt_vm_mtu</vt:lpstr>
      <vt:lpstr>mgmt_az1_mgmt_vm_network</vt:lpstr>
      <vt:lpstr>mgmt_az1_mgmt_vm_vlan</vt:lpstr>
      <vt:lpstr>mgmt_az1_pool_name</vt:lpstr>
      <vt:lpstr>mgmt_az1_rtep_ip_pool_name</vt:lpstr>
      <vt:lpstr>mgmt_az1_rtep_overlay_cidr</vt:lpstr>
      <vt:lpstr>mgmt_az1_rtep_overlay_gateway_ip</vt:lpstr>
      <vt:lpstr>mgmt_az1_rtep_overlay_mtu</vt:lpstr>
      <vt:lpstr>mgmt_az1_rtep_overlay_network</vt:lpstr>
      <vt:lpstr>mgmt_az1_rtep_overlay_pg</vt:lpstr>
      <vt:lpstr>mgmt_az1_rtep_overlay_vlan</vt:lpstr>
      <vt:lpstr>mgmt_az1_secondary_storage_cidr</vt:lpstr>
      <vt:lpstr>mgmt_az1_secondary_storage_gateway_cidr</vt:lpstr>
      <vt:lpstr>mgmt_az1_secondary_storage_gateway_ip</vt:lpstr>
      <vt:lpstr>mgmt_az1_secondary_storage_mask</vt:lpstr>
      <vt:lpstr>mgmt_az1_secondary_storage_mtu</vt:lpstr>
      <vt:lpstr>mgmt_az1_secondary_storage_network</vt:lpstr>
      <vt:lpstr>mgmt_az1_secondary_storage_pool_end_ip</vt:lpstr>
      <vt:lpstr>mgmt_az1_secondary_storage_pool_start_ip</vt:lpstr>
      <vt:lpstr>mgmt_az1_secondary_storage_vlan</vt:lpstr>
      <vt:lpstr>mgmt_az1_tor1_peer_asn</vt:lpstr>
      <vt:lpstr>mgmt_az1_tor1_peer_bgp_password</vt:lpstr>
      <vt:lpstr>mgmt_az1_tor1_peer_ip</vt:lpstr>
      <vt:lpstr>mgmt_az1_tor2_peer_asn</vt:lpstr>
      <vt:lpstr>mgmt_az1_tor2_peer_bgp_password</vt:lpstr>
      <vt:lpstr>mgmt_az1_tor2_peer_ip</vt:lpstr>
      <vt:lpstr>mgmt_az1_uplink01_cidr</vt:lpstr>
      <vt:lpstr>mgmt_az1_uplink01_gateway_ip</vt:lpstr>
      <vt:lpstr>mgmt_az1_uplink01_mask</vt:lpstr>
      <vt:lpstr>mgmt_az1_uplink01_mtu</vt:lpstr>
      <vt:lpstr>mgmt_az1_uplink01_network</vt:lpstr>
      <vt:lpstr>mgmt_az1_uplink01_vlan</vt:lpstr>
      <vt:lpstr>mgmt_az1_uplink02_cidr</vt:lpstr>
      <vt:lpstr>mgmt_az1_uplink02_gateway_ip</vt:lpstr>
      <vt:lpstr>mgmt_az1_uplink02_mask</vt:lpstr>
      <vt:lpstr>mgmt_az1_uplink02_mtu</vt:lpstr>
      <vt:lpstr>mgmt_az1_uplink02_network</vt:lpstr>
      <vt:lpstr>mgmt_az1_uplink02_vlan</vt:lpstr>
      <vt:lpstr>mgmt_az1_vcf_mgmt_cidr</vt:lpstr>
      <vt:lpstr>mgmt_az1_vcf_mgmt_gateway_cidr</vt:lpstr>
      <vt:lpstr>mgmt_az1_vcf_mgmt_gateway_ip</vt:lpstr>
      <vt:lpstr>mgmt_az1_vcf_mgmt_gateway_ipv6_cidr</vt:lpstr>
      <vt:lpstr>mgmt_az1_vcf_mgmt_mask</vt:lpstr>
      <vt:lpstr>mgmt_az1_vcf_mgmt_mtu</vt:lpstr>
      <vt:lpstr>mgmt_az1_vcf_mgmt_network</vt:lpstr>
      <vt:lpstr>mgmt_az1_vcf_mgmt_vlan</vt:lpstr>
      <vt:lpstr>mgmt_az1_vm_cidr</vt:lpstr>
      <vt:lpstr>mgmt_az1_vm_gateway_ip</vt:lpstr>
      <vt:lpstr>mgmt_az1_vm_mtu</vt:lpstr>
      <vt:lpstr>mgmt_az1_vm_vlan</vt:lpstr>
      <vt:lpstr>mgmt_az1_vmotion_cidr</vt:lpstr>
      <vt:lpstr>mgmt_az1_vmotion_gateway_cidr</vt:lpstr>
      <vt:lpstr>mgmt_az1_vmotion_gateway_ip</vt:lpstr>
      <vt:lpstr>mgmt_az1_vmotion_ip_scheme_chosen</vt:lpstr>
      <vt:lpstr>mgmt_az1_vmotion_mask</vt:lpstr>
      <vt:lpstr>mgmt_az1_vmotion_mtu</vt:lpstr>
      <vt:lpstr>mgmt_az1_vmotion_network</vt:lpstr>
      <vt:lpstr>mgmt_az1_vmotion_pool_end_ip</vt:lpstr>
      <vt:lpstr>mgmt_az1_vmotion_pool_start_ip</vt:lpstr>
      <vt:lpstr>mgmt_az1_vmotion_vlan</vt:lpstr>
      <vt:lpstr>mgmt_az1_vrms_cidr</vt:lpstr>
      <vt:lpstr>mgmt_az1_vrms_gateway_ip</vt:lpstr>
      <vt:lpstr>mgmt_az1_vrms_mask</vt:lpstr>
      <vt:lpstr>mgmt_az1_vrms_mtu</vt:lpstr>
      <vt:lpstr>mgmt_az1_vrms_network</vt:lpstr>
      <vt:lpstr>mgmt_az1_vrms_vlan</vt:lpstr>
      <vt:lpstr>mgmt_az1_vsan_cidr</vt:lpstr>
      <vt:lpstr>mgmt_az1_vsan_gateway_cidr</vt:lpstr>
      <vt:lpstr>mgmt_az1_vsan_gateway_ip</vt:lpstr>
      <vt:lpstr>mgmt_az1_vsan_ip_scheme_chosen</vt:lpstr>
      <vt:lpstr>mgmt_az1_vsan_mask</vt:lpstr>
      <vt:lpstr>mgmt_az1_vsan_mtu</vt:lpstr>
      <vt:lpstr>mgmt_az1_vsan_network</vt:lpstr>
      <vt:lpstr>mgmt_az1_vsan_pool_end_ip</vt:lpstr>
      <vt:lpstr>mgmt_az1_vsan_pool_start_ip</vt:lpstr>
      <vt:lpstr>mgmt_az1_vsan_vlan</vt:lpstr>
      <vt:lpstr>mgmt_az2_edge_overlay_cidr</vt:lpstr>
      <vt:lpstr>mgmt_az2_edge_overlay_gateway_ip</vt:lpstr>
      <vt:lpstr>mgmt_az2_edge_overlay_mask</vt:lpstr>
      <vt:lpstr>mgmt_az2_edge_overlay_mtu</vt:lpstr>
      <vt:lpstr>mgmt_az2_edge_overlay_network</vt:lpstr>
      <vt:lpstr>mgmt_az2_edge_overlay_pg</vt:lpstr>
      <vt:lpstr>mgmt_az2_edge_overlay_vlan</vt:lpstr>
      <vt:lpstr>mgmt_az2_host_fqdns</vt:lpstr>
      <vt:lpstr>mgmt_az2_host_hostnames</vt:lpstr>
      <vt:lpstr>mgmt_az2_host_mgmt_ips</vt:lpstr>
      <vt:lpstr>mgmt_az2_host_overlay_cidr</vt:lpstr>
      <vt:lpstr>mgmt_az2_host_overlay_gateway_ip</vt:lpstr>
      <vt:lpstr>mgmt_az2_host_overlay_mask</vt:lpstr>
      <vt:lpstr>mgmt_az2_host_overlay_mtu</vt:lpstr>
      <vt:lpstr>mgmt_az2_host_overlay_network</vt:lpstr>
      <vt:lpstr>mgmt_az2_host_overlay_network_pool_name</vt:lpstr>
      <vt:lpstr>mgmt_az2_host_overlay_network_profile_name</vt:lpstr>
      <vt:lpstr>mgmt_az2_host_overlay_new_pool_chosen</vt:lpstr>
      <vt:lpstr>mgmt_az2_host_overlay_pg</vt:lpstr>
      <vt:lpstr>mgmt_az2_host_overlay_pool_end_ip</vt:lpstr>
      <vt:lpstr>mgmt_az2_host_overlay_pool_name</vt:lpstr>
      <vt:lpstr>mgmt_az2_host_overlay_pool_start_ip</vt:lpstr>
      <vt:lpstr>mgmt_az2_host_overlay_uplink_profile_name</vt:lpstr>
      <vt:lpstr>mgmt_az2_host_overlay_vlan</vt:lpstr>
      <vt:lpstr>mgmt_az2_host_vrms_ips</vt:lpstr>
      <vt:lpstr>mgmt_az2_host1_fqdn</vt:lpstr>
      <vt:lpstr>mgmt_az2_host1_hostname</vt:lpstr>
      <vt:lpstr>mgmt_az2_host1_mgmt_ip</vt:lpstr>
      <vt:lpstr>mgmt_az2_host1_sddc_id</vt:lpstr>
      <vt:lpstr>mgmt_az2_host1_vrms_ip</vt:lpstr>
      <vt:lpstr>mgmt_az2_host10_fqdn</vt:lpstr>
      <vt:lpstr>mgmt_az2_host10_hostname</vt:lpstr>
      <vt:lpstr>mgmt_az2_host10_mgmt_ip</vt:lpstr>
      <vt:lpstr>mgmt_az2_host10_vrms_ip</vt:lpstr>
      <vt:lpstr>mgmt_az2_host11_fqdn</vt:lpstr>
      <vt:lpstr>mgmt_az2_host11_hostname</vt:lpstr>
      <vt:lpstr>mgmt_az2_host11_mgmt_ip</vt:lpstr>
      <vt:lpstr>mgmt_az2_host11_vrms_ip</vt:lpstr>
      <vt:lpstr>mgmt_az2_host12_fqdn</vt:lpstr>
      <vt:lpstr>mgmt_az2_host12_hostname</vt:lpstr>
      <vt:lpstr>mgmt_az2_host12_mgmt_ip</vt:lpstr>
      <vt:lpstr>mgmt_az2_host12_vrms_ip</vt:lpstr>
      <vt:lpstr>mgmt_az2_host13_fqdn</vt:lpstr>
      <vt:lpstr>mgmt_az2_host13_hostname</vt:lpstr>
      <vt:lpstr>mgmt_az2_host13_mgmt_ip</vt:lpstr>
      <vt:lpstr>mgmt_az2_host13_vrms_ip</vt:lpstr>
      <vt:lpstr>mgmt_az2_host14_fqdn</vt:lpstr>
      <vt:lpstr>mgmt_az2_host14_hostname</vt:lpstr>
      <vt:lpstr>mgmt_az2_host14_mgmt_ip</vt:lpstr>
      <vt:lpstr>mgmt_az2_host14_vrms_ip</vt:lpstr>
      <vt:lpstr>mgmt_az2_host15_fqdn</vt:lpstr>
      <vt:lpstr>mgmt_az2_host15_hostname</vt:lpstr>
      <vt:lpstr>mgmt_az2_host15_mgmt_ip</vt:lpstr>
      <vt:lpstr>mgmt_az2_host15_vrms_ip</vt:lpstr>
      <vt:lpstr>mgmt_az2_host16_fqdn</vt:lpstr>
      <vt:lpstr>mgmt_az2_host16_hostname</vt:lpstr>
      <vt:lpstr>mgmt_az2_host16_mgmt_ip</vt:lpstr>
      <vt:lpstr>mgmt_az2_host16_vrms_ip</vt:lpstr>
      <vt:lpstr>mgmt_az2_host2_fqdn</vt:lpstr>
      <vt:lpstr>mgmt_az2_host2_hostname</vt:lpstr>
      <vt:lpstr>mgmt_az2_host2_mgmt_ip</vt:lpstr>
      <vt:lpstr>mgmt_az2_host2_sddc_id</vt:lpstr>
      <vt:lpstr>mgmt_az2_host2_vrms_ip</vt:lpstr>
      <vt:lpstr>mgmt_az2_host3_fqdn</vt:lpstr>
      <vt:lpstr>mgmt_az2_host3_hostname</vt:lpstr>
      <vt:lpstr>mgmt_az2_host3_mgmt_ip</vt:lpstr>
      <vt:lpstr>mgmt_az2_host3_sddc_id</vt:lpstr>
      <vt:lpstr>mgmt_az2_host3_vrms_ip</vt:lpstr>
      <vt:lpstr>mgmt_az2_host4_fqdn</vt:lpstr>
      <vt:lpstr>mgmt_az2_host4_hostname</vt:lpstr>
      <vt:lpstr>mgmt_az2_host4_mgmt_ip</vt:lpstr>
      <vt:lpstr>mgmt_az2_host4_sddc_id</vt:lpstr>
      <vt:lpstr>mgmt_az2_host4_vrms_ip</vt:lpstr>
      <vt:lpstr>mgmt_az2_host5_fqdn</vt:lpstr>
      <vt:lpstr>mgmt_az2_host5_hostname</vt:lpstr>
      <vt:lpstr>mgmt_az2_host5_mgmt_ip</vt:lpstr>
      <vt:lpstr>mgmt_az2_host5_vrms_ip</vt:lpstr>
      <vt:lpstr>mgmt_az2_host6_fqdn</vt:lpstr>
      <vt:lpstr>mgmt_az2_host6_hostname</vt:lpstr>
      <vt:lpstr>mgmt_az2_host6_mgmt_ip</vt:lpstr>
      <vt:lpstr>mgmt_az2_host6_vrms_ip</vt:lpstr>
      <vt:lpstr>mgmt_az2_host7_fqdn</vt:lpstr>
      <vt:lpstr>mgmt_az2_host7_hostname</vt:lpstr>
      <vt:lpstr>mgmt_az2_host7_mgmt_ip</vt:lpstr>
      <vt:lpstr>mgmt_az2_host7_vrms_ip</vt:lpstr>
      <vt:lpstr>mgmt_az2_host8_fqdn</vt:lpstr>
      <vt:lpstr>mgmt_az2_host8_hostname</vt:lpstr>
      <vt:lpstr>mgmt_az2_host8_mgmt_ip</vt:lpstr>
      <vt:lpstr>mgmt_az2_host8_vrms_ip</vt:lpstr>
      <vt:lpstr>mgmt_az2_host9_fqdn</vt:lpstr>
      <vt:lpstr>mgmt_az2_host9_hostname</vt:lpstr>
      <vt:lpstr>mgmt_az2_host9_mgmt_ip</vt:lpstr>
      <vt:lpstr>mgmt_az2_host9_vrms_ip</vt:lpstr>
      <vt:lpstr>mgmt_az2_mgmt_cidr</vt:lpstr>
      <vt:lpstr>mgmt_az2_mgmt_gateway_ip</vt:lpstr>
      <vt:lpstr>mgmt_az2_mgmt_mask</vt:lpstr>
      <vt:lpstr>mgmt_az2_mgmt_mtu</vt:lpstr>
      <vt:lpstr>mgmt_az2_mgmt_network</vt:lpstr>
      <vt:lpstr>mgmt_az2_mgmt_vlan</vt:lpstr>
      <vt:lpstr>mgmt_az2_mgmt_vm_cidr</vt:lpstr>
      <vt:lpstr>mgmt_az2_mgmt_vm_gateway_ip</vt:lpstr>
      <vt:lpstr>mgmt_az2_mgmt_vm_mtu</vt:lpstr>
      <vt:lpstr>mgmt_az2_mgmt_vm_vlan</vt:lpstr>
      <vt:lpstr>mgmt_az2_pool_name</vt:lpstr>
      <vt:lpstr>mgmt_az2_reuse_vcf_networkpool_chosen</vt:lpstr>
      <vt:lpstr>mgmt_az2_rtep_overlay_cidr</vt:lpstr>
      <vt:lpstr>mgmt_az2_rtep_overlay_gateway_ip</vt:lpstr>
      <vt:lpstr>mgmt_az2_rtep_overlay_mask</vt:lpstr>
      <vt:lpstr>mgmt_az2_rtep_overlay_mtu</vt:lpstr>
      <vt:lpstr>mgmt_az2_rtep_overlay_network</vt:lpstr>
      <vt:lpstr>mgmt_az2_rtep_overlay_pg</vt:lpstr>
      <vt:lpstr>mgmt_az2_rtep_overlay_vlan</vt:lpstr>
      <vt:lpstr>mgmt_az2_secondary_storage_cidr</vt:lpstr>
      <vt:lpstr>mgmt_az2_secondary_storage_gateway_ip</vt:lpstr>
      <vt:lpstr>mgmt_az2_secondary_storage_mask</vt:lpstr>
      <vt:lpstr>mgmt_az2_secondary_storage_mtu</vt:lpstr>
      <vt:lpstr>mgmt_az2_secondary_storage_network</vt:lpstr>
      <vt:lpstr>mgmt_az2_secondary_storage_pool_end_ip</vt:lpstr>
      <vt:lpstr>mgmt_az2_secondary_storage_pool_start_ip</vt:lpstr>
      <vt:lpstr>mgmt_az2_secondary_storage_vlan</vt:lpstr>
      <vt:lpstr>mgmt_az2_tor1_peer_asn</vt:lpstr>
      <vt:lpstr>mgmt_az2_tor1_peer_bgp_password</vt:lpstr>
      <vt:lpstr>mgmt_az2_tor1_peer_ip</vt:lpstr>
      <vt:lpstr>mgmt_az2_tor2_peer_asn</vt:lpstr>
      <vt:lpstr>mgmt_az2_tor2_peer_bgp_password</vt:lpstr>
      <vt:lpstr>mgmt_az2_tor2_peer_ip</vt:lpstr>
      <vt:lpstr>mgmt_az2_uplink01_cidr</vt:lpstr>
      <vt:lpstr>mgmt_az2_uplink01_gateway_ip</vt:lpstr>
      <vt:lpstr>mgmt_az2_uplink01_mask</vt:lpstr>
      <vt:lpstr>mgmt_az2_uplink01_mtu</vt:lpstr>
      <vt:lpstr>mgmt_az2_uplink01_network</vt:lpstr>
      <vt:lpstr>mgmt_az2_uplink01_vlan</vt:lpstr>
      <vt:lpstr>mgmt_az2_uplink02_cidr</vt:lpstr>
      <vt:lpstr>mgmt_az2_uplink02_gateway_ip</vt:lpstr>
      <vt:lpstr>mgmt_az2_uplink02_mask</vt:lpstr>
      <vt:lpstr>mgmt_az2_uplink02_mtu</vt:lpstr>
      <vt:lpstr>mgmt_az2_uplink02_network</vt:lpstr>
      <vt:lpstr>mgmt_az2_uplink02_vlan</vt:lpstr>
      <vt:lpstr>mgmt_az2_vm_cidr</vt:lpstr>
      <vt:lpstr>mgmt_az2_vm_gateway_ip</vt:lpstr>
      <vt:lpstr>mgmt_az2_vm_mtu</vt:lpstr>
      <vt:lpstr>mgmt_az2_vm_vlan</vt:lpstr>
      <vt:lpstr>mgmt_az2_vmotion_cidr</vt:lpstr>
      <vt:lpstr>mgmt_az2_vmotion_gateway_ip</vt:lpstr>
      <vt:lpstr>mgmt_az2_vmotion_mask</vt:lpstr>
      <vt:lpstr>mgmt_az2_vmotion_mtu</vt:lpstr>
      <vt:lpstr>mgmt_az2_vmotion_network</vt:lpstr>
      <vt:lpstr>mgmt_az2_vmotion_pool_end_ip</vt:lpstr>
      <vt:lpstr>mgmt_az2_vmotion_pool_start_ip</vt:lpstr>
      <vt:lpstr>mgmt_az2_vmotion_vlan</vt:lpstr>
      <vt:lpstr>mgmt_az2_vrms_cidr</vt:lpstr>
      <vt:lpstr>mgmt_az2_vrms_gateway_ip</vt:lpstr>
      <vt:lpstr>mgmt_az2_vrms_mask</vt:lpstr>
      <vt:lpstr>mgmt_az2_vrms_mtu</vt:lpstr>
      <vt:lpstr>mgmt_az2_vrms_network</vt:lpstr>
      <vt:lpstr>mgmt_az2_vrms_vlan</vt:lpstr>
      <vt:lpstr>mgmt_az2_vsan_cidr</vt:lpstr>
      <vt:lpstr>mgmt_az2_vsan_gateway_ip</vt:lpstr>
      <vt:lpstr>mgmt_az2_vsan_mask</vt:lpstr>
      <vt:lpstr>mgmt_az2_vsan_mtu</vt:lpstr>
      <vt:lpstr>mgmt_az2_vsan_network</vt:lpstr>
      <vt:lpstr>mgmt_az2_vsan_pool_end_ip</vt:lpstr>
      <vt:lpstr>mgmt_az2_vsan_pool_start_ip</vt:lpstr>
      <vt:lpstr>mgmt_az2_vsan_vlan</vt:lpstr>
      <vt:lpstr>mgmt_ceip_status_chosen</vt:lpstr>
      <vt:lpstr>mgmt_cl01_az1_flt_lbt_chosen</vt:lpstr>
      <vt:lpstr>mgmt_cl01_az1_flt_uplink1_chosen</vt:lpstr>
      <vt:lpstr>mgmt_cl01_az1_flt_uplink2_chosen</vt:lpstr>
      <vt:lpstr>mgmt_cl01_az1_mgmt_lbt_chosen</vt:lpstr>
      <vt:lpstr>mgmt_cl01_az1_mgmt_pg</vt:lpstr>
      <vt:lpstr>mgmt_cl01_az1_mgmt_uplink1_chosen</vt:lpstr>
      <vt:lpstr>mgmt_cl01_az1_mgmt_uplink2_chosen</vt:lpstr>
      <vt:lpstr>mgmt_cl01_az1_mgmt_vm_lbt_chosen</vt:lpstr>
      <vt:lpstr>mgmt_cl01_az1_mgmt_vm_pg</vt:lpstr>
      <vt:lpstr>mgmt_cl01_az1_mgmt_vm_uplink1_chosen</vt:lpstr>
      <vt:lpstr>mgmt_cl01_az1_mgmt_vm_uplink2_chosen</vt:lpstr>
      <vt:lpstr>mgmt_cl01_az1_nfs_lbt_chosen</vt:lpstr>
      <vt:lpstr>mgmt_cl01_az1_nfs_pg</vt:lpstr>
      <vt:lpstr>mgmt_cl01_az1_nfs_uplink1_chosen</vt:lpstr>
      <vt:lpstr>mgmt_cl01_az1_nfs_uplink2_chosen</vt:lpstr>
      <vt:lpstr>mgmt_cl01_az1_nsx_lbt_chosen</vt:lpstr>
      <vt:lpstr>mgmt_cl01_az1_nsx_uplink1_chosen</vt:lpstr>
      <vt:lpstr>mgmt_cl01_az1_nsx_uplink2_chosen</vt:lpstr>
      <vt:lpstr>mgmt_cl01_az1_uplink01_pg</vt:lpstr>
      <vt:lpstr>mgmt_cl01_az1_uplink02_pg</vt:lpstr>
      <vt:lpstr>mgmt_cl01_az1_vcf_mgmt_pg</vt:lpstr>
      <vt:lpstr>mgmt_cl01_az1_vmotion_lbt_chosen</vt:lpstr>
      <vt:lpstr>mgmt_cl01_az1_vmotion_pg</vt:lpstr>
      <vt:lpstr>mgmt_cl01_az1_vmotion_uplink1_chosen</vt:lpstr>
      <vt:lpstr>mgmt_cl01_az1_vmotion_uplink2_chosen</vt:lpstr>
      <vt:lpstr>mgmt_cl01_az1_vsan_lbt_chosen</vt:lpstr>
      <vt:lpstr>mgmt_cl01_az1_vsan_pg</vt:lpstr>
      <vt:lpstr>mgmt_cl01_az1_vsan_uplink1_chosen</vt:lpstr>
      <vt:lpstr>mgmt_cl01_az1_vsan_uplink2_chosen</vt:lpstr>
      <vt:lpstr>mgmt_cl01_az2_mgmt_pg</vt:lpstr>
      <vt:lpstr>mgmt_cl01_az2_mgmt_vm_pg</vt:lpstr>
      <vt:lpstr>mgmt_cl01_az2_uplink01_pg</vt:lpstr>
      <vt:lpstr>mgmt_cl01_az2_uplink02_pg</vt:lpstr>
      <vt:lpstr>mgmt_cl01_az2_vmotion_pg</vt:lpstr>
      <vt:lpstr>mgmt_cl01_az2_vsan_pg</vt:lpstr>
      <vt:lpstr>mgmt_cl01_cluster</vt:lpstr>
      <vt:lpstr>mgmt_cl01_cluster_sddc_id</vt:lpstr>
      <vt:lpstr>mgmt_cl01_nfs_server_bound_to_vmknic_chosen</vt:lpstr>
      <vt:lpstr>mgmt_cl01_nfs_server_ip</vt:lpstr>
      <vt:lpstr>mgmt_cl01_nfs_share</vt:lpstr>
      <vt:lpstr>mgmt_cl01_vds_profile_chosen</vt:lpstr>
      <vt:lpstr>mgmt_cl01_vds01_lacp_mode_chosen</vt:lpstr>
      <vt:lpstr>mgmt_cl01_vds01_lacp_timeout_chosen</vt:lpstr>
      <vt:lpstr>mgmt_cl01_vds01_lag_lbt_chosen</vt:lpstr>
      <vt:lpstr>mgmt_cl01_vds01_lag_name</vt:lpstr>
      <vt:lpstr>mgmt_cl01_vds01_link_type_chosen</vt:lpstr>
      <vt:lpstr>mgmt_cl01_vds01_mtu</vt:lpstr>
      <vt:lpstr>mgmt_cl01_vds01_name</vt:lpstr>
      <vt:lpstr>mgmt_cl01_vds01_pnics</vt:lpstr>
      <vt:lpstr>mgmt_cl01_vds01_uplink_count</vt:lpstr>
      <vt:lpstr>mgmt_cl01_vds01_uplink1</vt:lpstr>
      <vt:lpstr>mgmt_cl01_vds01_uplink2</vt:lpstr>
      <vt:lpstr>mgmt_cl01_vds02_lacp_mode_chosen</vt:lpstr>
      <vt:lpstr>mgmt_cl01_vds02_lacp_timeout_chosen</vt:lpstr>
      <vt:lpstr>mgmt_cl01_vds02_lag_lbt_chosen</vt:lpstr>
      <vt:lpstr>mgmt_cl01_vds02_lag_name</vt:lpstr>
      <vt:lpstr>mgmt_cl01_vds02_link_type_chosen</vt:lpstr>
      <vt:lpstr>mgmt_cl01_vds02_mtu</vt:lpstr>
      <vt:lpstr>mgmt_cl01_vds02_name</vt:lpstr>
      <vt:lpstr>mgmt_cl01_vds02_pnics</vt:lpstr>
      <vt:lpstr>mgmt_cl01_vds02_uplink_count</vt:lpstr>
      <vt:lpstr>mgmt_cl01_vds02_uplink1</vt:lpstr>
      <vt:lpstr>mgmt_cl01_vds02_uplink2</vt:lpstr>
      <vt:lpstr>mgmt_cl01_vds03_lacp_mode_chosen</vt:lpstr>
      <vt:lpstr>mgmt_cl01_vds03_lacp_timeout_chosen</vt:lpstr>
      <vt:lpstr>mgmt_cl01_vds03_lag_lbt_chosen</vt:lpstr>
      <vt:lpstr>mgmt_cl01_vds03_lag_name</vt:lpstr>
      <vt:lpstr>mgmt_cl01_vds03_link_type_chosen</vt:lpstr>
      <vt:lpstr>mgmt_cl01_vds03_mtu</vt:lpstr>
      <vt:lpstr>mgmt_cl01_vds03_name</vt:lpstr>
      <vt:lpstr>mgmt_cl01_vds03_pnics</vt:lpstr>
      <vt:lpstr>mgmt_cl01_vds03_uplink_count</vt:lpstr>
      <vt:lpstr>mgmt_cl01_vds03_uplink1</vt:lpstr>
      <vt:lpstr>mgmt_cl01_vds03_uplink2</vt:lpstr>
      <vt:lpstr>mgmt_cl01_vsan_data_in_transit_chosen</vt:lpstr>
      <vt:lpstr>mgmt_cl01_vsan_datastore</vt:lpstr>
      <vt:lpstr>mgmt_cl01_vsan_dedupe_compression_chosen</vt:lpstr>
      <vt:lpstr>mgmt_cl01_vsan_dit_rekey_custom_interval</vt:lpstr>
      <vt:lpstr>mgmt_cl01_vsan_dit_rekey_default_interval</vt:lpstr>
      <vt:lpstr>mgmt_cl01_vsan_dit_rekey_result</vt:lpstr>
      <vt:lpstr>mgmt_cl01_vsan_dit_rekey_type_chosen</vt:lpstr>
      <vt:lpstr>mgmt_cl01_vsan_esa_hcl_check_chosen</vt:lpstr>
      <vt:lpstr>mgmt_cl01_vsan_ftt_chosen</vt:lpstr>
      <vt:lpstr>mgmt_consolidated_result</vt:lpstr>
      <vt:lpstr>mgmt_cross_instance_linked_t0_name</vt:lpstr>
      <vt:lpstr>mgmt_datacenter</vt:lpstr>
      <vt:lpstr>mgmt_depot_activation_code</vt:lpstr>
      <vt:lpstr>mgmt_domain_chosen</vt:lpstr>
      <vt:lpstr>mgmt_domain_deployment_type_chosen</vt:lpstr>
      <vt:lpstr>mgmt_domain_deployment_type_result</vt:lpstr>
      <vt:lpstr>mgmt_domain_existing_nsx_manager_chosen</vt:lpstr>
      <vt:lpstr>mgmt_domain_existing_vcenter_chosen</vt:lpstr>
      <vt:lpstr>mgmt_domain_existing_vcenter_result</vt:lpstr>
      <vt:lpstr>mgmt_domain_existing_vcf_operations_chosen</vt:lpstr>
      <vt:lpstr>mgmt_domain_ops_automation_later_chosen</vt:lpstr>
      <vt:lpstr>mgmt_domain_password_creation_chosen</vt:lpstr>
      <vt:lpstr>mgmt_domain_result</vt:lpstr>
      <vt:lpstr>mgmt_domain_vcf_automation_later_chosen</vt:lpstr>
      <vt:lpstr>mgmt_domain_vcf_operations_ha_mode_chosen</vt:lpstr>
      <vt:lpstr>mgmt_domain_vcf_operations_size_chosen</vt:lpstr>
      <vt:lpstr>mgmt_dpg_reuse_chosen</vt:lpstr>
      <vt:lpstr>mgmt_dpg_reuse_result</vt:lpstr>
      <vt:lpstr>mgmt_dual_stack_networking_chosen</vt:lpstr>
      <vt:lpstr>mgmt_ec_api_chosen</vt:lpstr>
      <vt:lpstr>mgmt_ec_formfactor_chosen</vt:lpstr>
      <vt:lpstr>mgmt_ec_ip_assignment_chosen</vt:lpstr>
      <vt:lpstr>mgmt_ec_mtu</vt:lpstr>
      <vt:lpstr>mgmt_ec_name</vt:lpstr>
      <vt:lpstr>mgmt_ec_rp_name</vt:lpstr>
      <vt:lpstr>mgmt_ec01_en01_host_group_affinity_rule_name</vt:lpstr>
      <vt:lpstr>mgmt_ec01_en02_host_group_affinity_rule_name</vt:lpstr>
      <vt:lpstr>mgmt_ec01_host_group_affinity_rule_chosen</vt:lpstr>
      <vt:lpstr>mgmt_ec01_use_host_overlay_chosen</vt:lpstr>
      <vt:lpstr>mgmt_edge_vm_folder</vt:lpstr>
      <vt:lpstr>mgmt_en_asn</vt:lpstr>
      <vt:lpstr>mgmt_en01_bfd_chosen</vt:lpstr>
      <vt:lpstr>mgmt_en02_bfd_chosen</vt:lpstr>
      <vt:lpstr>mgmt_existing_active_nsx_gm</vt:lpstr>
      <vt:lpstr>mgmt_existing_cross_instance_t0_name</vt:lpstr>
      <vt:lpstr>mgmt_flt_fm_reuse_password_chosen</vt:lpstr>
      <vt:lpstr>mgmt_gateway_routing_type_chosen</vt:lpstr>
      <vt:lpstr>mgmt_host_overlay_addressing_chosen</vt:lpstr>
      <vt:lpstr>mgmt_host_overlay_transportzone</vt:lpstr>
      <vt:lpstr>mgmt_internet_proxy_address</vt:lpstr>
      <vt:lpstr>mgmt_internet_proxy_auth_chosen</vt:lpstr>
      <vt:lpstr>mgmt_internet_proxy_chosen</vt:lpstr>
      <vt:lpstr>mgmt_internet_proxy_email</vt:lpstr>
      <vt:lpstr>mgmt_internet_proxy_password</vt:lpstr>
      <vt:lpstr>mgmt_internet_proxy_port</vt:lpstr>
      <vt:lpstr>mgmt_internet_proxy_type_chosen</vt:lpstr>
      <vt:lpstr>mgmt_mgmt_vm_folder</vt:lpstr>
      <vt:lpstr>mgmt_nsx_default_operation_mode_chosen</vt:lpstr>
      <vt:lpstr>mgmt_nsx_operation_mode_chosen</vt:lpstr>
      <vt:lpstr>mgmt_nsx_overlay_network_chosen</vt:lpstr>
      <vt:lpstr>mgmt_nsx_overlay_transit_gateway_chosen</vt:lpstr>
      <vt:lpstr>mgmt_nsx_vm_folder</vt:lpstr>
      <vt:lpstr>mgmt_nsx_vpc_type_chosen</vt:lpstr>
      <vt:lpstr>mgmt_nsxt_appliance_size_chosen</vt:lpstr>
      <vt:lpstr>mgmt_nsxt_appliance_size_result</vt:lpstr>
      <vt:lpstr>mgmt_nsxt_en_admin_password</vt:lpstr>
      <vt:lpstr>mgmt_nsxt_en_root_password</vt:lpstr>
      <vt:lpstr>mgmt_nsxt_enable_edge_sync_chosen</vt:lpstr>
      <vt:lpstr>mgmt_nsxt_federation_chosen</vt:lpstr>
      <vt:lpstr>mgmt_nsxt_federation_global_manager_name</vt:lpstr>
      <vt:lpstr>mgmt_nsxt_federation_location_name</vt:lpstr>
      <vt:lpstr>mgmt_nsxt_federation_result</vt:lpstr>
      <vt:lpstr>mgmt_nsxt_global_mgr_anti_affinity_rule_name</vt:lpstr>
      <vt:lpstr>mgmt_nsxt_global_mgr_certificate_id</vt:lpstr>
      <vt:lpstr>mgmt_nsxt_global_mgr_cluster_id</vt:lpstr>
      <vt:lpstr>mgmt_nsxt_global_mgr_vmca_signed_thumbprint</vt:lpstr>
      <vt:lpstr>mgmt_nsxt_global_mgra_fqdn</vt:lpstr>
      <vt:lpstr>mgmt_nsxt_global_mgra_hostname</vt:lpstr>
      <vt:lpstr>mgmt_nsxt_global_mgra_ip</vt:lpstr>
      <vt:lpstr>mgmt_nsxt_global_mgrb_fqdn</vt:lpstr>
      <vt:lpstr>mgmt_nsxt_global_mgrb_hostname</vt:lpstr>
      <vt:lpstr>mgmt_nsxt_global_mgrb_ip</vt:lpstr>
      <vt:lpstr>mgmt_nsxt_global_mgrc_fqdn</vt:lpstr>
      <vt:lpstr>mgmt_nsxt_global_mgrc_hostname</vt:lpstr>
      <vt:lpstr>mgmt_nsxt_global_mgrc_ip</vt:lpstr>
      <vt:lpstr>mgmt_nsxt_gm_fingerprint</vt:lpstr>
      <vt:lpstr>mgmt_nsxt_gm_hostname</vt:lpstr>
      <vt:lpstr>mgmt_nsxt_gm_vip_fqdn</vt:lpstr>
      <vt:lpstr>mgmt_nsxt_gm_vip_ip</vt:lpstr>
      <vt:lpstr>mgmt_nsxt_hostname</vt:lpstr>
      <vt:lpstr>mgmt_nsxt_lm_fingerprint</vt:lpstr>
      <vt:lpstr>mgmt_nsxt_mgr_formfactor</vt:lpstr>
      <vt:lpstr>mgmt_nsxt_mgra_fqdn</vt:lpstr>
      <vt:lpstr>mgmt_nsxt_mgra_hostname</vt:lpstr>
      <vt:lpstr>mgmt_nsxt_mgra_ip</vt:lpstr>
      <vt:lpstr>mgmt_nsxt_mgrb_fqdn</vt:lpstr>
      <vt:lpstr>mgmt_nsxt_mgrb_hostname</vt:lpstr>
      <vt:lpstr>mgmt_nsxt_mgrb_ip</vt:lpstr>
      <vt:lpstr>mgmt_nsxt_mgrc_fqdn</vt:lpstr>
      <vt:lpstr>mgmt_nsxt_mgrc_hostname</vt:lpstr>
      <vt:lpstr>mgmt_nsxt_mgrc_ip</vt:lpstr>
      <vt:lpstr>mgmt_nsxt_vip_fqdn</vt:lpstr>
      <vt:lpstr>mgmt_nsxt_vip_ip</vt:lpstr>
      <vt:lpstr>mgmt_nsxt_xreg_t1_name</vt:lpstr>
      <vt:lpstr>mgmt_offline_depot_chosen</vt:lpstr>
      <vt:lpstr>mgmt_offline_depot_fqdn</vt:lpstr>
      <vt:lpstr>mgmt_offline_depot_port</vt:lpstr>
      <vt:lpstr>mgmt_principal_storage_chosen</vt:lpstr>
      <vt:lpstr>mgmt_recovery_lb_creation_method</vt:lpstr>
      <vt:lpstr>mgmt_rtep_overlay_pool_end_ip</vt:lpstr>
      <vt:lpstr>mgmt_rtep_overlay_pool_start_ip</vt:lpstr>
      <vt:lpstr>mgmt_rwr_recovery_site_az1_mgmt_cidr</vt:lpstr>
      <vt:lpstr>mgmt_rwr_vc_fqdn</vt:lpstr>
      <vt:lpstr>mgmt_sddc_domain</vt:lpstr>
      <vt:lpstr>mgmt_set_appliance_size_chosen</vt:lpstr>
      <vt:lpstr>mgmt_signed_certs_chosen</vt:lpstr>
      <vt:lpstr>mgmt_signed_certs_result</vt:lpstr>
      <vt:lpstr>mgmt_srm_admin_email</vt:lpstr>
      <vt:lpstr>mgmt_srm_admin_password</vt:lpstr>
      <vt:lpstr>mgmt_srm_database_password</vt:lpstr>
      <vt:lpstr>mgmt_srm_days</vt:lpstr>
      <vt:lpstr>mgmt_srm_fqdn</vt:lpstr>
      <vt:lpstr>mgmt_srm_instances_per_day</vt:lpstr>
      <vt:lpstr>mgmt_srm_ip</vt:lpstr>
      <vt:lpstr>mgmt_srm_logs_pg</vt:lpstr>
      <vt:lpstr>mgmt_srm_logs_rp</vt:lpstr>
      <vt:lpstr>mgmt_srm_net_pg</vt:lpstr>
      <vt:lpstr>mgmt_srm_net_rp</vt:lpstr>
      <vt:lpstr>mgmt_srm_p12_password</vt:lpstr>
      <vt:lpstr>mgmt_srm_recovery_cluster</vt:lpstr>
      <vt:lpstr>mgmt_srm_recovery_datastore</vt:lpstr>
      <vt:lpstr>mgmt_srm_recovery_gateway</vt:lpstr>
      <vt:lpstr>mgmt_srm_recovery_mask</vt:lpstr>
      <vt:lpstr>mgmt_srm_recovery_nsx_ec_name</vt:lpstr>
      <vt:lpstr>mgmt_srm_recovery_nsx_location</vt:lpstr>
      <vt:lpstr>mgmt_srm_recovery_pg</vt:lpstr>
      <vt:lpstr>mgmt_srm_recovery_sddc_manager_domain</vt:lpstr>
      <vt:lpstr>mgmt_srm_recovery_sddc_manager_fqdn</vt:lpstr>
      <vt:lpstr>mgmt_srm_recovery_sddc_manager_password</vt:lpstr>
      <vt:lpstr>mgmt_srm_recovery_sddc_manager_username</vt:lpstr>
      <vt:lpstr>mgmt_srm_recovery_t1_si_ip</vt:lpstr>
      <vt:lpstr>mgmt_srm_recovery_vcenter_fqdn</vt:lpstr>
      <vt:lpstr>mgmt_srm_recovery_vcenter_password</vt:lpstr>
      <vt:lpstr>mgmt_srm_recovery_vcenter_username</vt:lpstr>
      <vt:lpstr>mgmt_srm_root_password</vt:lpstr>
      <vt:lpstr>mgmt_srm_rpo</vt:lpstr>
      <vt:lpstr>mgmt_srm_site_name</vt:lpstr>
      <vt:lpstr>mgmt_srm_sso_domain_membership</vt:lpstr>
      <vt:lpstr>mgmt_srm_vm_folder</vt:lpstr>
      <vt:lpstr>mgmt_srm_vm_size</vt:lpstr>
      <vt:lpstr>mgmt_srm_vra_pg</vt:lpstr>
      <vt:lpstr>mgmt_srm_vra_rp</vt:lpstr>
      <vt:lpstr>mgmt_srm_vrops_pg</vt:lpstr>
      <vt:lpstr>mgmt_srm_vrops_rp</vt:lpstr>
      <vt:lpstr>mgmt_srm_vrslcm_wsa_pg</vt:lpstr>
      <vt:lpstr>mgmt_srm_vrslcm_wsa_rp</vt:lpstr>
      <vt:lpstr>mgmt_sso_domain</vt:lpstr>
      <vt:lpstr>mgmt_sso_domain_username</vt:lpstr>
      <vt:lpstr>mgmt_stretched_cluster_chosen</vt:lpstr>
      <vt:lpstr>mgmt_stretched_cluster_result</vt:lpstr>
      <vt:lpstr>mgmt_supervisor_chosen</vt:lpstr>
      <vt:lpstr>mgmt_supervisor_result</vt:lpstr>
      <vt:lpstr>mgmt_supvr_api_server_fqdn</vt:lpstr>
      <vt:lpstr>mgmt_supvr_cp_storage_policy</vt:lpstr>
      <vt:lpstr>mgmt_supvr_ctrl_plane_ha_chosen</vt:lpstr>
      <vt:lpstr>mgmt_supvr_ctrl_plane_size_chosen</vt:lpstr>
      <vt:lpstr>mgmt_supvr_ed_storage_policy</vt:lpstr>
      <vt:lpstr>mgmt_supvr_ic_storage_policy</vt:lpstr>
      <vt:lpstr>mgmt_supvr_ip_address_range</vt:lpstr>
      <vt:lpstr>mgmt_supvr_ip_mode_chosen</vt:lpstr>
      <vt:lpstr>mgmt_supvr_location_chosen</vt:lpstr>
      <vt:lpstr>mgmt_supvr_mgmt_dns_server</vt:lpstr>
      <vt:lpstr>mgmt_supvr_mgmt_dns_zones</vt:lpstr>
      <vt:lpstr>mgmt_supvr_mgmt_ntp_server</vt:lpstr>
      <vt:lpstr>mgmt_supvr_name</vt:lpstr>
      <vt:lpstr>mgmt_supvr_networking_stack_chosen</vt:lpstr>
      <vt:lpstr>mgmt_supvr_nsx_project</vt:lpstr>
      <vt:lpstr>mgmt_supvr_vpc_connectivity_profile</vt:lpstr>
      <vt:lpstr>mgmt_supvr_vpc_ext_ip_blocks_name</vt:lpstr>
      <vt:lpstr>mgmt_supvr_vpc_priv_cidr</vt:lpstr>
      <vt:lpstr>mgmt_supvr_vpc_priv_ip_blocks_name</vt:lpstr>
      <vt:lpstr>mgmt_supvr_vpc_service_cidr</vt:lpstr>
      <vt:lpstr>mgmt_supvr_wld_dns_server</vt:lpstr>
      <vt:lpstr>mgmt_supvr_wld_ntp_server</vt:lpstr>
      <vt:lpstr>mgmt_supvr_zone_name</vt:lpstr>
      <vt:lpstr>mgmt_tier0_ha_chosen</vt:lpstr>
      <vt:lpstr>mgmt_tier0_name</vt:lpstr>
      <vt:lpstr>mgmt_tier1_name</vt:lpstr>
      <vt:lpstr>mgmt_vc_fqdn</vt:lpstr>
      <vt:lpstr>mgmt_vc_hostname</vt:lpstr>
      <vt:lpstr>mgmt_vc_ip</vt:lpstr>
      <vt:lpstr>mgmt_vc_size</vt:lpstr>
      <vt:lpstr>mgmt_vc_storage_size</vt:lpstr>
      <vt:lpstr>mgmt_vcenter_appliance_size_chosen</vt:lpstr>
      <vt:lpstr>mgmt_vcenter_appliance_size_result</vt:lpstr>
      <vt:lpstr>mgmt_vcenter_storage_size_chosen</vt:lpstr>
      <vt:lpstr>mgmt_vcenter_storage_size_result</vt:lpstr>
      <vt:lpstr>mgmt_vcf_auto_size_result</vt:lpstr>
      <vt:lpstr>mgmt_vcf_installer_location_chosen</vt:lpstr>
      <vt:lpstr>mgmt_vcf_management_network_chosen</vt:lpstr>
      <vt:lpstr>mgmt_vcfms_size_result</vt:lpstr>
      <vt:lpstr>mgmt_vcfops_appliance_size_chosen</vt:lpstr>
      <vt:lpstr>mgmt_vcfops_appliance_size_result</vt:lpstr>
      <vt:lpstr>mgmt_vcfops_collector_size_chosen</vt:lpstr>
      <vt:lpstr>mgmt_vcfops_collector_size_result</vt:lpstr>
      <vt:lpstr>mgmt_vna_ip_assignment_address_type_chosen</vt:lpstr>
      <vt:lpstr>mgmt_vna_ip_assignment_chosen</vt:lpstr>
      <vt:lpstr>mgmt_vna_rp_name</vt:lpstr>
      <vt:lpstr>mgmt_vnaa_cidr</vt:lpstr>
      <vt:lpstr>mgmt_vnaa_fqdn</vt:lpstr>
      <vt:lpstr>mgmt_vnab_cidr</vt:lpstr>
      <vt:lpstr>mgmt_vnab_fqdn</vt:lpstr>
      <vt:lpstr>mgmt_vns_chosen</vt:lpstr>
      <vt:lpstr>mgmt_vns_result</vt:lpstr>
      <vt:lpstr>mgmt_vpc_ext_ip_blocks_cidr</vt:lpstr>
      <vt:lpstr>mgmt_vpc_ext_ip_blocks_excluded_ips</vt:lpstr>
      <vt:lpstr>mgmt_vpc_ext_ip_blocks_name</vt:lpstr>
      <vt:lpstr>mgmt_vpc_ext_ip_blocks_reserved</vt:lpstr>
      <vt:lpstr>mgmt_vpc_ext_ip_blocks_visability</vt:lpstr>
      <vt:lpstr>mgmt_vpc_priv_ip_blocks_excluded_ips</vt:lpstr>
      <vt:lpstr>mgmt_vpc_priv_ip_blocks_name</vt:lpstr>
      <vt:lpstr>mgmt_vpc_priv_ip_blocks_reserved</vt:lpstr>
      <vt:lpstr>mgmt_vpc_priv_ip_blocks_visability</vt:lpstr>
      <vt:lpstr>mgmt_vpc_transit_gateway_ip_blocks_cidr</vt:lpstr>
      <vt:lpstr>mgmt_vpc_vna_cluster_name</vt:lpstr>
      <vt:lpstr>mgmt_vpc_vna_cluster_size_chosen</vt:lpstr>
      <vt:lpstr>mgmt_vrms_admin_email</vt:lpstr>
      <vt:lpstr>mgmt_vrms_admin_password</vt:lpstr>
      <vt:lpstr>mgmt_vrms_hostname</vt:lpstr>
      <vt:lpstr>mgmt_vrms_mgmt_ip</vt:lpstr>
      <vt:lpstr>mgmt_vrms_p12_password</vt:lpstr>
      <vt:lpstr>mgmt_vrms_pg</vt:lpstr>
      <vt:lpstr>mgmt_vrms_recovery_replication_cidr</vt:lpstr>
      <vt:lpstr>mgmt_vrms_root_password</vt:lpstr>
      <vt:lpstr>mgmt_vrms_site_name</vt:lpstr>
      <vt:lpstr>mgmt_vrms_vm_folder</vt:lpstr>
      <vt:lpstr>mgmt_vrms_vrms_ip</vt:lpstr>
      <vt:lpstr>mgmt_witness_az_mgmt_mask</vt:lpstr>
      <vt:lpstr>mgmt_witness_cluster</vt:lpstr>
      <vt:lpstr>mgmt_witness_dns1_ip</vt:lpstr>
      <vt:lpstr>mgmt_witness_dns2_ip</vt:lpstr>
      <vt:lpstr>mgmt_witness_fqdn</vt:lpstr>
      <vt:lpstr>mgmt_witness_hostname</vt:lpstr>
      <vt:lpstr>mgmt_witness_ip</vt:lpstr>
      <vt:lpstr>mgmt_witness_mgmt_ip</vt:lpstr>
      <vt:lpstr>mgmt_witness_mgmt_pg</vt:lpstr>
      <vt:lpstr>mgmt_witness_ntp1_server</vt:lpstr>
      <vt:lpstr>mgmt_witness_ntp2_server</vt:lpstr>
      <vt:lpstr>mgmt_witness_root_password</vt:lpstr>
      <vt:lpstr>mgmt_witness_sddc_domain</vt:lpstr>
      <vt:lpstr>mgmt_witness_vc_fqdn</vt:lpstr>
      <vt:lpstr>mgmt_witness_vcenter_fqdn</vt:lpstr>
      <vt:lpstr>mgmt_witness_vcenter_hostname</vt:lpstr>
      <vt:lpstr>mgmt_witness_vm_folder</vt:lpstr>
      <vt:lpstr>mgmt_witness_vsan_datastore</vt:lpstr>
      <vt:lpstr>mgmt_witness_zone_vc_fqdn</vt:lpstr>
      <vt:lpstr>mgmt_witness_zone_vc_hostname</vt:lpstr>
      <vt:lpstr>mgmt_witness_zone_vc_ip</vt:lpstr>
      <vt:lpstr>mgmt_witnessaz_cidr</vt:lpstr>
      <vt:lpstr>mgmt_witnessaz_gateway_ip</vt:lpstr>
      <vt:lpstr>mgmt_witnessaz_mgmt_cidr</vt:lpstr>
      <vt:lpstr>mgmt_witnessaz_mgmt_gateway_ip</vt:lpstr>
      <vt:lpstr>mgmt_witnessaz_mgmt_mask</vt:lpstr>
      <vt:lpstr>mgmt_witnessaz_mgmt_mtu</vt:lpstr>
      <vt:lpstr>mgmt_witnessaz_mgmt_network</vt:lpstr>
      <vt:lpstr>mgmt_witnessaz_mgmt_vlan</vt:lpstr>
      <vt:lpstr>mgmt_witnessaz_mtu</vt:lpstr>
      <vt:lpstr>mgmt_witnessaz_vlan</vt:lpstr>
      <vt:lpstr>navigation_apply_signed_certs_mgmt_domain</vt:lpstr>
      <vt:lpstr>navigation_apply_signed_certs_wld_domain</vt:lpstr>
      <vt:lpstr>navigation_avi_lb_mgmt_domain</vt:lpstr>
      <vt:lpstr>navigation_avi_lb_wld_domain</vt:lpstr>
      <vt:lpstr>navigation_configure_sftp_mgmt_domain</vt:lpstr>
      <vt:lpstr>navigation_mgmt_configure_auth</vt:lpstr>
      <vt:lpstr>navigation_mgmt_supervisor</vt:lpstr>
      <vt:lpstr>navigation_nsx_federation_for_management_domain</vt:lpstr>
      <vt:lpstr>navigation_nsx_federation_for_wld_domain</vt:lpstr>
      <vt:lpstr>navigation_nsx_routing_mgmt_domain</vt:lpstr>
      <vt:lpstr>navigation_nsx_routing_wld_domain</vt:lpstr>
      <vt:lpstr>navigation_site_protection_mgmt</vt:lpstr>
      <vt:lpstr>navigation_site_protection_solution_interop</vt:lpstr>
      <vt:lpstr>navigation_site_protection_wld</vt:lpstr>
      <vt:lpstr>navigation_stretched_cluster_mgmt_domain</vt:lpstr>
      <vt:lpstr>navigation_stretched_cluster_wld_domain</vt:lpstr>
      <vt:lpstr>navigation_vcf_and_vvf_planning_tab</vt:lpstr>
      <vt:lpstr>navigation_wld_supervisor</vt:lpstr>
      <vt:lpstr>navlink_input_ca_values</vt:lpstr>
      <vt:lpstr>non_first_domain_mgmt_only_viable</vt:lpstr>
      <vt:lpstr>non_first_domain_mgmt_vi_viable</vt:lpstr>
      <vt:lpstr>NSX_RTEP_Overlay</vt:lpstr>
      <vt:lpstr>nsx_sizing_limits</vt:lpstr>
      <vt:lpstr>nsxt_en_admin_password</vt:lpstr>
      <vt:lpstr>nsxt_en_root_password</vt:lpstr>
      <vt:lpstr>nsxt_gm_admin_password</vt:lpstr>
      <vt:lpstr>nsxt_gm_audit_password</vt:lpstr>
      <vt:lpstr>nsxt_gm_root_password</vt:lpstr>
      <vt:lpstr>nsxt_lm_admin_password</vt:lpstr>
      <vt:lpstr>nsxt_lm_audit_password</vt:lpstr>
      <vt:lpstr>nsxt_lm_root_password</vt:lpstr>
      <vt:lpstr>other_instance</vt:lpstr>
      <vt:lpstr>parent_dns_zone</vt:lpstr>
      <vt:lpstr>pnp_version_history</vt:lpstr>
      <vt:lpstr>pnp_version_number</vt:lpstr>
      <vt:lpstr>prefix_flt_shared_cidr</vt:lpstr>
      <vt:lpstr>prefix_mgmt_az1_cidr</vt:lpstr>
      <vt:lpstr>prefix_mgmt_az1_vlan</vt:lpstr>
      <vt:lpstr>prefix_mgmt_az2_cidr</vt:lpstr>
      <vt:lpstr>prefix_mgmt_az2_vlan</vt:lpstr>
      <vt:lpstr>prefix_mgmt_ipv6_cidr</vt:lpstr>
      <vt:lpstr>prefix_mgmt_tor_asn</vt:lpstr>
      <vt:lpstr>prefix_mgmt_witness_cidr</vt:lpstr>
      <vt:lpstr>prefix_mgmt_witness_vlan</vt:lpstr>
      <vt:lpstr>prefix_other_region_az1_cidr</vt:lpstr>
      <vt:lpstr>prefix_portable_component</vt:lpstr>
      <vt:lpstr>prefix_reg_cidr</vt:lpstr>
      <vt:lpstr>prefix_wld_az1_cidr</vt:lpstr>
      <vt:lpstr>prefix_wld_az1_rack_cidr</vt:lpstr>
      <vt:lpstr>prefix_wld_az1_rack_vlan</vt:lpstr>
      <vt:lpstr>prefix_wld_az1_vlan</vt:lpstr>
      <vt:lpstr>prefix_wld_az2_cidr</vt:lpstr>
      <vt:lpstr>prefix_wld_az2_rack_cidr</vt:lpstr>
      <vt:lpstr>prefix_wld_az2_rack_vlan</vt:lpstr>
      <vt:lpstr>prefix_wld_az2_vlan</vt:lpstr>
      <vt:lpstr>prefix_wld_k8s_cidr</vt:lpstr>
      <vt:lpstr>prefix_wld_tor_asn</vt:lpstr>
      <vt:lpstr>prefix_wld_witness_cidr</vt:lpstr>
      <vt:lpstr>prefix_wld_witness_vlan</vt:lpstr>
      <vt:lpstr>prefix_xreg_cidr</vt:lpstr>
      <vt:lpstr>prefix_xreg_vlan</vt:lpstr>
      <vt:lpstr>protected_mgmt_result</vt:lpstr>
      <vt:lpstr>protected_wld_result</vt:lpstr>
      <vt:lpstr>recovery_mgmt_result</vt:lpstr>
      <vt:lpstr>region_dns1_ip</vt:lpstr>
      <vt:lpstr>region_dns2_ip</vt:lpstr>
      <vt:lpstr>region_ntp_servers_array</vt:lpstr>
      <vt:lpstr>region_ntp1_server</vt:lpstr>
      <vt:lpstr>region_ntp2_server</vt:lpstr>
      <vt:lpstr>rwr_child_dns_zone</vt:lpstr>
      <vt:lpstr>rwr_chosen</vt:lpstr>
      <vt:lpstr>rwr_datacenter</vt:lpstr>
      <vt:lpstr>rwr_result</vt:lpstr>
      <vt:lpstr>rwr_sso_domain_name</vt:lpstr>
      <vt:lpstr>rwr_vlr_replication_password</vt:lpstr>
      <vt:lpstr>rwr_vrms_pg</vt:lpstr>
      <vt:lpstr>sample_administrator_vsphere_local_password</vt:lpstr>
      <vt:lpstr>sample_ca_administrator_password</vt:lpstr>
      <vt:lpstr>sample_ca_administrator_username</vt:lpstr>
      <vt:lpstr>sample_ca_algorithm</vt:lpstr>
      <vt:lpstr>sample_ca_country</vt:lpstr>
      <vt:lpstr>sample_ca_email_address</vt:lpstr>
      <vt:lpstr>sample_ca_key_size</vt:lpstr>
      <vt:lpstr>sample_ca_locality</vt:lpstr>
      <vt:lpstr>sample_ca_organization</vt:lpstr>
      <vt:lpstr>sample_ca_organization_unit</vt:lpstr>
      <vt:lpstr>sample_ca_state</vt:lpstr>
      <vt:lpstr>sample_ca_template_name</vt:lpstr>
      <vt:lpstr>sample_certificate_authority_fqdn</vt:lpstr>
      <vt:lpstr>sample_certificate_authority_name</vt:lpstr>
      <vt:lpstr>sample_child_dns_zone</vt:lpstr>
      <vt:lpstr>sample_cluster_az1_host_overlay_cidr</vt:lpstr>
      <vt:lpstr>sample_cluster_az1_host_overlay_gateway_ip</vt:lpstr>
      <vt:lpstr>sample_cluster_az1_host_overlay_network_pool_description</vt:lpstr>
      <vt:lpstr>sample_cluster_az1_host_overlay_network_pool_name</vt:lpstr>
      <vt:lpstr>sample_cluster_az1_host_overlay_network_profile_name</vt:lpstr>
      <vt:lpstr>sample_cluster_az1_host_overlay_pool_end_ip</vt:lpstr>
      <vt:lpstr>sample_cluster_az1_host_overlay_pool_start_ip</vt:lpstr>
      <vt:lpstr>sample_cluster_az1_host_overlay_uplink_profile_name</vt:lpstr>
      <vt:lpstr>sample_cluster_az1_host_overlay_vlan</vt:lpstr>
      <vt:lpstr>sample_cluster_az1_host1_fqdn</vt:lpstr>
      <vt:lpstr>sample_cluster_az1_host1_mgmt_ip</vt:lpstr>
      <vt:lpstr>sample_cluster_az1_host10_fqdn</vt:lpstr>
      <vt:lpstr>sample_cluster_az1_host10_mgmt_ip</vt:lpstr>
      <vt:lpstr>sample_cluster_az1_host11_fqdn</vt:lpstr>
      <vt:lpstr>sample_cluster_az1_host11_mgmt_ip</vt:lpstr>
      <vt:lpstr>sample_cluster_az1_host12_fqdn</vt:lpstr>
      <vt:lpstr>sample_cluster_az1_host12_mgmt_ip</vt:lpstr>
      <vt:lpstr>sample_cluster_az1_host13_fqdn</vt:lpstr>
      <vt:lpstr>sample_cluster_az1_host13_mgmt_ip</vt:lpstr>
      <vt:lpstr>sample_cluster_az1_host14_fqdn</vt:lpstr>
      <vt:lpstr>sample_cluster_az1_host14_mgmt_ip</vt:lpstr>
      <vt:lpstr>sample_cluster_az1_host15_fqdn</vt:lpstr>
      <vt:lpstr>sample_cluster_az1_host15_mgmt_ip</vt:lpstr>
      <vt:lpstr>sample_cluster_az1_host16_fqdn</vt:lpstr>
      <vt:lpstr>sample_cluster_az1_host16_mgmt_ip</vt:lpstr>
      <vt:lpstr>sample_cluster_az1_host2_fqdn</vt:lpstr>
      <vt:lpstr>sample_cluster_az1_host2_mgmt_ip</vt:lpstr>
      <vt:lpstr>sample_cluster_az1_host3_fqdn</vt:lpstr>
      <vt:lpstr>sample_cluster_az1_host3_mgmt_ip</vt:lpstr>
      <vt:lpstr>sample_cluster_az1_host4_fqdn</vt:lpstr>
      <vt:lpstr>sample_cluster_az1_host4_mgmt_ip</vt:lpstr>
      <vt:lpstr>sample_cluster_az1_host5_fqdn</vt:lpstr>
      <vt:lpstr>sample_cluster_az1_host5_mgmt_ip</vt:lpstr>
      <vt:lpstr>sample_cluster_az1_host6_fqdn</vt:lpstr>
      <vt:lpstr>sample_cluster_az1_host6_mgmt_ip</vt:lpstr>
      <vt:lpstr>sample_cluster_az1_host7_fqdn</vt:lpstr>
      <vt:lpstr>sample_cluster_az1_host7_mgmt_ip</vt:lpstr>
      <vt:lpstr>sample_cluster_az1_host8_fqdn</vt:lpstr>
      <vt:lpstr>sample_cluster_az1_host8_mgmt_ip</vt:lpstr>
      <vt:lpstr>sample_cluster_az1_host9_fqdn</vt:lpstr>
      <vt:lpstr>sample_cluster_az1_host9_mgmt_ip</vt:lpstr>
      <vt:lpstr>sample_cluster_az1_mgmt_cidr</vt:lpstr>
      <vt:lpstr>sample_cluster_az1_mgmt_gateway_ip</vt:lpstr>
      <vt:lpstr>sample_cluster_az1_mgmt_mtu</vt:lpstr>
      <vt:lpstr>sample_cluster_az1_mgmt_pg</vt:lpstr>
      <vt:lpstr>sample_cluster_az1_mgmt_vlan</vt:lpstr>
      <vt:lpstr>sample_cluster_az1_mgmt_vm_pg</vt:lpstr>
      <vt:lpstr>sample_cluster_az1_nsx_uplink_count</vt:lpstr>
      <vt:lpstr>sample_cluster_az1_nsx_uplink1</vt:lpstr>
      <vt:lpstr>sample_cluster_az1_nsx_uplink1_active</vt:lpstr>
      <vt:lpstr>sample_cluster_az1_nsx_uplink2</vt:lpstr>
      <vt:lpstr>sample_cluster_az1_nsx_uplink2_active</vt:lpstr>
      <vt:lpstr>sample_cluster_az1_pool_name</vt:lpstr>
      <vt:lpstr>sample_cluster_az1_principal_storage_gateway_cidr</vt:lpstr>
      <vt:lpstr>sample_cluster_az1_principal_storage_mtu</vt:lpstr>
      <vt:lpstr>sample_cluster_az1_principal_storage_pg</vt:lpstr>
      <vt:lpstr>sample_cluster_az1_principal_storage_pool_end_ip</vt:lpstr>
      <vt:lpstr>sample_cluster_az1_principal_storage_pool_start_ip</vt:lpstr>
      <vt:lpstr>sample_cluster_az1_principal_storage_vlan</vt:lpstr>
      <vt:lpstr>sample_cluster_az1_secondary_storage_gateway_cidr</vt:lpstr>
      <vt:lpstr>sample_cluster_az1_secondary_storage_mtu</vt:lpstr>
      <vt:lpstr>sample_cluster_az1_secondary_storage_pool_end_ip</vt:lpstr>
      <vt:lpstr>sample_cluster_az1_secondary_storage_pool_start_ip</vt:lpstr>
      <vt:lpstr>sample_cluster_az1_secondary_storage_vlan</vt:lpstr>
      <vt:lpstr>sample_cluster_az1_storage_cluster_gateway_cidr</vt:lpstr>
      <vt:lpstr>sample_cluster_az1_storage_cluster_mtu</vt:lpstr>
      <vt:lpstr>sample_cluster_az1_storage_cluster_pool_end_ip</vt:lpstr>
      <vt:lpstr>sample_cluster_az1_storage_cluster_pool_start_ip</vt:lpstr>
      <vt:lpstr>sample_cluster_az1_storage_cluster_vlan</vt:lpstr>
      <vt:lpstr>sample_cluster_az1_vmotion_gateway_cidr</vt:lpstr>
      <vt:lpstr>sample_cluster_az1_vmotion_mtu</vt:lpstr>
      <vt:lpstr>sample_cluster_az1_vmotion_pg</vt:lpstr>
      <vt:lpstr>sample_cluster_az1_vmotion_pool_end_ip</vt:lpstr>
      <vt:lpstr>sample_cluster_az1_vmotion_pool_start_ip</vt:lpstr>
      <vt:lpstr>sample_cluster_az1_vmotion_vlan</vt:lpstr>
      <vt:lpstr>sample_cluster_az1_vsan_storage_client_pg</vt:lpstr>
      <vt:lpstr>sample_cluster_az2_host_overlay_cidr</vt:lpstr>
      <vt:lpstr>sample_cluster_az2_host_overlay_gateway_ip</vt:lpstr>
      <vt:lpstr>sample_cluster_az2_host_overlay_gateway_mtu</vt:lpstr>
      <vt:lpstr>sample_cluster_az2_host_overlay_network_pool_name</vt:lpstr>
      <vt:lpstr>sample_cluster_az2_host_overlay_network_profile_name</vt:lpstr>
      <vt:lpstr>sample_cluster_az2_host_overlay_pool_end_ip</vt:lpstr>
      <vt:lpstr>sample_cluster_az2_host_overlay_pool_start_ip</vt:lpstr>
      <vt:lpstr>sample_cluster_az2_host_overlay_uplink_profile_name</vt:lpstr>
      <vt:lpstr>sample_cluster_az2_host_overlay_vlan</vt:lpstr>
      <vt:lpstr>sample_cluster_az2_host1_fqdn</vt:lpstr>
      <vt:lpstr>sample_cluster_az2_host1_mgmt_ip</vt:lpstr>
      <vt:lpstr>sample_cluster_az2_host10_fqdn</vt:lpstr>
      <vt:lpstr>sample_cluster_az2_host10_mgmt_ip</vt:lpstr>
      <vt:lpstr>sample_cluster_az2_host11_fqdn</vt:lpstr>
      <vt:lpstr>sample_cluster_az2_host11_mgmt_ip</vt:lpstr>
      <vt:lpstr>sample_cluster_az2_host12_fqdn</vt:lpstr>
      <vt:lpstr>sample_cluster_az2_host12_mgmt_ip</vt:lpstr>
      <vt:lpstr>sample_cluster_az2_host13_fqdn</vt:lpstr>
      <vt:lpstr>sample_cluster_az2_host13_mgmt_ip</vt:lpstr>
      <vt:lpstr>sample_cluster_az2_host14_fqdn</vt:lpstr>
      <vt:lpstr>sample_cluster_az2_host14_mgmt_ip</vt:lpstr>
      <vt:lpstr>sample_cluster_az2_host15_fqdn</vt:lpstr>
      <vt:lpstr>sample_cluster_az2_host15_mgmt_ip</vt:lpstr>
      <vt:lpstr>sample_cluster_az2_host16_fqdn</vt:lpstr>
      <vt:lpstr>sample_cluster_az2_host16_mgmt_ip</vt:lpstr>
      <vt:lpstr>sample_cluster_az2_host2_fqdn</vt:lpstr>
      <vt:lpstr>sample_cluster_az2_host2_mgmt_ip</vt:lpstr>
      <vt:lpstr>sample_cluster_az2_host3_fqdn</vt:lpstr>
      <vt:lpstr>sample_cluster_az2_host3_mgmt_ip</vt:lpstr>
      <vt:lpstr>sample_cluster_az2_host4_fqdn</vt:lpstr>
      <vt:lpstr>sample_cluster_az2_host4_mgmt_ip</vt:lpstr>
      <vt:lpstr>sample_cluster_az2_host5_fqdn</vt:lpstr>
      <vt:lpstr>sample_cluster_az2_host5_mgmt_ip</vt:lpstr>
      <vt:lpstr>sample_cluster_az2_host6_fqdn</vt:lpstr>
      <vt:lpstr>sample_cluster_az2_host6_mgmt_ip</vt:lpstr>
      <vt:lpstr>sample_cluster_az2_host7_fqdn</vt:lpstr>
      <vt:lpstr>sample_cluster_az2_host7_mgmt_ip</vt:lpstr>
      <vt:lpstr>sample_cluster_az2_host8_fqdn</vt:lpstr>
      <vt:lpstr>sample_cluster_az2_host8_mgmt_ip</vt:lpstr>
      <vt:lpstr>sample_cluster_az2_host9_fqdn</vt:lpstr>
      <vt:lpstr>sample_cluster_az2_host9_mgmt_ip</vt:lpstr>
      <vt:lpstr>sample_cluster_az2_mgmt_cidr</vt:lpstr>
      <vt:lpstr>sample_cluster_az2_mgmt_gateway_ip</vt:lpstr>
      <vt:lpstr>sample_cluster_az2_mgmt_mtu</vt:lpstr>
      <vt:lpstr>sample_cluster_az2_mgmt_vlan</vt:lpstr>
      <vt:lpstr>sample_cluster_az2_pool_name</vt:lpstr>
      <vt:lpstr>sample_cluster_az2_principal_storage_gateway_ip</vt:lpstr>
      <vt:lpstr>sample_cluster_az2_principal_storage_mask</vt:lpstr>
      <vt:lpstr>sample_cluster_az2_principal_storage_mtu</vt:lpstr>
      <vt:lpstr>sample_cluster_az2_principal_storage_network</vt:lpstr>
      <vt:lpstr>sample_cluster_az2_principal_storage_pool_end_ip</vt:lpstr>
      <vt:lpstr>sample_cluster_az2_principal_storage_pool_start_ip</vt:lpstr>
      <vt:lpstr>sample_cluster_az2_principal_storage_vlan</vt:lpstr>
      <vt:lpstr>sample_cluster_az2_secondary_storage_gateway_ip</vt:lpstr>
      <vt:lpstr>sample_cluster_az2_secondary_storage_mask</vt:lpstr>
      <vt:lpstr>sample_cluster_az2_secondary_storage_mtu</vt:lpstr>
      <vt:lpstr>sample_cluster_az2_secondary_storage_network</vt:lpstr>
      <vt:lpstr>sample_cluster_az2_secondary_storage_pool_end_ip</vt:lpstr>
      <vt:lpstr>sample_cluster_az2_secondary_storage_pool_start_ip</vt:lpstr>
      <vt:lpstr>sample_cluster_az2_secondary_storage_vlan</vt:lpstr>
      <vt:lpstr>sample_cluster_az2_storage_cluster_gateway_ip</vt:lpstr>
      <vt:lpstr>sample_cluster_az2_storage_cluster_mask</vt:lpstr>
      <vt:lpstr>sample_cluster_az2_storage_cluster_mtu</vt:lpstr>
      <vt:lpstr>sample_cluster_az2_storage_cluster_network</vt:lpstr>
      <vt:lpstr>sample_cluster_az2_storage_cluster_pool_end_ip</vt:lpstr>
      <vt:lpstr>sample_cluster_az2_storage_cluster_pool_start_ip</vt:lpstr>
      <vt:lpstr>sample_cluster_az2_storage_cluster_vlan</vt:lpstr>
      <vt:lpstr>sample_cluster_az2_tor1_peer_asn</vt:lpstr>
      <vt:lpstr>sample_cluster_az2_tor1_peer_ip</vt:lpstr>
      <vt:lpstr>sample_cluster_az2_tor2_peer_asn</vt:lpstr>
      <vt:lpstr>sample_cluster_az2_tor2_peer_ip</vt:lpstr>
      <vt:lpstr>sample_cluster_az2_vmotion_gateway_ip</vt:lpstr>
      <vt:lpstr>sample_cluster_az2_vmotion_mask</vt:lpstr>
      <vt:lpstr>sample_cluster_az2_vmotion_mtu</vt:lpstr>
      <vt:lpstr>sample_cluster_az2_vmotion_network</vt:lpstr>
      <vt:lpstr>sample_cluster_az2_vmotion_pool_end_ip</vt:lpstr>
      <vt:lpstr>sample_cluster_az2_vmotion_pool_start_ip</vt:lpstr>
      <vt:lpstr>sample_cluster_az2_vmotion_vlan</vt:lpstr>
      <vt:lpstr>sample_cluster_cluster_sddc_id</vt:lpstr>
      <vt:lpstr>sample_cluster_datacenter</vt:lpstr>
      <vt:lpstr>sample_cluster_domain_name</vt:lpstr>
      <vt:lpstr>sample_cluster_esx_root_password</vt:lpstr>
      <vt:lpstr>sample_cluster_esx_root_username</vt:lpstr>
      <vt:lpstr>sample_cluster_host_overlay_transportzone</vt:lpstr>
      <vt:lpstr>sample_cluster_image_name</vt:lpstr>
      <vt:lpstr>sample_cluster_name</vt:lpstr>
      <vt:lpstr>sample_cluster_nfs_datastore_name</vt:lpstr>
      <vt:lpstr>sample_cluster_nfs_server_address</vt:lpstr>
      <vt:lpstr>sample_cluster_nfs_share_path</vt:lpstr>
      <vt:lpstr>sample_cluster_nsx_vlan_transport_zone_name</vt:lpstr>
      <vt:lpstr>sample_cluster_nsxt_vip_fqdn</vt:lpstr>
      <vt:lpstr>sample_cluster_storage_cluster_name</vt:lpstr>
      <vt:lpstr>sample_cluster_vc_fqdn</vt:lpstr>
      <vt:lpstr>sample_cluster_vds01_lag_name</vt:lpstr>
      <vt:lpstr>sample_cluster_vds01_mtu</vt:lpstr>
      <vt:lpstr>sample_cluster_vds01_name</vt:lpstr>
      <vt:lpstr>sample_cluster_vds01_pnics</vt:lpstr>
      <vt:lpstr>sample_cluster_vds01_uplink_count</vt:lpstr>
      <vt:lpstr>sample_cluster_vds02_lag_name</vt:lpstr>
      <vt:lpstr>sample_cluster_vds02_mtu</vt:lpstr>
      <vt:lpstr>sample_cluster_vds02_name</vt:lpstr>
      <vt:lpstr>sample_cluster_vds02_pnics</vt:lpstr>
      <vt:lpstr>sample_cluster_vds02_uplink_count</vt:lpstr>
      <vt:lpstr>sample_cluster_vds03_lag_name</vt:lpstr>
      <vt:lpstr>sample_cluster_vds03_mtu</vt:lpstr>
      <vt:lpstr>sample_cluster_vds03_name</vt:lpstr>
      <vt:lpstr>sample_cluster_vds03_pnics</vt:lpstr>
      <vt:lpstr>sample_cluster_vds03_uplink_count</vt:lpstr>
      <vt:lpstr>sample_cluster_vmfs_datastore_name</vt:lpstr>
      <vt:lpstr>sample_cluster_vsan_datastore</vt:lpstr>
      <vt:lpstr>sample_cluster_vsan_dit_rekey_custom_interval</vt:lpstr>
      <vt:lpstr>sample_cluster_vsan_dit_rekey_default_interval</vt:lpstr>
      <vt:lpstr>sample_cluster_witness_cluster</vt:lpstr>
      <vt:lpstr>sample_cluster_witness_dns1_ip</vt:lpstr>
      <vt:lpstr>sample_cluster_witness_dns2_ip</vt:lpstr>
      <vt:lpstr>sample_cluster_witness_fqdn</vt:lpstr>
      <vt:lpstr>sample_cluster_witness_hostname</vt:lpstr>
      <vt:lpstr>sample_cluster_witness_ip</vt:lpstr>
      <vt:lpstr>sample_cluster_witness_mgmt_pg</vt:lpstr>
      <vt:lpstr>sample_cluster_witness_ntp1_server</vt:lpstr>
      <vt:lpstr>sample_cluster_witness_ntp2_server</vt:lpstr>
      <vt:lpstr>sample_cluster_witness_vm_folder</vt:lpstr>
      <vt:lpstr>sample_cluster_witness_vsan_datastore</vt:lpstr>
      <vt:lpstr>sample_cluster_witness_zone_vc_fqdn</vt:lpstr>
      <vt:lpstr>sample_cluster_witnessaz_mask</vt:lpstr>
      <vt:lpstr>sample_cluster_witnessaz_mgmt_cidr</vt:lpstr>
      <vt:lpstr>sample_cluster_witnessaz_mgmt_gateway_ip</vt:lpstr>
      <vt:lpstr>sample_cluster_witnessaz_mgmt_mtu</vt:lpstr>
      <vt:lpstr>sample_cluster_witnessaz_mgmt_vlan</vt:lpstr>
      <vt:lpstr>sample_cr_clean_room</vt:lpstr>
      <vt:lpstr>sample_cr_console_cloud</vt:lpstr>
      <vt:lpstr>sample_cr_mgmt_protect_vc_domain</vt:lpstr>
      <vt:lpstr>sample_cr_mgmt_protect_vc_fqdn</vt:lpstr>
      <vt:lpstr>sample_cr_wld_pnr_fqdn</vt:lpstr>
      <vt:lpstr>sample_cr_wld_pnr_ip</vt:lpstr>
      <vt:lpstr>sample_cr_wld_protect_vc_replication_user</vt:lpstr>
      <vt:lpstr>sample_cr_wld_vrms_pg</vt:lpstr>
      <vt:lpstr>sample_domain_controller_hostname</vt:lpstr>
      <vt:lpstr>sample_esxi_root_password</vt:lpstr>
      <vt:lpstr>sample_flt_auto_node_pool_end_ip</vt:lpstr>
      <vt:lpstr>sample_flt_auto_node_pool_start_ip</vt:lpstr>
      <vt:lpstr>sample_flt_auto_sr_fqdn</vt:lpstr>
      <vt:lpstr>sample_flt_def_administrator_vsphere_local_password</vt:lpstr>
      <vt:lpstr>sample_flt_def_administrator_vsphere_local_username</vt:lpstr>
      <vt:lpstr>sample_flt_def_auto_admin_password</vt:lpstr>
      <vt:lpstr>sample_flt_def_auto_cluster_cidr</vt:lpstr>
      <vt:lpstr>sample_flt_def_auto_node_pool_end_ip</vt:lpstr>
      <vt:lpstr>sample_flt_def_auto_node_pool_start_ip</vt:lpstr>
      <vt:lpstr>sample_flt_def_auto_node_prefix</vt:lpstr>
      <vt:lpstr>sample_flt_def_auto_sr_fqdn</vt:lpstr>
      <vt:lpstr>sample_flt_def_auto_sr_ip</vt:lpstr>
      <vt:lpstr>sample_flt_def_sddc_mgr_fqdn</vt:lpstr>
      <vt:lpstr>sample_flt_def_vcf_operations_admin_password</vt:lpstr>
      <vt:lpstr>sample_flt_def_vcf_operations_az1_vcf_mgmt_gateway_cidr</vt:lpstr>
      <vt:lpstr>sample_flt_def_vcf_operations_az1_vcf_mgmt_pg</vt:lpstr>
      <vt:lpstr>sample_flt_def_vcf_operations_data_root_password</vt:lpstr>
      <vt:lpstr>sample_flt_def_vcf_operations_lc_fqdn</vt:lpstr>
      <vt:lpstr>sample_flt_def_vcf_operations_lc_ip</vt:lpstr>
      <vt:lpstr>sample_flt_def_vcf_operations_nodea_fqdn</vt:lpstr>
      <vt:lpstr>sample_flt_def_vcf_operations_nodea_ip</vt:lpstr>
      <vt:lpstr>sample_flt_def_vcf_operations_nodeb_fqdn</vt:lpstr>
      <vt:lpstr>sample_flt_def_vcf_operations_nodeb_ip</vt:lpstr>
      <vt:lpstr>sample_flt_def_vcf_operations_nodec_fqdn</vt:lpstr>
      <vt:lpstr>sample_flt_def_vcf_operations_nodec_ip</vt:lpstr>
      <vt:lpstr>sample_flt_def_vcf_operations_proxy_az1_vcf_mgmt_gateway_cidr</vt:lpstr>
      <vt:lpstr>sample_flt_def_vcf_operations_proxy_az1_vcf_mgmt_pg</vt:lpstr>
      <vt:lpstr>sample_flt_def_vcf_operations_proxy_fqdn</vt:lpstr>
      <vt:lpstr>sample_flt_def_vcf_operations_proxy_ip</vt:lpstr>
      <vt:lpstr>sample_flt_def_vcf_operations_proxy_root_password</vt:lpstr>
      <vt:lpstr>sample_flt_def_vcf_operations_replica_root_password</vt:lpstr>
      <vt:lpstr>sample_flt_def_vcf_operations_root_password</vt:lpstr>
      <vt:lpstr>sample_flt_def_vcf_operations_virtual_fqdn</vt:lpstr>
      <vt:lpstr>sample_flt_def_vcf_operations_virtual_ip</vt:lpstr>
      <vt:lpstr>sample_flt_def_vra_virtual_fqdn</vt:lpstr>
      <vt:lpstr>sample_flt_def_vra_virtual_ip</vt:lpstr>
      <vt:lpstr>sample_flt_fc_fqdn</vt:lpstr>
      <vt:lpstr>sample_flt_fc_ip</vt:lpstr>
      <vt:lpstr>sample_flt_ic_fqdn</vt:lpstr>
      <vt:lpstr>sample_flt_ic_ip</vt:lpstr>
      <vt:lpstr>sample_flt_lc_fqdn</vt:lpstr>
      <vt:lpstr>sample_flt_lc_ip</vt:lpstr>
      <vt:lpstr>sample_flt_logs_admin_password</vt:lpstr>
      <vt:lpstr>sample_flt_logs_admin_username</vt:lpstr>
      <vt:lpstr>sample_flt_logs_vip_fqdn</vt:lpstr>
      <vt:lpstr>sample_flt_logs_vip_ip</vt:lpstr>
      <vt:lpstr>sample_flt_net_admin_password</vt:lpstr>
      <vt:lpstr>sample_flt_net_nodea_fqdn</vt:lpstr>
      <vt:lpstr>sample_flt_net_nodea_gateway_cidr</vt:lpstr>
      <vt:lpstr>sample_flt_net_nodea_ip</vt:lpstr>
      <vt:lpstr>sample_flt_net_nodea_pg</vt:lpstr>
      <vt:lpstr>sample_flt_net_prxy_fqdn</vt:lpstr>
      <vt:lpstr>sample_flt_net_prxy_gateway_cidr</vt:lpstr>
      <vt:lpstr>sample_flt_net_prxy_ip</vt:lpstr>
      <vt:lpstr>sample_flt_net_prxy_pg</vt:lpstr>
      <vt:lpstr>sample_flt_sr_fqdn</vt:lpstr>
      <vt:lpstr>sample_flt_sr_ip</vt:lpstr>
      <vt:lpstr>sample_flt_vcfms_node_pool_end_ip</vt:lpstr>
      <vt:lpstr>sample_flt_vcfms_node_pool_start_ip</vt:lpstr>
      <vt:lpstr>sample_flt_vidb_base_dn</vt:lpstr>
      <vt:lpstr>sample_flt_vidb_bind_password</vt:lpstr>
      <vt:lpstr>sample_flt_vidb_bind_username</vt:lpstr>
      <vt:lpstr>sample_flt_vidb_directory_name</vt:lpstr>
      <vt:lpstr>sample_flt_vidb_distinguished_name</vt:lpstr>
      <vt:lpstr>sample_flt_vidb_employeeID</vt:lpstr>
      <vt:lpstr>sample_flt_vidb_first_name</vt:lpstr>
      <vt:lpstr>sample_flt_vidb_group_base_dn</vt:lpstr>
      <vt:lpstr>sample_flt_vidb_last_name</vt:lpstr>
      <vt:lpstr>sample_flt_vidb_mail</vt:lpstr>
      <vt:lpstr>sample_flt_vidb_primary_domain_controller</vt:lpstr>
      <vt:lpstr>sample_flt_vidb_primary_domain_controller_port</vt:lpstr>
      <vt:lpstr>sample_flt_vidb_secondary_domain_controller</vt:lpstr>
      <vt:lpstr>sample_flt_vidb_secondary_domain_controller_port</vt:lpstr>
      <vt:lpstr>sample_flt_vidb_user_base_dn</vt:lpstr>
      <vt:lpstr>sample_flt_vidb_user_name</vt:lpstr>
      <vt:lpstr>sample_flt_vidb_user_principal_name</vt:lpstr>
      <vt:lpstr>sample_flt_vidb_vip_fqdn</vt:lpstr>
      <vt:lpstr>sample_flt_vidb_vip_ip</vt:lpstr>
      <vt:lpstr>sample_mgmt_auth_encrypted_cert</vt:lpstr>
      <vt:lpstr>sample_mgmt_avilb_cluster_name</vt:lpstr>
      <vt:lpstr>sample_mgmt_avilb_cluster_version</vt:lpstr>
      <vt:lpstr>sample_mgmt_avilb_fqdn</vt:lpstr>
      <vt:lpstr>sample_mgmt_avilb_ip</vt:lpstr>
      <vt:lpstr>sample_mgmt_avilb_mgra_ip</vt:lpstr>
      <vt:lpstr>sample_mgmt_avilb_mgrb_ip</vt:lpstr>
      <vt:lpstr>sample_mgmt_avilb_mgrc_ip</vt:lpstr>
      <vt:lpstr>sample_mgmt_avilb_root_password</vt:lpstr>
      <vt:lpstr>sample_mgmt_avilb_vcfops_password</vt:lpstr>
      <vt:lpstr>sample_mgmt_az1_dtgw_gateway_cidr</vt:lpstr>
      <vt:lpstr>sample_mgmt_az1_dtgw_vlan</vt:lpstr>
      <vt:lpstr>sample_mgmt_az1_edge_overlay_cidr</vt:lpstr>
      <vt:lpstr>sample_mgmt_az1_edge_overlay_gateway_ip</vt:lpstr>
      <vt:lpstr>sample_mgmt_az1_edge_overlay_mask</vt:lpstr>
      <vt:lpstr>sample_mgmt_az1_edge_overlay_mtu</vt:lpstr>
      <vt:lpstr>sample_mgmt_az1_edge_overlay_network_pool_name</vt:lpstr>
      <vt:lpstr>sample_mgmt_az1_edge_overlay_pool_end_ip</vt:lpstr>
      <vt:lpstr>sample_mgmt_az1_edge_overlay_pool_start_ip</vt:lpstr>
      <vt:lpstr>sample_mgmt_az1_edge_overlay_vlan</vt:lpstr>
      <vt:lpstr>sample_mgmt_az1_en1_edge_overlay_interface_ip_1_ip</vt:lpstr>
      <vt:lpstr>sample_mgmt_az1_en1_edge_overlay_interface_ip_2_ip</vt:lpstr>
      <vt:lpstr>sample_mgmt_az1_en1_eth0_uplink0</vt:lpstr>
      <vt:lpstr>sample_mgmt_az1_en1_eth0_uplink1</vt:lpstr>
      <vt:lpstr>sample_mgmt_az1_en1_eth1_uplink0</vt:lpstr>
      <vt:lpstr>sample_mgmt_az1_en1_eth1_uplink1</vt:lpstr>
      <vt:lpstr>sample_mgmt_az1_en1_fqdn</vt:lpstr>
      <vt:lpstr>sample_mgmt_az1_en1_hostname</vt:lpstr>
      <vt:lpstr>sample_mgmt_az1_en1_mgmt_cidr</vt:lpstr>
      <vt:lpstr>sample_mgmt_az1_en1_uplink01_interface_cidr</vt:lpstr>
      <vt:lpstr>sample_mgmt_az1_en1_uplink02_interface_cidr</vt:lpstr>
      <vt:lpstr>sample_mgmt_az1_en2_edge_overlay_interface_ip_1_ip</vt:lpstr>
      <vt:lpstr>sample_mgmt_az1_en2_edge_overlay_interface_ip_2_ip</vt:lpstr>
      <vt:lpstr>sample_mgmt_az1_en2_eth0_uplink0</vt:lpstr>
      <vt:lpstr>sample_mgmt_az1_en2_eth0_uplink1</vt:lpstr>
      <vt:lpstr>sample_mgmt_az1_en2_eth1_uplink0</vt:lpstr>
      <vt:lpstr>sample_mgmt_az1_en2_eth1_uplink1</vt:lpstr>
      <vt:lpstr>sample_mgmt_az1_en2_fqdn</vt:lpstr>
      <vt:lpstr>sample_mgmt_az1_en2_hostname</vt:lpstr>
      <vt:lpstr>sample_mgmt_az1_en2_mgmt_cidr</vt:lpstr>
      <vt:lpstr>sample_mgmt_az1_en2_uplink01_interface_cidr</vt:lpstr>
      <vt:lpstr>sample_mgmt_az1_en2_uplink02_interface_cidr</vt:lpstr>
      <vt:lpstr>sample_mgmt_az1_host_overlay_gateway_cidr</vt:lpstr>
      <vt:lpstr>sample_mgmt_az1_host_overlay_mtu</vt:lpstr>
      <vt:lpstr>sample_mgmt_az1_host_overlay_network_pool_description</vt:lpstr>
      <vt:lpstr>sample_mgmt_az1_host_overlay_network_pool_name</vt:lpstr>
      <vt:lpstr>sample_mgmt_az1_host_overlay_pool_end_ip</vt:lpstr>
      <vt:lpstr>sample_mgmt_az1_host_overlay_pool_start_ip</vt:lpstr>
      <vt:lpstr>sample_mgmt_az1_host_overlay_vlan</vt:lpstr>
      <vt:lpstr>sample_mgmt_az1_host1_fqdn</vt:lpstr>
      <vt:lpstr>sample_mgmt_az1_host1_mgmt_ip</vt:lpstr>
      <vt:lpstr>sample_mgmt_az1_host1_vrms_ip</vt:lpstr>
      <vt:lpstr>sample_mgmt_az1_host10_fqdn</vt:lpstr>
      <vt:lpstr>sample_mgmt_az1_host10_mgmt_ip</vt:lpstr>
      <vt:lpstr>sample_mgmt_az1_host10_vrms_ip</vt:lpstr>
      <vt:lpstr>sample_mgmt_az1_host11_fqdn</vt:lpstr>
      <vt:lpstr>sample_mgmt_az1_host11_mgmt_ip</vt:lpstr>
      <vt:lpstr>sample_mgmt_az1_host11_vrms_ip</vt:lpstr>
      <vt:lpstr>sample_mgmt_az1_host12_fqdn</vt:lpstr>
      <vt:lpstr>sample_mgmt_az1_host12_mgmt_ip</vt:lpstr>
      <vt:lpstr>sample_mgmt_az1_host12_vrms_ip</vt:lpstr>
      <vt:lpstr>sample_mgmt_az1_host13_fqdn</vt:lpstr>
      <vt:lpstr>sample_mgmt_az1_host13_mgmt_ip</vt:lpstr>
      <vt:lpstr>sample_mgmt_az1_host13_vrms_ip</vt:lpstr>
      <vt:lpstr>sample_mgmt_az1_host14_fqdn</vt:lpstr>
      <vt:lpstr>sample_mgmt_az1_host14_mgmt_ip</vt:lpstr>
      <vt:lpstr>sample_mgmt_az1_host14_vrms_ip</vt:lpstr>
      <vt:lpstr>sample_mgmt_az1_host15_fqdn</vt:lpstr>
      <vt:lpstr>sample_mgmt_az1_host15_mgmt_ip</vt:lpstr>
      <vt:lpstr>sample_mgmt_az1_host15_vrms_ip</vt:lpstr>
      <vt:lpstr>sample_mgmt_az1_host16_fqdn</vt:lpstr>
      <vt:lpstr>sample_mgmt_az1_host16_mgmt_ip</vt:lpstr>
      <vt:lpstr>sample_mgmt_az1_host16_vrms_ip</vt:lpstr>
      <vt:lpstr>sample_mgmt_az1_host2_fqdn</vt:lpstr>
      <vt:lpstr>sample_mgmt_az1_host2_mgmt_ip</vt:lpstr>
      <vt:lpstr>sample_mgmt_az1_host2_vrms_ip</vt:lpstr>
      <vt:lpstr>sample_mgmt_az1_host3_fqdn</vt:lpstr>
      <vt:lpstr>sample_mgmt_az1_host3_mgmt_ip</vt:lpstr>
      <vt:lpstr>sample_mgmt_az1_host3_vrms_ip</vt:lpstr>
      <vt:lpstr>sample_mgmt_az1_host4_fqdn</vt:lpstr>
      <vt:lpstr>sample_mgmt_az1_host4_mgmt_ip</vt:lpstr>
      <vt:lpstr>sample_mgmt_az1_host4_vrms_ip</vt:lpstr>
      <vt:lpstr>sample_mgmt_az1_host5_fqdn</vt:lpstr>
      <vt:lpstr>sample_mgmt_az1_host5_mgmt_ip</vt:lpstr>
      <vt:lpstr>sample_mgmt_az1_host5_vrms_ip</vt:lpstr>
      <vt:lpstr>sample_mgmt_az1_host6_fqdn</vt:lpstr>
      <vt:lpstr>sample_mgmt_az1_host6_mgmt_ip</vt:lpstr>
      <vt:lpstr>sample_mgmt_az1_host6_vrms_ip</vt:lpstr>
      <vt:lpstr>sample_mgmt_az1_host7_fqdn</vt:lpstr>
      <vt:lpstr>sample_mgmt_az1_host7_mgmt_ip</vt:lpstr>
      <vt:lpstr>sample_mgmt_az1_host7_vrms_ip</vt:lpstr>
      <vt:lpstr>sample_mgmt_az1_host8_fqdn</vt:lpstr>
      <vt:lpstr>sample_mgmt_az1_host8_mgmt_ip</vt:lpstr>
      <vt:lpstr>sample_mgmt_az1_host8_vrms_ip</vt:lpstr>
      <vt:lpstr>sample_mgmt_az1_host9_fqdn</vt:lpstr>
      <vt:lpstr>sample_mgmt_az1_host9_mgmt_ip</vt:lpstr>
      <vt:lpstr>sample_mgmt_az1_host9_vrms_ip</vt:lpstr>
      <vt:lpstr>sample_mgmt_az1_mgmt_gateway_cidr</vt:lpstr>
      <vt:lpstr>sample_mgmt_az1_mgmt_mtu</vt:lpstr>
      <vt:lpstr>sample_mgmt_az1_mgmt_vlan</vt:lpstr>
      <vt:lpstr>sample_mgmt_az1_mgmt_vm_gateway_cidr</vt:lpstr>
      <vt:lpstr>sample_mgmt_az1_mgmt_vm_mtu</vt:lpstr>
      <vt:lpstr>sample_mgmt_az1_mgmt_vm_prefix</vt:lpstr>
      <vt:lpstr>sample_mgmt_az1_mgmt_vm_vlan</vt:lpstr>
      <vt:lpstr>sample_mgmt_az1_rtep_ip_pool_name</vt:lpstr>
      <vt:lpstr>sample_mgmt_az1_rtep_overlay_cidr</vt:lpstr>
      <vt:lpstr>sample_mgmt_az1_rtep_overlay_gateway_ip</vt:lpstr>
      <vt:lpstr>sample_mgmt_az1_rtep_overlay_vlan</vt:lpstr>
      <vt:lpstr>sample_mgmt_az1_secondary_storage_gateway_cidr</vt:lpstr>
      <vt:lpstr>sample_mgmt_az1_secondary_storage_mtu</vt:lpstr>
      <vt:lpstr>sample_mgmt_az1_secondary_storage_pool_end_ip</vt:lpstr>
      <vt:lpstr>sample_mgmt_az1_secondary_storage_pool_start_ip</vt:lpstr>
      <vt:lpstr>sample_mgmt_az1_secondary_storage_vlan</vt:lpstr>
      <vt:lpstr>sample_mgmt_az1_tor1_peer_asn</vt:lpstr>
      <vt:lpstr>sample_mgmt_az1_tor1_peer_bgp_password</vt:lpstr>
      <vt:lpstr>sample_mgmt_az1_tor1_peer_ip</vt:lpstr>
      <vt:lpstr>sample_mgmt_az1_tor2_peer_asn</vt:lpstr>
      <vt:lpstr>sample_mgmt_az1_tor2_peer_bgp_password</vt:lpstr>
      <vt:lpstr>sample_mgmt_az1_tor2_peer_ip</vt:lpstr>
      <vt:lpstr>sample_mgmt_az1_uplink01_cidr</vt:lpstr>
      <vt:lpstr>sample_mgmt_az1_uplink01_gateway_ip</vt:lpstr>
      <vt:lpstr>sample_mgmt_az1_uplink01_mtu</vt:lpstr>
      <vt:lpstr>sample_mgmt_az1_uplink01_vlan</vt:lpstr>
      <vt:lpstr>sample_mgmt_az1_uplink02_cidr</vt:lpstr>
      <vt:lpstr>sample_mgmt_az1_uplink02_gateway_ip</vt:lpstr>
      <vt:lpstr>sample_mgmt_az1_uplink02_mtu</vt:lpstr>
      <vt:lpstr>sample_mgmt_az1_uplink02_vlan</vt:lpstr>
      <vt:lpstr>sample_mgmt_az1_vcf_mgmt_gateway_cidr</vt:lpstr>
      <vt:lpstr>sample_mgmt_az1_vcf_mgmt_gateway_ipv6_cidr</vt:lpstr>
      <vt:lpstr>sample_mgmt_az1_vcf_mgmt_mtu</vt:lpstr>
      <vt:lpstr>sample_mgmt_az1_vcf_mgmt_vlan</vt:lpstr>
      <vt:lpstr>sample_mgmt_az1_vmotion_gateway_cidr</vt:lpstr>
      <vt:lpstr>sample_mgmt_az1_vmotion_mtu</vt:lpstr>
      <vt:lpstr>sample_mgmt_az1_vmotion_pool_end_ip</vt:lpstr>
      <vt:lpstr>sample_mgmt_az1_vmotion_pool_start_ip</vt:lpstr>
      <vt:lpstr>sample_mgmt_az1_vmotion_vlan</vt:lpstr>
      <vt:lpstr>sample_mgmt_az1_vrms_cidr</vt:lpstr>
      <vt:lpstr>sample_mgmt_az1_vrms_gateway_ip</vt:lpstr>
      <vt:lpstr>sample_mgmt_az1_vrms_mask</vt:lpstr>
      <vt:lpstr>sample_mgmt_az1_vrms_mtu</vt:lpstr>
      <vt:lpstr>sample_mgmt_az1_vrms_vlan</vt:lpstr>
      <vt:lpstr>sample_mgmt_az1_vsan_gateway_cidr</vt:lpstr>
      <vt:lpstr>sample_mgmt_az1_vsan_mtu</vt:lpstr>
      <vt:lpstr>sample_mgmt_az1_vsan_pool_end_ip</vt:lpstr>
      <vt:lpstr>sample_mgmt_az1_vsan_pool_start_ip</vt:lpstr>
      <vt:lpstr>sample_mgmt_az1_vsan_vlan</vt:lpstr>
      <vt:lpstr>sample_mgmt_az2_host_hostnames</vt:lpstr>
      <vt:lpstr>sample_mgmt_az2_host_overlay_cidr</vt:lpstr>
      <vt:lpstr>sample_mgmt_az2_host_overlay_gateway_ip</vt:lpstr>
      <vt:lpstr>sample_mgmt_az2_host_overlay_mtu</vt:lpstr>
      <vt:lpstr>sample_mgmt_az2_host_overlay_network_pool_name</vt:lpstr>
      <vt:lpstr>sample_mgmt_az2_host_overlay_network_profile_name</vt:lpstr>
      <vt:lpstr>sample_mgmt_az2_host_overlay_pool_end_ip</vt:lpstr>
      <vt:lpstr>sample_mgmt_az2_host_overlay_pool_start_ip</vt:lpstr>
      <vt:lpstr>sample_mgmt_az2_host_overlay_uplink_profile_name</vt:lpstr>
      <vt:lpstr>sample_mgmt_az2_host_overlay_vlan</vt:lpstr>
      <vt:lpstr>sample_mgmt_az2_host1_fqdn</vt:lpstr>
      <vt:lpstr>sample_mgmt_az2_host1_mgmt_ip</vt:lpstr>
      <vt:lpstr>sample_mgmt_az2_host1_sddc_id</vt:lpstr>
      <vt:lpstr>sample_mgmt_az2_host1_vrms_ip</vt:lpstr>
      <vt:lpstr>sample_mgmt_az2_host10_fqdn</vt:lpstr>
      <vt:lpstr>sample_mgmt_az2_host10_mgmt_ip</vt:lpstr>
      <vt:lpstr>sample_mgmt_az2_host10_vrms_ip</vt:lpstr>
      <vt:lpstr>sample_mgmt_az2_host11_fqdn</vt:lpstr>
      <vt:lpstr>sample_mgmt_az2_host11_mgmt_ip</vt:lpstr>
      <vt:lpstr>sample_mgmt_az2_host11_vrms_ip</vt:lpstr>
      <vt:lpstr>sample_mgmt_az2_host12_fqdn</vt:lpstr>
      <vt:lpstr>sample_mgmt_az2_host12_mgmt_ip</vt:lpstr>
      <vt:lpstr>sample_mgmt_az2_host12_vrms_ip</vt:lpstr>
      <vt:lpstr>sample_mgmt_az2_host13_fqdn</vt:lpstr>
      <vt:lpstr>sample_mgmt_az2_host13_mgmt_ip</vt:lpstr>
      <vt:lpstr>sample_mgmt_az2_host13_vrms_ip</vt:lpstr>
      <vt:lpstr>sample_mgmt_az2_host14_fqdn</vt:lpstr>
      <vt:lpstr>sample_mgmt_az2_host14_mgmt_ip</vt:lpstr>
      <vt:lpstr>sample_mgmt_az2_host14_vrms_ip</vt:lpstr>
      <vt:lpstr>sample_mgmt_az2_host15_fqdn</vt:lpstr>
      <vt:lpstr>sample_mgmt_az2_host15_mgmt_ip</vt:lpstr>
      <vt:lpstr>sample_mgmt_az2_host15_vrms_ip</vt:lpstr>
      <vt:lpstr>sample_mgmt_az2_host16_fqdn</vt:lpstr>
      <vt:lpstr>sample_mgmt_az2_host16_mgmt_ip</vt:lpstr>
      <vt:lpstr>sample_mgmt_az2_host16_vrms_ip</vt:lpstr>
      <vt:lpstr>sample_mgmt_az2_host2_fqdn</vt:lpstr>
      <vt:lpstr>sample_mgmt_az2_host2_mgmt_ip</vt:lpstr>
      <vt:lpstr>sample_mgmt_az2_host2_sddc_id</vt:lpstr>
      <vt:lpstr>sample_mgmt_az2_host2_vrms_ip</vt:lpstr>
      <vt:lpstr>sample_mgmt_az2_host3_fqdn</vt:lpstr>
      <vt:lpstr>sample_mgmt_az2_host3_mgmt_ip</vt:lpstr>
      <vt:lpstr>sample_mgmt_az2_host3_sddc_id</vt:lpstr>
      <vt:lpstr>sample_mgmt_az2_host3_vrms_ip</vt:lpstr>
      <vt:lpstr>sample_mgmt_az2_host4_fqdn</vt:lpstr>
      <vt:lpstr>sample_mgmt_az2_host4_mgmt_ip</vt:lpstr>
      <vt:lpstr>sample_mgmt_az2_host4_sddc_id</vt:lpstr>
      <vt:lpstr>sample_mgmt_az2_host4_vrms_ip</vt:lpstr>
      <vt:lpstr>sample_mgmt_az2_host5_fqdn</vt:lpstr>
      <vt:lpstr>sample_mgmt_az2_host5_mgmt_ip</vt:lpstr>
      <vt:lpstr>sample_mgmt_az2_host5_vrms_ip</vt:lpstr>
      <vt:lpstr>sample_mgmt_az2_host6_fqdn</vt:lpstr>
      <vt:lpstr>sample_mgmt_az2_host6_mgmt_ip</vt:lpstr>
      <vt:lpstr>sample_mgmt_az2_host6_vrms_ip</vt:lpstr>
      <vt:lpstr>sample_mgmt_az2_host7_fqdn</vt:lpstr>
      <vt:lpstr>sample_mgmt_az2_host7_mgmt_ip</vt:lpstr>
      <vt:lpstr>sample_mgmt_az2_host7_vrms_ip</vt:lpstr>
      <vt:lpstr>sample_mgmt_az2_host8_fqdn</vt:lpstr>
      <vt:lpstr>sample_mgmt_az2_host8_mgmt_ip</vt:lpstr>
      <vt:lpstr>sample_mgmt_az2_host8_vrms_ip</vt:lpstr>
      <vt:lpstr>sample_mgmt_az2_host9_fqdn</vt:lpstr>
      <vt:lpstr>sample_mgmt_az2_host9_mgmt_ip</vt:lpstr>
      <vt:lpstr>sample_mgmt_az2_host9_vrms_ip</vt:lpstr>
      <vt:lpstr>sample_mgmt_az2_mgmt_cidr</vt:lpstr>
      <vt:lpstr>sample_mgmt_az2_mgmt_gateway_ip</vt:lpstr>
      <vt:lpstr>sample_mgmt_az2_mgmt_mtu</vt:lpstr>
      <vt:lpstr>sample_mgmt_az2_mgmt_vlan</vt:lpstr>
      <vt:lpstr>sample_mgmt_az2_pool_name</vt:lpstr>
      <vt:lpstr>sample_mgmt_az2_secondary_storage_cidr</vt:lpstr>
      <vt:lpstr>sample_mgmt_az2_secondary_storage_gateway_ip</vt:lpstr>
      <vt:lpstr>sample_mgmt_az2_secondary_storage_mask</vt:lpstr>
      <vt:lpstr>sample_mgmt_az2_secondary_storage_mtu</vt:lpstr>
      <vt:lpstr>sample_mgmt_az2_secondary_storage_network</vt:lpstr>
      <vt:lpstr>sample_mgmt_az2_secondary_storage_pool_end_ip</vt:lpstr>
      <vt:lpstr>sample_mgmt_az2_secondary_storage_pool_start_ip</vt:lpstr>
      <vt:lpstr>sample_mgmt_az2_secondary_storage_vlan</vt:lpstr>
      <vt:lpstr>sample_mgmt_az2_tor1_peer_asn</vt:lpstr>
      <vt:lpstr>sample_mgmt_az2_tor1_peer_bgp_password</vt:lpstr>
      <vt:lpstr>sample_mgmt_az2_tor1_peer_ip</vt:lpstr>
      <vt:lpstr>sample_mgmt_az2_tor2_peer_asn</vt:lpstr>
      <vt:lpstr>sample_mgmt_az2_tor2_peer_bgp_password</vt:lpstr>
      <vt:lpstr>sample_mgmt_az2_tor2_peer_ip</vt:lpstr>
      <vt:lpstr>sample_mgmt_az2_vmotion_gateway_cidr</vt:lpstr>
      <vt:lpstr>sample_mgmt_az2_vmotion_ip</vt:lpstr>
      <vt:lpstr>sample_mgmt_az2_vmotion_mask</vt:lpstr>
      <vt:lpstr>sample_mgmt_az2_vmotion_mtu</vt:lpstr>
      <vt:lpstr>sample_mgmt_az2_vmotion_network</vt:lpstr>
      <vt:lpstr>sample_mgmt_az2_vmotion_pool_end_ip</vt:lpstr>
      <vt:lpstr>sample_mgmt_az2_vmotion_pool_start_ip</vt:lpstr>
      <vt:lpstr>sample_mgmt_az2_vmotion_vlan</vt:lpstr>
      <vt:lpstr>sample_mgmt_az2_vsan_cidr</vt:lpstr>
      <vt:lpstr>sample_mgmt_az2_vsan_gateway_ip</vt:lpstr>
      <vt:lpstr>sample_mgmt_az2_vsan_mask</vt:lpstr>
      <vt:lpstr>sample_mgmt_az2_vsan_mtu</vt:lpstr>
      <vt:lpstr>sample_mgmt_az2_vsan_network</vt:lpstr>
      <vt:lpstr>sample_mgmt_az2_vsan_pool_end_ip</vt:lpstr>
      <vt:lpstr>sample_mgmt_az2_vsan_pool_start_ip</vt:lpstr>
      <vt:lpstr>sample_mgmt_az2_vsan_vlan</vt:lpstr>
      <vt:lpstr>sample_mgmt_cl01_az1_mgmt_pg</vt:lpstr>
      <vt:lpstr>sample_mgmt_cl01_az1_mgmt_vm_pg</vt:lpstr>
      <vt:lpstr>sample_mgmt_cl01_az1_nfs_pg</vt:lpstr>
      <vt:lpstr>sample_mgmt_cl01_az1_uplink01_pg</vt:lpstr>
      <vt:lpstr>sample_mgmt_cl01_az1_uplink02_pg</vt:lpstr>
      <vt:lpstr>sample_mgmt_cl01_az1_vcf_mgmt_pg</vt:lpstr>
      <vt:lpstr>sample_mgmt_cl01_az1_vmotion_pg</vt:lpstr>
      <vt:lpstr>sample_mgmt_cl01_az1_vsan_pg</vt:lpstr>
      <vt:lpstr>sample_mgmt_cl01_cluster</vt:lpstr>
      <vt:lpstr>sample_mgmt_cl01_cluster_sddc_id</vt:lpstr>
      <vt:lpstr>sample_mgmt_cl01_nfs_server_ip</vt:lpstr>
      <vt:lpstr>sample_mgmt_cl01_nfs_share</vt:lpstr>
      <vt:lpstr>sample_mgmt_cl01_vds01_lag_name</vt:lpstr>
      <vt:lpstr>sample_mgmt_cl01_vds01_mtu</vt:lpstr>
      <vt:lpstr>sample_mgmt_cl01_vds01_name</vt:lpstr>
      <vt:lpstr>sample_mgmt_cl01_vds01_uplink_count</vt:lpstr>
      <vt:lpstr>sample_mgmt_cl01_vds01_uplink1</vt:lpstr>
      <vt:lpstr>sample_mgmt_cl01_vds01_uplink2</vt:lpstr>
      <vt:lpstr>sample_mgmt_cl01_vds02_lag_name</vt:lpstr>
      <vt:lpstr>sample_mgmt_cl01_vds02_mtu</vt:lpstr>
      <vt:lpstr>sample_mgmt_cl01_vds02_name</vt:lpstr>
      <vt:lpstr>sample_mgmt_cl01_vds02_uplink_count</vt:lpstr>
      <vt:lpstr>sample_mgmt_cl01_vds02_uplink1</vt:lpstr>
      <vt:lpstr>sample_mgmt_cl01_vds02_uplink2</vt:lpstr>
      <vt:lpstr>sample_mgmt_cl01_vds03_lag_name</vt:lpstr>
      <vt:lpstr>sample_mgmt_cl01_vds03_mtu</vt:lpstr>
      <vt:lpstr>sample_mgmt_cl01_vds03_name</vt:lpstr>
      <vt:lpstr>sample_mgmt_cl01_vds03_uplink_count</vt:lpstr>
      <vt:lpstr>sample_mgmt_cl01_vds03_uplink1</vt:lpstr>
      <vt:lpstr>sample_mgmt_cl01_vds03_uplink2</vt:lpstr>
      <vt:lpstr>sample_mgmt_cl01_vsan_datastore</vt:lpstr>
      <vt:lpstr>sample_mgmt_cross_instance_linked_t0_name</vt:lpstr>
      <vt:lpstr>sample_mgmt_datacenter</vt:lpstr>
      <vt:lpstr>sample_mgmt_depot_activation_code</vt:lpstr>
      <vt:lpstr>sample_mgmt_ec_mtu</vt:lpstr>
      <vt:lpstr>sample_mgmt_ec_name</vt:lpstr>
      <vt:lpstr>sample_mgmt_ec_rp_name</vt:lpstr>
      <vt:lpstr>sample_mgmt_ec01_en01_host_group_affinity_rule_name</vt:lpstr>
      <vt:lpstr>sample_mgmt_ec01_en02_host_group_affinity_rule_name</vt:lpstr>
      <vt:lpstr>sample_mgmt_en_asn</vt:lpstr>
      <vt:lpstr>sample_mgmt_existing_active_nsx_gm</vt:lpstr>
      <vt:lpstr>sample_mgmt_existing_cross_instance_t0_name</vt:lpstr>
      <vt:lpstr>sample_mgmt_host_overlay_transportzone</vt:lpstr>
      <vt:lpstr>sample_mgmt_internet_proxy_address</vt:lpstr>
      <vt:lpstr>sample_mgmt_internet_proxy_email</vt:lpstr>
      <vt:lpstr>sample_mgmt_internet_proxy_password</vt:lpstr>
      <vt:lpstr>sample_mgmt_internet_proxy_port</vt:lpstr>
      <vt:lpstr>sample_mgmt_nsxt_en_admin_password</vt:lpstr>
      <vt:lpstr>sample_mgmt_nsxt_en_root_password</vt:lpstr>
      <vt:lpstr>sample_mgmt_nsxt_federation_global_manager_name</vt:lpstr>
      <vt:lpstr>sample_mgmt_nsxt_federation_location_name</vt:lpstr>
      <vt:lpstr>sample_mgmt_nsxt_global_mgr_anti_affinity_rule_name</vt:lpstr>
      <vt:lpstr>sample_mgmt_nsxt_global_mgr_certificate_id</vt:lpstr>
      <vt:lpstr>sample_mgmt_nsxt_global_mgr_cluster_id</vt:lpstr>
      <vt:lpstr>sample_mgmt_nsxt_global_mgr_vmca_signed_thumbprint</vt:lpstr>
      <vt:lpstr>sample_mgmt_nsxt_global_mgra_fqdn</vt:lpstr>
      <vt:lpstr>sample_mgmt_nsxt_global_mgra_hostname</vt:lpstr>
      <vt:lpstr>sample_mgmt_nsxt_global_mgra_ip</vt:lpstr>
      <vt:lpstr>sample_mgmt_nsxt_global_mgrb_fqdn</vt:lpstr>
      <vt:lpstr>sample_mgmt_nsxt_global_mgrb_hostname</vt:lpstr>
      <vt:lpstr>sample_mgmt_nsxt_global_mgrb_ip</vt:lpstr>
      <vt:lpstr>sample_mgmt_nsxt_global_mgrc_fqdn</vt:lpstr>
      <vt:lpstr>sample_mgmt_nsxt_global_mgrc_hostname</vt:lpstr>
      <vt:lpstr>sample_mgmt_nsxt_global_mgrc_ip</vt:lpstr>
      <vt:lpstr>sample_mgmt_nsxt_gm_fingerprint</vt:lpstr>
      <vt:lpstr>sample_mgmt_nsxt_gm_vip_fqdn</vt:lpstr>
      <vt:lpstr>sample_mgmt_nsxt_gm_vip_ip</vt:lpstr>
      <vt:lpstr>sample_mgmt_nsxt_lm_fingerprint</vt:lpstr>
      <vt:lpstr>sample_mgmt_nsxt_mgra_fqdn</vt:lpstr>
      <vt:lpstr>sample_mgmt_nsxt_mgra_ip</vt:lpstr>
      <vt:lpstr>sample_mgmt_nsxt_mgrb_fqdn</vt:lpstr>
      <vt:lpstr>sample_mgmt_nsxt_mgrb_ip</vt:lpstr>
      <vt:lpstr>sample_mgmt_nsxt_mgrc_fqdn</vt:lpstr>
      <vt:lpstr>sample_mgmt_nsxt_mgrc_ip</vt:lpstr>
      <vt:lpstr>sample_mgmt_nsxt_vip_fqdn</vt:lpstr>
      <vt:lpstr>sample_mgmt_nsxt_vip_ip</vt:lpstr>
      <vt:lpstr>sample_mgmt_nsxt_xreg_t1_name</vt:lpstr>
      <vt:lpstr>sample_mgmt_offline_depot_fqdn</vt:lpstr>
      <vt:lpstr>sample_mgmt_offline_depot_port</vt:lpstr>
      <vt:lpstr>sample_mgmt_recovery_lb_creation_method</vt:lpstr>
      <vt:lpstr>sample_mgmt_rtep_overlay_pool_end_ip</vt:lpstr>
      <vt:lpstr>sample_mgmt_rtep_overlay_pool_start_ip</vt:lpstr>
      <vt:lpstr>sample_mgmt_rwr_recovery_site_az1_mgmt_cidr</vt:lpstr>
      <vt:lpstr>sample_mgmt_rwr_vc_fqdn</vt:lpstr>
      <vt:lpstr>sample_mgmt_sddc_domain</vt:lpstr>
      <vt:lpstr>sample_mgmt_srm_admin_email</vt:lpstr>
      <vt:lpstr>sample_mgmt_srm_admin_password</vt:lpstr>
      <vt:lpstr>sample_mgmt_srm_database_password</vt:lpstr>
      <vt:lpstr>sample_mgmt_srm_days</vt:lpstr>
      <vt:lpstr>sample_mgmt_srm_instances_per_day</vt:lpstr>
      <vt:lpstr>sample_mgmt_srm_ip</vt:lpstr>
      <vt:lpstr>sample_mgmt_srm_logs_pg</vt:lpstr>
      <vt:lpstr>sample_mgmt_srm_logs_rp</vt:lpstr>
      <vt:lpstr>sample_mgmt_srm_net_pg</vt:lpstr>
      <vt:lpstr>sample_mgmt_srm_net_rp</vt:lpstr>
      <vt:lpstr>sample_mgmt_srm_p12_password</vt:lpstr>
      <vt:lpstr>sample_mgmt_srm_recovery_cluster</vt:lpstr>
      <vt:lpstr>sample_mgmt_srm_recovery_datastore</vt:lpstr>
      <vt:lpstr>sample_mgmt_srm_recovery_gateway</vt:lpstr>
      <vt:lpstr>sample_mgmt_srm_recovery_mask</vt:lpstr>
      <vt:lpstr>sample_mgmt_srm_recovery_nsx_ec_name</vt:lpstr>
      <vt:lpstr>sample_mgmt_srm_recovery_nsx_location</vt:lpstr>
      <vt:lpstr>sample_mgmt_srm_recovery_pg</vt:lpstr>
      <vt:lpstr>sample_mgmt_srm_recovery_sddc_manager_domain</vt:lpstr>
      <vt:lpstr>sample_mgmt_srm_recovery_sddc_manager_fqdn</vt:lpstr>
      <vt:lpstr>sample_mgmt_srm_recovery_sddc_manager_password</vt:lpstr>
      <vt:lpstr>sample_mgmt_srm_recovery_sddc_manager_username</vt:lpstr>
      <vt:lpstr>sample_mgmt_srm_recovery_t1_si_ip</vt:lpstr>
      <vt:lpstr>sample_mgmt_srm_recovery_vcenter_fqdn</vt:lpstr>
      <vt:lpstr>sample_mgmt_srm_recovery_vcenter_password</vt:lpstr>
      <vt:lpstr>sample_mgmt_srm_recovery_vcenter_username</vt:lpstr>
      <vt:lpstr>sample_mgmt_srm_root_password</vt:lpstr>
      <vt:lpstr>sample_mgmt_srm_rpo</vt:lpstr>
      <vt:lpstr>sample_mgmt_srm_site_name</vt:lpstr>
      <vt:lpstr>sample_mgmt_srm_sso_domain_membership</vt:lpstr>
      <vt:lpstr>sample_mgmt_srm_vm_folder</vt:lpstr>
      <vt:lpstr>sample_mgmt_srm_vra_pg</vt:lpstr>
      <vt:lpstr>sample_mgmt_srm_vra_rp</vt:lpstr>
      <vt:lpstr>sample_mgmt_srm_vrops_pg</vt:lpstr>
      <vt:lpstr>sample_mgmt_srm_vrops_rp</vt:lpstr>
      <vt:lpstr>sample_mgmt_srm_vrslcm_wsa_pg</vt:lpstr>
      <vt:lpstr>sample_mgmt_srm_vrslcm_wsa_rp</vt:lpstr>
      <vt:lpstr>sample_mgmt_sso_domain</vt:lpstr>
      <vt:lpstr>sample_mgmt_sso_domain_username</vt:lpstr>
      <vt:lpstr>sample_mgmt_supvr_api_server_fqdn</vt:lpstr>
      <vt:lpstr>sample_mgmt_supvr_cp_storage_policy</vt:lpstr>
      <vt:lpstr>sample_mgmt_supvr_ed_storage_policy</vt:lpstr>
      <vt:lpstr>sample_mgmt_supvr_ic_storage_policy</vt:lpstr>
      <vt:lpstr>sample_mgmt_supvr_ip_address_range</vt:lpstr>
      <vt:lpstr>sample_mgmt_supvr_mgmt_dns_server</vt:lpstr>
      <vt:lpstr>sample_mgmt_supvr_mgmt_dns_zones</vt:lpstr>
      <vt:lpstr>sample_mgmt_supvr_mgmt_ntp_server</vt:lpstr>
      <vt:lpstr>sample_mgmt_supvr_name</vt:lpstr>
      <vt:lpstr>sample_mgmt_supvr_nsx_project</vt:lpstr>
      <vt:lpstr>sample_mgmt_supvr_vpc_connectivity_profile</vt:lpstr>
      <vt:lpstr>sample_mgmt_supvr_vpc_ext_ip_blocks_name</vt:lpstr>
      <vt:lpstr>sample_mgmt_supvr_vpc_priv_cidr</vt:lpstr>
      <vt:lpstr>sample_mgmt_supvr_vpc_priv_ip_blocks_name</vt:lpstr>
      <vt:lpstr>sample_mgmt_supvr_vpc_service_cidr</vt:lpstr>
      <vt:lpstr>sample_mgmt_supvr_wld_dns_server</vt:lpstr>
      <vt:lpstr>sample_mgmt_supvr_wld_ntp_server</vt:lpstr>
      <vt:lpstr>sample_mgmt_supvr_zone_name</vt:lpstr>
      <vt:lpstr>sample_mgmt_tier0_name</vt:lpstr>
      <vt:lpstr>sample_mgmt_vc_fqdn</vt:lpstr>
      <vt:lpstr>sample_mgmt_vc_ip</vt:lpstr>
      <vt:lpstr>sample_mgmt_vna_rp_name</vt:lpstr>
      <vt:lpstr>sample_mgmt_vnaa_cidr</vt:lpstr>
      <vt:lpstr>sample_mgmt_vnaa_fqdn</vt:lpstr>
      <vt:lpstr>sample_mgmt_vnab_cidr</vt:lpstr>
      <vt:lpstr>sample_mgmt_vnab_fqdn</vt:lpstr>
      <vt:lpstr>sample_mgmt_vpc_ext_ip_blocks_cidr</vt:lpstr>
      <vt:lpstr>sample_mgmt_vpc_ext_ip_blocks_excluded_ips</vt:lpstr>
      <vt:lpstr>sample_mgmt_vpc_ext_ip_blocks_name</vt:lpstr>
      <vt:lpstr>sample_mgmt_vpc_ext_ip_blocks_reserved</vt:lpstr>
      <vt:lpstr>sample_mgmt_vpc_ext_ip_blocks_visability</vt:lpstr>
      <vt:lpstr>sample_mgmt_vpc_priv_ip_blocks_excluded_ips</vt:lpstr>
      <vt:lpstr>sample_mgmt_vpc_priv_ip_blocks_name</vt:lpstr>
      <vt:lpstr>sample_mgmt_vpc_priv_ip_blocks_reserved</vt:lpstr>
      <vt:lpstr>sample_mgmt_vpc_priv_ip_blocks_visability</vt:lpstr>
      <vt:lpstr>sample_mgmt_vpc_transit_gateway_ip_blocks_cidr</vt:lpstr>
      <vt:lpstr>sample_mgmt_vpc_vna_cluster_name</vt:lpstr>
      <vt:lpstr>sample_mgmt_vrms_admin_email</vt:lpstr>
      <vt:lpstr>sample_mgmt_vrms_admin_password</vt:lpstr>
      <vt:lpstr>sample_mgmt_vrms_hostname</vt:lpstr>
      <vt:lpstr>sample_mgmt_vrms_mgmt_ip</vt:lpstr>
      <vt:lpstr>sample_mgmt_vrms_p12_password</vt:lpstr>
      <vt:lpstr>sample_mgmt_vrms_pg</vt:lpstr>
      <vt:lpstr>sample_mgmt_vrms_recovery_replication_cidr</vt:lpstr>
      <vt:lpstr>sample_mgmt_vrms_root_password</vt:lpstr>
      <vt:lpstr>sample_mgmt_vrms_site_name</vt:lpstr>
      <vt:lpstr>sample_mgmt_vrms_vm_folder</vt:lpstr>
      <vt:lpstr>sample_mgmt_vrms_vrms_ip</vt:lpstr>
      <vt:lpstr>sample_mgmt_vsan_dit_rekey_custom_interval</vt:lpstr>
      <vt:lpstr>sample_mgmt_vsan_dit_rekey_default_interval</vt:lpstr>
      <vt:lpstr>sample_mgmt_witness_cluster</vt:lpstr>
      <vt:lpstr>sample_mgmt_witness_dns1_ip</vt:lpstr>
      <vt:lpstr>sample_mgmt_witness_dns2_ip</vt:lpstr>
      <vt:lpstr>sample_mgmt_witness_fqdn</vt:lpstr>
      <vt:lpstr>sample_mgmt_witness_hostname</vt:lpstr>
      <vt:lpstr>sample_mgmt_witness_ip</vt:lpstr>
      <vt:lpstr>sample_mgmt_witness_mgmt_pg</vt:lpstr>
      <vt:lpstr>sample_mgmt_witness_ntp1_server</vt:lpstr>
      <vt:lpstr>sample_mgmt_witness_ntp2_server</vt:lpstr>
      <vt:lpstr>sample_mgmt_witness_root_password</vt:lpstr>
      <vt:lpstr>sample_mgmt_witness_vm_folder</vt:lpstr>
      <vt:lpstr>sample_mgmt_witness_vsan_datastore</vt:lpstr>
      <vt:lpstr>sample_mgmt_witness_zone_vc_fqdn</vt:lpstr>
      <vt:lpstr>sample_mgmt_witness_zone_vc_ip</vt:lpstr>
      <vt:lpstr>sample_mgmt_witnessaz_mgmt_cidr</vt:lpstr>
      <vt:lpstr>sample_mgmt_witnessaz_mgmt_gateway_ip</vt:lpstr>
      <vt:lpstr>sample_mgmt_witnessaz_mgmt_mtu</vt:lpstr>
      <vt:lpstr>sample_mgmt_witnessaz_mgmt_vlan</vt:lpstr>
      <vt:lpstr>sample_nsxt_gm_admin_password</vt:lpstr>
      <vt:lpstr>sample_nsxt_gm_audit_password</vt:lpstr>
      <vt:lpstr>sample_nsxt_gm_root_password</vt:lpstr>
      <vt:lpstr>sample_nsxt_lm_admin_password</vt:lpstr>
      <vt:lpstr>sample_nsxt_lm_audit_password</vt:lpstr>
      <vt:lpstr>sample_nsxt_lm_root_password</vt:lpstr>
      <vt:lpstr>sample_parent_dns_zone</vt:lpstr>
      <vt:lpstr>sample_region_ad_child_fqdn</vt:lpstr>
      <vt:lpstr>sample_region_ad_parent_fqdn</vt:lpstr>
      <vt:lpstr>sample_region_dns1_ip</vt:lpstr>
      <vt:lpstr>sample_region_dns2_ip</vt:lpstr>
      <vt:lpstr>sample_region_ntp1_server</vt:lpstr>
      <vt:lpstr>sample_region_ntp2_server</vt:lpstr>
      <vt:lpstr>sample_rwr_cert_country_code</vt:lpstr>
      <vt:lpstr>sample_rwr_cert_file</vt:lpstr>
      <vt:lpstr>sample_rwr_cert_locality</vt:lpstr>
      <vt:lpstr>sample_rwr_cert_organisation</vt:lpstr>
      <vt:lpstr>sample_rwr_cert_ou</vt:lpstr>
      <vt:lpstr>sample_rwr_cert_state</vt:lpstr>
      <vt:lpstr>sample_rwr_child_dns_zone</vt:lpstr>
      <vt:lpstr>sample_rwr_datacenter</vt:lpstr>
      <vt:lpstr>sample_rwr_sso_domain_name</vt:lpstr>
      <vt:lpstr>sample_rwr_vlr_replication_password</vt:lpstr>
      <vt:lpstr>sample_rwr_vrms_pg</vt:lpstr>
      <vt:lpstr>sample_sddc_mgr_admin_local_password</vt:lpstr>
      <vt:lpstr>sample_sddc_mgr_fqdn</vt:lpstr>
      <vt:lpstr>sample_sddc_mgr_ip</vt:lpstr>
      <vt:lpstr>sample_sddc_mgr_root_password</vt:lpstr>
      <vt:lpstr>sample_sddc_mgr_vcf_password</vt:lpstr>
      <vt:lpstr>sample_sftp_server</vt:lpstr>
      <vt:lpstr>sample_sftp_server_backup_dir</vt:lpstr>
      <vt:lpstr>sample_sftp_server_passphrase</vt:lpstr>
      <vt:lpstr>sample_sftp_server_port</vt:lpstr>
      <vt:lpstr>sample_sftp_server_protocol</vt:lpstr>
      <vt:lpstr>sample_sftp_server_sshfingerprint</vt:lpstr>
      <vt:lpstr>sample_smtp_server</vt:lpstr>
      <vt:lpstr>sample_smtp_server_port</vt:lpstr>
      <vt:lpstr>sample_svc_my_vmware_password</vt:lpstr>
      <vt:lpstr>sample_svc_vcf_bck_password</vt:lpstr>
      <vt:lpstr>sample_svc_vcf_bck_user</vt:lpstr>
      <vt:lpstr>sample_svc_vcf_ca_vcf_password</vt:lpstr>
      <vt:lpstr>sample_svc_vcf_ca_vcf_user</vt:lpstr>
      <vt:lpstr>sample_vcenter_root_password</vt:lpstr>
      <vt:lpstr>sample_vcf_automation_additional_vips</vt:lpstr>
      <vt:lpstr>sample_vcf_automation_admin_password</vt:lpstr>
      <vt:lpstr>sample_vcf_automation_admin_password_alias</vt:lpstr>
      <vt:lpstr>sample_vcf_automation_admin_password_description</vt:lpstr>
      <vt:lpstr>sample_vcf_automation_admin_username</vt:lpstr>
      <vt:lpstr>sample_vcf_automation_cert_alias</vt:lpstr>
      <vt:lpstr>sample_vcf_automation_cert_common_name</vt:lpstr>
      <vt:lpstr>sample_vcf_automation_cert_country_code</vt:lpstr>
      <vt:lpstr>sample_vcf_automation_cert_file</vt:lpstr>
      <vt:lpstr>sample_vcf_automation_cert_locality</vt:lpstr>
      <vt:lpstr>sample_vcf_automation_cert_organisation</vt:lpstr>
      <vt:lpstr>sample_vcf_automation_cert_state</vt:lpstr>
      <vt:lpstr>sample_vcf_automation_dpg</vt:lpstr>
      <vt:lpstr>sample_vcf_automation_folder</vt:lpstr>
      <vt:lpstr>sample_vcf_automation_gateway_cidr</vt:lpstr>
      <vt:lpstr>sample_vcf_automation_gateway_ip</vt:lpstr>
      <vt:lpstr>sample_vcf_automation_mask</vt:lpstr>
      <vt:lpstr>sample_vcf_automation_nodea_ip</vt:lpstr>
      <vt:lpstr>sample_vcf_automation_nodeb_ip</vt:lpstr>
      <vt:lpstr>sample_vcf_automation_nodec_ip</vt:lpstr>
      <vt:lpstr>sample_vcf_automation_noded_ip</vt:lpstr>
      <vt:lpstr>sample_vcf_automation_nodee_ip</vt:lpstr>
      <vt:lpstr>sample_vcf_automation_nodeef_ip</vt:lpstr>
      <vt:lpstr>sample_vcf_automation_ou_cert</vt:lpstr>
      <vt:lpstr>sample_vcf_automation_portgroup</vt:lpstr>
      <vt:lpstr>sample_vcf_automation_resource_pool</vt:lpstr>
      <vt:lpstr>sample_vcf_automation_root_password</vt:lpstr>
      <vt:lpstr>sample_vcf_automation_root_password_alias</vt:lpstr>
      <vt:lpstr>sample_vcf_automation_root_password_description</vt:lpstr>
      <vt:lpstr>sample_vcf_automation_root_username</vt:lpstr>
      <vt:lpstr>sample_vcf_automation_runtime_cidr</vt:lpstr>
      <vt:lpstr>sample_vcf_automation_runtime_ips</vt:lpstr>
      <vt:lpstr>sample_vcf_automation_sr_fqdn</vt:lpstr>
      <vt:lpstr>sample_vcf_automation_sr_ip</vt:lpstr>
      <vt:lpstr>sample_vcf_automation_version</vt:lpstr>
      <vt:lpstr>sample_vcf_automation_vip_fqdn</vt:lpstr>
      <vt:lpstr>sample_vcf_automation_vip_ip</vt:lpstr>
      <vt:lpstr>sample_vcf_installer_fqdn</vt:lpstr>
      <vt:lpstr>sample_vcf_installer_ip</vt:lpstr>
      <vt:lpstr>sample_vcf_instance_name</vt:lpstr>
      <vt:lpstr>sample_vcfms_system_password</vt:lpstr>
      <vt:lpstr>sample_vrslcm_xreg_vm_folder</vt:lpstr>
      <vt:lpstr>sample_vvs_dr_dns1_ip</vt:lpstr>
      <vt:lpstr>sample_vvs_dr_dns2_ip</vt:lpstr>
      <vt:lpstr>sample_vvs_dr_flt_auto_fqdn</vt:lpstr>
      <vt:lpstr>sample_vvs_dr_flt_fleet_manager_fqdn</vt:lpstr>
      <vt:lpstr>sample_vvs_dr_flt_fleet_manager_hostname</vt:lpstr>
      <vt:lpstr>sample_vvs_dr_flt_logs_nodea_fqdn</vt:lpstr>
      <vt:lpstr>sample_vvs_dr_flt_logs_nodeb_fqdn</vt:lpstr>
      <vt:lpstr>sample_vvs_dr_flt_logs_nodec_fqdn</vt:lpstr>
      <vt:lpstr>sample_vvs_dr_flt_net_nodea_fqdn</vt:lpstr>
      <vt:lpstr>sample_vvs_dr_flt_net_nodeb_fqdn</vt:lpstr>
      <vt:lpstr>sample_vvs_dr_flt_net_nodec_fqdn</vt:lpstr>
      <vt:lpstr>sample_vvs_dr_flt_ops_nodea_fqdn</vt:lpstr>
      <vt:lpstr>sample_vvs_dr_flt_ops_nodea_hostname</vt:lpstr>
      <vt:lpstr>sample_vvs_dr_flt_ops_nodeb_fqdn</vt:lpstr>
      <vt:lpstr>sample_vvs_dr_flt_ops_nodeb_hostname</vt:lpstr>
      <vt:lpstr>sample_vvs_dr_flt_ops_nodec_fqdn</vt:lpstr>
      <vt:lpstr>sample_vvs_dr_flt_ops_nodec_hostname</vt:lpstr>
      <vt:lpstr>sample_vvs_dr_mgmt_az1_mgmt_vm_pg</vt:lpstr>
      <vt:lpstr>sample_vvs_dr_mgmt_cl01_cluster</vt:lpstr>
      <vt:lpstr>sample_vvs_dr_mgmt_cl01_datastore</vt:lpstr>
      <vt:lpstr>sample_vvs_dr_mgmt_vc_fqdn</vt:lpstr>
      <vt:lpstr>sample_vvs_dr_ntp1_server</vt:lpstr>
      <vt:lpstr>sample_vvs_dr_parent_dns_zone</vt:lpstr>
      <vt:lpstr>sample_vvs_dr_sso_domain</vt:lpstr>
      <vt:lpstr>sample_vvs_dr_vr_password</vt:lpstr>
      <vt:lpstr>sample_vvs_dr_vr_username</vt:lpstr>
      <vt:lpstr>sample_vvs_mgmt_dr_vlr_fqdn</vt:lpstr>
      <vt:lpstr>sample_vvs_mgmt_dr_vlr_hostname</vt:lpstr>
      <vt:lpstr>sample_witness_dns_zone</vt:lpstr>
      <vt:lpstr>sample_wld_administrator_vsphere_local_password</vt:lpstr>
      <vt:lpstr>sample_wld_avilb_cluster_name</vt:lpstr>
      <vt:lpstr>sample_wld_avilb_cluster_version</vt:lpstr>
      <vt:lpstr>sample_wld_avilb_fqdn</vt:lpstr>
      <vt:lpstr>sample_wld_avilb_ip</vt:lpstr>
      <vt:lpstr>sample_wld_avilb_mgra_ip</vt:lpstr>
      <vt:lpstr>sample_wld_avilb_mgrb_ip</vt:lpstr>
      <vt:lpstr>sample_wld_avilb_mgrc_ip</vt:lpstr>
      <vt:lpstr>sample_wld_avilb_root_password</vt:lpstr>
      <vt:lpstr>sample_wld_avilb_vcfops_password</vt:lpstr>
      <vt:lpstr>sample_wld_az1_dtgw_gateway_cidr</vt:lpstr>
      <vt:lpstr>sample_wld_az1_dtgw_vlan</vt:lpstr>
      <vt:lpstr>sample_wld_az1_edge_overlay_cidr</vt:lpstr>
      <vt:lpstr>sample_wld_az1_edge_overlay_gateway_ip</vt:lpstr>
      <vt:lpstr>sample_wld_az1_edge_overlay_mask</vt:lpstr>
      <vt:lpstr>sample_wld_az1_edge_overlay_network_pool_name</vt:lpstr>
      <vt:lpstr>sample_wld_az1_edge_overlay_pool_end_ip</vt:lpstr>
      <vt:lpstr>sample_wld_az1_edge_overlay_pool_start_ip</vt:lpstr>
      <vt:lpstr>sample_wld_az1_edge_overlay_vlan</vt:lpstr>
      <vt:lpstr>sample_wld_az1_en1_edge_overlay_interface_ip_1_ip</vt:lpstr>
      <vt:lpstr>sample_wld_az1_en1_edge_overlay_interface_ip_2_ip</vt:lpstr>
      <vt:lpstr>sample_wld_az1_en1_eth0_uplink0</vt:lpstr>
      <vt:lpstr>sample_wld_az1_en1_eth0_uplink1</vt:lpstr>
      <vt:lpstr>sample_wld_az1_en1_eth1_uplink0</vt:lpstr>
      <vt:lpstr>sample_wld_az1_en1_eth1_uplink1</vt:lpstr>
      <vt:lpstr>sample_wld_az1_en1_fqdn</vt:lpstr>
      <vt:lpstr>sample_wld_az1_en1_hostname</vt:lpstr>
      <vt:lpstr>sample_wld_az1_en1_mgmt_cidr</vt:lpstr>
      <vt:lpstr>sample_wld_az1_en1_uplink01_interface_cidr</vt:lpstr>
      <vt:lpstr>sample_wld_az1_en1_uplink02_interface_cidr</vt:lpstr>
      <vt:lpstr>sample_wld_az1_en2_edge_overlay_interface_ip_1_ip</vt:lpstr>
      <vt:lpstr>sample_wld_az1_en2_edge_overlay_interface_ip_2_ip</vt:lpstr>
      <vt:lpstr>sample_wld_az1_en2_eth0_uplink0</vt:lpstr>
      <vt:lpstr>sample_wld_az1_en2_eth0_uplink1</vt:lpstr>
      <vt:lpstr>sample_wld_az1_en2_eth1_uplink0</vt:lpstr>
      <vt:lpstr>sample_wld_az1_en2_eth1_uplink1</vt:lpstr>
      <vt:lpstr>sample_wld_az1_en2_fqdn</vt:lpstr>
      <vt:lpstr>sample_wld_az1_en2_hostname</vt:lpstr>
      <vt:lpstr>sample_wld_az1_en2_mgmt_cidr</vt:lpstr>
      <vt:lpstr>sample_wld_az1_en2_uplink01_interface_cidr</vt:lpstr>
      <vt:lpstr>sample_wld_az1_en2_uplink02_interface_cidr</vt:lpstr>
      <vt:lpstr>sample_wld_az1_host_fqdns</vt:lpstr>
      <vt:lpstr>sample_wld_az1_host_mgmt_ips</vt:lpstr>
      <vt:lpstr>sample_wld_az1_host_overlay_cidr</vt:lpstr>
      <vt:lpstr>sample_wld_az1_host_overlay_gateway_ip</vt:lpstr>
      <vt:lpstr>sample_wld_az1_host_overlay_mtu</vt:lpstr>
      <vt:lpstr>sample_wld_az1_host_overlay_network_pool_description</vt:lpstr>
      <vt:lpstr>sample_wld_az1_host_overlay_network_pool_name</vt:lpstr>
      <vt:lpstr>sample_wld_az1_host_overlay_pool_end_ip</vt:lpstr>
      <vt:lpstr>sample_wld_az1_host_overlay_pool_start_ip</vt:lpstr>
      <vt:lpstr>sample_wld_az1_host_overlay_uplink_profile_name</vt:lpstr>
      <vt:lpstr>sample_wld_az1_host_overlay_vlan</vt:lpstr>
      <vt:lpstr>sample_wld_az1_host1_fqdn</vt:lpstr>
      <vt:lpstr>sample_wld_az1_host1_mgmt_ip</vt:lpstr>
      <vt:lpstr>sample_wld_az1_host1_vrms_ip</vt:lpstr>
      <vt:lpstr>sample_wld_az1_host10_fqdn</vt:lpstr>
      <vt:lpstr>sample_wld_az1_host10_mgmt_ip</vt:lpstr>
      <vt:lpstr>sample_wld_az1_host10_vrms_ip</vt:lpstr>
      <vt:lpstr>sample_wld_az1_host11_fqdn</vt:lpstr>
      <vt:lpstr>sample_wld_az1_host11_mgmt_ip</vt:lpstr>
      <vt:lpstr>sample_wld_az1_host11_vrms_ip</vt:lpstr>
      <vt:lpstr>sample_wld_az1_host12_fqdn</vt:lpstr>
      <vt:lpstr>sample_wld_az1_host12_mgmt_ip</vt:lpstr>
      <vt:lpstr>sample_wld_az1_host12_vrms_ip</vt:lpstr>
      <vt:lpstr>sample_wld_az1_host13_fqdn</vt:lpstr>
      <vt:lpstr>sample_wld_az1_host13_mgmt_ip</vt:lpstr>
      <vt:lpstr>sample_wld_az1_host13_vrms_ip</vt:lpstr>
      <vt:lpstr>sample_wld_az1_host14_fqdn</vt:lpstr>
      <vt:lpstr>sample_wld_az1_host14_mgmt_ip</vt:lpstr>
      <vt:lpstr>sample_wld_az1_host14_vrms_ip</vt:lpstr>
      <vt:lpstr>sample_wld_az1_host15_fqdn</vt:lpstr>
      <vt:lpstr>sample_wld_az1_host15_mgmt_ip</vt:lpstr>
      <vt:lpstr>sample_wld_az1_host15_vrms_ip</vt:lpstr>
      <vt:lpstr>sample_wld_az1_host16_fqdn</vt:lpstr>
      <vt:lpstr>sample_wld_az1_host16_mgmt_ip</vt:lpstr>
      <vt:lpstr>sample_wld_az1_host16_vrms_ip</vt:lpstr>
      <vt:lpstr>sample_wld_az1_host2_fqdn</vt:lpstr>
      <vt:lpstr>sample_wld_az1_host2_mgmt_ip</vt:lpstr>
      <vt:lpstr>sample_wld_az1_host2_vrms_ip</vt:lpstr>
      <vt:lpstr>sample_wld_az1_host3_fqdn</vt:lpstr>
      <vt:lpstr>sample_wld_az1_host3_mgmt_ip</vt:lpstr>
      <vt:lpstr>sample_wld_az1_host3_vrms_ip</vt:lpstr>
      <vt:lpstr>sample_wld_az1_host4_fqdn</vt:lpstr>
      <vt:lpstr>sample_wld_az1_host4_mgmt_ip</vt:lpstr>
      <vt:lpstr>sample_wld_az1_host4_vrms_ip</vt:lpstr>
      <vt:lpstr>sample_wld_az1_host5_fqdn</vt:lpstr>
      <vt:lpstr>sample_wld_az1_host5_mgmt_ip</vt:lpstr>
      <vt:lpstr>sample_wld_az1_host5_vrms_ip</vt:lpstr>
      <vt:lpstr>sample_wld_az1_host6_fqdn</vt:lpstr>
      <vt:lpstr>sample_wld_az1_host6_mgmt_ip</vt:lpstr>
      <vt:lpstr>sample_wld_az1_host6_vrms_ip</vt:lpstr>
      <vt:lpstr>sample_wld_az1_host7_fqdn</vt:lpstr>
      <vt:lpstr>sample_wld_az1_host7_mgmt_ip</vt:lpstr>
      <vt:lpstr>sample_wld_az1_host7_vrms_ip</vt:lpstr>
      <vt:lpstr>sample_wld_az1_host8_fqdn</vt:lpstr>
      <vt:lpstr>sample_wld_az1_host8_mgmt_ip</vt:lpstr>
      <vt:lpstr>sample_wld_az1_host8_vrms_ip</vt:lpstr>
      <vt:lpstr>sample_wld_az1_host9_fqdn</vt:lpstr>
      <vt:lpstr>sample_wld_az1_host9_mgmt_ip</vt:lpstr>
      <vt:lpstr>sample_wld_az1_host9_vrms_ip</vt:lpstr>
      <vt:lpstr>sample_wld_az1_mgmt_gateway_cidr</vt:lpstr>
      <vt:lpstr>sample_wld_az1_mgmt_mtu</vt:lpstr>
      <vt:lpstr>sample_wld_az1_mgmt_vlan</vt:lpstr>
      <vt:lpstr>sample_wld_az1_mgmt_vm_gateway_cidr</vt:lpstr>
      <vt:lpstr>sample_wld_az1_mgmt_vm_mtu</vt:lpstr>
      <vt:lpstr>sample_wld_az1_mgmt_vm_vlan</vt:lpstr>
      <vt:lpstr>sample_wld_az1_pool_name</vt:lpstr>
      <vt:lpstr>sample_wld_az1_principal_storage_gateway_cidr</vt:lpstr>
      <vt:lpstr>sample_wld_az1_principal_storage_mtu</vt:lpstr>
      <vt:lpstr>sample_wld_az1_principal_storage_pool_end_ip</vt:lpstr>
      <vt:lpstr>sample_wld_az1_principal_storage_pool_start_ip</vt:lpstr>
      <vt:lpstr>sample_wld_az1_principal_storage_vlan</vt:lpstr>
      <vt:lpstr>sample_wld_az1_rack1_host_overlay_network_profile_name</vt:lpstr>
      <vt:lpstr>sample_wld_az1_rack2_edge_overlay_gateway_ip</vt:lpstr>
      <vt:lpstr>sample_wld_az1_rack2_edge_overlay_mask</vt:lpstr>
      <vt:lpstr>sample_wld_az1_rack2_edge_overlay_mtu</vt:lpstr>
      <vt:lpstr>sample_wld_az1_rack2_edge_overlay_network</vt:lpstr>
      <vt:lpstr>sample_wld_az1_rack2_edge_overlay_network_pool_name</vt:lpstr>
      <vt:lpstr>sample_wld_az1_rack2_edge_overlay_pool_end_ip</vt:lpstr>
      <vt:lpstr>sample_wld_az1_rack2_edge_overlay_pool_start_ip</vt:lpstr>
      <vt:lpstr>sample_wld_az1_rack2_edge_overlay_vlan</vt:lpstr>
      <vt:lpstr>sample_wld_az1_rack2_host_hostnames</vt:lpstr>
      <vt:lpstr>sample_wld_az1_rack2_host_mgmt_ips</vt:lpstr>
      <vt:lpstr>sample_wld_az1_rack2_host_overlay_cidr</vt:lpstr>
      <vt:lpstr>sample_wld_az1_rack2_host_overlay_gateway_ip</vt:lpstr>
      <vt:lpstr>sample_wld_az1_rack2_host_overlay_mask</vt:lpstr>
      <vt:lpstr>sample_wld_az1_rack2_host_overlay_mtu</vt:lpstr>
      <vt:lpstr>sample_wld_az1_rack2_host_overlay_network</vt:lpstr>
      <vt:lpstr>sample_wld_az1_rack2_host_overlay_network_pool_name</vt:lpstr>
      <vt:lpstr>sample_wld_az1_rack2_host_overlay_network_profile_name</vt:lpstr>
      <vt:lpstr>sample_wld_az1_rack2_host_overlay_pool_end_ip</vt:lpstr>
      <vt:lpstr>sample_wld_az1_rack2_host_overlay_pool_start_ip</vt:lpstr>
      <vt:lpstr>sample_wld_az1_rack2_host_overlay_uplink_profile_name</vt:lpstr>
      <vt:lpstr>sample_wld_az1_rack2_host_overlay_vlan</vt:lpstr>
      <vt:lpstr>sample_wld_az1_rack2_host1_fqdn</vt:lpstr>
      <vt:lpstr>sample_wld_az1_rack2_host1_mgmt_ip</vt:lpstr>
      <vt:lpstr>sample_wld_az1_rack2_host10_fqdn</vt:lpstr>
      <vt:lpstr>sample_wld_az1_rack2_host10_mgmt_ip</vt:lpstr>
      <vt:lpstr>sample_wld_az1_rack2_host11_fqdn</vt:lpstr>
      <vt:lpstr>sample_wld_az1_rack2_host11_mgmt_ip</vt:lpstr>
      <vt:lpstr>sample_wld_az1_rack2_host12_fqdn</vt:lpstr>
      <vt:lpstr>sample_wld_az1_rack2_host12_mgmt_ip</vt:lpstr>
      <vt:lpstr>sample_wld_az1_rack2_host13_fqdn</vt:lpstr>
      <vt:lpstr>sample_wld_az1_rack2_host13_mgmt_ip</vt:lpstr>
      <vt:lpstr>sample_wld_az1_rack2_host14_fqdn</vt:lpstr>
      <vt:lpstr>sample_wld_az1_rack2_host14_mgmt_ip</vt:lpstr>
      <vt:lpstr>sample_wld_az1_rack2_host15_fqdn</vt:lpstr>
      <vt:lpstr>sample_wld_az1_rack2_host15_mgmt_ip</vt:lpstr>
      <vt:lpstr>sample_wld_az1_rack2_host16_fqdn</vt:lpstr>
      <vt:lpstr>sample_wld_az1_rack2_host16_mgmt_ip</vt:lpstr>
      <vt:lpstr>sample_wld_az1_rack2_host2_fqdn</vt:lpstr>
      <vt:lpstr>sample_wld_az1_rack2_host2_mgmt_ip</vt:lpstr>
      <vt:lpstr>sample_wld_az1_rack2_host3_fqdn</vt:lpstr>
      <vt:lpstr>sample_wld_az1_rack2_host3_mgmt_ip</vt:lpstr>
      <vt:lpstr>sample_wld_az1_rack2_host4_fqdn</vt:lpstr>
      <vt:lpstr>sample_wld_az1_rack2_host4_mgmt_ip</vt:lpstr>
      <vt:lpstr>sample_wld_az1_rack2_host5_fqdn</vt:lpstr>
      <vt:lpstr>sample_wld_az1_rack2_host5_mgmt_ip</vt:lpstr>
      <vt:lpstr>sample_wld_az1_rack2_host6_fqdn</vt:lpstr>
      <vt:lpstr>sample_wld_az1_rack2_host6_mgmt_ip</vt:lpstr>
      <vt:lpstr>sample_wld_az1_rack2_host7_fqdn</vt:lpstr>
      <vt:lpstr>sample_wld_az1_rack2_host7_mgmt_ip</vt:lpstr>
      <vt:lpstr>sample_wld_az1_rack2_host8_fqdn</vt:lpstr>
      <vt:lpstr>sample_wld_az1_rack2_host8_mgmt_ip</vt:lpstr>
      <vt:lpstr>sample_wld_az1_rack2_host9_fqdn</vt:lpstr>
      <vt:lpstr>sample_wld_az1_rack2_host9_mgmt_ip</vt:lpstr>
      <vt:lpstr>sample_wld_az1_rack2_mgmt_cidr</vt:lpstr>
      <vt:lpstr>sample_wld_az1_rack2_mgmt_gateway_ip</vt:lpstr>
      <vt:lpstr>sample_wld_az1_rack2_mgmt_mtu</vt:lpstr>
      <vt:lpstr>sample_wld_az1_rack2_mgmt_vlan</vt:lpstr>
      <vt:lpstr>sample_wld_az1_rack2_mgmt_vm_cidr</vt:lpstr>
      <vt:lpstr>sample_wld_az1_rack2_mgmt_vm_gateway_ip</vt:lpstr>
      <vt:lpstr>sample_wld_az1_rack2_mgmt_vm_mtu</vt:lpstr>
      <vt:lpstr>sample_wld_az1_rack2_mgmt_vm_vlan</vt:lpstr>
      <vt:lpstr>sample_wld_az1_rack2_pool_name</vt:lpstr>
      <vt:lpstr>sample_wld_az1_rack2_principal_storage_cidr</vt:lpstr>
      <vt:lpstr>sample_wld_az1_rack2_principal_storage_gateway_ip</vt:lpstr>
      <vt:lpstr>sample_wld_az1_rack2_principal_storage_mask</vt:lpstr>
      <vt:lpstr>sample_wld_az1_rack2_principal_storage_mtu</vt:lpstr>
      <vt:lpstr>sample_wld_az1_rack2_principal_storage_network</vt:lpstr>
      <vt:lpstr>sample_wld_az1_rack2_principal_storage_pool_end_ip</vt:lpstr>
      <vt:lpstr>sample_wld_az1_rack2_principal_storage_pool_start_ip</vt:lpstr>
      <vt:lpstr>sample_wld_az1_rack2_principal_storage_vlan</vt:lpstr>
      <vt:lpstr>sample_wld_az1_rack2_rtep_ip_pool_name</vt:lpstr>
      <vt:lpstr>sample_wld_az1_rack2_secondary_storage_cidr</vt:lpstr>
      <vt:lpstr>sample_wld_az1_rack2_secondary_storage_gateway_ip</vt:lpstr>
      <vt:lpstr>sample_wld_az1_rack2_secondary_storage_mask</vt:lpstr>
      <vt:lpstr>sample_wld_az1_rack2_secondary_storage_mtu</vt:lpstr>
      <vt:lpstr>sample_wld_az1_rack2_secondary_storage_network</vt:lpstr>
      <vt:lpstr>sample_wld_az1_rack2_secondary_storage_pool_end_ip</vt:lpstr>
      <vt:lpstr>sample_wld_az1_rack2_secondary_storage_pool_start_ip</vt:lpstr>
      <vt:lpstr>sample_wld_az1_rack2_secondary_storage_vlan</vt:lpstr>
      <vt:lpstr>sample_wld_az1_rack2_tor1_peer_asn</vt:lpstr>
      <vt:lpstr>sample_wld_az1_rack2_tor1_peer_bgp_password</vt:lpstr>
      <vt:lpstr>sample_wld_az1_rack2_tor1_peer_ip</vt:lpstr>
      <vt:lpstr>sample_wld_az1_rack2_tor2_peer_asn</vt:lpstr>
      <vt:lpstr>sample_wld_az1_rack2_tor2_peer_bgp_password</vt:lpstr>
      <vt:lpstr>sample_wld_az1_rack2_tor2_peer_ip</vt:lpstr>
      <vt:lpstr>sample_wld_az1_rack2_uplink01_gateway_ip</vt:lpstr>
      <vt:lpstr>sample_wld_az1_rack2_uplink01_mask</vt:lpstr>
      <vt:lpstr>sample_wld_az1_rack2_uplink01_mtu</vt:lpstr>
      <vt:lpstr>sample_wld_az1_rack2_uplink01_network</vt:lpstr>
      <vt:lpstr>sample_wld_az1_rack2_uplink01_vlan</vt:lpstr>
      <vt:lpstr>sample_wld_az1_rack2_uplink02_gateway_ip</vt:lpstr>
      <vt:lpstr>sample_wld_az1_rack2_uplink02_mask</vt:lpstr>
      <vt:lpstr>sample_wld_az1_rack2_uplink02_mtu</vt:lpstr>
      <vt:lpstr>sample_wld_az1_rack2_uplink02_network</vt:lpstr>
      <vt:lpstr>sample_wld_az1_rack2_uplink02_vlan</vt:lpstr>
      <vt:lpstr>sample_wld_az1_rack2_vmotion_cidr</vt:lpstr>
      <vt:lpstr>sample_wld_az1_rack2_vmotion_gateway_ip</vt:lpstr>
      <vt:lpstr>sample_wld_az1_rack2_vmotion_mask</vt:lpstr>
      <vt:lpstr>sample_wld_az1_rack2_vmotion_mtu</vt:lpstr>
      <vt:lpstr>sample_wld_az1_rack2_vmotion_network</vt:lpstr>
      <vt:lpstr>sample_wld_az1_rack2_vmotion_pool_end_ip</vt:lpstr>
      <vt:lpstr>sample_wld_az1_rack2_vmotion_pool_start_ip</vt:lpstr>
      <vt:lpstr>sample_wld_az1_rack2_vmotion_vlan</vt:lpstr>
      <vt:lpstr>sample_wld_az1_rack2_vsan_fault_domain</vt:lpstr>
      <vt:lpstr>sample_wld_az1_rack3_edge_overlay_gateway_ip</vt:lpstr>
      <vt:lpstr>sample_wld_az1_rack3_edge_overlay_mask</vt:lpstr>
      <vt:lpstr>sample_wld_az1_rack3_edge_overlay_mtu</vt:lpstr>
      <vt:lpstr>sample_wld_az1_rack3_edge_overlay_network</vt:lpstr>
      <vt:lpstr>sample_wld_az1_rack3_edge_overlay_network_pool_name</vt:lpstr>
      <vt:lpstr>sample_wld_az1_rack3_edge_overlay_pool_end_ip</vt:lpstr>
      <vt:lpstr>sample_wld_az1_rack3_edge_overlay_pool_start_ip</vt:lpstr>
      <vt:lpstr>sample_wld_az1_rack3_edge_overlay_vlan</vt:lpstr>
      <vt:lpstr>sample_wld_az1_rack3_host_hostnames</vt:lpstr>
      <vt:lpstr>sample_wld_az1_rack3_host_mgmt_ips</vt:lpstr>
      <vt:lpstr>sample_wld_az1_rack3_host_overlay_cidr</vt:lpstr>
      <vt:lpstr>sample_wld_az1_rack3_host_overlay_gateway_ip</vt:lpstr>
      <vt:lpstr>sample_wld_az1_rack3_host_overlay_mask</vt:lpstr>
      <vt:lpstr>sample_wld_az1_rack3_host_overlay_mtu</vt:lpstr>
      <vt:lpstr>sample_wld_az1_rack3_host_overlay_network</vt:lpstr>
      <vt:lpstr>sample_wld_az1_rack3_host_overlay_network_pool_name</vt:lpstr>
      <vt:lpstr>sample_wld_az1_rack3_host_overlay_network_profile_name</vt:lpstr>
      <vt:lpstr>sample_wld_az1_rack3_host_overlay_pool_end_ip</vt:lpstr>
      <vt:lpstr>sample_wld_az1_rack3_host_overlay_pool_start_ip</vt:lpstr>
      <vt:lpstr>sample_wld_az1_rack3_host_overlay_uplink_profile_name</vt:lpstr>
      <vt:lpstr>sample_wld_az1_rack3_host_overlay_vlan</vt:lpstr>
      <vt:lpstr>sample_wld_az1_rack3_host1_fqdn</vt:lpstr>
      <vt:lpstr>sample_wld_az1_rack3_host1_mgmt_ip</vt:lpstr>
      <vt:lpstr>sample_wld_az1_rack3_host10_fqdn</vt:lpstr>
      <vt:lpstr>sample_wld_az1_rack3_host10_mgmt_ip</vt:lpstr>
      <vt:lpstr>sample_wld_az1_rack3_host11_fqdn</vt:lpstr>
      <vt:lpstr>sample_wld_az1_rack3_host11_mgmt_ip</vt:lpstr>
      <vt:lpstr>sample_wld_az1_rack3_host12_fqdn</vt:lpstr>
      <vt:lpstr>sample_wld_az1_rack3_host12_mgmt_ip</vt:lpstr>
      <vt:lpstr>sample_wld_az1_rack3_host13_fqdn</vt:lpstr>
      <vt:lpstr>sample_wld_az1_rack3_host13_mgmt_ip</vt:lpstr>
      <vt:lpstr>sample_wld_az1_rack3_host14_fqdn</vt:lpstr>
      <vt:lpstr>sample_wld_az1_rack3_host14_mgmt_ip</vt:lpstr>
      <vt:lpstr>sample_wld_az1_rack3_host15_fqdn</vt:lpstr>
      <vt:lpstr>sample_wld_az1_rack3_host15_mgmt_ip</vt:lpstr>
      <vt:lpstr>sample_wld_az1_rack3_host16_fqdn</vt:lpstr>
      <vt:lpstr>sample_wld_az1_rack3_host16_mgmt_ip</vt:lpstr>
      <vt:lpstr>sample_wld_az1_rack3_host2_fqdn</vt:lpstr>
      <vt:lpstr>sample_wld_az1_rack3_host2_mgmt_ip</vt:lpstr>
      <vt:lpstr>sample_wld_az1_rack3_host3_fqdn</vt:lpstr>
      <vt:lpstr>sample_wld_az1_rack3_host3_mgmt_ip</vt:lpstr>
      <vt:lpstr>sample_wld_az1_rack3_host4_fqdn</vt:lpstr>
      <vt:lpstr>sample_wld_az1_rack3_host4_mgmt_ip</vt:lpstr>
      <vt:lpstr>sample_wld_az1_rack3_host5_fqdn</vt:lpstr>
      <vt:lpstr>sample_wld_az1_rack3_host5_mgmt_ip</vt:lpstr>
      <vt:lpstr>sample_wld_az1_rack3_host6_fqdn</vt:lpstr>
      <vt:lpstr>sample_wld_az1_rack3_host6_mgmt_ip</vt:lpstr>
      <vt:lpstr>sample_wld_az1_rack3_host7_fqdn</vt:lpstr>
      <vt:lpstr>sample_wld_az1_rack3_host7_mgmt_ip</vt:lpstr>
      <vt:lpstr>sample_wld_az1_rack3_host8_fqdn</vt:lpstr>
      <vt:lpstr>sample_wld_az1_rack3_host8_mgmt_ip</vt:lpstr>
      <vt:lpstr>sample_wld_az1_rack3_host9_fqdn</vt:lpstr>
      <vt:lpstr>sample_wld_az1_rack3_host9_mgmt_ip</vt:lpstr>
      <vt:lpstr>sample_wld_az1_rack3_mgmt_cidr</vt:lpstr>
      <vt:lpstr>sample_wld_az1_rack3_mgmt_gateway_ip</vt:lpstr>
      <vt:lpstr>sample_wld_az1_rack3_mgmt_mtu</vt:lpstr>
      <vt:lpstr>sample_wld_az1_rack3_mgmt_vlan</vt:lpstr>
      <vt:lpstr>sample_wld_az1_rack3_mgmt_vm_cidr</vt:lpstr>
      <vt:lpstr>sample_wld_az1_rack3_mgmt_vm_gateway_ip</vt:lpstr>
      <vt:lpstr>sample_wld_az1_rack3_mgmt_vm_mtu</vt:lpstr>
      <vt:lpstr>sample_wld_az1_rack3_mgmt_vm_vlan</vt:lpstr>
      <vt:lpstr>sample_wld_az1_rack3_pool_name</vt:lpstr>
      <vt:lpstr>sample_wld_az1_rack3_principal_storage_cidr</vt:lpstr>
      <vt:lpstr>sample_wld_az1_rack3_principal_storage_gateway_ip</vt:lpstr>
      <vt:lpstr>sample_wld_az1_rack3_principal_storage_mask</vt:lpstr>
      <vt:lpstr>sample_wld_az1_rack3_principal_storage_mtu</vt:lpstr>
      <vt:lpstr>sample_wld_az1_rack3_principal_storage_network</vt:lpstr>
      <vt:lpstr>sample_wld_az1_rack3_principal_storage_pool_end_ip</vt:lpstr>
      <vt:lpstr>sample_wld_az1_rack3_principal_storage_pool_start_ip</vt:lpstr>
      <vt:lpstr>sample_wld_az1_rack3_principal_storage_vlan</vt:lpstr>
      <vt:lpstr>sample_wld_az1_rack3_rtep_ip_pool_name</vt:lpstr>
      <vt:lpstr>sample_wld_az1_rack3_secondary_storage_cidr</vt:lpstr>
      <vt:lpstr>sample_wld_az1_rack3_secondary_storage_gateway_ip</vt:lpstr>
      <vt:lpstr>sample_wld_az1_rack3_secondary_storage_mask</vt:lpstr>
      <vt:lpstr>sample_wld_az1_rack3_secondary_storage_mtu</vt:lpstr>
      <vt:lpstr>sample_wld_az1_rack3_secondary_storage_network</vt:lpstr>
      <vt:lpstr>sample_wld_az1_rack3_secondary_storage_pool_end_ip</vt:lpstr>
      <vt:lpstr>sample_wld_az1_rack3_secondary_storage_pool_start_ip</vt:lpstr>
      <vt:lpstr>sample_wld_az1_rack3_secondary_storage_vlan</vt:lpstr>
      <vt:lpstr>sample_wld_az1_rack3_tor1_peer_asn</vt:lpstr>
      <vt:lpstr>sample_wld_az1_rack3_tor1_peer_bgp_password</vt:lpstr>
      <vt:lpstr>sample_wld_az1_rack3_tor1_peer_ip</vt:lpstr>
      <vt:lpstr>sample_wld_az1_rack3_tor2_peer_asn</vt:lpstr>
      <vt:lpstr>sample_wld_az1_rack3_tor2_peer_bgp_password</vt:lpstr>
      <vt:lpstr>sample_wld_az1_rack3_tor2_peer_ip</vt:lpstr>
      <vt:lpstr>sample_wld_az1_rack3_uplink01_gateway_ip</vt:lpstr>
      <vt:lpstr>sample_wld_az1_rack3_uplink01_mask</vt:lpstr>
      <vt:lpstr>sample_wld_az1_rack3_uplink01_mtu</vt:lpstr>
      <vt:lpstr>sample_wld_az1_rack3_uplink01_network</vt:lpstr>
      <vt:lpstr>sample_wld_az1_rack3_uplink01_vlan</vt:lpstr>
      <vt:lpstr>sample_wld_az1_rack3_uplink02_gateway_ip</vt:lpstr>
      <vt:lpstr>sample_wld_az1_rack3_uplink02_mask</vt:lpstr>
      <vt:lpstr>sample_wld_az1_rack3_uplink02_mtu</vt:lpstr>
      <vt:lpstr>sample_wld_az1_rack3_uplink02_network</vt:lpstr>
      <vt:lpstr>sample_wld_az1_rack3_uplink02_vlan</vt:lpstr>
      <vt:lpstr>sample_wld_az1_rack3_vmotion_cidr</vt:lpstr>
      <vt:lpstr>sample_wld_az1_rack3_vmotion_gateway_ip</vt:lpstr>
      <vt:lpstr>sample_wld_az1_rack3_vmotion_mask</vt:lpstr>
      <vt:lpstr>sample_wld_az1_rack3_vmotion_mtu</vt:lpstr>
      <vt:lpstr>sample_wld_az1_rack3_vmotion_network</vt:lpstr>
      <vt:lpstr>sample_wld_az1_rack3_vmotion_pool_end_ip</vt:lpstr>
      <vt:lpstr>sample_wld_az1_rack3_vmotion_pool_start_ip</vt:lpstr>
      <vt:lpstr>sample_wld_az1_rack3_vmotion_vlan</vt:lpstr>
      <vt:lpstr>sample_wld_az1_rack3_vsan_fault_domain</vt:lpstr>
      <vt:lpstr>sample_wld_az1_rack4_edge_overlay_gateway_ip</vt:lpstr>
      <vt:lpstr>sample_wld_az1_rack4_edge_overlay_mask</vt:lpstr>
      <vt:lpstr>sample_wld_az1_rack4_edge_overlay_mtu</vt:lpstr>
      <vt:lpstr>sample_wld_az1_rack4_edge_overlay_network</vt:lpstr>
      <vt:lpstr>sample_wld_az1_rack4_edge_overlay_network_pool_name</vt:lpstr>
      <vt:lpstr>sample_wld_az1_rack4_edge_overlay_pool_end_ip</vt:lpstr>
      <vt:lpstr>sample_wld_az1_rack4_edge_overlay_pool_start_ip</vt:lpstr>
      <vt:lpstr>sample_wld_az1_rack4_edge_overlay_vlan</vt:lpstr>
      <vt:lpstr>sample_wld_az1_rack4_host_hostnames</vt:lpstr>
      <vt:lpstr>sample_wld_az1_rack4_host_mgmt_ips</vt:lpstr>
      <vt:lpstr>sample_wld_az1_rack4_host_overlay_cidr</vt:lpstr>
      <vt:lpstr>sample_wld_az1_rack4_host_overlay_gateway_ip</vt:lpstr>
      <vt:lpstr>sample_wld_az1_rack4_host_overlay_mask</vt:lpstr>
      <vt:lpstr>sample_wld_az1_rack4_host_overlay_mtu</vt:lpstr>
      <vt:lpstr>sample_wld_az1_rack4_host_overlay_network</vt:lpstr>
      <vt:lpstr>sample_wld_az1_rack4_host_overlay_network_pool_name</vt:lpstr>
      <vt:lpstr>sample_wld_az1_rack4_host_overlay_network_profile_name</vt:lpstr>
      <vt:lpstr>sample_wld_az1_rack4_host_overlay_pool_end_ip</vt:lpstr>
      <vt:lpstr>sample_wld_az1_rack4_host_overlay_pool_start_ip</vt:lpstr>
      <vt:lpstr>sample_wld_az1_rack4_host_overlay_uplink_profile_name</vt:lpstr>
      <vt:lpstr>sample_wld_az1_rack4_host_overlay_vlan</vt:lpstr>
      <vt:lpstr>sample_wld_az1_rack4_host1_fqdn</vt:lpstr>
      <vt:lpstr>sample_wld_az1_rack4_host1_mgmt_ip</vt:lpstr>
      <vt:lpstr>sample_wld_az1_rack4_host10_fqdn</vt:lpstr>
      <vt:lpstr>sample_wld_az1_rack4_host10_mgmt_ip</vt:lpstr>
      <vt:lpstr>sample_wld_az1_rack4_host11_fqdn</vt:lpstr>
      <vt:lpstr>sample_wld_az1_rack4_host11_mgmt_ip</vt:lpstr>
      <vt:lpstr>sample_wld_az1_rack4_host12_fqdn</vt:lpstr>
      <vt:lpstr>sample_wld_az1_rack4_host12_mgmt_ip</vt:lpstr>
      <vt:lpstr>sample_wld_az1_rack4_host13_fqdn</vt:lpstr>
      <vt:lpstr>sample_wld_az1_rack4_host13_mgmt_ip</vt:lpstr>
      <vt:lpstr>sample_wld_az1_rack4_host14_fqdn</vt:lpstr>
      <vt:lpstr>sample_wld_az1_rack4_host14_mgmt_ip</vt:lpstr>
      <vt:lpstr>sample_wld_az1_rack4_host15_fqdn</vt:lpstr>
      <vt:lpstr>sample_wld_az1_rack4_host15_mgmt_ip</vt:lpstr>
      <vt:lpstr>sample_wld_az1_rack4_host16_fqdn</vt:lpstr>
      <vt:lpstr>sample_wld_az1_rack4_host16_mgmt_ip</vt:lpstr>
      <vt:lpstr>sample_wld_az1_rack4_host2_fqdn</vt:lpstr>
      <vt:lpstr>sample_wld_az1_rack4_host2_mgmt_ip</vt:lpstr>
      <vt:lpstr>sample_wld_az1_rack4_host3_fqdn</vt:lpstr>
      <vt:lpstr>sample_wld_az1_rack4_host3_mgmt_ip</vt:lpstr>
      <vt:lpstr>sample_wld_az1_rack4_host4_fqdn</vt:lpstr>
      <vt:lpstr>sample_wld_az1_rack4_host4_mgmt_ip</vt:lpstr>
      <vt:lpstr>sample_wld_az1_rack4_host5_fqdn</vt:lpstr>
      <vt:lpstr>sample_wld_az1_rack4_host5_mgmt_ip</vt:lpstr>
      <vt:lpstr>sample_wld_az1_rack4_host6_fqdn</vt:lpstr>
      <vt:lpstr>sample_wld_az1_rack4_host6_mgmt_ip</vt:lpstr>
      <vt:lpstr>sample_wld_az1_rack4_host7_fqdn</vt:lpstr>
      <vt:lpstr>sample_wld_az1_rack4_host7_mgmt_ip</vt:lpstr>
      <vt:lpstr>sample_wld_az1_rack4_host8_fqdn</vt:lpstr>
      <vt:lpstr>sample_wld_az1_rack4_host8_mgmt_ip</vt:lpstr>
      <vt:lpstr>sample_wld_az1_rack4_host9_fqdn</vt:lpstr>
      <vt:lpstr>sample_wld_az1_rack4_host9_mgmt_ip</vt:lpstr>
      <vt:lpstr>sample_wld_az1_rack4_mgmt_cidr</vt:lpstr>
      <vt:lpstr>sample_wld_az1_rack4_mgmt_gateway_ip</vt:lpstr>
      <vt:lpstr>sample_wld_az1_rack4_mgmt_mtu</vt:lpstr>
      <vt:lpstr>sample_wld_az1_rack4_mgmt_vlan</vt:lpstr>
      <vt:lpstr>sample_wld_az1_rack4_mgmt_vm_cidr</vt:lpstr>
      <vt:lpstr>sample_wld_az1_rack4_mgmt_vm_gateway_ip</vt:lpstr>
      <vt:lpstr>sample_wld_az1_rack4_mgmt_vm_mtu</vt:lpstr>
      <vt:lpstr>sample_wld_az1_rack4_mgmt_vm_vlan</vt:lpstr>
      <vt:lpstr>sample_wld_az1_rack4_pool_name</vt:lpstr>
      <vt:lpstr>sample_wld_az1_rack4_principal_storage_cidr</vt:lpstr>
      <vt:lpstr>sample_wld_az1_rack4_principal_storage_gateway_ip</vt:lpstr>
      <vt:lpstr>sample_wld_az1_rack4_principal_storage_mask</vt:lpstr>
      <vt:lpstr>sample_wld_az1_rack4_principal_storage_mtu</vt:lpstr>
      <vt:lpstr>sample_wld_az1_rack4_principal_storage_network</vt:lpstr>
      <vt:lpstr>sample_wld_az1_rack4_principal_storage_pool_end_ip</vt:lpstr>
      <vt:lpstr>sample_wld_az1_rack4_principal_storage_pool_start_ip</vt:lpstr>
      <vt:lpstr>sample_wld_az1_rack4_principal_storage_vlan</vt:lpstr>
      <vt:lpstr>sample_wld_az1_rack4_rtep_ip_pool_name</vt:lpstr>
      <vt:lpstr>sample_wld_az1_rack4_secondary_storage_cidr</vt:lpstr>
      <vt:lpstr>sample_wld_az1_rack4_secondary_storage_gateway_ip</vt:lpstr>
      <vt:lpstr>sample_wld_az1_rack4_secondary_storage_mask</vt:lpstr>
      <vt:lpstr>sample_wld_az1_rack4_secondary_storage_mtu</vt:lpstr>
      <vt:lpstr>sample_wld_az1_rack4_secondary_storage_network</vt:lpstr>
      <vt:lpstr>sample_wld_az1_rack4_secondary_storage_pool_end_ip</vt:lpstr>
      <vt:lpstr>sample_wld_az1_rack4_secondary_storage_pool_start_ip</vt:lpstr>
      <vt:lpstr>sample_wld_az1_rack4_secondary_storage_vlan</vt:lpstr>
      <vt:lpstr>sample_wld_az1_rack4_tor1_peer_asn</vt:lpstr>
      <vt:lpstr>sample_wld_az1_rack4_tor1_peer_bgp_password</vt:lpstr>
      <vt:lpstr>sample_wld_az1_rack4_tor1_peer_ip</vt:lpstr>
      <vt:lpstr>sample_wld_az1_rack4_tor2_peer_asn</vt:lpstr>
      <vt:lpstr>sample_wld_az1_rack4_tor2_peer_bgp_password</vt:lpstr>
      <vt:lpstr>sample_wld_az1_rack4_tor2_peer_ip</vt:lpstr>
      <vt:lpstr>sample_wld_az1_rack4_uplink01_gateway_ip</vt:lpstr>
      <vt:lpstr>sample_wld_az1_rack4_uplink01_mask</vt:lpstr>
      <vt:lpstr>sample_wld_az1_rack4_uplink01_mtu</vt:lpstr>
      <vt:lpstr>sample_wld_az1_rack4_uplink01_network</vt:lpstr>
      <vt:lpstr>sample_wld_az1_rack4_uplink01_vlan</vt:lpstr>
      <vt:lpstr>sample_wld_az1_rack4_uplink02_gateway_ip</vt:lpstr>
      <vt:lpstr>sample_wld_az1_rack4_uplink02_mask</vt:lpstr>
      <vt:lpstr>sample_wld_az1_rack4_uplink02_mtu</vt:lpstr>
      <vt:lpstr>sample_wld_az1_rack4_uplink02_network</vt:lpstr>
      <vt:lpstr>sample_wld_az1_rack4_uplink02_vlan</vt:lpstr>
      <vt:lpstr>sample_wld_az1_rack4_vmotion_cidr</vt:lpstr>
      <vt:lpstr>sample_wld_az1_rack4_vmotion_gateway_ip</vt:lpstr>
      <vt:lpstr>sample_wld_az1_rack4_vmotion_mask</vt:lpstr>
      <vt:lpstr>sample_wld_az1_rack4_vmotion_mtu</vt:lpstr>
      <vt:lpstr>sample_wld_az1_rack4_vmotion_network</vt:lpstr>
      <vt:lpstr>sample_wld_az1_rack4_vmotion_pool_end_ip</vt:lpstr>
      <vt:lpstr>sample_wld_az1_rack4_vmotion_pool_start_ip</vt:lpstr>
      <vt:lpstr>sample_wld_az1_rack4_vmotion_vlan</vt:lpstr>
      <vt:lpstr>sample_wld_az1_rack4_vsan_fault_domain</vt:lpstr>
      <vt:lpstr>sample_wld_az1_rack5_edge_overlay_gateway_ip</vt:lpstr>
      <vt:lpstr>sample_wld_az1_rack5_edge_overlay_mask</vt:lpstr>
      <vt:lpstr>sample_wld_az1_rack5_edge_overlay_mtu</vt:lpstr>
      <vt:lpstr>sample_wld_az1_rack5_edge_overlay_network</vt:lpstr>
      <vt:lpstr>sample_wld_az1_rack5_edge_overlay_network_pool_name</vt:lpstr>
      <vt:lpstr>sample_wld_az1_rack5_edge_overlay_pool_end_ip</vt:lpstr>
      <vt:lpstr>sample_wld_az1_rack5_edge_overlay_pool_start_ip</vt:lpstr>
      <vt:lpstr>sample_wld_az1_rack5_edge_overlay_vlan</vt:lpstr>
      <vt:lpstr>sample_wld_az1_rack5_host_hostnames</vt:lpstr>
      <vt:lpstr>sample_wld_az1_rack5_host_mgmt_ips</vt:lpstr>
      <vt:lpstr>sample_wld_az1_rack5_host_overlay_cidr</vt:lpstr>
      <vt:lpstr>sample_wld_az1_rack5_host_overlay_gateway_ip</vt:lpstr>
      <vt:lpstr>sample_wld_az1_rack5_host_overlay_mask</vt:lpstr>
      <vt:lpstr>sample_wld_az1_rack5_host_overlay_mtu</vt:lpstr>
      <vt:lpstr>sample_wld_az1_rack5_host_overlay_network</vt:lpstr>
      <vt:lpstr>sample_wld_az1_rack5_host_overlay_network_pool_name</vt:lpstr>
      <vt:lpstr>sample_wld_az1_rack5_host_overlay_network_profile_name</vt:lpstr>
      <vt:lpstr>sample_wld_az1_rack5_host_overlay_pool_end_ip</vt:lpstr>
      <vt:lpstr>sample_wld_az1_rack5_host_overlay_pool_start_ip</vt:lpstr>
      <vt:lpstr>sample_wld_az1_rack5_host_overlay_uplink_profile_name</vt:lpstr>
      <vt:lpstr>sample_wld_az1_rack5_host_overlay_vlan</vt:lpstr>
      <vt:lpstr>sample_wld_az1_rack5_host1_fqdn</vt:lpstr>
      <vt:lpstr>sample_wld_az1_rack5_host1_mgmt_ip</vt:lpstr>
      <vt:lpstr>sample_wld_az1_rack5_host10_fqdn</vt:lpstr>
      <vt:lpstr>sample_wld_az1_rack5_host10_mgmt_ip</vt:lpstr>
      <vt:lpstr>sample_wld_az1_rack5_host11_fqdn</vt:lpstr>
      <vt:lpstr>sample_wld_az1_rack5_host11_mgmt_ip</vt:lpstr>
      <vt:lpstr>sample_wld_az1_rack5_host12_fqdn</vt:lpstr>
      <vt:lpstr>sample_wld_az1_rack5_host12_mgmt_ip</vt:lpstr>
      <vt:lpstr>sample_wld_az1_rack5_host13_fqdn</vt:lpstr>
      <vt:lpstr>sample_wld_az1_rack5_host13_mgmt_ip</vt:lpstr>
      <vt:lpstr>sample_wld_az1_rack5_host14_fqdn</vt:lpstr>
      <vt:lpstr>sample_wld_az1_rack5_host14_mgmt_ip</vt:lpstr>
      <vt:lpstr>sample_wld_az1_rack5_host15_fqdn</vt:lpstr>
      <vt:lpstr>sample_wld_az1_rack5_host15_mgmt_ip</vt:lpstr>
      <vt:lpstr>sample_wld_az1_rack5_host16_fqdn</vt:lpstr>
      <vt:lpstr>sample_wld_az1_rack5_host16_mgmt_ip</vt:lpstr>
      <vt:lpstr>sample_wld_az1_rack5_host2_fqdn</vt:lpstr>
      <vt:lpstr>sample_wld_az1_rack5_host2_mgmt_ip</vt:lpstr>
      <vt:lpstr>sample_wld_az1_rack5_host3_fqdn</vt:lpstr>
      <vt:lpstr>sample_wld_az1_rack5_host3_mgmt_ip</vt:lpstr>
      <vt:lpstr>sample_wld_az1_rack5_host4_fqdn</vt:lpstr>
      <vt:lpstr>sample_wld_az1_rack5_host4_mgmt_ip</vt:lpstr>
      <vt:lpstr>sample_wld_az1_rack5_host5_fqdn</vt:lpstr>
      <vt:lpstr>sample_wld_az1_rack5_host5_mgmt_ip</vt:lpstr>
      <vt:lpstr>sample_wld_az1_rack5_host6_fqdn</vt:lpstr>
      <vt:lpstr>sample_wld_az1_rack5_host6_mgmt_ip</vt:lpstr>
      <vt:lpstr>sample_wld_az1_rack5_host7_fqdn</vt:lpstr>
      <vt:lpstr>sample_wld_az1_rack5_host7_mgmt_ip</vt:lpstr>
      <vt:lpstr>sample_wld_az1_rack5_host8_fqdn</vt:lpstr>
      <vt:lpstr>sample_wld_az1_rack5_host8_mgmt_ip</vt:lpstr>
      <vt:lpstr>sample_wld_az1_rack5_host9_fqdn</vt:lpstr>
      <vt:lpstr>sample_wld_az1_rack5_host9_mgmt_ip</vt:lpstr>
      <vt:lpstr>sample_wld_az1_rack5_mgmt_cidr</vt:lpstr>
      <vt:lpstr>sample_wld_az1_rack5_mgmt_gateway_ip</vt:lpstr>
      <vt:lpstr>sample_wld_az1_rack5_mgmt_mtu</vt:lpstr>
      <vt:lpstr>sample_wld_az1_rack5_mgmt_vlan</vt:lpstr>
      <vt:lpstr>sample_wld_az1_rack5_mgmt_vm_cidr</vt:lpstr>
      <vt:lpstr>sample_wld_az1_rack5_mgmt_vm_gateway_ip</vt:lpstr>
      <vt:lpstr>sample_wld_az1_rack5_mgmt_vm_mtu</vt:lpstr>
      <vt:lpstr>sample_wld_az1_rack5_mgmt_vm_vlan</vt:lpstr>
      <vt:lpstr>sample_wld_az1_rack5_pool_name</vt:lpstr>
      <vt:lpstr>sample_wld_az1_rack5_principal_storage_cidr</vt:lpstr>
      <vt:lpstr>sample_wld_az1_rack5_principal_storage_gateway_ip</vt:lpstr>
      <vt:lpstr>sample_wld_az1_rack5_principal_storage_mask</vt:lpstr>
      <vt:lpstr>sample_wld_az1_rack5_principal_storage_mtu</vt:lpstr>
      <vt:lpstr>sample_wld_az1_rack5_principal_storage_network</vt:lpstr>
      <vt:lpstr>sample_wld_az1_rack5_principal_storage_pool_end_ip</vt:lpstr>
      <vt:lpstr>sample_wld_az1_rack5_principal_storage_pool_start_ip</vt:lpstr>
      <vt:lpstr>sample_wld_az1_rack5_principal_storage_vlan</vt:lpstr>
      <vt:lpstr>sample_wld_az1_rack5_rtep_ip_pool_name</vt:lpstr>
      <vt:lpstr>sample_wld_az1_rack5_secondary_storage_cidr</vt:lpstr>
      <vt:lpstr>sample_wld_az1_rack5_secondary_storage_gateway_ip</vt:lpstr>
      <vt:lpstr>sample_wld_az1_rack5_secondary_storage_mask</vt:lpstr>
      <vt:lpstr>sample_wld_az1_rack5_secondary_storage_mtu</vt:lpstr>
      <vt:lpstr>sample_wld_az1_rack5_secondary_storage_network</vt:lpstr>
      <vt:lpstr>sample_wld_az1_rack5_secondary_storage_pool_end_ip</vt:lpstr>
      <vt:lpstr>sample_wld_az1_rack5_secondary_storage_pool_start_ip</vt:lpstr>
      <vt:lpstr>sample_wld_az1_rack5_secondary_storage_vlan</vt:lpstr>
      <vt:lpstr>sample_wld_az1_rack5_tor1_peer_asn</vt:lpstr>
      <vt:lpstr>sample_wld_az1_rack5_tor1_peer_bgp_password</vt:lpstr>
      <vt:lpstr>sample_wld_az1_rack5_tor1_peer_ip</vt:lpstr>
      <vt:lpstr>sample_wld_az1_rack5_tor2_peer_asn</vt:lpstr>
      <vt:lpstr>sample_wld_az1_rack5_tor2_peer_bgp_password</vt:lpstr>
      <vt:lpstr>sample_wld_az1_rack5_tor2_peer_ip</vt:lpstr>
      <vt:lpstr>sample_wld_az1_rack5_uplink01_gateway_ip</vt:lpstr>
      <vt:lpstr>sample_wld_az1_rack5_uplink01_mask</vt:lpstr>
      <vt:lpstr>sample_wld_az1_rack5_uplink01_mtu</vt:lpstr>
      <vt:lpstr>sample_wld_az1_rack5_uplink01_network</vt:lpstr>
      <vt:lpstr>sample_wld_az1_rack5_uplink01_vlan</vt:lpstr>
      <vt:lpstr>sample_wld_az1_rack5_uplink02_gateway_ip</vt:lpstr>
      <vt:lpstr>sample_wld_az1_rack5_uplink02_mask</vt:lpstr>
      <vt:lpstr>sample_wld_az1_rack5_uplink02_mtu</vt:lpstr>
      <vt:lpstr>sample_wld_az1_rack5_uplink02_network</vt:lpstr>
      <vt:lpstr>sample_wld_az1_rack5_uplink02_vlan</vt:lpstr>
      <vt:lpstr>sample_wld_az1_rack5_vmotion_cidr</vt:lpstr>
      <vt:lpstr>sample_wld_az1_rack5_vmotion_gateway_ip</vt:lpstr>
      <vt:lpstr>sample_wld_az1_rack5_vmotion_mask</vt:lpstr>
      <vt:lpstr>sample_wld_az1_rack5_vmotion_mtu</vt:lpstr>
      <vt:lpstr>sample_wld_az1_rack5_vmotion_network</vt:lpstr>
      <vt:lpstr>sample_wld_az1_rack5_vmotion_pool_end_ip</vt:lpstr>
      <vt:lpstr>sample_wld_az1_rack5_vmotion_pool_start_ip</vt:lpstr>
      <vt:lpstr>sample_wld_az1_rack5_vmotion_vlan</vt:lpstr>
      <vt:lpstr>sample_wld_az1_rack5_vsan_fault_domain</vt:lpstr>
      <vt:lpstr>sample_wld_az1_rack6_edge_overlay_gateway_ip</vt:lpstr>
      <vt:lpstr>sample_wld_az1_rack6_edge_overlay_mask</vt:lpstr>
      <vt:lpstr>sample_wld_az1_rack6_edge_overlay_mtu</vt:lpstr>
      <vt:lpstr>sample_wld_az1_rack6_edge_overlay_network</vt:lpstr>
      <vt:lpstr>sample_wld_az1_rack6_edge_overlay_network_pool_name</vt:lpstr>
      <vt:lpstr>sample_wld_az1_rack6_edge_overlay_pool_end_ip</vt:lpstr>
      <vt:lpstr>sample_wld_az1_rack6_edge_overlay_pool_start_ip</vt:lpstr>
      <vt:lpstr>sample_wld_az1_rack6_edge_overlay_vlan</vt:lpstr>
      <vt:lpstr>sample_wld_az1_rack6_host_hostnames</vt:lpstr>
      <vt:lpstr>sample_wld_az1_rack6_host_mgmt_ips</vt:lpstr>
      <vt:lpstr>sample_wld_az1_rack6_host_overlay_cidr</vt:lpstr>
      <vt:lpstr>sample_wld_az1_rack6_host_overlay_gateway_ip</vt:lpstr>
      <vt:lpstr>sample_wld_az1_rack6_host_overlay_mask</vt:lpstr>
      <vt:lpstr>sample_wld_az1_rack6_host_overlay_mtu</vt:lpstr>
      <vt:lpstr>sample_wld_az1_rack6_host_overlay_network</vt:lpstr>
      <vt:lpstr>sample_wld_az1_rack6_host_overlay_network_pool_name</vt:lpstr>
      <vt:lpstr>sample_wld_az1_rack6_host_overlay_network_profile_name</vt:lpstr>
      <vt:lpstr>sample_wld_az1_rack6_host_overlay_pool_end_ip</vt:lpstr>
      <vt:lpstr>sample_wld_az1_rack6_host_overlay_pool_start_ip</vt:lpstr>
      <vt:lpstr>sample_wld_az1_rack6_host_overlay_uplink_profile_name</vt:lpstr>
      <vt:lpstr>sample_wld_az1_rack6_host_overlay_vlan</vt:lpstr>
      <vt:lpstr>sample_wld_az1_rack6_host1_fqdn</vt:lpstr>
      <vt:lpstr>sample_wld_az1_rack6_host1_mgmt_ip</vt:lpstr>
      <vt:lpstr>sample_wld_az1_rack6_host10_fqdn</vt:lpstr>
      <vt:lpstr>sample_wld_az1_rack6_host10_mgmt_ip</vt:lpstr>
      <vt:lpstr>sample_wld_az1_rack6_host11_fqdn</vt:lpstr>
      <vt:lpstr>sample_wld_az1_rack6_host11_mgmt_ip</vt:lpstr>
      <vt:lpstr>sample_wld_az1_rack6_host12_fqdn</vt:lpstr>
      <vt:lpstr>sample_wld_az1_rack6_host12_mgmt_ip</vt:lpstr>
      <vt:lpstr>sample_wld_az1_rack6_host13_fqdn</vt:lpstr>
      <vt:lpstr>sample_wld_az1_rack6_host13_mgmt_ip</vt:lpstr>
      <vt:lpstr>sample_wld_az1_rack6_host14_fqdn</vt:lpstr>
      <vt:lpstr>sample_wld_az1_rack6_host14_mgmt_ip</vt:lpstr>
      <vt:lpstr>sample_wld_az1_rack6_host15_fqdn</vt:lpstr>
      <vt:lpstr>sample_wld_az1_rack6_host15_mgmt_ip</vt:lpstr>
      <vt:lpstr>sample_wld_az1_rack6_host16_fqdn</vt:lpstr>
      <vt:lpstr>sample_wld_az1_rack6_host16_mgmt_ip</vt:lpstr>
      <vt:lpstr>sample_wld_az1_rack6_host2_fqdn</vt:lpstr>
      <vt:lpstr>sample_wld_az1_rack6_host2_mgmt_ip</vt:lpstr>
      <vt:lpstr>sample_wld_az1_rack6_host3_fqdn</vt:lpstr>
      <vt:lpstr>sample_wld_az1_rack6_host3_mgmt_ip</vt:lpstr>
      <vt:lpstr>sample_wld_az1_rack6_host4_fqdn</vt:lpstr>
      <vt:lpstr>sample_wld_az1_rack6_host4_mgmt_ip</vt:lpstr>
      <vt:lpstr>sample_wld_az1_rack6_host5_fqdn</vt:lpstr>
      <vt:lpstr>sample_wld_az1_rack6_host5_mgmt_ip</vt:lpstr>
      <vt:lpstr>sample_wld_az1_rack6_host6_fqdn</vt:lpstr>
      <vt:lpstr>sample_wld_az1_rack6_host6_mgmt_ip</vt:lpstr>
      <vt:lpstr>sample_wld_az1_rack6_host7_fqdn</vt:lpstr>
      <vt:lpstr>sample_wld_az1_rack6_host7_mgmt_ip</vt:lpstr>
      <vt:lpstr>sample_wld_az1_rack6_host8_fqdn</vt:lpstr>
      <vt:lpstr>sample_wld_az1_rack6_host8_mgmt_ip</vt:lpstr>
      <vt:lpstr>sample_wld_az1_rack6_host9_fqdn</vt:lpstr>
      <vt:lpstr>sample_wld_az1_rack6_host9_mgmt_ip</vt:lpstr>
      <vt:lpstr>sample_wld_az1_rack6_mgmt_cidr</vt:lpstr>
      <vt:lpstr>sample_wld_az1_rack6_mgmt_gateway_ip</vt:lpstr>
      <vt:lpstr>sample_wld_az1_rack6_mgmt_mtu</vt:lpstr>
      <vt:lpstr>sample_wld_az1_rack6_mgmt_vlan</vt:lpstr>
      <vt:lpstr>sample_wld_az1_rack6_mgmt_vm_cidr</vt:lpstr>
      <vt:lpstr>sample_wld_az1_rack6_mgmt_vm_gateway_ip</vt:lpstr>
      <vt:lpstr>sample_wld_az1_rack6_mgmt_vm_mtu</vt:lpstr>
      <vt:lpstr>sample_wld_az1_rack6_mgmt_vm_vlan</vt:lpstr>
      <vt:lpstr>sample_wld_az1_rack6_pool_name</vt:lpstr>
      <vt:lpstr>sample_wld_az1_rack6_principal_storage_cidr</vt:lpstr>
      <vt:lpstr>sample_wld_az1_rack6_principal_storage_gateway_ip</vt:lpstr>
      <vt:lpstr>sample_wld_az1_rack6_principal_storage_mask</vt:lpstr>
      <vt:lpstr>sample_wld_az1_rack6_principal_storage_mtu</vt:lpstr>
      <vt:lpstr>sample_wld_az1_rack6_principal_storage_network</vt:lpstr>
      <vt:lpstr>sample_wld_az1_rack6_principal_storage_pool_end_ip</vt:lpstr>
      <vt:lpstr>sample_wld_az1_rack6_principal_storage_pool_start_ip</vt:lpstr>
      <vt:lpstr>sample_wld_az1_rack6_principal_storage_vlan</vt:lpstr>
      <vt:lpstr>sample_wld_az1_rack6_rtep_ip_pool_name</vt:lpstr>
      <vt:lpstr>sample_wld_az1_rack6_secondary_storage_cidr</vt:lpstr>
      <vt:lpstr>sample_wld_az1_rack6_secondary_storage_gateway_ip</vt:lpstr>
      <vt:lpstr>sample_wld_az1_rack6_secondary_storage_mask</vt:lpstr>
      <vt:lpstr>sample_wld_az1_rack6_secondary_storage_mtu</vt:lpstr>
      <vt:lpstr>sample_wld_az1_rack6_secondary_storage_network</vt:lpstr>
      <vt:lpstr>sample_wld_az1_rack6_secondary_storage_pool_end_ip</vt:lpstr>
      <vt:lpstr>sample_wld_az1_rack6_secondary_storage_pool_start_ip</vt:lpstr>
      <vt:lpstr>sample_wld_az1_rack6_secondary_storage_vlan</vt:lpstr>
      <vt:lpstr>sample_wld_az1_rack6_tor1_peer_asn</vt:lpstr>
      <vt:lpstr>sample_wld_az1_rack6_tor1_peer_bgp_password</vt:lpstr>
      <vt:lpstr>sample_wld_az1_rack6_tor1_peer_ip</vt:lpstr>
      <vt:lpstr>sample_wld_az1_rack6_tor2_peer_asn</vt:lpstr>
      <vt:lpstr>sample_wld_az1_rack6_tor2_peer_bgp_password</vt:lpstr>
      <vt:lpstr>sample_wld_az1_rack6_tor2_peer_ip</vt:lpstr>
      <vt:lpstr>sample_wld_az1_rack6_uplink01_gateway_ip</vt:lpstr>
      <vt:lpstr>sample_wld_az1_rack6_uplink01_mask</vt:lpstr>
      <vt:lpstr>sample_wld_az1_rack6_uplink01_mtu</vt:lpstr>
      <vt:lpstr>sample_wld_az1_rack6_uplink01_network</vt:lpstr>
      <vt:lpstr>sample_wld_az1_rack6_uplink01_vlan</vt:lpstr>
      <vt:lpstr>sample_wld_az1_rack6_uplink02_gateway_ip</vt:lpstr>
      <vt:lpstr>sample_wld_az1_rack6_uplink02_mask</vt:lpstr>
      <vt:lpstr>sample_wld_az1_rack6_uplink02_mtu</vt:lpstr>
      <vt:lpstr>sample_wld_az1_rack6_uplink02_network</vt:lpstr>
      <vt:lpstr>sample_wld_az1_rack6_uplink02_vlan</vt:lpstr>
      <vt:lpstr>sample_wld_az1_rack6_vmotion_cidr</vt:lpstr>
      <vt:lpstr>sample_wld_az1_rack6_vmotion_gateway_ip</vt:lpstr>
      <vt:lpstr>sample_wld_az1_rack6_vmotion_mask</vt:lpstr>
      <vt:lpstr>sample_wld_az1_rack6_vmotion_mtu</vt:lpstr>
      <vt:lpstr>sample_wld_az1_rack6_vmotion_network</vt:lpstr>
      <vt:lpstr>sample_wld_az1_rack6_vmotion_pool_end_ip</vt:lpstr>
      <vt:lpstr>sample_wld_az1_rack6_vmotion_pool_start_ip</vt:lpstr>
      <vt:lpstr>sample_wld_az1_rack6_vmotion_vlan</vt:lpstr>
      <vt:lpstr>sample_wld_az1_rack6_vsan_fault_domain</vt:lpstr>
      <vt:lpstr>sample_wld_az1_rack7_edge_overlay_gateway_ip</vt:lpstr>
      <vt:lpstr>sample_wld_az1_rack7_edge_overlay_mask</vt:lpstr>
      <vt:lpstr>sample_wld_az1_rack7_edge_overlay_mtu</vt:lpstr>
      <vt:lpstr>sample_wld_az1_rack7_edge_overlay_network</vt:lpstr>
      <vt:lpstr>sample_wld_az1_rack7_edge_overlay_network_pool_name</vt:lpstr>
      <vt:lpstr>sample_wld_az1_rack7_edge_overlay_pool_end_ip</vt:lpstr>
      <vt:lpstr>sample_wld_az1_rack7_edge_overlay_pool_start_ip</vt:lpstr>
      <vt:lpstr>sample_wld_az1_rack7_edge_overlay_vlan</vt:lpstr>
      <vt:lpstr>sample_wld_az1_rack7_host_hostnames</vt:lpstr>
      <vt:lpstr>sample_wld_az1_rack7_host_mgmt_ips</vt:lpstr>
      <vt:lpstr>sample_wld_az1_rack7_host_overlay_cidr</vt:lpstr>
      <vt:lpstr>sample_wld_az1_rack7_host_overlay_gateway_ip</vt:lpstr>
      <vt:lpstr>sample_wld_az1_rack7_host_overlay_mask</vt:lpstr>
      <vt:lpstr>sample_wld_az1_rack7_host_overlay_mtu</vt:lpstr>
      <vt:lpstr>sample_wld_az1_rack7_host_overlay_network</vt:lpstr>
      <vt:lpstr>sample_wld_az1_rack7_host_overlay_network_pool_name</vt:lpstr>
      <vt:lpstr>sample_wld_az1_rack7_host_overlay_network_profile_name</vt:lpstr>
      <vt:lpstr>sample_wld_az1_rack7_host_overlay_pool_end_ip</vt:lpstr>
      <vt:lpstr>sample_wld_az1_rack7_host_overlay_pool_start_ip</vt:lpstr>
      <vt:lpstr>sample_wld_az1_rack7_host_overlay_uplink_profile_name</vt:lpstr>
      <vt:lpstr>sample_wld_az1_rack7_host_overlay_vlan</vt:lpstr>
      <vt:lpstr>sample_wld_az1_rack7_host1_fqdn</vt:lpstr>
      <vt:lpstr>sample_wld_az1_rack7_host1_mgmt_ip</vt:lpstr>
      <vt:lpstr>sample_wld_az1_rack7_host10_fqdn</vt:lpstr>
      <vt:lpstr>sample_wld_az1_rack7_host10_mgmt_ip</vt:lpstr>
      <vt:lpstr>sample_wld_az1_rack7_host11_fqdn</vt:lpstr>
      <vt:lpstr>sample_wld_az1_rack7_host11_mgmt_ip</vt:lpstr>
      <vt:lpstr>sample_wld_az1_rack7_host12_fqdn</vt:lpstr>
      <vt:lpstr>sample_wld_az1_rack7_host12_mgmt_ip</vt:lpstr>
      <vt:lpstr>sample_wld_az1_rack7_host13_fqdn</vt:lpstr>
      <vt:lpstr>sample_wld_az1_rack7_host13_mgmt_ip</vt:lpstr>
      <vt:lpstr>sample_wld_az1_rack7_host14_fqdn</vt:lpstr>
      <vt:lpstr>sample_wld_az1_rack7_host14_mgmt_ip</vt:lpstr>
      <vt:lpstr>sample_wld_az1_rack7_host15_fqdn</vt:lpstr>
      <vt:lpstr>sample_wld_az1_rack7_host15_mgmt_ip</vt:lpstr>
      <vt:lpstr>sample_wld_az1_rack7_host16_fqdn</vt:lpstr>
      <vt:lpstr>sample_wld_az1_rack7_host16_mgmt_ip</vt:lpstr>
      <vt:lpstr>sample_wld_az1_rack7_host2_fqdn</vt:lpstr>
      <vt:lpstr>sample_wld_az1_rack7_host2_mgmt_ip</vt:lpstr>
      <vt:lpstr>sample_wld_az1_rack7_host3_fqdn</vt:lpstr>
      <vt:lpstr>sample_wld_az1_rack7_host3_mgmt_ip</vt:lpstr>
      <vt:lpstr>sample_wld_az1_rack7_host4_fqdn</vt:lpstr>
      <vt:lpstr>sample_wld_az1_rack7_host4_mgmt_ip</vt:lpstr>
      <vt:lpstr>sample_wld_az1_rack7_host5_fqdn</vt:lpstr>
      <vt:lpstr>sample_wld_az1_rack7_host5_mgmt_ip</vt:lpstr>
      <vt:lpstr>sample_wld_az1_rack7_host6_fqdn</vt:lpstr>
      <vt:lpstr>sample_wld_az1_rack7_host6_mgmt_ip</vt:lpstr>
      <vt:lpstr>sample_wld_az1_rack7_host7_fqdn</vt:lpstr>
      <vt:lpstr>sample_wld_az1_rack7_host7_mgmt_ip</vt:lpstr>
      <vt:lpstr>sample_wld_az1_rack7_host8_fqdn</vt:lpstr>
      <vt:lpstr>sample_wld_az1_rack7_host8_mgmt_ip</vt:lpstr>
      <vt:lpstr>sample_wld_az1_rack7_host9_fqdn</vt:lpstr>
      <vt:lpstr>sample_wld_az1_rack7_host9_mgmt_ip</vt:lpstr>
      <vt:lpstr>sample_wld_az1_rack7_mgmt_cidr</vt:lpstr>
      <vt:lpstr>sample_wld_az1_rack7_mgmt_gateway_ip</vt:lpstr>
      <vt:lpstr>sample_wld_az1_rack7_mgmt_mtu</vt:lpstr>
      <vt:lpstr>sample_wld_az1_rack7_mgmt_vlan</vt:lpstr>
      <vt:lpstr>sample_wld_az1_rack7_mgmt_vm_cidr</vt:lpstr>
      <vt:lpstr>sample_wld_az1_rack7_mgmt_vm_gateway_ip</vt:lpstr>
      <vt:lpstr>sample_wld_az1_rack7_mgmt_vm_mtu</vt:lpstr>
      <vt:lpstr>sample_wld_az1_rack7_mgmt_vm_vlan</vt:lpstr>
      <vt:lpstr>sample_wld_az1_rack7_pool_name</vt:lpstr>
      <vt:lpstr>sample_wld_az1_rack7_principal_storage_cidr</vt:lpstr>
      <vt:lpstr>sample_wld_az1_rack7_principal_storage_gateway_ip</vt:lpstr>
      <vt:lpstr>sample_wld_az1_rack7_principal_storage_mask</vt:lpstr>
      <vt:lpstr>sample_wld_az1_rack7_principal_storage_mtu</vt:lpstr>
      <vt:lpstr>sample_wld_az1_rack7_principal_storage_network</vt:lpstr>
      <vt:lpstr>sample_wld_az1_rack7_principal_storage_pool_end_ip</vt:lpstr>
      <vt:lpstr>sample_wld_az1_rack7_principal_storage_pool_start_ip</vt:lpstr>
      <vt:lpstr>sample_wld_az1_rack7_principal_storage_vlan</vt:lpstr>
      <vt:lpstr>sample_wld_az1_rack7_rtep_ip_pool_name</vt:lpstr>
      <vt:lpstr>sample_wld_az1_rack7_secondary_storage_cidr</vt:lpstr>
      <vt:lpstr>sample_wld_az1_rack7_secondary_storage_gateway_ip</vt:lpstr>
      <vt:lpstr>sample_wld_az1_rack7_secondary_storage_mask</vt:lpstr>
      <vt:lpstr>sample_wld_az1_rack7_secondary_storage_mtu</vt:lpstr>
      <vt:lpstr>sample_wld_az1_rack7_secondary_storage_network</vt:lpstr>
      <vt:lpstr>sample_wld_az1_rack7_secondary_storage_pool_end_ip</vt:lpstr>
      <vt:lpstr>sample_wld_az1_rack7_secondary_storage_pool_start_ip</vt:lpstr>
      <vt:lpstr>sample_wld_az1_rack7_secondary_storage_vlan</vt:lpstr>
      <vt:lpstr>sample_wld_az1_rack7_tor1_peer_asn</vt:lpstr>
      <vt:lpstr>sample_wld_az1_rack7_tor1_peer_bgp_password</vt:lpstr>
      <vt:lpstr>sample_wld_az1_rack7_tor1_peer_ip</vt:lpstr>
      <vt:lpstr>sample_wld_az1_rack7_tor2_peer_asn</vt:lpstr>
      <vt:lpstr>sample_wld_az1_rack7_tor2_peer_bgp_password</vt:lpstr>
      <vt:lpstr>sample_wld_az1_rack7_tor2_peer_ip</vt:lpstr>
      <vt:lpstr>sample_wld_az1_rack7_uplink01_gateway_ip</vt:lpstr>
      <vt:lpstr>sample_wld_az1_rack7_uplink01_mask</vt:lpstr>
      <vt:lpstr>sample_wld_az1_rack7_uplink01_mtu</vt:lpstr>
      <vt:lpstr>sample_wld_az1_rack7_uplink01_network</vt:lpstr>
      <vt:lpstr>sample_wld_az1_rack7_uplink01_vlan</vt:lpstr>
      <vt:lpstr>sample_wld_az1_rack7_uplink02_gateway_ip</vt:lpstr>
      <vt:lpstr>sample_wld_az1_rack7_uplink02_mask</vt:lpstr>
      <vt:lpstr>sample_wld_az1_rack7_uplink02_mtu</vt:lpstr>
      <vt:lpstr>sample_wld_az1_rack7_uplink02_network</vt:lpstr>
      <vt:lpstr>sample_wld_az1_rack7_uplink02_vlan</vt:lpstr>
      <vt:lpstr>sample_wld_az1_rack7_vmotion_cidr</vt:lpstr>
      <vt:lpstr>sample_wld_az1_rack7_vmotion_gateway_ip</vt:lpstr>
      <vt:lpstr>sample_wld_az1_rack7_vmotion_mask</vt:lpstr>
      <vt:lpstr>sample_wld_az1_rack7_vmotion_mtu</vt:lpstr>
      <vt:lpstr>sample_wld_az1_rack7_vmotion_network</vt:lpstr>
      <vt:lpstr>sample_wld_az1_rack7_vmotion_pool_end_ip</vt:lpstr>
      <vt:lpstr>sample_wld_az1_rack7_vmotion_pool_start_ip</vt:lpstr>
      <vt:lpstr>sample_wld_az1_rack7_vmotion_vlan</vt:lpstr>
      <vt:lpstr>sample_wld_az1_rack7_vsan_fault_domain</vt:lpstr>
      <vt:lpstr>sample_wld_az1_rack8_edge_overlay_gateway_ip</vt:lpstr>
      <vt:lpstr>sample_wld_az1_rack8_edge_overlay_mask</vt:lpstr>
      <vt:lpstr>sample_wld_az1_rack8_edge_overlay_mtu</vt:lpstr>
      <vt:lpstr>sample_wld_az1_rack8_edge_overlay_network</vt:lpstr>
      <vt:lpstr>sample_wld_az1_rack8_edge_overlay_network_pool_name</vt:lpstr>
      <vt:lpstr>sample_wld_az1_rack8_edge_overlay_pool_end_ip</vt:lpstr>
      <vt:lpstr>sample_wld_az1_rack8_edge_overlay_pool_start_ip</vt:lpstr>
      <vt:lpstr>sample_wld_az1_rack8_edge_overlay_vlan</vt:lpstr>
      <vt:lpstr>sample_wld_az1_rack8_host_hostnames</vt:lpstr>
      <vt:lpstr>sample_wld_az1_rack8_host_mgmt_ips</vt:lpstr>
      <vt:lpstr>sample_wld_az1_rack8_host_overlay_cidr</vt:lpstr>
      <vt:lpstr>sample_wld_az1_rack8_host_overlay_gateway_ip</vt:lpstr>
      <vt:lpstr>sample_wld_az1_rack8_host_overlay_mask</vt:lpstr>
      <vt:lpstr>sample_wld_az1_rack8_host_overlay_mtu</vt:lpstr>
      <vt:lpstr>sample_wld_az1_rack8_host_overlay_network</vt:lpstr>
      <vt:lpstr>sample_wld_az1_rack8_host_overlay_network_pool_name</vt:lpstr>
      <vt:lpstr>sample_wld_az1_rack8_host_overlay_network_profile_name</vt:lpstr>
      <vt:lpstr>sample_wld_az1_rack8_host_overlay_pool_end_ip</vt:lpstr>
      <vt:lpstr>sample_wld_az1_rack8_host_overlay_pool_start_ip</vt:lpstr>
      <vt:lpstr>sample_wld_az1_rack8_host_overlay_uplink_profile_name</vt:lpstr>
      <vt:lpstr>sample_wld_az1_rack8_host_overlay_vlan</vt:lpstr>
      <vt:lpstr>sample_wld_az1_rack8_host1_fqdn</vt:lpstr>
      <vt:lpstr>sample_wld_az1_rack8_host1_mgmt_ip</vt:lpstr>
      <vt:lpstr>sample_wld_az1_rack8_host10_fqdn</vt:lpstr>
      <vt:lpstr>sample_wld_az1_rack8_host10_mgmt_ip</vt:lpstr>
      <vt:lpstr>sample_wld_az1_rack8_host11_fqdn</vt:lpstr>
      <vt:lpstr>sample_wld_az1_rack8_host11_mgmt_ip</vt:lpstr>
      <vt:lpstr>sample_wld_az1_rack8_host12_fqdn</vt:lpstr>
      <vt:lpstr>sample_wld_az1_rack8_host12_mgmt_ip</vt:lpstr>
      <vt:lpstr>sample_wld_az1_rack8_host13_fqdn</vt:lpstr>
      <vt:lpstr>sample_wld_az1_rack8_host13_mgmt_ip</vt:lpstr>
      <vt:lpstr>sample_wld_az1_rack8_host14_fqdn</vt:lpstr>
      <vt:lpstr>sample_wld_az1_rack8_host14_mgmt_ip</vt:lpstr>
      <vt:lpstr>sample_wld_az1_rack8_host15_fqdn</vt:lpstr>
      <vt:lpstr>sample_wld_az1_rack8_host15_mgmt_ip</vt:lpstr>
      <vt:lpstr>sample_wld_az1_rack8_host16_fqdn</vt:lpstr>
      <vt:lpstr>sample_wld_az1_rack8_host16_mgmt_ip</vt:lpstr>
      <vt:lpstr>sample_wld_az1_rack8_host2_fqdn</vt:lpstr>
      <vt:lpstr>sample_wld_az1_rack8_host2_mgmt_ip</vt:lpstr>
      <vt:lpstr>sample_wld_az1_rack8_host3_fqdn</vt:lpstr>
      <vt:lpstr>sample_wld_az1_rack8_host3_mgmt_ip</vt:lpstr>
      <vt:lpstr>sample_wld_az1_rack8_host4_fqdn</vt:lpstr>
      <vt:lpstr>sample_wld_az1_rack8_host4_mgmt_ip</vt:lpstr>
      <vt:lpstr>sample_wld_az1_rack8_host5_fqdn</vt:lpstr>
      <vt:lpstr>sample_wld_az1_rack8_host5_mgmt_ip</vt:lpstr>
      <vt:lpstr>sample_wld_az1_rack8_host6_fqdn</vt:lpstr>
      <vt:lpstr>sample_wld_az1_rack8_host6_mgmt_ip</vt:lpstr>
      <vt:lpstr>sample_wld_az1_rack8_host7_fqdn</vt:lpstr>
      <vt:lpstr>sample_wld_az1_rack8_host7_mgmt_ip</vt:lpstr>
      <vt:lpstr>sample_wld_az1_rack8_host8_fqdn</vt:lpstr>
      <vt:lpstr>sample_wld_az1_rack8_host8_mgmt_ip</vt:lpstr>
      <vt:lpstr>sample_wld_az1_rack8_host9_fqdn</vt:lpstr>
      <vt:lpstr>sample_wld_az1_rack8_host9_mgmt_ip</vt:lpstr>
      <vt:lpstr>sample_wld_az1_rack8_mgmt_cidr</vt:lpstr>
      <vt:lpstr>sample_wld_az1_rack8_mgmt_gateway_ip</vt:lpstr>
      <vt:lpstr>sample_wld_az1_rack8_mgmt_mtu</vt:lpstr>
      <vt:lpstr>sample_wld_az1_rack8_mgmt_vlan</vt:lpstr>
      <vt:lpstr>sample_wld_az1_rack8_mgmt_vm_cidr</vt:lpstr>
      <vt:lpstr>sample_wld_az1_rack8_mgmt_vm_gateway_ip</vt:lpstr>
      <vt:lpstr>sample_wld_az1_rack8_mgmt_vm_mtu</vt:lpstr>
      <vt:lpstr>sample_wld_az1_rack8_mgmt_vm_vlan</vt:lpstr>
      <vt:lpstr>sample_wld_az1_rack8_pool_name</vt:lpstr>
      <vt:lpstr>sample_wld_az1_rack8_principal_storage_cidr</vt:lpstr>
      <vt:lpstr>sample_wld_az1_rack8_principal_storage_gateway_ip</vt:lpstr>
      <vt:lpstr>sample_wld_az1_rack8_principal_storage_mask</vt:lpstr>
      <vt:lpstr>sample_wld_az1_rack8_principal_storage_mtu</vt:lpstr>
      <vt:lpstr>sample_wld_az1_rack8_principal_storage_network</vt:lpstr>
      <vt:lpstr>sample_wld_az1_rack8_principal_storage_pool_end_ip</vt:lpstr>
      <vt:lpstr>sample_wld_az1_rack8_principal_storage_pool_start_ip</vt:lpstr>
      <vt:lpstr>sample_wld_az1_rack8_principal_storage_vlan</vt:lpstr>
      <vt:lpstr>sample_wld_az1_rack8_rtep_ip_pool_name</vt:lpstr>
      <vt:lpstr>sample_wld_az1_rack8_secondary_storage_cidr</vt:lpstr>
      <vt:lpstr>sample_wld_az1_rack8_secondary_storage_gateway_ip</vt:lpstr>
      <vt:lpstr>sample_wld_az1_rack8_secondary_storage_mask</vt:lpstr>
      <vt:lpstr>sample_wld_az1_rack8_secondary_storage_mtu</vt:lpstr>
      <vt:lpstr>sample_wld_az1_rack8_secondary_storage_network</vt:lpstr>
      <vt:lpstr>sample_wld_az1_rack8_secondary_storage_pool_end_ip</vt:lpstr>
      <vt:lpstr>sample_wld_az1_rack8_secondary_storage_pool_start_ip</vt:lpstr>
      <vt:lpstr>sample_wld_az1_rack8_secondary_storage_vlan</vt:lpstr>
      <vt:lpstr>sample_wld_az1_rack8_tor1_peer_asn</vt:lpstr>
      <vt:lpstr>sample_wld_az1_rack8_tor1_peer_bgp_password</vt:lpstr>
      <vt:lpstr>sample_wld_az1_rack8_tor1_peer_ip</vt:lpstr>
      <vt:lpstr>sample_wld_az1_rack8_tor2_peer_asn</vt:lpstr>
      <vt:lpstr>sample_wld_az1_rack8_tor2_peer_bgp_password</vt:lpstr>
      <vt:lpstr>sample_wld_az1_rack8_tor2_peer_ip</vt:lpstr>
      <vt:lpstr>sample_wld_az1_rack8_uplink01_gateway_ip</vt:lpstr>
      <vt:lpstr>sample_wld_az1_rack8_uplink01_mask</vt:lpstr>
      <vt:lpstr>sample_wld_az1_rack8_uplink01_mtu</vt:lpstr>
      <vt:lpstr>sample_wld_az1_rack8_uplink01_network</vt:lpstr>
      <vt:lpstr>sample_wld_az1_rack8_uplink01_vlan</vt:lpstr>
      <vt:lpstr>sample_wld_az1_rack8_uplink02_gateway_ip</vt:lpstr>
      <vt:lpstr>sample_wld_az1_rack8_uplink02_mask</vt:lpstr>
      <vt:lpstr>sample_wld_az1_rack8_uplink02_mtu</vt:lpstr>
      <vt:lpstr>sample_wld_az1_rack8_uplink02_network</vt:lpstr>
      <vt:lpstr>sample_wld_az1_rack8_uplink02_vlan</vt:lpstr>
      <vt:lpstr>sample_wld_az1_rack8_vmotion_cidr</vt:lpstr>
      <vt:lpstr>sample_wld_az1_rack8_vmotion_gateway_ip</vt:lpstr>
      <vt:lpstr>sample_wld_az1_rack8_vmotion_mask</vt:lpstr>
      <vt:lpstr>sample_wld_az1_rack8_vmotion_mtu</vt:lpstr>
      <vt:lpstr>sample_wld_az1_rack8_vmotion_network</vt:lpstr>
      <vt:lpstr>sample_wld_az1_rack8_vmotion_pool_end_ip</vt:lpstr>
      <vt:lpstr>sample_wld_az1_rack8_vmotion_pool_start_ip</vt:lpstr>
      <vt:lpstr>sample_wld_az1_rack8_vmotion_vlan</vt:lpstr>
      <vt:lpstr>sample_wld_az1_rack8_vsan_fault_domain</vt:lpstr>
      <vt:lpstr>sample_wld_az1_rtep_ip_pool_name</vt:lpstr>
      <vt:lpstr>sample_wld_az1_rtep_overlay_cidr</vt:lpstr>
      <vt:lpstr>sample_wld_az1_rtep_overlay_gateway_ip</vt:lpstr>
      <vt:lpstr>sample_wld_az1_rtep_overlay_vlan</vt:lpstr>
      <vt:lpstr>sample_wld_az1_secondary_storage_gateway_cidr</vt:lpstr>
      <vt:lpstr>sample_wld_az1_secondary_storage_mtu</vt:lpstr>
      <vt:lpstr>sample_wld_az1_secondary_storage_pool_end_ip</vt:lpstr>
      <vt:lpstr>sample_wld_az1_secondary_storage_pool_start_ip</vt:lpstr>
      <vt:lpstr>sample_wld_az1_secondary_storage_vlan</vt:lpstr>
      <vt:lpstr>sample_wld_az1_storage_cluster_gateway_cidr</vt:lpstr>
      <vt:lpstr>sample_wld_az1_storage_cluster_mtu</vt:lpstr>
      <vt:lpstr>sample_wld_az1_storage_cluster_pool_end_ip</vt:lpstr>
      <vt:lpstr>sample_wld_az1_storage_cluster_pool_start_ip</vt:lpstr>
      <vt:lpstr>sample_wld_az1_storage_cluster_vlan</vt:lpstr>
      <vt:lpstr>sample_wld_az1_tor1_peer_asn</vt:lpstr>
      <vt:lpstr>sample_wld_az1_tor1_peer_bgp_password</vt:lpstr>
      <vt:lpstr>sample_wld_az1_tor1_peer_ip</vt:lpstr>
      <vt:lpstr>sample_wld_az1_tor2_peer_asn</vt:lpstr>
      <vt:lpstr>sample_wld_az1_tor2_peer_bgp_password</vt:lpstr>
      <vt:lpstr>sample_wld_az1_tor2_peer_ip</vt:lpstr>
      <vt:lpstr>sample_wld_az1_uplink01_cidr</vt:lpstr>
      <vt:lpstr>sample_wld_az1_uplink01_gateway_ip</vt:lpstr>
      <vt:lpstr>sample_wld_az1_uplink01_mtu</vt:lpstr>
      <vt:lpstr>sample_wld_az1_uplink01_vlan</vt:lpstr>
      <vt:lpstr>sample_wld_az1_uplink02_cidr</vt:lpstr>
      <vt:lpstr>sample_wld_az1_uplink02_gateway_ip</vt:lpstr>
      <vt:lpstr>sample_wld_az1_uplink02_mtu</vt:lpstr>
      <vt:lpstr>sample_wld_az1_uplink02_vlan</vt:lpstr>
      <vt:lpstr>sample_wld_az1_vmotion_gateway_cidr</vt:lpstr>
      <vt:lpstr>sample_wld_az1_vmotion_mtu</vt:lpstr>
      <vt:lpstr>sample_wld_az1_vmotion_pool_end_ip</vt:lpstr>
      <vt:lpstr>sample_wld_az1_vmotion_pool_start_ip</vt:lpstr>
      <vt:lpstr>sample_wld_az1_vmotion_vlan</vt:lpstr>
      <vt:lpstr>sample_wld_az1_vrms_cidr</vt:lpstr>
      <vt:lpstr>sample_wld_az1_vrms_gateway_ip</vt:lpstr>
      <vt:lpstr>sample_wld_az1_vrms_mask</vt:lpstr>
      <vt:lpstr>sample_wld_az1_vrms_mtu</vt:lpstr>
      <vt:lpstr>sample_wld_az1_vrms_vlan</vt:lpstr>
      <vt:lpstr>sample_wld_az2_host_overlay_cidr</vt:lpstr>
      <vt:lpstr>sample_wld_az2_host_overlay_gateway_ip</vt:lpstr>
      <vt:lpstr>sample_wld_az2_host_overlay_mtu</vt:lpstr>
      <vt:lpstr>sample_wld_az2_host_overlay_network_pool_name</vt:lpstr>
      <vt:lpstr>sample_wld_az2_host_overlay_network_profile_name</vt:lpstr>
      <vt:lpstr>sample_wld_az2_host_overlay_pool_end_ip</vt:lpstr>
      <vt:lpstr>sample_wld_az2_host_overlay_pool_start_ip</vt:lpstr>
      <vt:lpstr>sample_wld_az2_host_overlay_uplink_profile_name</vt:lpstr>
      <vt:lpstr>sample_wld_az2_host_overlay_vlan</vt:lpstr>
      <vt:lpstr>sample_wld_az2_host1_fqdn</vt:lpstr>
      <vt:lpstr>sample_wld_az2_host1_mgmt_ip</vt:lpstr>
      <vt:lpstr>sample_wld_az2_host1_sddc_id</vt:lpstr>
      <vt:lpstr>sample_wld_az2_host1_vrms_ip</vt:lpstr>
      <vt:lpstr>sample_wld_az2_host10_fqdn</vt:lpstr>
      <vt:lpstr>sample_wld_az2_host10_mgmt_ip</vt:lpstr>
      <vt:lpstr>sample_wld_az2_host10_vrms_ip</vt:lpstr>
      <vt:lpstr>sample_wld_az2_host11_fqdn</vt:lpstr>
      <vt:lpstr>sample_wld_az2_host11_mgmt_ip</vt:lpstr>
      <vt:lpstr>sample_wld_az2_host11_vrms_ip</vt:lpstr>
      <vt:lpstr>sample_wld_az2_host12_fqdn</vt:lpstr>
      <vt:lpstr>sample_wld_az2_host12_mgmt_ip</vt:lpstr>
      <vt:lpstr>sample_wld_az2_host12_vrms_ip</vt:lpstr>
      <vt:lpstr>sample_wld_az2_host13_fqdn</vt:lpstr>
      <vt:lpstr>sample_wld_az2_host13_mgmt_ip</vt:lpstr>
      <vt:lpstr>sample_wld_az2_host13_vrms_ip</vt:lpstr>
      <vt:lpstr>sample_wld_az2_host14_fqdn</vt:lpstr>
      <vt:lpstr>sample_wld_az2_host14_mgmt_ip</vt:lpstr>
      <vt:lpstr>sample_wld_az2_host14_vrms_ip</vt:lpstr>
      <vt:lpstr>sample_wld_az2_host15_fqdn</vt:lpstr>
      <vt:lpstr>sample_wld_az2_host15_mgmt_ip</vt:lpstr>
      <vt:lpstr>sample_wld_az2_host15_vrms_ip</vt:lpstr>
      <vt:lpstr>sample_wld_az2_host16_fqdn</vt:lpstr>
      <vt:lpstr>sample_wld_az2_host16_mgmt_ip</vt:lpstr>
      <vt:lpstr>sample_wld_az2_host16_vrms_ip</vt:lpstr>
      <vt:lpstr>sample_wld_az2_host2_fqdn</vt:lpstr>
      <vt:lpstr>sample_wld_az2_host2_mgmt_ip</vt:lpstr>
      <vt:lpstr>sample_wld_az2_host2_sddc_id</vt:lpstr>
      <vt:lpstr>sample_wld_az2_host2_vrms_ip</vt:lpstr>
      <vt:lpstr>sample_wld_az2_host3_fqdn</vt:lpstr>
      <vt:lpstr>sample_wld_az2_host3_mgmt_ip</vt:lpstr>
      <vt:lpstr>sample_wld_az2_host3_sddc_id</vt:lpstr>
      <vt:lpstr>sample_wld_az2_host3_vrms_ip</vt:lpstr>
      <vt:lpstr>sample_wld_az2_host4_fqdn</vt:lpstr>
      <vt:lpstr>sample_wld_az2_host4_mgmt_ip</vt:lpstr>
      <vt:lpstr>sample_wld_az2_host4_sddc_id</vt:lpstr>
      <vt:lpstr>sample_wld_az2_host4_vrms_ip</vt:lpstr>
      <vt:lpstr>sample_wld_az2_host5_fqdn</vt:lpstr>
      <vt:lpstr>sample_wld_az2_host5_mgmt_ip</vt:lpstr>
      <vt:lpstr>sample_wld_az2_host5_vrms_ip</vt:lpstr>
      <vt:lpstr>sample_wld_az2_host6_fqdn</vt:lpstr>
      <vt:lpstr>sample_wld_az2_host6_mgmt_ip</vt:lpstr>
      <vt:lpstr>sample_wld_az2_host6_vrms_ip</vt:lpstr>
      <vt:lpstr>sample_wld_az2_host7_fqdn</vt:lpstr>
      <vt:lpstr>sample_wld_az2_host7_mgmt_ip</vt:lpstr>
      <vt:lpstr>sample_wld_az2_host7_vrms_ip</vt:lpstr>
      <vt:lpstr>sample_wld_az2_host8_fqdn</vt:lpstr>
      <vt:lpstr>sample_wld_az2_host8_mgmt_ip</vt:lpstr>
      <vt:lpstr>sample_wld_az2_host8_vrms_ip</vt:lpstr>
      <vt:lpstr>sample_wld_az2_host9_fqdn</vt:lpstr>
      <vt:lpstr>sample_wld_az2_host9_mgmt_ip</vt:lpstr>
      <vt:lpstr>sample_wld_az2_host9_vrms_ip</vt:lpstr>
      <vt:lpstr>sample_wld_az2_mgmt_cidr</vt:lpstr>
      <vt:lpstr>sample_wld_az2_mgmt_gateway_ip</vt:lpstr>
      <vt:lpstr>sample_wld_az2_mgmt_mtu</vt:lpstr>
      <vt:lpstr>sample_wld_az2_mgmt_vlan</vt:lpstr>
      <vt:lpstr>sample_wld_az2_pool_name</vt:lpstr>
      <vt:lpstr>sample_wld_az2_principal_storage_gateway_ip</vt:lpstr>
      <vt:lpstr>sample_wld_az2_principal_storage_mask</vt:lpstr>
      <vt:lpstr>sample_wld_az2_principal_storage_mtu</vt:lpstr>
      <vt:lpstr>sample_wld_az2_principal_storage_network</vt:lpstr>
      <vt:lpstr>sample_wld_az2_principal_storage_pool_end_ip</vt:lpstr>
      <vt:lpstr>sample_wld_az2_principal_storage_pool_start_ip</vt:lpstr>
      <vt:lpstr>sample_wld_az2_principal_storage_vlan</vt:lpstr>
      <vt:lpstr>sample_wld_az2_secondary_storage_gateway_ip</vt:lpstr>
      <vt:lpstr>sample_wld_az2_secondary_storage_mask</vt:lpstr>
      <vt:lpstr>sample_wld_az2_secondary_storage_mtu</vt:lpstr>
      <vt:lpstr>sample_wld_az2_secondary_storage_network</vt:lpstr>
      <vt:lpstr>sample_wld_az2_secondary_storage_pool_end_ip</vt:lpstr>
      <vt:lpstr>sample_wld_az2_secondary_storage_pool_start_ip</vt:lpstr>
      <vt:lpstr>sample_wld_az2_secondary_storage_vlan</vt:lpstr>
      <vt:lpstr>sample_wld_az2_storage_cluster_gateway_ip</vt:lpstr>
      <vt:lpstr>sample_wld_az2_storage_cluster_mask</vt:lpstr>
      <vt:lpstr>sample_wld_az2_storage_cluster_mtu</vt:lpstr>
      <vt:lpstr>sample_wld_az2_storage_cluster_network</vt:lpstr>
      <vt:lpstr>sample_wld_az2_storage_cluster_pool_end_ip</vt:lpstr>
      <vt:lpstr>sample_wld_az2_storage_cluster_pool_start_ip</vt:lpstr>
      <vt:lpstr>sample_wld_az2_storage_cluster_vlan</vt:lpstr>
      <vt:lpstr>sample_wld_az2_tor1_peer_asn</vt:lpstr>
      <vt:lpstr>sample_wld_az2_tor1_peer_bgp_password</vt:lpstr>
      <vt:lpstr>sample_wld_az2_tor1_peer_ip</vt:lpstr>
      <vt:lpstr>sample_wld_az2_tor2_peer_asn</vt:lpstr>
      <vt:lpstr>sample_wld_az2_tor2_peer_bgp_password</vt:lpstr>
      <vt:lpstr>sample_wld_az2_tor2_peer_ip</vt:lpstr>
      <vt:lpstr>sample_wld_az2_vmotion_gateway_ip</vt:lpstr>
      <vt:lpstr>sample_wld_az2_vmotion_mask</vt:lpstr>
      <vt:lpstr>sample_wld_az2_vmotion_mtu</vt:lpstr>
      <vt:lpstr>sample_wld_az2_vmotion_network</vt:lpstr>
      <vt:lpstr>sample_wld_az2_vmotion_pool_end_ip</vt:lpstr>
      <vt:lpstr>sample_wld_az2_vmotion_pool_start_ip</vt:lpstr>
      <vt:lpstr>sample_wld_az2_vmotion_vlan</vt:lpstr>
      <vt:lpstr>sample_wld_bf_nsxt_admin_password</vt:lpstr>
      <vt:lpstr>sample_wld_bf_nsxt_audit_password</vt:lpstr>
      <vt:lpstr>sample_wld_bf_nsxt_mgra_fqdn</vt:lpstr>
      <vt:lpstr>sample_wld_bf_nsxt_mgrb_fqdn</vt:lpstr>
      <vt:lpstr>sample_wld_bf_nsxt_mgrc_fqdn</vt:lpstr>
      <vt:lpstr>sample_wld_bf_nsxt_root_password</vt:lpstr>
      <vt:lpstr>sample_wld_bf_nsxt_vip_fqdn</vt:lpstr>
      <vt:lpstr>sample_wld_bf_sddc_domain</vt:lpstr>
      <vt:lpstr>sample_wld_bf_vc_fqdn</vt:lpstr>
      <vt:lpstr>sample_wld_bf_vc_root_password</vt:lpstr>
      <vt:lpstr>sample_wld_bf_vc_sso_password</vt:lpstr>
      <vt:lpstr>sample_wld_bf_vc_sso_username</vt:lpstr>
      <vt:lpstr>sample_wld_cl01_az1_mgmt_pg</vt:lpstr>
      <vt:lpstr>sample_wld_cl01_az1_mgmt_vm_pg</vt:lpstr>
      <vt:lpstr>sample_wld_cl01_az1_nsx_uplink_count</vt:lpstr>
      <vt:lpstr>sample_wld_cl01_az1_principal_storage_pg</vt:lpstr>
      <vt:lpstr>sample_wld_cl01_az1_uplink01_pg</vt:lpstr>
      <vt:lpstr>sample_wld_cl01_az1_uplink02_pg</vt:lpstr>
      <vt:lpstr>sample_wld_cl01_az1_vmotion_pg</vt:lpstr>
      <vt:lpstr>sample_wld_cl01_az1_vsan_storage_client_pg</vt:lpstr>
      <vt:lpstr>sample_wld_cl01_cluster</vt:lpstr>
      <vt:lpstr>sample_wld_cl01_cluster_sddc_id</vt:lpstr>
      <vt:lpstr>sample_wld_cl01_cluster_zn_name</vt:lpstr>
      <vt:lpstr>sample_wld_cl01_evc_mode</vt:lpstr>
      <vt:lpstr>sample_wld_cl01_image_name</vt:lpstr>
      <vt:lpstr>sample_wld_cl01_nfs_datastore_name</vt:lpstr>
      <vt:lpstr>sample_wld_cl01_nfs_server_address</vt:lpstr>
      <vt:lpstr>sample_wld_cl01_nfs_share_path</vt:lpstr>
      <vt:lpstr>sample_wld_cl01_supervisor_control_plane_ip_range</vt:lpstr>
      <vt:lpstr>sample_wld_cl01_supervisor_dns</vt:lpstr>
      <vt:lpstr>sample_wld_cl01_supervisor_ext_ip_block_gateway_cidr</vt:lpstr>
      <vt:lpstr>sample_wld_cl01_supervisor_ext_ip_block_vlan</vt:lpstr>
      <vt:lpstr>sample_wld_cl01_supervisor_name</vt:lpstr>
      <vt:lpstr>sample_wld_cl01_supervisor_nsx_project</vt:lpstr>
      <vt:lpstr>sample_wld_cl01_supervisor_ntp</vt:lpstr>
      <vt:lpstr>sample_wld_cl01_supervisor_private_transit_gateway_cidr</vt:lpstr>
      <vt:lpstr>sample_wld_cl01_supervisor_service_cidr</vt:lpstr>
      <vt:lpstr>sample_wld_cl01_supervisor_vpc_profile</vt:lpstr>
      <vt:lpstr>sample_wld_cl01_vds01_lag_name</vt:lpstr>
      <vt:lpstr>sample_wld_cl01_vds01_mtu</vt:lpstr>
      <vt:lpstr>sample_wld_cl01_vds01_name</vt:lpstr>
      <vt:lpstr>sample_wld_cl01_vds01_pnics</vt:lpstr>
      <vt:lpstr>sample_wld_cl01_vds01_uplink_count</vt:lpstr>
      <vt:lpstr>sample_wld_cl01_vds02_lag_name</vt:lpstr>
      <vt:lpstr>sample_wld_cl01_vds02_mtu</vt:lpstr>
      <vt:lpstr>sample_wld_cl01_vds02_name</vt:lpstr>
      <vt:lpstr>sample_wld_cl01_vds02_pnics</vt:lpstr>
      <vt:lpstr>sample_wld_cl01_vds02_uplink_count</vt:lpstr>
      <vt:lpstr>sample_wld_cl01_vds03_lag_name</vt:lpstr>
      <vt:lpstr>sample_wld_cl01_vds03_mtu</vt:lpstr>
      <vt:lpstr>sample_wld_cl01_vds03_name</vt:lpstr>
      <vt:lpstr>sample_wld_cl01_vds03_pnics</vt:lpstr>
      <vt:lpstr>sample_wld_cl01_vds03_uplink_count</vt:lpstr>
      <vt:lpstr>sample_wld_cl01_vmfs_datastore_name</vt:lpstr>
      <vt:lpstr>sample_wld_cl01_vsan_datastore</vt:lpstr>
      <vt:lpstr>sample_wld_cl01_vsan_dit_rekey_custom_interval</vt:lpstr>
      <vt:lpstr>sample_wld_cl01_vsan_dit_rekey_default_interval</vt:lpstr>
      <vt:lpstr>sample_wld_datacenter</vt:lpstr>
      <vt:lpstr>sample_wld_day2_vnaa_cidr</vt:lpstr>
      <vt:lpstr>sample_wld_day2_vnaa_fqdn</vt:lpstr>
      <vt:lpstr>sample_wld_day2_vnab_cidr</vt:lpstr>
      <vt:lpstr>sample_wld_day2_vnab_fqdn</vt:lpstr>
      <vt:lpstr>sample_wld_ec_mtu</vt:lpstr>
      <vt:lpstr>sample_wld_ec_name</vt:lpstr>
      <vt:lpstr>sample_wld_ec_rp_name</vt:lpstr>
      <vt:lpstr>sample_wld_ec01_en01_host_group_affinity_rule_name</vt:lpstr>
      <vt:lpstr>sample_wld_ec01_en02_host_group_affinity_rule_name</vt:lpstr>
      <vt:lpstr>sample_wld_en_asn</vt:lpstr>
      <vt:lpstr>sample_wld_esx_root_password</vt:lpstr>
      <vt:lpstr>sample_wld_esx_root_username</vt:lpstr>
      <vt:lpstr>sample_wld_existing_active_nsx_gm</vt:lpstr>
      <vt:lpstr>sample_wld_existing_cross_instance_t0_name</vt:lpstr>
      <vt:lpstr>sample_wld_host_overlay_transportzone</vt:lpstr>
      <vt:lpstr>sample_wld_nsx_vlan_transport_zone_name</vt:lpstr>
      <vt:lpstr>sample_wld_nsxt_en_admin_password</vt:lpstr>
      <vt:lpstr>sample_wld_nsxt_en_root_password</vt:lpstr>
      <vt:lpstr>sample_wld_nsxt_federation_global_manager_name</vt:lpstr>
      <vt:lpstr>sample_wld_nsxt_federation_location_name</vt:lpstr>
      <vt:lpstr>sample_wld_nsxt_global_mgr_anti_affinity_rule_name</vt:lpstr>
      <vt:lpstr>sample_wld_nsxt_global_mgr_certificate_id</vt:lpstr>
      <vt:lpstr>sample_wld_nsxt_global_mgr_cluster_id</vt:lpstr>
      <vt:lpstr>sample_wld_nsxt_global_mgr_vmca_signed_thumbprint</vt:lpstr>
      <vt:lpstr>sample_wld_nsxt_global_mgra_fqdn</vt:lpstr>
      <vt:lpstr>sample_wld_nsxt_global_mgra_hostname</vt:lpstr>
      <vt:lpstr>sample_wld_nsxt_global_mgra_ip</vt:lpstr>
      <vt:lpstr>sample_wld_nsxt_global_mgrb_fqdn</vt:lpstr>
      <vt:lpstr>sample_wld_nsxt_global_mgrb_hostname</vt:lpstr>
      <vt:lpstr>sample_wld_nsxt_global_mgrb_ip</vt:lpstr>
      <vt:lpstr>sample_wld_nsxt_global_mgrc_fqdn</vt:lpstr>
      <vt:lpstr>sample_wld_nsxt_global_mgrc_hostname</vt:lpstr>
      <vt:lpstr>sample_wld_nsxt_global_mgrc_ip</vt:lpstr>
      <vt:lpstr>sample_wld_nsxt_gm_admin_password</vt:lpstr>
      <vt:lpstr>sample_wld_nsxt_gm_audit_password</vt:lpstr>
      <vt:lpstr>sample_wld_nsxt_gm_fingerprint</vt:lpstr>
      <vt:lpstr>sample_wld_nsxt_gm_root_password</vt:lpstr>
      <vt:lpstr>sample_wld_nsxt_gm_vip_fqdn</vt:lpstr>
      <vt:lpstr>sample_wld_nsxt_gm_vip_ip</vt:lpstr>
      <vt:lpstr>sample_wld_nsxt_lm_admin_password</vt:lpstr>
      <vt:lpstr>sample_wld_nsxt_lm_audit_password</vt:lpstr>
      <vt:lpstr>sample_wld_nsxt_lm_fingerprint</vt:lpstr>
      <vt:lpstr>sample_wld_nsxt_mgra_fqdn</vt:lpstr>
      <vt:lpstr>sample_wld_nsxt_mgra_ip</vt:lpstr>
      <vt:lpstr>sample_wld_nsxt_mgrb_fqdn</vt:lpstr>
      <vt:lpstr>sample_wld_nsxt_mgrb_ip</vt:lpstr>
      <vt:lpstr>sample_wld_nsxt_mgrc_fqdn</vt:lpstr>
      <vt:lpstr>sample_wld_nsxt_mgrc_ip</vt:lpstr>
      <vt:lpstr>sample_wld_nsxt_vip_fqdn</vt:lpstr>
      <vt:lpstr>sample_wld_nsxt_vip_ip</vt:lpstr>
      <vt:lpstr>sample_wld_nsxt_xreg_t1_name</vt:lpstr>
      <vt:lpstr>sample_wld_rack2_en_asn</vt:lpstr>
      <vt:lpstr>sample_wld_rack3_en_asn</vt:lpstr>
      <vt:lpstr>sample_wld_rack4_en_asn</vt:lpstr>
      <vt:lpstr>sample_wld_rack5_en_asn</vt:lpstr>
      <vt:lpstr>sample_wld_rack6_en_asn</vt:lpstr>
      <vt:lpstr>sample_wld_rack7_en_asn</vt:lpstr>
      <vt:lpstr>sample_wld_rack8_en_asn</vt:lpstr>
      <vt:lpstr>sample_wld_rtep_overlay_pool_end_ip</vt:lpstr>
      <vt:lpstr>sample_wld_rtep_overlay_pool_start_ip</vt:lpstr>
      <vt:lpstr>sample_wld_rwr_az1_vrms_gateway_ip</vt:lpstr>
      <vt:lpstr>sample_wld_rwr_az1_vrms_gateway_mask</vt:lpstr>
      <vt:lpstr>sample_wld_rwr_cl02_cluster</vt:lpstr>
      <vt:lpstr>sample_wld_rwr_cl02_vds01</vt:lpstr>
      <vt:lpstr>sample_wld_rwr_recovery_site_az1_vrms_cidr</vt:lpstr>
      <vt:lpstr>sample_wld_rwr_recovery_site_nsx_ec_name</vt:lpstr>
      <vt:lpstr>sample_wld_rwr_recovery_site_nsx_ec_t0_name</vt:lpstr>
      <vt:lpstr>sample_wld_rwr_recovery_site_nsx_ec_t1_name</vt:lpstr>
      <vt:lpstr>sample_wld_rwr_recovery_site_nsx_fqdn</vt:lpstr>
      <vt:lpstr>sample_wld_rwr_recovery_site_vc_fqdn</vt:lpstr>
      <vt:lpstr>sample_wld_rwr_recoverysite_fd</vt:lpstr>
      <vt:lpstr>sample_wld_rwr_vc_fqdn</vt:lpstr>
      <vt:lpstr>sample_wld_rwr_vcfops_vlsr_username</vt:lpstr>
      <vt:lpstr>sample_wld_rwr_vcfops_vr_username</vt:lpstr>
      <vt:lpstr>sample_wld_sddc_domain</vt:lpstr>
      <vt:lpstr>sample_wld_srm_admin_email</vt:lpstr>
      <vt:lpstr>sample_wld_srm_admin_password</vt:lpstr>
      <vt:lpstr>sample_wld_srm_database_password</vt:lpstr>
      <vt:lpstr>sample_wld_srm_hostname</vt:lpstr>
      <vt:lpstr>sample_wld_srm_ip</vt:lpstr>
      <vt:lpstr>sample_wld_srm_p12_password</vt:lpstr>
      <vt:lpstr>sample_wld_srm_recovery_vcenter_fqdn</vt:lpstr>
      <vt:lpstr>sample_wld_srm_recovery_vcenter_password</vt:lpstr>
      <vt:lpstr>sample_wld_srm_recovery_vcenter_username</vt:lpstr>
      <vt:lpstr>sample_wld_srm_root_password</vt:lpstr>
      <vt:lpstr>sample_wld_srm_site_name</vt:lpstr>
      <vt:lpstr>sample_wld_srm_sso_domain_membership</vt:lpstr>
      <vt:lpstr>sample_wld_srm_vm_folder</vt:lpstr>
      <vt:lpstr>sample_wld_sso_domain_name</vt:lpstr>
      <vt:lpstr>sample_wld_supvr_api_server_fqdn</vt:lpstr>
      <vt:lpstr>sample_wld_supvr_cp_storage_policy</vt:lpstr>
      <vt:lpstr>sample_wld_supvr_ed_storage_policy</vt:lpstr>
      <vt:lpstr>sample_wld_supvr_ic_storage_policy</vt:lpstr>
      <vt:lpstr>sample_wld_supvr_ip_address_range</vt:lpstr>
      <vt:lpstr>sample_wld_supvr_mgmt_dns_server</vt:lpstr>
      <vt:lpstr>sample_wld_supvr_mgmt_dns_zones</vt:lpstr>
      <vt:lpstr>sample_wld_supvr_mgmt_ntp_server</vt:lpstr>
      <vt:lpstr>sample_wld_supvr_name</vt:lpstr>
      <vt:lpstr>sample_wld_supvr_nsx_project</vt:lpstr>
      <vt:lpstr>sample_wld_supvr_vpc_connectivity_profile</vt:lpstr>
      <vt:lpstr>sample_wld_supvr_vpc_ext_ip_blocks_name</vt:lpstr>
      <vt:lpstr>sample_wld_supvr_vpc_priv_cidr</vt:lpstr>
      <vt:lpstr>sample_wld_supvr_vpc_priv_ip_blocks_name</vt:lpstr>
      <vt:lpstr>sample_wld_supvr_vpc_service_cidr</vt:lpstr>
      <vt:lpstr>sample_wld_supvr_wld_dns_server</vt:lpstr>
      <vt:lpstr>sample_wld_supvr_wld_ntp_server</vt:lpstr>
      <vt:lpstr>sample_wld_supvr_zone_name</vt:lpstr>
      <vt:lpstr>sample_wld_tier0_name</vt:lpstr>
      <vt:lpstr>sample_wld_vc_fqdn</vt:lpstr>
      <vt:lpstr>sample_wld_vc_ip</vt:lpstr>
      <vt:lpstr>sample_wld_vcenter_root_password</vt:lpstr>
      <vt:lpstr>sample_wld_vlr_admin_password</vt:lpstr>
      <vt:lpstr>sample_wld_vlr_fqdn</vt:lpstr>
      <vt:lpstr>sample_wld_vlr_hostname</vt:lpstr>
      <vt:lpstr>sample_wld_vlr_mgmt_ip</vt:lpstr>
      <vt:lpstr>sample_wld_vlr_replication_user</vt:lpstr>
      <vt:lpstr>sample_wld_vlr_root_password</vt:lpstr>
      <vt:lpstr>sample_wld_vna_rp_name</vt:lpstr>
      <vt:lpstr>sample_wld_vnaa_fqdn</vt:lpstr>
      <vt:lpstr>sample_wld_vnaa_ip</vt:lpstr>
      <vt:lpstr>sample_wld_vnab_fqdn</vt:lpstr>
      <vt:lpstr>sample_wld_vnab_ip</vt:lpstr>
      <vt:lpstr>sample_wld_vpc_ext_ip_blocks_cidr</vt:lpstr>
      <vt:lpstr>sample_wld_vpc_ext_ip_blocks_excluded_ips</vt:lpstr>
      <vt:lpstr>sample_wld_vpc_ext_ip_blocks_name</vt:lpstr>
      <vt:lpstr>sample_wld_vpc_ext_ip_blocks_reserved</vt:lpstr>
      <vt:lpstr>sample_wld_vpc_ext_ip_blocks_visability</vt:lpstr>
      <vt:lpstr>sample_wld_vpc_priv_ip_blocks_excluded_ips</vt:lpstr>
      <vt:lpstr>sample_wld_vpc_priv_ip_blocks_name</vt:lpstr>
      <vt:lpstr>sample_wld_vpc_priv_ip_blocks_reserved</vt:lpstr>
      <vt:lpstr>sample_wld_vpc_priv_ip_blocks_visability</vt:lpstr>
      <vt:lpstr>sample_wld_vpc_transit_gateway_ip_blocks_cidr</vt:lpstr>
      <vt:lpstr>sample_wld_vpc_vna_cluster_name</vt:lpstr>
      <vt:lpstr>sample_wld_vrms_admin_email</vt:lpstr>
      <vt:lpstr>sample_wld_vrms_admin_password</vt:lpstr>
      <vt:lpstr>sample_wld_vrms_hostname</vt:lpstr>
      <vt:lpstr>sample_wld_vrms_mgmt_ip</vt:lpstr>
      <vt:lpstr>sample_wld_vrms_p12_password</vt:lpstr>
      <vt:lpstr>sample_wld_vrms_pg</vt:lpstr>
      <vt:lpstr>sample_wld_vrms_recovery_replication_cidr</vt:lpstr>
      <vt:lpstr>sample_wld_vrms_root_password</vt:lpstr>
      <vt:lpstr>sample_wld_vrms_site_name</vt:lpstr>
      <vt:lpstr>sample_wld_vrms_vm_folder</vt:lpstr>
      <vt:lpstr>sample_wld_vrms_vrms_ip</vt:lpstr>
      <vt:lpstr>sample_wld_witness_cluster</vt:lpstr>
      <vt:lpstr>sample_wld_witness_dns1_ip</vt:lpstr>
      <vt:lpstr>sample_wld_witness_dns2_ip</vt:lpstr>
      <vt:lpstr>sample_wld_witness_fqdn</vt:lpstr>
      <vt:lpstr>sample_wld_witness_hostname</vt:lpstr>
      <vt:lpstr>sample_wld_witness_ip</vt:lpstr>
      <vt:lpstr>sample_wld_witness_mgmt_pg</vt:lpstr>
      <vt:lpstr>sample_wld_witness_ntp1_server</vt:lpstr>
      <vt:lpstr>sample_wld_witness_ntp2_server</vt:lpstr>
      <vt:lpstr>sample_wld_witness_root_password</vt:lpstr>
      <vt:lpstr>sample_wld_witness_vm_folder</vt:lpstr>
      <vt:lpstr>sample_wld_witness_vsan_datastore</vt:lpstr>
      <vt:lpstr>sample_wld_witness_zone_vc_fqdn</vt:lpstr>
      <vt:lpstr>sample_wld_witness_zone_vc_ip</vt:lpstr>
      <vt:lpstr>sample_wld_witnessaz_mgmt_cidr</vt:lpstr>
      <vt:lpstr>sample_wld_witnessaz_mgmt_gateway_ip</vt:lpstr>
      <vt:lpstr>sample_wld_witnessaz_mgmt_mtu</vt:lpstr>
      <vt:lpstr>sample_wld_witnessaz_mgmt_vlan</vt:lpstr>
      <vt:lpstr>sample_xreg_seg01_name</vt:lpstr>
      <vt:lpstr>sample_xreg_vra_admin_password</vt:lpstr>
      <vt:lpstr>sample_xreg_vra_prefix</vt:lpstr>
      <vt:lpstr>sample_xreg_vra_virtual_fqdn</vt:lpstr>
      <vt:lpstr>sample_xreg_vra_virtual_ip</vt:lpstr>
      <vt:lpstr>sample_xreg_vra_vm_folder</vt:lpstr>
      <vt:lpstr>sample_xreg_vrops_admin_password</vt:lpstr>
      <vt:lpstr>sample_xreg_vrops_collector_fqdn</vt:lpstr>
      <vt:lpstr>sample_xreg_vrops_collector_ip</vt:lpstr>
      <vt:lpstr>sample_xreg_vrops_collector_root_password</vt:lpstr>
      <vt:lpstr>sample_xreg_vrops_nodea_fqdn</vt:lpstr>
      <vt:lpstr>sample_xreg_vrops_nodea_ip</vt:lpstr>
      <vt:lpstr>sample_xreg_vrops_nodeb_fqdn</vt:lpstr>
      <vt:lpstr>sample_xreg_vrops_nodeb_ip</vt:lpstr>
      <vt:lpstr>sample_xreg_vrops_nodec_fqdn</vt:lpstr>
      <vt:lpstr>sample_xreg_vrops_nodec_ip</vt:lpstr>
      <vt:lpstr>sample_xreg_vrops_root_password</vt:lpstr>
      <vt:lpstr>sample_xreg_vrops_srm_sso_password</vt:lpstr>
      <vt:lpstr>sample_xreg_vrops_srm_sso_username</vt:lpstr>
      <vt:lpstr>sample_xreg_vrops_virtual_fqdn</vt:lpstr>
      <vt:lpstr>sample_xreg_vrops_virtual_ip</vt:lpstr>
      <vt:lpstr>sample_xreg_vrops_vm_folder</vt:lpstr>
      <vt:lpstr>sample_xreg_vrops_vrms_sso_password</vt:lpstr>
      <vt:lpstr>sample_xreg_vrops_vrms_sso_username</vt:lpstr>
      <vt:lpstr>sample_xreg_wsa_vm_folder</vt:lpstr>
      <vt:lpstr>sample_xregion_dns1_ip</vt:lpstr>
      <vt:lpstr>sample_xregion_dns2_ip</vt:lpstr>
      <vt:lpstr>sample_xregion_ntp1_server</vt:lpstr>
      <vt:lpstr>sample_xregion_ntp2_server</vt:lpstr>
      <vt:lpstr>sddc_mgr_admin_local_password</vt:lpstr>
      <vt:lpstr>sddc_mgr_fqdn</vt:lpstr>
      <vt:lpstr>sddc_mgr_hostname</vt:lpstr>
      <vt:lpstr>sddc_mgr_ip</vt:lpstr>
      <vt:lpstr>sddc_mgr_root_password</vt:lpstr>
      <vt:lpstr>sddc_mgr_vcf_password</vt:lpstr>
      <vt:lpstr>sddc_mgr_vcf_username</vt:lpstr>
      <vt:lpstr>sftp_server</vt:lpstr>
      <vt:lpstr>sftp_server_backup_dir</vt:lpstr>
      <vt:lpstr>sftp_server_ip</vt:lpstr>
      <vt:lpstr>sftp_server_passphrase</vt:lpstr>
      <vt:lpstr>sftp_server_port</vt:lpstr>
      <vt:lpstr>sftp_server_protocol</vt:lpstr>
      <vt:lpstr>sftp_server_sshfingerprint</vt:lpstr>
      <vt:lpstr>shared_edge_and_compute</vt:lpstr>
      <vt:lpstr>sizing_advanced_m01_nsxt_appliance_size</vt:lpstr>
      <vt:lpstr>sizing_advanced_m01_nsxt_model</vt:lpstr>
      <vt:lpstr>sizing_advanced_m01_vcenter_appliance_size</vt:lpstr>
      <vt:lpstr>sizing_advanced_m01_vcenter_storage_size_chosen</vt:lpstr>
      <vt:lpstr>sizing_advanced_mgmt_chosen</vt:lpstr>
      <vt:lpstr>sizing_advanced_vcfauto_chosen</vt:lpstr>
      <vt:lpstr>sizing_advanced_vcfops_collector_chosen</vt:lpstr>
      <vt:lpstr>sizing_advanced_vcfops_model_chosen</vt:lpstr>
      <vt:lpstr>sizing_advanced_vcfops_size_chosen</vt:lpstr>
      <vt:lpstr>sizing_cbr_cpu</vt:lpstr>
      <vt:lpstr>sizing_cbr_disk</vt:lpstr>
      <vt:lpstr>sizing_cbr_ram</vt:lpstr>
      <vt:lpstr>sizing_ccm_hcx_cpu</vt:lpstr>
      <vt:lpstr>sizing_ccm_hcx_disk</vt:lpstr>
      <vt:lpstr>sizing_ccm_hcx_ram</vt:lpstr>
      <vt:lpstr>sizing_cpu_oversubscription</vt:lpstr>
      <vt:lpstr>sizing_disk_groups_per_host</vt:lpstr>
      <vt:lpstr>sizing_estimated_growth</vt:lpstr>
      <vt:lpstr>sizing_hrm_hvm_cpu</vt:lpstr>
      <vt:lpstr>sizing_hrm_hvm_disk</vt:lpstr>
      <vt:lpstr>sizing_hrm_hvm_ram</vt:lpstr>
      <vt:lpstr>sizing_inv_cpu</vt:lpstr>
      <vt:lpstr>sizing_inv_platform_node_cpu</vt:lpstr>
      <vt:lpstr>sizing_log_replicas_large</vt:lpstr>
      <vt:lpstr>sizing_log_replicas_medium</vt:lpstr>
      <vt:lpstr>sizing_log_replicas_small</vt:lpstr>
      <vt:lpstr>sizing_m01_included</vt:lpstr>
      <vt:lpstr>sizing_m01_nsxt_appliance_size</vt:lpstr>
      <vt:lpstr>sizing_m01_nsxt_edge_size</vt:lpstr>
      <vt:lpstr>sizing_m01_nsxt_gm_appliance_size</vt:lpstr>
      <vt:lpstr>sizing_m01_nsxt_gm_appliance_size_chosen</vt:lpstr>
      <vt:lpstr>sizing_m01_nsxt_model</vt:lpstr>
      <vt:lpstr>sizing_m01_ssp_chosen</vt:lpstr>
      <vt:lpstr>sizing_m01_supervisor_mode</vt:lpstr>
      <vt:lpstr>sizing_m01_supervisor_size</vt:lpstr>
      <vt:lpstr>sizing_m01_vcenter_appliance_size</vt:lpstr>
      <vt:lpstr>sizing_m01_vcenter_storage_size_chosen</vt:lpstr>
      <vt:lpstr>sizing_mgmt_avi_lb_appliance_size</vt:lpstr>
      <vt:lpstr>sizing_mgmt_cluster_host_core_count</vt:lpstr>
      <vt:lpstr>sizing_mgmt_cluster_host_ram_count</vt:lpstr>
      <vt:lpstr>sizing_nsxt_edge_sizing_list</vt:lpstr>
      <vt:lpstr>sizing_nsxt_manager_size_list</vt:lpstr>
      <vt:lpstr>sizing_ram_oversubscription</vt:lpstr>
      <vt:lpstr>sizing_sddc_manager_cpu</vt:lpstr>
      <vt:lpstr>sizing_sddc_manager_disk</vt:lpstr>
      <vt:lpstr>sizing_sddc_manager_ram</vt:lpstr>
      <vt:lpstr>sizing_storage_type</vt:lpstr>
      <vt:lpstr>sizing_table_ssp_lic_cpu</vt:lpstr>
      <vt:lpstr>sizing_table_ssp_lic_disk</vt:lpstr>
      <vt:lpstr>sizing_table_ssp_lic_ram</vt:lpstr>
      <vt:lpstr>sizing_vcenter_appliance_size_list</vt:lpstr>
      <vt:lpstr>sizing_vcenter_storage_size_list</vt:lpstr>
      <vt:lpstr>sizing_vcf_deployment_model</vt:lpstr>
      <vt:lpstr>sizing_vcf_deployment_model_chosen</vt:lpstr>
      <vt:lpstr>sizing_vcf_deployment_model_small</vt:lpstr>
      <vt:lpstr>sizing_vcf_deployment_size_chosen</vt:lpstr>
      <vt:lpstr>sizing_vcf_instance_model</vt:lpstr>
      <vt:lpstr>sizing_vcfauto_chosen</vt:lpstr>
      <vt:lpstr>sizing_vcfms_chosen</vt:lpstr>
      <vt:lpstr>sizing_vcfops_ca_chosen</vt:lpstr>
      <vt:lpstr>sizing_vcfops_collector_chosen</vt:lpstr>
      <vt:lpstr>sizing_vcfops_ha_chosen</vt:lpstr>
      <vt:lpstr>sizing_vcfops_logs_chosen</vt:lpstr>
      <vt:lpstr>sizing_vcfops_logs_replica_count_chosen</vt:lpstr>
      <vt:lpstr>sizing_vcfops_net_chosen</vt:lpstr>
      <vt:lpstr>sizing_vcfrtm_chosen</vt:lpstr>
      <vt:lpstr>sizing_vcfsd_chosen</vt:lpstr>
      <vt:lpstr>sizing_vcfvidb_chosen</vt:lpstr>
      <vt:lpstr>sizing_vdefend_licensing_hub_chosen</vt:lpstr>
      <vt:lpstr>sizing_virtual_machine_overhead</vt:lpstr>
      <vt:lpstr>sizing_vm_cpu_requirements</vt:lpstr>
      <vt:lpstr>sizing_vm_ram_requirements</vt:lpstr>
      <vt:lpstr>sizing_vm_storage_requirements</vt:lpstr>
      <vt:lpstr>sizing_w01_avi_appliance_size</vt:lpstr>
      <vt:lpstr>sizing_w01_chosen</vt:lpstr>
      <vt:lpstr>sizing_w01_gm_chosen</vt:lpstr>
      <vt:lpstr>sizing_w01_nsxt_appliance_size</vt:lpstr>
      <vt:lpstr>sizing_w01_nsxt_gm_appliance_size</vt:lpstr>
      <vt:lpstr>sizing_w01_nsxt_model</vt:lpstr>
      <vt:lpstr>sizing_w01_spr_chosen</vt:lpstr>
      <vt:lpstr>sizing_w01_ssp_chosen</vt:lpstr>
      <vt:lpstr>sizing_w01_vcenter_appliance_size</vt:lpstr>
      <vt:lpstr>sizing_w01_vcenter_storage_size</vt:lpstr>
      <vt:lpstr>sizing_w02_avi_appliance_size</vt:lpstr>
      <vt:lpstr>sizing_w02_chosen</vt:lpstr>
      <vt:lpstr>sizing_w02_gm_chosen</vt:lpstr>
      <vt:lpstr>sizing_w02_nsxt_appliance_size</vt:lpstr>
      <vt:lpstr>sizing_w02_nsxt_gm_appliance_size</vt:lpstr>
      <vt:lpstr>sizing_w02_nsxt_model</vt:lpstr>
      <vt:lpstr>sizing_w02_spr_chosen</vt:lpstr>
      <vt:lpstr>sizing_w02_ssp_chosen</vt:lpstr>
      <vt:lpstr>sizing_w02_vcenter_appliance_size</vt:lpstr>
      <vt:lpstr>sizing_w02_vcenter_storage_size</vt:lpstr>
      <vt:lpstr>sizing_w03_avi_appliance_size</vt:lpstr>
      <vt:lpstr>sizing_w03_chosen</vt:lpstr>
      <vt:lpstr>sizing_w03_gm_chosen</vt:lpstr>
      <vt:lpstr>sizing_w03_nsxt_appliance_size</vt:lpstr>
      <vt:lpstr>sizing_w03_nsxt_gm_appliance_size</vt:lpstr>
      <vt:lpstr>sizing_w03_nsxt_model</vt:lpstr>
      <vt:lpstr>sizing_w03_spr_chosen</vt:lpstr>
      <vt:lpstr>sizing_w03_ssp_chosen</vt:lpstr>
      <vt:lpstr>sizing_w03_vcenter_appliance_size</vt:lpstr>
      <vt:lpstr>sizing_w03_vcenter_storage_size</vt:lpstr>
      <vt:lpstr>sizing_w04_avi_appliance_size</vt:lpstr>
      <vt:lpstr>sizing_w04_chosen</vt:lpstr>
      <vt:lpstr>sizing_w04_gm_chosen</vt:lpstr>
      <vt:lpstr>sizing_w04_nsxt_appliance_size</vt:lpstr>
      <vt:lpstr>sizing_w04_nsxt_gm_appliance_size</vt:lpstr>
      <vt:lpstr>sizing_w04_nsxt_model</vt:lpstr>
      <vt:lpstr>sizing_w04_spr_chosen</vt:lpstr>
      <vt:lpstr>sizing_w04_ssp_chosen</vt:lpstr>
      <vt:lpstr>sizing_w04_vcenter_appliance_size</vt:lpstr>
      <vt:lpstr>sizing_w04_vcenter_storage_size</vt:lpstr>
      <vt:lpstr>sizing_w05_avi_appliance_size</vt:lpstr>
      <vt:lpstr>sizing_w05_chosen</vt:lpstr>
      <vt:lpstr>sizing_w05_gm_chosen</vt:lpstr>
      <vt:lpstr>sizing_w05_nsxt_appliance_size</vt:lpstr>
      <vt:lpstr>sizing_w05_nsxt_gm_appliance_size</vt:lpstr>
      <vt:lpstr>sizing_w05_nsxt_model</vt:lpstr>
      <vt:lpstr>sizing_w05_spr_chosen</vt:lpstr>
      <vt:lpstr>sizing_w05_ssp_chosen</vt:lpstr>
      <vt:lpstr>sizing_w05_vcenter_appliance_size</vt:lpstr>
      <vt:lpstr>sizing_w05_vcenter_storage_size</vt:lpstr>
      <vt:lpstr>sizing_w06_avi_appliance_size</vt:lpstr>
      <vt:lpstr>sizing_w06_chosen</vt:lpstr>
      <vt:lpstr>sizing_w06_gm_chosen</vt:lpstr>
      <vt:lpstr>sizing_w06_nsxt_appliance_size</vt:lpstr>
      <vt:lpstr>sizing_w06_nsxt_gm_appliance_size</vt:lpstr>
      <vt:lpstr>sizing_w06_nsxt_model</vt:lpstr>
      <vt:lpstr>sizing_w06_spr_chosen</vt:lpstr>
      <vt:lpstr>sizing_w06_ssp_chosen</vt:lpstr>
      <vt:lpstr>sizing_w06_vcenter_appliance_size</vt:lpstr>
      <vt:lpstr>sizing_w06_vcenter_storage_size</vt:lpstr>
      <vt:lpstr>sizing_w07_avi_appliance_size</vt:lpstr>
      <vt:lpstr>sizing_w07_chosen</vt:lpstr>
      <vt:lpstr>sizing_w07_gm_chosen</vt:lpstr>
      <vt:lpstr>sizing_w07_nsxt_appliance_size</vt:lpstr>
      <vt:lpstr>sizing_w07_nsxt_gm_appliance_size</vt:lpstr>
      <vt:lpstr>sizing_w07_nsxt_model</vt:lpstr>
      <vt:lpstr>sizing_w07_spr_chosen</vt:lpstr>
      <vt:lpstr>sizing_w07_ssp_chosen</vt:lpstr>
      <vt:lpstr>sizing_w07_vcenter_appliance_size</vt:lpstr>
      <vt:lpstr>sizing_w07_vcenter_storage_size</vt:lpstr>
      <vt:lpstr>sizing_w08_avi_appliance_size</vt:lpstr>
      <vt:lpstr>sizing_w08_chosen</vt:lpstr>
      <vt:lpstr>sizing_w08_gm_chosen</vt:lpstr>
      <vt:lpstr>sizing_w08_nsxt_appliance_size</vt:lpstr>
      <vt:lpstr>sizing_w08_nsxt_gm_appliance_size</vt:lpstr>
      <vt:lpstr>sizing_w08_nsxt_model</vt:lpstr>
      <vt:lpstr>sizing_w08_spr_chosen</vt:lpstr>
      <vt:lpstr>sizing_w08_ssp_chosen</vt:lpstr>
      <vt:lpstr>sizing_w08_vcenter_appliance_size</vt:lpstr>
      <vt:lpstr>sizing_w08_vcenter_storage_size</vt:lpstr>
      <vt:lpstr>sizing_w09_avi_appliance_size</vt:lpstr>
      <vt:lpstr>sizing_w09_chosen</vt:lpstr>
      <vt:lpstr>sizing_w09_gm_chosen</vt:lpstr>
      <vt:lpstr>sizing_w09_nsxt_appliance_size</vt:lpstr>
      <vt:lpstr>sizing_w09_nsxt_gm_appliance_size</vt:lpstr>
      <vt:lpstr>sizing_w09_nsxt_model</vt:lpstr>
      <vt:lpstr>sizing_w09_spr_chosen</vt:lpstr>
      <vt:lpstr>sizing_w09_ssp_chosen</vt:lpstr>
      <vt:lpstr>sizing_w09_vcenter_appliance_size</vt:lpstr>
      <vt:lpstr>sizing_w09_vcenter_storage_size</vt:lpstr>
      <vt:lpstr>sizing_w10_avi_appliance_size</vt:lpstr>
      <vt:lpstr>sizing_w10_chosen</vt:lpstr>
      <vt:lpstr>sizing_w10_gm_chosen</vt:lpstr>
      <vt:lpstr>sizing_w10_nsxt_appliance_size</vt:lpstr>
      <vt:lpstr>sizing_w10_nsxt_gm_appliance_size</vt:lpstr>
      <vt:lpstr>sizing_w10_nsxt_model</vt:lpstr>
      <vt:lpstr>sizing_w10_spr_chosen</vt:lpstr>
      <vt:lpstr>sizing_w10_ssp_chosen</vt:lpstr>
      <vt:lpstr>sizing_w10_vcenter_appliance_size</vt:lpstr>
      <vt:lpstr>sizing_w10_vcenter_storage_size</vt:lpstr>
      <vt:lpstr>sizing_w11_avi_appliance_size</vt:lpstr>
      <vt:lpstr>sizing_w11_chosen</vt:lpstr>
      <vt:lpstr>sizing_w11_gm_chosen</vt:lpstr>
      <vt:lpstr>sizing_w11_nsxt_appliance_size</vt:lpstr>
      <vt:lpstr>sizing_w11_nsxt_gm_appliance_size</vt:lpstr>
      <vt:lpstr>sizing_w11_nsxt_model</vt:lpstr>
      <vt:lpstr>sizing_w11_spr_chosen</vt:lpstr>
      <vt:lpstr>sizing_w11_ssp_chosen</vt:lpstr>
      <vt:lpstr>sizing_w11_vcenter_appliance_size</vt:lpstr>
      <vt:lpstr>sizing_w11_vcenter_storage_size</vt:lpstr>
      <vt:lpstr>sizing_w12_avi_appliance_size</vt:lpstr>
      <vt:lpstr>sizing_w12_chosen</vt:lpstr>
      <vt:lpstr>sizing_w12_gm_chosen</vt:lpstr>
      <vt:lpstr>sizing_w12_nsxt_appliance_size</vt:lpstr>
      <vt:lpstr>sizing_w12_nsxt_gm_appliance_size</vt:lpstr>
      <vt:lpstr>sizing_w12_nsxt_model</vt:lpstr>
      <vt:lpstr>sizing_w12_spr_chosen</vt:lpstr>
      <vt:lpstr>sizing_w12_ssp_chosen</vt:lpstr>
      <vt:lpstr>sizing_w12_vcenter_appliance_size</vt:lpstr>
      <vt:lpstr>sizing_w12_vcenter_storage_size</vt:lpstr>
      <vt:lpstr>sizing_w13_avi_appliance_size</vt:lpstr>
      <vt:lpstr>sizing_w13_chosen</vt:lpstr>
      <vt:lpstr>sizing_w13_gm_chosen</vt:lpstr>
      <vt:lpstr>sizing_w13_nsxt_appliance_size</vt:lpstr>
      <vt:lpstr>sizing_w13_nsxt_gm_appliance_size</vt:lpstr>
      <vt:lpstr>sizing_w13_nsxt_model</vt:lpstr>
      <vt:lpstr>sizing_w13_spr_chosen</vt:lpstr>
      <vt:lpstr>sizing_w13_ssp_chosen</vt:lpstr>
      <vt:lpstr>sizing_w13_vcenter_appliance_size</vt:lpstr>
      <vt:lpstr>sizing_w13_vcenter_storage_size</vt:lpstr>
      <vt:lpstr>sizing_w14_avi_appliance_size</vt:lpstr>
      <vt:lpstr>sizing_w14_chosen</vt:lpstr>
      <vt:lpstr>sizing_w14_gm_chosen</vt:lpstr>
      <vt:lpstr>sizing_w14_nsxt_appliance_size</vt:lpstr>
      <vt:lpstr>sizing_w14_nsxt_gm_appliance_size</vt:lpstr>
      <vt:lpstr>sizing_w14_nsxt_model</vt:lpstr>
      <vt:lpstr>sizing_w14_spr_chosen</vt:lpstr>
      <vt:lpstr>sizing_w14_ssp_chosen</vt:lpstr>
      <vt:lpstr>sizing_w14_vcenter_appliance_size</vt:lpstr>
      <vt:lpstr>sizing_w14_vcenter_storage_size</vt:lpstr>
      <vt:lpstr>sizing_w15_avi_appliance_size</vt:lpstr>
      <vt:lpstr>sizing_w15_chosen</vt:lpstr>
      <vt:lpstr>sizing_w15_gm_chosen</vt:lpstr>
      <vt:lpstr>sizing_w15_nsxt_appliance_size</vt:lpstr>
      <vt:lpstr>sizing_w15_nsxt_gm_appliance_size</vt:lpstr>
      <vt:lpstr>sizing_w15_nsxt_model</vt:lpstr>
      <vt:lpstr>sizing_w15_spr_chosen</vt:lpstr>
      <vt:lpstr>sizing_w15_ssp_chosen</vt:lpstr>
      <vt:lpstr>sizing_w15_vcenter_appliance_size</vt:lpstr>
      <vt:lpstr>sizing_w15_vcenter_storage_size</vt:lpstr>
      <vt:lpstr>sizing_w16_avi_appliance_size</vt:lpstr>
      <vt:lpstr>sizing_w16_chosen</vt:lpstr>
      <vt:lpstr>sizing_w16_gm_chosen</vt:lpstr>
      <vt:lpstr>sizing_w16_nsxt_appliance_size</vt:lpstr>
      <vt:lpstr>sizing_w16_nsxt_gm_appliance_size</vt:lpstr>
      <vt:lpstr>sizing_w16_nsxt_model</vt:lpstr>
      <vt:lpstr>sizing_w16_spr_chosen</vt:lpstr>
      <vt:lpstr>sizing_w16_ssp_chosen</vt:lpstr>
      <vt:lpstr>sizing_w16_vcenter_appliance_size</vt:lpstr>
      <vt:lpstr>sizing_w16_vcenter_storage_size</vt:lpstr>
      <vt:lpstr>sizing_w17_avi_appliance_size</vt:lpstr>
      <vt:lpstr>sizing_w17_chosen</vt:lpstr>
      <vt:lpstr>sizing_w17_gm_chosen</vt:lpstr>
      <vt:lpstr>sizing_w17_nsxt_appliance_size</vt:lpstr>
      <vt:lpstr>sizing_w17_nsxt_gm_appliance_size</vt:lpstr>
      <vt:lpstr>sizing_w17_nsxt_model</vt:lpstr>
      <vt:lpstr>sizing_w17_spr_chosen</vt:lpstr>
      <vt:lpstr>sizing_w17_ssp_chosen</vt:lpstr>
      <vt:lpstr>sizing_w17_vcenter_appliance_size</vt:lpstr>
      <vt:lpstr>sizing_w17_vcenter_storage_size</vt:lpstr>
      <vt:lpstr>sizing_w18_avi_appliance_size</vt:lpstr>
      <vt:lpstr>sizing_w18_chosen</vt:lpstr>
      <vt:lpstr>sizing_w18_gm_chosen</vt:lpstr>
      <vt:lpstr>sizing_w18_nsxt_appliance_size</vt:lpstr>
      <vt:lpstr>sizing_w18_nsxt_gm_appliance_size</vt:lpstr>
      <vt:lpstr>sizing_w18_nsxt_model</vt:lpstr>
      <vt:lpstr>sizing_w18_spr_chosen</vt:lpstr>
      <vt:lpstr>sizing_w18_ssp_chosen</vt:lpstr>
      <vt:lpstr>sizing_w18_vcenter_appliance_size</vt:lpstr>
      <vt:lpstr>sizing_w18_vcenter_storage_size</vt:lpstr>
      <vt:lpstr>sizing_w19_avi_appliance_size</vt:lpstr>
      <vt:lpstr>sizing_w19_chosen</vt:lpstr>
      <vt:lpstr>sizing_w19_gm_chosen</vt:lpstr>
      <vt:lpstr>sizing_w19_nsxt_appliance_size</vt:lpstr>
      <vt:lpstr>sizing_w19_nsxt_gm_appliance_size</vt:lpstr>
      <vt:lpstr>sizing_w19_nsxt_model</vt:lpstr>
      <vt:lpstr>sizing_w19_spr_chosen</vt:lpstr>
      <vt:lpstr>sizing_w19_ssp_chosen</vt:lpstr>
      <vt:lpstr>sizing_w19_vcenter_appliance_size</vt:lpstr>
      <vt:lpstr>sizing_w19_vcenter_storage_size</vt:lpstr>
      <vt:lpstr>sizing_w20_avi_appliance_size</vt:lpstr>
      <vt:lpstr>sizing_w20_chosen</vt:lpstr>
      <vt:lpstr>sizing_w20_gm_chosen</vt:lpstr>
      <vt:lpstr>sizing_w20_nsxt_appliance_size</vt:lpstr>
      <vt:lpstr>sizing_w20_nsxt_gm_appliance_size</vt:lpstr>
      <vt:lpstr>sizing_w20_nsxt_model</vt:lpstr>
      <vt:lpstr>sizing_w20_spr_chosen</vt:lpstr>
      <vt:lpstr>sizing_w20_ssp_chosen</vt:lpstr>
      <vt:lpstr>sizing_w20_vcenter_appliance_size</vt:lpstr>
      <vt:lpstr>sizing_w20_vcenter_storage_size</vt:lpstr>
      <vt:lpstr>sizing_w21_avi_appliance_size</vt:lpstr>
      <vt:lpstr>sizing_w21_chosen</vt:lpstr>
      <vt:lpstr>sizing_w21_gm_chosen</vt:lpstr>
      <vt:lpstr>sizing_w21_nsxt_appliance_size</vt:lpstr>
      <vt:lpstr>sizing_w21_nsxt_gm_appliance_size</vt:lpstr>
      <vt:lpstr>sizing_w21_nsxt_model</vt:lpstr>
      <vt:lpstr>sizing_w21_spr_chosen</vt:lpstr>
      <vt:lpstr>sizing_w21_ssp_chosen</vt:lpstr>
      <vt:lpstr>sizing_w21_vcenter_appliance_size</vt:lpstr>
      <vt:lpstr>sizing_w21_vcenter_storage_size</vt:lpstr>
      <vt:lpstr>sizing_w22_avi_appliance_size</vt:lpstr>
      <vt:lpstr>sizing_w22_chosen</vt:lpstr>
      <vt:lpstr>sizing_w22_gm_chosen</vt:lpstr>
      <vt:lpstr>sizing_w22_nsxt_appliance_size</vt:lpstr>
      <vt:lpstr>sizing_w22_nsxt_gm_appliance_size</vt:lpstr>
      <vt:lpstr>sizing_w22_nsxt_model</vt:lpstr>
      <vt:lpstr>sizing_w22_spr_chosen</vt:lpstr>
      <vt:lpstr>sizing_w22_ssp_chosen</vt:lpstr>
      <vt:lpstr>sizing_w22_vcenter_appliance_size</vt:lpstr>
      <vt:lpstr>sizing_w22_vcenter_storage_size</vt:lpstr>
      <vt:lpstr>sizing_w23_avi_appliance_size</vt:lpstr>
      <vt:lpstr>sizing_w23_chosen</vt:lpstr>
      <vt:lpstr>sizing_w23_gm_chosen</vt:lpstr>
      <vt:lpstr>sizing_w23_nsxt_appliance_size</vt:lpstr>
      <vt:lpstr>sizing_w23_nsxt_gm_appliance_size</vt:lpstr>
      <vt:lpstr>sizing_w23_nsxt_model</vt:lpstr>
      <vt:lpstr>sizing_w23_spr_chosen</vt:lpstr>
      <vt:lpstr>sizing_w23_ssp_chosen</vt:lpstr>
      <vt:lpstr>sizing_w23_vcenter_appliance_size</vt:lpstr>
      <vt:lpstr>sizing_w23_vcenter_storage_size</vt:lpstr>
      <vt:lpstr>sizing_w24_avi_appliance_size</vt:lpstr>
      <vt:lpstr>sizing_w24_chosen</vt:lpstr>
      <vt:lpstr>sizing_w24_gm_chosen</vt:lpstr>
      <vt:lpstr>sizing_w24_nsxt_appliance_size</vt:lpstr>
      <vt:lpstr>sizing_w24_nsxt_gm_appliance_size</vt:lpstr>
      <vt:lpstr>sizing_w24_nsxt_model</vt:lpstr>
      <vt:lpstr>sizing_w24_spr_chosen</vt:lpstr>
      <vt:lpstr>sizing_w24_ssp_chosen</vt:lpstr>
      <vt:lpstr>sizing_w24_vcenter_appliance_size</vt:lpstr>
      <vt:lpstr>sizing_w24_vcenter_storage_size</vt:lpstr>
      <vt:lpstr>sizing_w25_avi_appliance_size</vt:lpstr>
      <vt:lpstr>sizing_w25_chosen</vt:lpstr>
      <vt:lpstr>sizing_w25_gm_chosen</vt:lpstr>
      <vt:lpstr>sizing_w25_nsxt_appliance_size</vt:lpstr>
      <vt:lpstr>sizing_w25_nsxt_gm_appliance_size</vt:lpstr>
      <vt:lpstr>sizing_w25_nsxt_model</vt:lpstr>
      <vt:lpstr>sizing_w25_spr_chosen</vt:lpstr>
      <vt:lpstr>sizing_w25_ssp_chosen</vt:lpstr>
      <vt:lpstr>sizing_w25_vcenter_appliance_size</vt:lpstr>
      <vt:lpstr>sizing_w25_vcenter_storage_size</vt:lpstr>
      <vt:lpstr>sizing_w26_avi_appliance_size</vt:lpstr>
      <vt:lpstr>sizing_w26_chosen</vt:lpstr>
      <vt:lpstr>sizing_w26_gm_chosen</vt:lpstr>
      <vt:lpstr>sizing_w26_nsxt_appliance_size</vt:lpstr>
      <vt:lpstr>sizing_w26_nsxt_gm_appliance_size</vt:lpstr>
      <vt:lpstr>sizing_w26_nsxt_model</vt:lpstr>
      <vt:lpstr>sizing_w26_spr_chosen</vt:lpstr>
      <vt:lpstr>sizing_w26_ssp_chosen</vt:lpstr>
      <vt:lpstr>sizing_w26_vcenter_appliance_size</vt:lpstr>
      <vt:lpstr>sizing_w26_vcenter_storage_size</vt:lpstr>
      <vt:lpstr>sizing_w27_avi_appliance_size</vt:lpstr>
      <vt:lpstr>sizing_w27_chosen</vt:lpstr>
      <vt:lpstr>sizing_w27_gm_chosen</vt:lpstr>
      <vt:lpstr>sizing_w27_nsxt_appliance_size</vt:lpstr>
      <vt:lpstr>sizing_w27_nsxt_gm_appliance_size</vt:lpstr>
      <vt:lpstr>sizing_w27_nsxt_model</vt:lpstr>
      <vt:lpstr>sizing_w27_spr_chosen</vt:lpstr>
      <vt:lpstr>sizing_w27_ssp_chosen</vt:lpstr>
      <vt:lpstr>sizing_w27_vcenter_appliance_size</vt:lpstr>
      <vt:lpstr>sizing_w27_vcenter_storage_size</vt:lpstr>
      <vt:lpstr>sizing_w28_avi_appliance_size</vt:lpstr>
      <vt:lpstr>sizing_w28_chosen</vt:lpstr>
      <vt:lpstr>sizing_w28_gm_chosen</vt:lpstr>
      <vt:lpstr>sizing_w28_nsxt_appliance_size</vt:lpstr>
      <vt:lpstr>sizing_w28_nsxt_gm_appliance_size</vt:lpstr>
      <vt:lpstr>sizing_w28_nsxt_model</vt:lpstr>
      <vt:lpstr>sizing_w28_spr_chosen</vt:lpstr>
      <vt:lpstr>sizing_w28_ssp_chosen</vt:lpstr>
      <vt:lpstr>sizing_w28_vcenter_appliance_size</vt:lpstr>
      <vt:lpstr>sizing_w28_vcenter_storage_size</vt:lpstr>
      <vt:lpstr>sizing_w29_avi_appliance_size</vt:lpstr>
      <vt:lpstr>sizing_w29_chosen</vt:lpstr>
      <vt:lpstr>sizing_w29_gm_chosen</vt:lpstr>
      <vt:lpstr>sizing_w29_nsxt_appliance_size</vt:lpstr>
      <vt:lpstr>sizing_w29_nsxt_gm_appliance_size</vt:lpstr>
      <vt:lpstr>sizing_w29_nsxt_model</vt:lpstr>
      <vt:lpstr>sizing_w29_spr_chosen</vt:lpstr>
      <vt:lpstr>sizing_w29_ssp_chosen</vt:lpstr>
      <vt:lpstr>sizing_w29_vcenter_appliance_size</vt:lpstr>
      <vt:lpstr>sizing_w29_vcenter_storage_size</vt:lpstr>
      <vt:lpstr>sizing_w30_avi_appliance_size</vt:lpstr>
      <vt:lpstr>sizing_w30_chosen</vt:lpstr>
      <vt:lpstr>sizing_w30_gm_chosen</vt:lpstr>
      <vt:lpstr>sizing_w30_nsxt_appliance_size</vt:lpstr>
      <vt:lpstr>sizing_w30_nsxt_gm_appliance_size</vt:lpstr>
      <vt:lpstr>sizing_w30_nsxt_model</vt:lpstr>
      <vt:lpstr>sizing_w30_spr_chosen</vt:lpstr>
      <vt:lpstr>sizing_w30_ssp_chosen</vt:lpstr>
      <vt:lpstr>sizing_w30_vcenter_appliance_size</vt:lpstr>
      <vt:lpstr>sizing_w30_vcenter_storage_size</vt:lpstr>
      <vt:lpstr>sizing_w31_avi_appliance_size</vt:lpstr>
      <vt:lpstr>sizing_w31_chosen</vt:lpstr>
      <vt:lpstr>sizing_w31_gm_chosen</vt:lpstr>
      <vt:lpstr>sizing_w31_nsxt_appliance_size</vt:lpstr>
      <vt:lpstr>sizing_w31_nsxt_gm_appliance_size</vt:lpstr>
      <vt:lpstr>sizing_w31_nsxt_model</vt:lpstr>
      <vt:lpstr>sizing_w31_spr_chosen</vt:lpstr>
      <vt:lpstr>sizing_w31_ssp_chosen</vt:lpstr>
      <vt:lpstr>sizing_w31_vcenter_appliance_size</vt:lpstr>
      <vt:lpstr>sizing_w31_vcenter_storage_size</vt:lpstr>
      <vt:lpstr>sizing_w32_avi_appliance_size</vt:lpstr>
      <vt:lpstr>sizing_w32_chosen</vt:lpstr>
      <vt:lpstr>sizing_w32_gm_chosen</vt:lpstr>
      <vt:lpstr>sizing_w32_nsxt_appliance_size</vt:lpstr>
      <vt:lpstr>sizing_w32_nsxt_gm_appliance_size</vt:lpstr>
      <vt:lpstr>sizing_w32_nsxt_model</vt:lpstr>
      <vt:lpstr>sizing_w32_spr_chosen</vt:lpstr>
      <vt:lpstr>sizing_w32_ssp_chosen</vt:lpstr>
      <vt:lpstr>sizing_w32_vcenter_appliance_size</vt:lpstr>
      <vt:lpstr>sizing_w32_vcenter_storage_size</vt:lpstr>
      <vt:lpstr>sizing_w33_avi_appliance_size</vt:lpstr>
      <vt:lpstr>sizing_w33_chosen</vt:lpstr>
      <vt:lpstr>sizing_w33_gm_chosen</vt:lpstr>
      <vt:lpstr>sizing_w33_nsxt_appliance_size</vt:lpstr>
      <vt:lpstr>sizing_w33_nsxt_gm_appliance_size</vt:lpstr>
      <vt:lpstr>sizing_w33_nsxt_model</vt:lpstr>
      <vt:lpstr>sizing_w33_spr_chosen</vt:lpstr>
      <vt:lpstr>sizing_w33_ssp_chosen</vt:lpstr>
      <vt:lpstr>sizing_w33_vcenter_appliance_size</vt:lpstr>
      <vt:lpstr>sizing_w33_vcenter_storage_size</vt:lpstr>
      <vt:lpstr>sizing_w34_avi_appliance_size</vt:lpstr>
      <vt:lpstr>sizing_w34_chosen</vt:lpstr>
      <vt:lpstr>sizing_w34_gm_chosen</vt:lpstr>
      <vt:lpstr>sizing_w34_nsxt_appliance_size</vt:lpstr>
      <vt:lpstr>sizing_w34_nsxt_gm_appliance_size</vt:lpstr>
      <vt:lpstr>sizing_w34_nsxt_model</vt:lpstr>
      <vt:lpstr>sizing_w34_spr_chosen</vt:lpstr>
      <vt:lpstr>sizing_w34_ssp_chosen</vt:lpstr>
      <vt:lpstr>sizing_w34_vcenter_appliance_size</vt:lpstr>
      <vt:lpstr>sizing_w34_vcenter_storage_size</vt:lpstr>
      <vt:lpstr>sizing_w35_avi_appliance_size</vt:lpstr>
      <vt:lpstr>sizing_w35_chosen</vt:lpstr>
      <vt:lpstr>sizing_w35_gm_chosen</vt:lpstr>
      <vt:lpstr>sizing_w35_nsxt_appliance_size</vt:lpstr>
      <vt:lpstr>sizing_w35_nsxt_gm_appliance_size</vt:lpstr>
      <vt:lpstr>sizing_w35_nsxt_model</vt:lpstr>
      <vt:lpstr>sizing_w35_spr_chosen</vt:lpstr>
      <vt:lpstr>sizing_w35_ssp_chosen</vt:lpstr>
      <vt:lpstr>sizing_w35_vcenter_appliance_size</vt:lpstr>
      <vt:lpstr>sizing_w35_vcenter_storage_size</vt:lpstr>
      <vt:lpstr>sizing_wld_nsxt_gm_appliance_size_chosen</vt:lpstr>
      <vt:lpstr>smtp_server</vt:lpstr>
      <vt:lpstr>smtp_server_port</vt:lpstr>
      <vt:lpstr>spr_chosen</vt:lpstr>
      <vt:lpstr>spr_mo_result</vt:lpstr>
      <vt:lpstr>spr_mw_result</vt:lpstr>
      <vt:lpstr>spr_result</vt:lpstr>
      <vt:lpstr>spr_wo_result</vt:lpstr>
      <vt:lpstr>srm_appliance_size</vt:lpstr>
      <vt:lpstr>sso_default_admin</vt:lpstr>
      <vt:lpstr>storage_autopolicy</vt:lpstr>
      <vt:lpstr>storage_ftt</vt:lpstr>
      <vt:lpstr>svc_my_vmware_password</vt:lpstr>
      <vt:lpstr>svc_vcf_bck_password</vt:lpstr>
      <vt:lpstr>svc_vrops_nsx_password</vt:lpstr>
      <vt:lpstr>svc_vrops_vsan_password</vt:lpstr>
      <vt:lpstr>svc_vrops_vsphere_password</vt:lpstr>
      <vt:lpstr>table_avi_lb_cpu</vt:lpstr>
      <vt:lpstr>table_avi_lb_disk</vt:lpstr>
      <vt:lpstr>table_avi_lb_ram</vt:lpstr>
      <vt:lpstr>table_cidr_to_mask</vt:lpstr>
      <vt:lpstr>table_fleet_cpu</vt:lpstr>
      <vt:lpstr>table_fleet_ram</vt:lpstr>
      <vt:lpstr>table_idbroker_cpu</vt:lpstr>
      <vt:lpstr>table_idbroker_disk</vt:lpstr>
      <vt:lpstr>table_idbroker_ram</vt:lpstr>
      <vt:lpstr>table_identity_broker_cpu</vt:lpstr>
      <vt:lpstr>table_identity_broker_disk</vt:lpstr>
      <vt:lpstr>table_identity_broker_ram</vt:lpstr>
      <vt:lpstr>table_logman_worker_cpu</vt:lpstr>
      <vt:lpstr>table_logman_worker_ram</vt:lpstr>
      <vt:lpstr>table_mask_to_cidr</vt:lpstr>
      <vt:lpstr>table_masks</vt:lpstr>
      <vt:lpstr>table_nsxt_deployment_model</vt:lpstr>
      <vt:lpstr>table_nsxt_deployment_model_dedicated</vt:lpstr>
      <vt:lpstr>table_nsxt_edge_cpu</vt:lpstr>
      <vt:lpstr>table_nsxt_edge_disk_gb</vt:lpstr>
      <vt:lpstr>table_nsxt_edge_ram</vt:lpstr>
      <vt:lpstr>table_nsxt_manager_cpu</vt:lpstr>
      <vt:lpstr>table_nsxt_manager_disk_gb</vt:lpstr>
      <vt:lpstr>table_nsxt_manager_ram</vt:lpstr>
      <vt:lpstr>table_salt_cpu</vt:lpstr>
      <vt:lpstr>table_salt_raas_cpu</vt:lpstr>
      <vt:lpstr>table_salt_raas_ram</vt:lpstr>
      <vt:lpstr>table_salt_ram</vt:lpstr>
      <vt:lpstr>table_sddc_lcm_cpu</vt:lpstr>
      <vt:lpstr>table_sddc_lcm_ram</vt:lpstr>
      <vt:lpstr>table_sizing_vcfms_cpu</vt:lpstr>
      <vt:lpstr>table_sizing_vcfms_disk</vt:lpstr>
      <vt:lpstr>table_sizing_vcfms_ram</vt:lpstr>
      <vt:lpstr>table_software_depot_cpu</vt:lpstr>
      <vt:lpstr>table_software_depot_disk</vt:lpstr>
      <vt:lpstr>table_software_depot_ram</vt:lpstr>
      <vt:lpstr>table_srm_cpu</vt:lpstr>
      <vt:lpstr>table_srm_disk</vt:lpstr>
      <vt:lpstr>table_srm_ram</vt:lpstr>
      <vt:lpstr>table_ssp_controller</vt:lpstr>
      <vt:lpstr>table_ssp_cpu</vt:lpstr>
      <vt:lpstr>table_ssp_disk</vt:lpstr>
      <vt:lpstr>table_ssp_ram</vt:lpstr>
      <vt:lpstr>table_ssp_sizes</vt:lpstr>
      <vt:lpstr>table_ssp_sspi</vt:lpstr>
      <vt:lpstr>table_ssp_sspi_cpu</vt:lpstr>
      <vt:lpstr>table_ssp_sspi_disk</vt:lpstr>
      <vt:lpstr>table_ssp_sspi_ram</vt:lpstr>
      <vt:lpstr>table_ssp_workers</vt:lpstr>
      <vt:lpstr>table_supervisor_cpu</vt:lpstr>
      <vt:lpstr>table_supervisor_disk</vt:lpstr>
      <vt:lpstr>table_supervisor_ram</vt:lpstr>
      <vt:lpstr>table_telemetry_cpu</vt:lpstr>
      <vt:lpstr>table_telemetry_ram</vt:lpstr>
      <vt:lpstr>table_vcenter_appliance_cpu</vt:lpstr>
      <vt:lpstr>table_vcenter_appliance_ram</vt:lpstr>
      <vt:lpstr>table_vcenter_disk_gb</vt:lpstr>
      <vt:lpstr>table_vcf_version5x_mgmt_vlcm_image</vt:lpstr>
      <vt:lpstr>table_vcf_version5x_mgmt_vlcm_type</vt:lpstr>
      <vt:lpstr>table_vcf_version5x_mgmt_vsan_type</vt:lpstr>
      <vt:lpstr>table_vcf_version5x_wld_storage_type</vt:lpstr>
      <vt:lpstr>table_vcf_version9x_cluster_storage_type</vt:lpstr>
      <vt:lpstr>table_vcfa_appliance_cpu</vt:lpstr>
      <vt:lpstr>table_vcfa_appliance_disk</vt:lpstr>
      <vt:lpstr>table_vcfa_appliance_ram</vt:lpstr>
      <vt:lpstr>table_vcfms_control_cpu</vt:lpstr>
      <vt:lpstr>table_vcfms_control_disk</vt:lpstr>
      <vt:lpstr>table_vcfms_control_nodes</vt:lpstr>
      <vt:lpstr>table_vcfms_control_ram</vt:lpstr>
      <vt:lpstr>table_vcfms_worker_cpu</vt:lpstr>
      <vt:lpstr>table_vcfms_worker_disk</vt:lpstr>
      <vt:lpstr>table_vcfms_worker_nodes</vt:lpstr>
      <vt:lpstr>table_vcfms_worker_ram</vt:lpstr>
      <vt:lpstr>table_vcfo_appliance_cpu</vt:lpstr>
      <vt:lpstr>table_vcfo_appliance_disk</vt:lpstr>
      <vt:lpstr>table_vcfo_appliance_ram</vt:lpstr>
      <vt:lpstr>table_vcfo_p_cpu</vt:lpstr>
      <vt:lpstr>table_vcfo_p_disk</vt:lpstr>
      <vt:lpstr>table_vcfo_p_ram</vt:lpstr>
      <vt:lpstr>table_vcfops_appliance_cpu</vt:lpstr>
      <vt:lpstr>table_vcfops_appliance_disk</vt:lpstr>
      <vt:lpstr>table_vcfops_appliance_ram</vt:lpstr>
      <vt:lpstr>table_vcfopsnet_appliance_cpu</vt:lpstr>
      <vt:lpstr>table_vcfopsnet_appliance_disk</vt:lpstr>
      <vt:lpstr>table_vcfopsnet_appliance_ram</vt:lpstr>
      <vt:lpstr>table_vcfopsnet_collector_cpu</vt:lpstr>
      <vt:lpstr>table_vcfopsnet_collector_disk</vt:lpstr>
      <vt:lpstr>table_vcfopsnet_collector_ram</vt:lpstr>
      <vt:lpstr>table_vodap_worker_cpu</vt:lpstr>
      <vt:lpstr>table_vodap_worker_ram</vt:lpstr>
      <vt:lpstr>table_vrli_appliance_cpu</vt:lpstr>
      <vt:lpstr>table_vrli_appliance_disk</vt:lpstr>
      <vt:lpstr>table_vrli_appliance_ram</vt:lpstr>
      <vt:lpstr>table_vrms_cpu</vt:lpstr>
      <vt:lpstr>table_vrms_disk</vt:lpstr>
      <vt:lpstr>table_vrms_ram</vt:lpstr>
      <vt:lpstr>this_instance</vt:lpstr>
      <vt:lpstr>user_svc_vcf_bck</vt:lpstr>
      <vt:lpstr>user_svc_vcf_ca_vcf</vt:lpstr>
      <vt:lpstr>user_svc_vrli_wsa</vt:lpstr>
      <vt:lpstr>user_svc_vrops_nsx</vt:lpstr>
      <vt:lpstr>user_svc_vrops_vsan</vt:lpstr>
      <vt:lpstr>user_svc_vrops_vsphere</vt:lpstr>
      <vt:lpstr>vcenter_root_password</vt:lpstr>
      <vt:lpstr>vcenter_sizing_limits</vt:lpstr>
      <vt:lpstr>vcf_automation_additional_vips</vt:lpstr>
      <vt:lpstr>vcf_automation_admin_password</vt:lpstr>
      <vt:lpstr>vcf_automation_admin_password_alias</vt:lpstr>
      <vt:lpstr>vcf_automation_admin_password_description</vt:lpstr>
      <vt:lpstr>vcf_automation_admin_username</vt:lpstr>
      <vt:lpstr>vcf_automation_cert_alias</vt:lpstr>
      <vt:lpstr>vcf_automation_cert_common_name</vt:lpstr>
      <vt:lpstr>vcf_automation_cert_country_code</vt:lpstr>
      <vt:lpstr>vcf_automation_cert_file</vt:lpstr>
      <vt:lpstr>vcf_automation_cert_key_length_chosen</vt:lpstr>
      <vt:lpstr>vcf_automation_cert_locality</vt:lpstr>
      <vt:lpstr>vcf_automation_cert_organisation</vt:lpstr>
      <vt:lpstr>vcf_automation_cert_state</vt:lpstr>
      <vt:lpstr>vcf_automation_cert_type_chosen</vt:lpstr>
      <vt:lpstr>vcf_automation_dpg</vt:lpstr>
      <vt:lpstr>vcf_automation_folder</vt:lpstr>
      <vt:lpstr>vcf_automation_gateway_cidr</vt:lpstr>
      <vt:lpstr>vcf_automation_gateway_ip</vt:lpstr>
      <vt:lpstr>vcf_automation_internal_cidr_chosen</vt:lpstr>
      <vt:lpstr>vcf_automation_lb_type_chosen</vt:lpstr>
      <vt:lpstr>vcf_automation_mask</vt:lpstr>
      <vt:lpstr>vcf_automation_node_prefix_chosen</vt:lpstr>
      <vt:lpstr>vcf_automation_nodea_ip</vt:lpstr>
      <vt:lpstr>vcf_automation_nodeb_ip</vt:lpstr>
      <vt:lpstr>vcf_automation_nodec_ip</vt:lpstr>
      <vt:lpstr>vcf_automation_noded_ip</vt:lpstr>
      <vt:lpstr>vcf_automation_nodee_ip</vt:lpstr>
      <vt:lpstr>vcf_automation_nodeef_ip</vt:lpstr>
      <vt:lpstr>vcf_automation_ou_cert</vt:lpstr>
      <vt:lpstr>vcf_automation_pool_type_chosen</vt:lpstr>
      <vt:lpstr>vcf_automation_portgroup</vt:lpstr>
      <vt:lpstr>vcf_automation_resource_pool</vt:lpstr>
      <vt:lpstr>vcf_automation_root_password</vt:lpstr>
      <vt:lpstr>vcf_automation_root_password_alias</vt:lpstr>
      <vt:lpstr>vcf_automation_root_password_description</vt:lpstr>
      <vt:lpstr>vcf_automation_root_username</vt:lpstr>
      <vt:lpstr>vcf_automation_runtime_cidr</vt:lpstr>
      <vt:lpstr>vcf_automation_runtime_ips</vt:lpstr>
      <vt:lpstr>vcf_automation_size_chosen</vt:lpstr>
      <vt:lpstr>vcf_automation_sr_fqdn</vt:lpstr>
      <vt:lpstr>vcf_automation_sr_ip</vt:lpstr>
      <vt:lpstr>vcf_automation_time_sync_mode_chosen</vt:lpstr>
      <vt:lpstr>vcf_automation_type_chosen</vt:lpstr>
      <vt:lpstr>vcf_automation_version</vt:lpstr>
      <vt:lpstr>vcf_automation_vip_fqdn</vt:lpstr>
      <vt:lpstr>vcf_automation_vip_ip</vt:lpstr>
      <vt:lpstr>vcf_granular_option_chosen</vt:lpstr>
      <vt:lpstr>vcf_granular_option_result</vt:lpstr>
      <vt:lpstr>vcf_installer_fqdn</vt:lpstr>
      <vt:lpstr>vcf_installer_hostname</vt:lpstr>
      <vt:lpstr>vcf_installer_ip</vt:lpstr>
      <vt:lpstr>vcf_instance_name</vt:lpstr>
      <vt:lpstr>vcf_pnp_option_no</vt:lpstr>
      <vt:lpstr>vcf_pnp_option_yes</vt:lpstr>
      <vt:lpstr>vcf_pnp_result_exclude</vt:lpstr>
      <vt:lpstr>vcf_pnp_result_excluded</vt:lpstr>
      <vt:lpstr>vcf_pnp_result_include</vt:lpstr>
      <vt:lpstr>vcf_pnp_result_included</vt:lpstr>
      <vt:lpstr>vcf_version</vt:lpstr>
      <vt:lpstr>vcf_version_chosen</vt:lpstr>
      <vt:lpstr>vcf_version_result</vt:lpstr>
      <vt:lpstr>vcf_vi_isolated_domain_count</vt:lpstr>
      <vt:lpstr>vcf_vi_wld_domain_count</vt:lpstr>
      <vt:lpstr>vcf_vidm_size_chosen</vt:lpstr>
      <vt:lpstr>vcfms_system_password</vt:lpstr>
      <vt:lpstr>vi_only_viable</vt:lpstr>
      <vt:lpstr>VMware_Cloud_Foundation</vt:lpstr>
      <vt:lpstr>VMware_vSphere_Foundation</vt:lpstr>
      <vt:lpstr>vrms_appliance_size</vt:lpstr>
      <vt:lpstr>vrslcm_xreg_vm_folder</vt:lpstr>
      <vt:lpstr>vs_dr_site_pair</vt:lpstr>
      <vt:lpstr>vsphere_8u1_evc_table</vt:lpstr>
      <vt:lpstr>vvf_mgmt_cl01_vds_standard_preconfigured_profiles</vt:lpstr>
      <vt:lpstr>vvs_dr_dns1_ip</vt:lpstr>
      <vt:lpstr>vvs_dr_dns2_ip</vt:lpstr>
      <vt:lpstr>vvs_dr_flt_auto_fqdn</vt:lpstr>
      <vt:lpstr>vvs_dr_flt_fleet_manager_fqdn</vt:lpstr>
      <vt:lpstr>vvs_dr_flt_fleet_manager_hostname</vt:lpstr>
      <vt:lpstr>vvs_dr_flt_logs_nodea_fqdn</vt:lpstr>
      <vt:lpstr>vvs_dr_flt_logs_nodea_hostname</vt:lpstr>
      <vt:lpstr>vvs_dr_flt_logs_nodeb_fqdn</vt:lpstr>
      <vt:lpstr>vvs_dr_flt_logs_nodeb_hostname</vt:lpstr>
      <vt:lpstr>vvs_dr_flt_logs_nodec_fqdn</vt:lpstr>
      <vt:lpstr>vvs_dr_flt_logs_nodec_hostname</vt:lpstr>
      <vt:lpstr>vvs_dr_flt_net_nodea_fqdn</vt:lpstr>
      <vt:lpstr>vvs_dr_flt_net_nodea_hostname</vt:lpstr>
      <vt:lpstr>vvs_dr_flt_net_nodeb_fqdn</vt:lpstr>
      <vt:lpstr>vvs_dr_flt_net_nodeb_hostname</vt:lpstr>
      <vt:lpstr>vvs_dr_flt_net_nodec_fqdn</vt:lpstr>
      <vt:lpstr>vvs_dr_flt_net_nodec_hostname</vt:lpstr>
      <vt:lpstr>vvs_dr_flt_ops_nodea_fqdn</vt:lpstr>
      <vt:lpstr>vvs_dr_flt_ops_nodea_hostname</vt:lpstr>
      <vt:lpstr>vvs_dr_flt_ops_nodeb_fqdn</vt:lpstr>
      <vt:lpstr>vvs_dr_flt_ops_nodeb_hostname</vt:lpstr>
      <vt:lpstr>vvs_dr_flt_ops_nodec_fqdn</vt:lpstr>
      <vt:lpstr>vvs_dr_flt_ops_nodec_hostname</vt:lpstr>
      <vt:lpstr>vvs_dr_mgmt_az1_mgmt_vm_pg</vt:lpstr>
      <vt:lpstr>vvs_dr_mgmt_cl01_cluster</vt:lpstr>
      <vt:lpstr>vvs_dr_mgmt_cl01_datastore</vt:lpstr>
      <vt:lpstr>vvs_dr_mgmt_vc_fqdn</vt:lpstr>
      <vt:lpstr>vvs_dr_ntp1_server</vt:lpstr>
      <vt:lpstr>vvs_dr_parent_dns_zone</vt:lpstr>
      <vt:lpstr>vvs_dr_sso_domain</vt:lpstr>
      <vt:lpstr>vvs_dr_vr_password</vt:lpstr>
      <vt:lpstr>vvs_dr_vr_username</vt:lpstr>
      <vt:lpstr>vvs_mgmt_dr_vlr_fqdn</vt:lpstr>
      <vt:lpstr>vvs_mgmt_dr_vlr_hostname</vt:lpstr>
      <vt:lpstr>witness_dns_zone</vt:lpstr>
      <vt:lpstr>witness_dns1_ip</vt:lpstr>
      <vt:lpstr>witness_dns2_ip</vt:lpstr>
      <vt:lpstr>witness_ntp1_server</vt:lpstr>
      <vt:lpstr>witness_ntp2_server</vt:lpstr>
      <vt:lpstr>wld_administrator_vsphere_local_password</vt:lpstr>
      <vt:lpstr>wld_avi_loadbalancer_chosen</vt:lpstr>
      <vt:lpstr>wld_avi_loadbalancer_result</vt:lpstr>
      <vt:lpstr>wld_avilb_cluster_formfactor_chosen</vt:lpstr>
      <vt:lpstr>wld_avilb_cluster_name</vt:lpstr>
      <vt:lpstr>wld_avilb_cluster_version</vt:lpstr>
      <vt:lpstr>wld_avilb_fqdn</vt:lpstr>
      <vt:lpstr>wld_avilb_ha_chosen</vt:lpstr>
      <vt:lpstr>wld_avilb_hostname</vt:lpstr>
      <vt:lpstr>wld_avilb_ip</vt:lpstr>
      <vt:lpstr>wld_avilb_mgra_ip</vt:lpstr>
      <vt:lpstr>wld_avilb_mgrb_ip</vt:lpstr>
      <vt:lpstr>wld_avilb_mgrc_ip</vt:lpstr>
      <vt:lpstr>wld_avilb_root_password</vt:lpstr>
      <vt:lpstr>wld_avilb_vcfops_password</vt:lpstr>
      <vt:lpstr>wld_az1_dtgw_gateway_cidr</vt:lpstr>
      <vt:lpstr>wld_az1_dtgw_vlan</vt:lpstr>
      <vt:lpstr>wld_az1_ec01_password_creation_chosen</vt:lpstr>
      <vt:lpstr>wld_az1_edge_overlay_cidr</vt:lpstr>
      <vt:lpstr>wld_az1_edge_overlay_gateway_ip</vt:lpstr>
      <vt:lpstr>wld_az1_edge_overlay_mask</vt:lpstr>
      <vt:lpstr>wld_az1_edge_overlay_mtu</vt:lpstr>
      <vt:lpstr>wld_az1_edge_overlay_network</vt:lpstr>
      <vt:lpstr>wld_az1_edge_overlay_network_pool_name</vt:lpstr>
      <vt:lpstr>wld_az1_edge_overlay_pg</vt:lpstr>
      <vt:lpstr>wld_az1_edge_overlay_pool_end_ip</vt:lpstr>
      <vt:lpstr>wld_az1_edge_overlay_pool_start_ip</vt:lpstr>
      <vt:lpstr>wld_az1_edge_overlay_vlan</vt:lpstr>
      <vt:lpstr>wld_az1_en1_edge_overlay_interface_ip_1_ip</vt:lpstr>
      <vt:lpstr>wld_az1_en1_edge_overlay_interface_ip_2_ip</vt:lpstr>
      <vt:lpstr>wld_az1_en1_edge_overlay_network_ip_allocation_chosen</vt:lpstr>
      <vt:lpstr>wld_az1_en1_eth0_uplink0</vt:lpstr>
      <vt:lpstr>wld_az1_en1_eth0_uplink1</vt:lpstr>
      <vt:lpstr>wld_az1_en1_eth1_uplink0</vt:lpstr>
      <vt:lpstr>wld_az1_en1_eth1_uplink1</vt:lpstr>
      <vt:lpstr>wld_az1_en1_fqdn</vt:lpstr>
      <vt:lpstr>wld_az1_en1_hostname</vt:lpstr>
      <vt:lpstr>wld_az1_en1_ip_allocation_chosen</vt:lpstr>
      <vt:lpstr>wld_az1_en1_mgmt_cidr</vt:lpstr>
      <vt:lpstr>wld_az1_en1_mgmt_ip</vt:lpstr>
      <vt:lpstr>wld_az1_en1_uplink_ip_assignment_chosen</vt:lpstr>
      <vt:lpstr>wld_az1_en1_uplink01_interface_cidr</vt:lpstr>
      <vt:lpstr>wld_az1_en1_uplink02_interface_cidr</vt:lpstr>
      <vt:lpstr>wld_az1_en2_edge_overlay_interface_ip_1_ip</vt:lpstr>
      <vt:lpstr>wld_az1_en2_edge_overlay_interface_ip_2_ip</vt:lpstr>
      <vt:lpstr>wld_az1_en2_eth0_uplink0</vt:lpstr>
      <vt:lpstr>wld_az1_en2_eth0_uplink1</vt:lpstr>
      <vt:lpstr>wld_az1_en2_eth1_uplink0</vt:lpstr>
      <vt:lpstr>wld_az1_en2_eth1_uplink1</vt:lpstr>
      <vt:lpstr>wld_az1_en2_fqdn</vt:lpstr>
      <vt:lpstr>wld_az1_en2_hostname</vt:lpstr>
      <vt:lpstr>wld_az1_en2_ip_allocation_chosen</vt:lpstr>
      <vt:lpstr>wld_az1_en2_mgmt_cidr</vt:lpstr>
      <vt:lpstr>wld_az1_en2_mgmt_ip</vt:lpstr>
      <vt:lpstr>wld_az1_en2_uplink01_interface_cidr</vt:lpstr>
      <vt:lpstr>wld_az1_en2_uplink02_interface_cidr</vt:lpstr>
      <vt:lpstr>wld_az1_host_fqdns</vt:lpstr>
      <vt:lpstr>wld_az1_host_hostnames</vt:lpstr>
      <vt:lpstr>wld_az1_host_mgmt_ips</vt:lpstr>
      <vt:lpstr>wld_az1_host_overlay_cidr</vt:lpstr>
      <vt:lpstr>wld_az1_host_overlay_gateway_ip</vt:lpstr>
      <vt:lpstr>wld_az1_host_overlay_mask</vt:lpstr>
      <vt:lpstr>wld_az1_host_overlay_mtu</vt:lpstr>
      <vt:lpstr>wld_az1_host_overlay_network</vt:lpstr>
      <vt:lpstr>wld_az1_host_overlay_network_pool_description</vt:lpstr>
      <vt:lpstr>wld_az1_host_overlay_network_pool_name</vt:lpstr>
      <vt:lpstr>wld_az1_host_overlay_network_profile_name</vt:lpstr>
      <vt:lpstr>wld_az1_host_overlay_new_pool_chosen</vt:lpstr>
      <vt:lpstr>wld_az1_host_overlay_pg</vt:lpstr>
      <vt:lpstr>wld_az1_host_overlay_pool_end_ip</vt:lpstr>
      <vt:lpstr>wld_az1_host_overlay_pool_start_ip</vt:lpstr>
      <vt:lpstr>wld_az1_host_overlay_transport_zone</vt:lpstr>
      <vt:lpstr>wld_az1_host_overlay_uplink_profile_name</vt:lpstr>
      <vt:lpstr>wld_az1_host_overlay_vlan</vt:lpstr>
      <vt:lpstr>wld_az1_host1_fqdn</vt:lpstr>
      <vt:lpstr>wld_az1_host1_hostname</vt:lpstr>
      <vt:lpstr>wld_az1_host1_mgmt_ip</vt:lpstr>
      <vt:lpstr>wld_az1_host1_vrms_ip</vt:lpstr>
      <vt:lpstr>wld_az1_host10_fqdn</vt:lpstr>
      <vt:lpstr>wld_az1_host10_hostname</vt:lpstr>
      <vt:lpstr>wld_az1_host10_mgmt_ip</vt:lpstr>
      <vt:lpstr>wld_az1_host10_vrms_ip</vt:lpstr>
      <vt:lpstr>wld_az1_host11_fqdn</vt:lpstr>
      <vt:lpstr>wld_az1_host11_hostname</vt:lpstr>
      <vt:lpstr>wld_az1_host11_mgmt_ip</vt:lpstr>
      <vt:lpstr>wld_az1_host11_vrms_ip</vt:lpstr>
      <vt:lpstr>wld_az1_host12_fqdn</vt:lpstr>
      <vt:lpstr>wld_az1_host12_hostname</vt:lpstr>
      <vt:lpstr>wld_az1_host12_mgmt_ip</vt:lpstr>
      <vt:lpstr>wld_az1_host12_vrms_ip</vt:lpstr>
      <vt:lpstr>wld_az1_host13_fqdn</vt:lpstr>
      <vt:lpstr>wld_az1_host13_hostname</vt:lpstr>
      <vt:lpstr>wld_az1_host13_mgmt_ip</vt:lpstr>
      <vt:lpstr>wld_az1_host13_vrms_ip</vt:lpstr>
      <vt:lpstr>wld_az1_host14_fqdn</vt:lpstr>
      <vt:lpstr>wld_az1_host14_hostname</vt:lpstr>
      <vt:lpstr>wld_az1_host14_mgmt_ip</vt:lpstr>
      <vt:lpstr>wld_az1_host14_vrms_ip</vt:lpstr>
      <vt:lpstr>wld_az1_host15_fqdn</vt:lpstr>
      <vt:lpstr>wld_az1_host15_hostname</vt:lpstr>
      <vt:lpstr>wld_az1_host15_mgmt_ip</vt:lpstr>
      <vt:lpstr>wld_az1_host15_vrms_ip</vt:lpstr>
      <vt:lpstr>wld_az1_host16_fqdn</vt:lpstr>
      <vt:lpstr>wld_az1_host16_hostname</vt:lpstr>
      <vt:lpstr>wld_az1_host16_mgmt_ip</vt:lpstr>
      <vt:lpstr>wld_az1_host16_vrms_ip</vt:lpstr>
      <vt:lpstr>wld_az1_host2_fqdn</vt:lpstr>
      <vt:lpstr>wld_az1_host2_hostname</vt:lpstr>
      <vt:lpstr>wld_az1_host2_mgmt_ip</vt:lpstr>
      <vt:lpstr>wld_az1_host2_vrms_ip</vt:lpstr>
      <vt:lpstr>wld_az1_host3_fqdn</vt:lpstr>
      <vt:lpstr>wld_az1_host3_hostname</vt:lpstr>
      <vt:lpstr>wld_az1_host3_mgmt_ip</vt:lpstr>
      <vt:lpstr>wld_az1_host3_vrms_ip</vt:lpstr>
      <vt:lpstr>wld_az1_host4_fqdn</vt:lpstr>
      <vt:lpstr>wld_az1_host4_hostname</vt:lpstr>
      <vt:lpstr>wld_az1_host4_mgmt_ip</vt:lpstr>
      <vt:lpstr>wld_az1_host4_vrms_ip</vt:lpstr>
      <vt:lpstr>wld_az1_host5_fqdn</vt:lpstr>
      <vt:lpstr>wld_az1_host5_hostname</vt:lpstr>
      <vt:lpstr>wld_az1_host5_mgmt_ip</vt:lpstr>
      <vt:lpstr>wld_az1_host5_vrms_ip</vt:lpstr>
      <vt:lpstr>wld_az1_host6_fqdn</vt:lpstr>
      <vt:lpstr>wld_az1_host6_hostname</vt:lpstr>
      <vt:lpstr>wld_az1_host6_mgmt_ip</vt:lpstr>
      <vt:lpstr>wld_az1_host6_vrms_ip</vt:lpstr>
      <vt:lpstr>wld_az1_host7_fqdn</vt:lpstr>
      <vt:lpstr>wld_az1_host7_hostname</vt:lpstr>
      <vt:lpstr>wld_az1_host7_mgmt_ip</vt:lpstr>
      <vt:lpstr>wld_az1_host7_vrms_ip</vt:lpstr>
      <vt:lpstr>wld_az1_host8_fqdn</vt:lpstr>
      <vt:lpstr>wld_az1_host8_hostname</vt:lpstr>
      <vt:lpstr>wld_az1_host8_mgmt_ip</vt:lpstr>
      <vt:lpstr>wld_az1_host8_vrms_ip</vt:lpstr>
      <vt:lpstr>wld_az1_host9_fqdn</vt:lpstr>
      <vt:lpstr>wld_az1_host9_hostname</vt:lpstr>
      <vt:lpstr>wld_az1_host9_mgmt_ip</vt:lpstr>
      <vt:lpstr>wld_az1_host9_vrms_ip</vt:lpstr>
      <vt:lpstr>wld_az1_mgmt_cidr</vt:lpstr>
      <vt:lpstr>wld_az1_mgmt_gateway_cidr</vt:lpstr>
      <vt:lpstr>wld_az1_mgmt_gateway_ip</vt:lpstr>
      <vt:lpstr>wld_az1_mgmt_mask</vt:lpstr>
      <vt:lpstr>wld_az1_mgmt_mtu</vt:lpstr>
      <vt:lpstr>wld_az1_mgmt_network</vt:lpstr>
      <vt:lpstr>wld_az1_mgmt_vlan</vt:lpstr>
      <vt:lpstr>wld_az1_mgmt_vm_cidr</vt:lpstr>
      <vt:lpstr>wld_az1_mgmt_vm_gateway_cidr</vt:lpstr>
      <vt:lpstr>wld_az1_mgmt_vm_gateway_ip</vt:lpstr>
      <vt:lpstr>wld_az1_mgmt_vm_mask</vt:lpstr>
      <vt:lpstr>wld_az1_mgmt_vm_mtu</vt:lpstr>
      <vt:lpstr>wld_az1_mgmt_vm_network</vt:lpstr>
      <vt:lpstr>wld_az1_mgmt_vm_vlan</vt:lpstr>
      <vt:lpstr>wld_az1_nsx_uplink1_active_chosen</vt:lpstr>
      <vt:lpstr>wld_az1_nsx_uplink2_active_chosen</vt:lpstr>
      <vt:lpstr>wld_az1_pool_name</vt:lpstr>
      <vt:lpstr>wld_az1_principal_storage_cidr</vt:lpstr>
      <vt:lpstr>wld_az1_principal_storage_gateway_cidr</vt:lpstr>
      <vt:lpstr>wld_az1_principal_storage_gateway_ip</vt:lpstr>
      <vt:lpstr>wld_az1_principal_storage_ip_assignment_chosen</vt:lpstr>
      <vt:lpstr>wld_az1_principal_storage_ip_scheme_chosen</vt:lpstr>
      <vt:lpstr>wld_az1_principal_storage_mask</vt:lpstr>
      <vt:lpstr>wld_az1_principal_storage_mtu</vt:lpstr>
      <vt:lpstr>wld_az1_principal_storage_network</vt:lpstr>
      <vt:lpstr>wld_az1_principal_storage_pool_end_ip</vt:lpstr>
      <vt:lpstr>wld_az1_principal_storage_pool_start_ip</vt:lpstr>
      <vt:lpstr>wld_az1_principal_storage_vlan</vt:lpstr>
      <vt:lpstr>wld_az1_rack2_edge_overlay_cidr</vt:lpstr>
      <vt:lpstr>wld_az1_rack2_edge_overlay_gateway_cidr</vt:lpstr>
      <vt:lpstr>wld_az1_rack2_edge_overlay_gateway_ip</vt:lpstr>
      <vt:lpstr>wld_az1_rack2_edge_overlay_mask</vt:lpstr>
      <vt:lpstr>wld_az1_rack2_edge_overlay_mtu</vt:lpstr>
      <vt:lpstr>wld_az1_rack2_edge_overlay_network</vt:lpstr>
      <vt:lpstr>wld_az1_rack2_edge_overlay_network_pool_name</vt:lpstr>
      <vt:lpstr>wld_az1_rack2_edge_overlay_pool_end_ip</vt:lpstr>
      <vt:lpstr>wld_az1_rack2_edge_overlay_pool_start_ip</vt:lpstr>
      <vt:lpstr>wld_az1_rack2_edge_overlay_vlan</vt:lpstr>
      <vt:lpstr>wld_az1_rack2_en1_edge_overlay_interface_ip_1_ip</vt:lpstr>
      <vt:lpstr>wld_az1_rack2_en1_edge_overlay_interface_ip_2_ip</vt:lpstr>
      <vt:lpstr>wld_az1_rack2_en1_fqdn</vt:lpstr>
      <vt:lpstr>wld_az1_rack2_en1_hostname</vt:lpstr>
      <vt:lpstr>wld_az1_rack2_en1_mgmt_ip</vt:lpstr>
      <vt:lpstr>wld_az1_rack2_en1_uplink01_interface_ip</vt:lpstr>
      <vt:lpstr>wld_az1_rack2_en1_uplink02_interface_ip</vt:lpstr>
      <vt:lpstr>wld_az1_rack2_en2_fqdn</vt:lpstr>
      <vt:lpstr>wld_az1_rack2_en2_hostname</vt:lpstr>
      <vt:lpstr>wld_az1_rack2_en2_mgmt_ip</vt:lpstr>
      <vt:lpstr>wld_az1_rack2_en2_uplink01_interface_ip</vt:lpstr>
      <vt:lpstr>wld_az1_rack2_en2_uplink02_interface_ip</vt:lpstr>
      <vt:lpstr>wld_az1_rack2_host_fqdns</vt:lpstr>
      <vt:lpstr>wld_az1_rack2_host_hostnames</vt:lpstr>
      <vt:lpstr>wld_az1_rack2_host_mgmt_ips</vt:lpstr>
      <vt:lpstr>wld_az1_rack2_host_overlay_cidr</vt:lpstr>
      <vt:lpstr>wld_az1_rack2_host_overlay_gateway_cidr</vt:lpstr>
      <vt:lpstr>wld_az1_rack2_host_overlay_gateway_ip</vt:lpstr>
      <vt:lpstr>wld_az1_rack2_host_overlay_mask</vt:lpstr>
      <vt:lpstr>wld_az1_rack2_host_overlay_mtu</vt:lpstr>
      <vt:lpstr>wld_az1_rack2_host_overlay_network</vt:lpstr>
      <vt:lpstr>wld_az1_rack2_host_overlay_network_pool_name</vt:lpstr>
      <vt:lpstr>wld_az1_rack2_host_overlay_network_profile_name</vt:lpstr>
      <vt:lpstr>wld_az1_rack2_host_overlay_new_pool_chosen</vt:lpstr>
      <vt:lpstr>wld_az1_rack2_host_overlay_pool_end_ip</vt:lpstr>
      <vt:lpstr>wld_az1_rack2_host_overlay_pool_start_ip</vt:lpstr>
      <vt:lpstr>wld_az1_rack2_host_overlay_uplink_profile_name</vt:lpstr>
      <vt:lpstr>wld_az1_rack2_host_overlay_vlan</vt:lpstr>
      <vt:lpstr>wld_az1_rack2_host1_fqdn</vt:lpstr>
      <vt:lpstr>wld_az1_rack2_host1_hostname</vt:lpstr>
      <vt:lpstr>wld_az1_rack2_host1_mgmt_ip</vt:lpstr>
      <vt:lpstr>wld_az1_rack2_host10_fqdn</vt:lpstr>
      <vt:lpstr>wld_az1_rack2_host10_hostname</vt:lpstr>
      <vt:lpstr>wld_az1_rack2_host10_mgmt_ip</vt:lpstr>
      <vt:lpstr>wld_az1_rack2_host11_fqdn</vt:lpstr>
      <vt:lpstr>wld_az1_rack2_host11_hostname</vt:lpstr>
      <vt:lpstr>wld_az1_rack2_host11_mgmt_ip</vt:lpstr>
      <vt:lpstr>wld_az1_rack2_host12_fqdn</vt:lpstr>
      <vt:lpstr>wld_az1_rack2_host12_hostname</vt:lpstr>
      <vt:lpstr>wld_az1_rack2_host12_mgmt_ip</vt:lpstr>
      <vt:lpstr>wld_az1_rack2_host13_fqdn</vt:lpstr>
      <vt:lpstr>wld_az1_rack2_host13_hostname</vt:lpstr>
      <vt:lpstr>wld_az1_rack2_host13_mgmt_ip</vt:lpstr>
      <vt:lpstr>wld_az1_rack2_host14_fqdn</vt:lpstr>
      <vt:lpstr>wld_az1_rack2_host14_hostname</vt:lpstr>
      <vt:lpstr>wld_az1_rack2_host14_mgmt_ip</vt:lpstr>
      <vt:lpstr>wld_az1_rack2_host15_fqdn</vt:lpstr>
      <vt:lpstr>wld_az1_rack2_host15_hostname</vt:lpstr>
      <vt:lpstr>wld_az1_rack2_host15_mgmt_ip</vt:lpstr>
      <vt:lpstr>wld_az1_rack2_host16_fqdn</vt:lpstr>
      <vt:lpstr>wld_az1_rack2_host16_hostname</vt:lpstr>
      <vt:lpstr>wld_az1_rack2_host16_mgmt_ip</vt:lpstr>
      <vt:lpstr>wld_az1_rack2_host2_fqdn</vt:lpstr>
      <vt:lpstr>wld_az1_rack2_host2_hostname</vt:lpstr>
      <vt:lpstr>wld_az1_rack2_host2_mgmt_ip</vt:lpstr>
      <vt:lpstr>wld_az1_rack2_host3_fqdn</vt:lpstr>
      <vt:lpstr>wld_az1_rack2_host3_hostname</vt:lpstr>
      <vt:lpstr>wld_az1_rack2_host3_mgmt_ip</vt:lpstr>
      <vt:lpstr>wld_az1_rack2_host4_fqdn</vt:lpstr>
      <vt:lpstr>wld_az1_rack2_host4_hostname</vt:lpstr>
      <vt:lpstr>wld_az1_rack2_host4_mgmt_ip</vt:lpstr>
      <vt:lpstr>wld_az1_rack2_host5_fqdn</vt:lpstr>
      <vt:lpstr>wld_az1_rack2_host5_hostname</vt:lpstr>
      <vt:lpstr>wld_az1_rack2_host5_mgmt_ip</vt:lpstr>
      <vt:lpstr>wld_az1_rack2_host6_fqdn</vt:lpstr>
      <vt:lpstr>wld_az1_rack2_host6_hostname</vt:lpstr>
      <vt:lpstr>wld_az1_rack2_host6_mgmt_ip</vt:lpstr>
      <vt:lpstr>wld_az1_rack2_host7_fqdn</vt:lpstr>
      <vt:lpstr>wld_az1_rack2_host7_hostname</vt:lpstr>
      <vt:lpstr>wld_az1_rack2_host7_mgmt_ip</vt:lpstr>
      <vt:lpstr>wld_az1_rack2_host8_fqdn</vt:lpstr>
      <vt:lpstr>wld_az1_rack2_host8_hostname</vt:lpstr>
      <vt:lpstr>wld_az1_rack2_host8_mgmt_ip</vt:lpstr>
      <vt:lpstr>wld_az1_rack2_host9_fqdn</vt:lpstr>
      <vt:lpstr>wld_az1_rack2_host9_hostname</vt:lpstr>
      <vt:lpstr>wld_az1_rack2_host9_mgmt_ip</vt:lpstr>
      <vt:lpstr>wld_az1_rack2_mgmt_cidr</vt:lpstr>
      <vt:lpstr>wld_az1_rack2_mgmt_gateway_cidr</vt:lpstr>
      <vt:lpstr>wld_az1_rack2_mgmt_gateway_ip</vt:lpstr>
      <vt:lpstr>wld_az1_rack2_mgmt_mask</vt:lpstr>
      <vt:lpstr>wld_az1_rack2_mgmt_mtu</vt:lpstr>
      <vt:lpstr>wld_az1_rack2_mgmt_network</vt:lpstr>
      <vt:lpstr>wld_az1_rack2_mgmt_pg</vt:lpstr>
      <vt:lpstr>wld_az1_rack2_mgmt_vlan</vt:lpstr>
      <vt:lpstr>wld_az1_rack2_mgmt_vm_cidr</vt:lpstr>
      <vt:lpstr>wld_az1_rack2_mgmt_vm_gateway_ip</vt:lpstr>
      <vt:lpstr>wld_az1_rack2_mgmt_vm_mask</vt:lpstr>
      <vt:lpstr>wld_az1_rack2_mgmt_vm_mtu</vt:lpstr>
      <vt:lpstr>wld_az1_rack2_mgmt_vm_pg</vt:lpstr>
      <vt:lpstr>wld_az1_rack2_mgmt_vm_vlan</vt:lpstr>
      <vt:lpstr>wld_az1_rack2_pool_name</vt:lpstr>
      <vt:lpstr>wld_az1_rack2_principal_storage_cidr</vt:lpstr>
      <vt:lpstr>wld_az1_rack2_principal_storage_gateway_cidr</vt:lpstr>
      <vt:lpstr>wld_az1_rack2_principal_storage_gateway_ip</vt:lpstr>
      <vt:lpstr>wld_az1_rack2_principal_storage_mask</vt:lpstr>
      <vt:lpstr>wld_az1_rack2_principal_storage_mtu</vt:lpstr>
      <vt:lpstr>wld_az1_rack2_principal_storage_network</vt:lpstr>
      <vt:lpstr>wld_az1_rack2_principal_storage_pg</vt:lpstr>
      <vt:lpstr>wld_az1_rack2_principal_storage_pool_end_ip</vt:lpstr>
      <vt:lpstr>wld_az1_rack2_principal_storage_pool_start_ip</vt:lpstr>
      <vt:lpstr>wld_az1_rack2_principal_storage_vlan</vt:lpstr>
      <vt:lpstr>wld_az1_rack2_reuse_vcf_networkpool_chosen</vt:lpstr>
      <vt:lpstr>wld_az1_rack2_rtep_ip_pool_name</vt:lpstr>
      <vt:lpstr>wld_az1_rack2_rtep_overlay_cidr</vt:lpstr>
      <vt:lpstr>wld_az1_rack2_rtep_overlay_gateway_ip</vt:lpstr>
      <vt:lpstr>wld_az1_rack2_rtep_overlay_mtu</vt:lpstr>
      <vt:lpstr>wld_az1_rack2_rtep_overlay_pool_end_ip</vt:lpstr>
      <vt:lpstr>wld_az1_rack2_rtep_overlay_pool_start_ip</vt:lpstr>
      <vt:lpstr>wld_az1_rack2_rtep_overlay_vlan</vt:lpstr>
      <vt:lpstr>wld_az1_rack2_secondary_storage_cidr</vt:lpstr>
      <vt:lpstr>wld_az1_rack2_secondary_storage_gateway_cidr</vt:lpstr>
      <vt:lpstr>wld_az1_rack2_secondary_storage_gateway_ip</vt:lpstr>
      <vt:lpstr>wld_az1_rack2_secondary_storage_mask</vt:lpstr>
      <vt:lpstr>wld_az1_rack2_secondary_storage_mtu</vt:lpstr>
      <vt:lpstr>wld_az1_rack2_secondary_storage_network</vt:lpstr>
      <vt:lpstr>wld_az1_rack2_secondary_storage_pool_end_ip</vt:lpstr>
      <vt:lpstr>wld_az1_rack2_secondary_storage_pool_start_ip</vt:lpstr>
      <vt:lpstr>wld_az1_rack2_secondary_storage_vlan</vt:lpstr>
      <vt:lpstr>wld_az1_rack2_tor1_peer_asn</vt:lpstr>
      <vt:lpstr>wld_az1_rack2_tor1_peer_bgp_password</vt:lpstr>
      <vt:lpstr>wld_az1_rack2_tor1_peer_ip</vt:lpstr>
      <vt:lpstr>wld_az1_rack2_tor2_peer_asn</vt:lpstr>
      <vt:lpstr>wld_az1_rack2_tor2_peer_bgp_password</vt:lpstr>
      <vt:lpstr>wld_az1_rack2_tor2_peer_ip</vt:lpstr>
      <vt:lpstr>wld_az1_rack2_uplink01_cidr</vt:lpstr>
      <vt:lpstr>wld_az1_rack2_uplink01_gateway_cidr</vt:lpstr>
      <vt:lpstr>wld_az1_rack2_uplink01_gateway_ip</vt:lpstr>
      <vt:lpstr>wld_az1_rack2_uplink01_mask</vt:lpstr>
      <vt:lpstr>wld_az1_rack2_uplink01_mtu</vt:lpstr>
      <vt:lpstr>wld_az1_rack2_uplink01_network</vt:lpstr>
      <vt:lpstr>wld_az1_rack2_uplink01_pg</vt:lpstr>
      <vt:lpstr>wld_az1_rack2_uplink01_vlan</vt:lpstr>
      <vt:lpstr>wld_az1_rack2_uplink02_cidr</vt:lpstr>
      <vt:lpstr>wld_az1_rack2_uplink02_gateway_cidr</vt:lpstr>
      <vt:lpstr>wld_az1_rack2_uplink02_gateway_ip</vt:lpstr>
      <vt:lpstr>wld_az1_rack2_uplink02_mask</vt:lpstr>
      <vt:lpstr>wld_az1_rack2_uplink02_mtu</vt:lpstr>
      <vt:lpstr>wld_az1_rack2_uplink02_network</vt:lpstr>
      <vt:lpstr>wld_az1_rack2_uplink02_pg</vt:lpstr>
      <vt:lpstr>wld_az1_rack2_uplink02_vlan</vt:lpstr>
      <vt:lpstr>wld_az1_rack2_vmotion_cidr</vt:lpstr>
      <vt:lpstr>wld_az1_rack2_vmotion_gateway_cidr</vt:lpstr>
      <vt:lpstr>wld_az1_rack2_vmotion_gateway_ip</vt:lpstr>
      <vt:lpstr>wld_az1_rack2_vmotion_mask</vt:lpstr>
      <vt:lpstr>wld_az1_rack2_vmotion_mtu</vt:lpstr>
      <vt:lpstr>wld_az1_rack2_vmotion_network</vt:lpstr>
      <vt:lpstr>wld_az1_rack2_vmotion_pg</vt:lpstr>
      <vt:lpstr>wld_az1_rack2_vmotion_pool_end_ip</vt:lpstr>
      <vt:lpstr>wld_az1_rack2_vmotion_pool_start_ip</vt:lpstr>
      <vt:lpstr>wld_az1_rack2_vmotion_vlan</vt:lpstr>
      <vt:lpstr>wld_az1_rack2_vrms_cidr</vt:lpstr>
      <vt:lpstr>wld_az1_rack2_vrms_gateway_ip</vt:lpstr>
      <vt:lpstr>wld_az1_rack2_vrms_mtu</vt:lpstr>
      <vt:lpstr>wld_az1_rack2_vrms_vlan</vt:lpstr>
      <vt:lpstr>wld_az1_rack2_vsan_fault_domain</vt:lpstr>
      <vt:lpstr>wld_az1_rack3_edge_overlay_cidr</vt:lpstr>
      <vt:lpstr>wld_az1_rack3_edge_overlay_gateway_cidr</vt:lpstr>
      <vt:lpstr>wld_az1_rack3_edge_overlay_gateway_ip</vt:lpstr>
      <vt:lpstr>wld_az1_rack3_edge_overlay_mask</vt:lpstr>
      <vt:lpstr>wld_az1_rack3_edge_overlay_mtu</vt:lpstr>
      <vt:lpstr>wld_az1_rack3_edge_overlay_network</vt:lpstr>
      <vt:lpstr>wld_az1_rack3_edge_overlay_network_pool_name</vt:lpstr>
      <vt:lpstr>wld_az1_rack3_edge_overlay_pool_end_ip</vt:lpstr>
      <vt:lpstr>wld_az1_rack3_edge_overlay_pool_start_ip</vt:lpstr>
      <vt:lpstr>wld_az1_rack3_edge_overlay_vlan</vt:lpstr>
      <vt:lpstr>wld_az1_rack3_en1_edge_overlay_interface_ip_1_ip</vt:lpstr>
      <vt:lpstr>wld_az1_rack3_en1_edge_overlay_interface_ip_2_ip</vt:lpstr>
      <vt:lpstr>wld_az1_rack3_en1_fqdn</vt:lpstr>
      <vt:lpstr>wld_az1_rack3_en1_hostname</vt:lpstr>
      <vt:lpstr>wld_az1_rack3_en1_mgmt_ip</vt:lpstr>
      <vt:lpstr>wld_az1_rack3_en1_uplink01_interface_ip</vt:lpstr>
      <vt:lpstr>wld_az1_rack3_en1_uplink02_interface_ip</vt:lpstr>
      <vt:lpstr>wld_az1_rack3_en2_fqdn</vt:lpstr>
      <vt:lpstr>wld_az1_rack3_en2_hostname</vt:lpstr>
      <vt:lpstr>wld_az1_rack3_en2_mgmt_ip</vt:lpstr>
      <vt:lpstr>wld_az1_rack3_en2_uplink01_interface_ip</vt:lpstr>
      <vt:lpstr>wld_az1_rack3_en2_uplink02_interface_ip</vt:lpstr>
      <vt:lpstr>wld_az1_rack3_host_fqdns</vt:lpstr>
      <vt:lpstr>wld_az1_rack3_host_hostnames</vt:lpstr>
      <vt:lpstr>wld_az1_rack3_host_mgmt_ips</vt:lpstr>
      <vt:lpstr>wld_az1_rack3_host_overlay_cidr</vt:lpstr>
      <vt:lpstr>wld_az1_rack3_host_overlay_gateway_cidr</vt:lpstr>
      <vt:lpstr>wld_az1_rack3_host_overlay_gateway_ip</vt:lpstr>
      <vt:lpstr>wld_az1_rack3_host_overlay_mask</vt:lpstr>
      <vt:lpstr>wld_az1_rack3_host_overlay_mtu</vt:lpstr>
      <vt:lpstr>wld_az1_rack3_host_overlay_network</vt:lpstr>
      <vt:lpstr>wld_az1_rack3_host_overlay_network_pool_name</vt:lpstr>
      <vt:lpstr>wld_az1_rack3_host_overlay_network_profile_name</vt:lpstr>
      <vt:lpstr>wld_az1_rack3_host_overlay_new_pool_chosen</vt:lpstr>
      <vt:lpstr>wld_az1_rack3_host_overlay_pool_end_ip</vt:lpstr>
      <vt:lpstr>wld_az1_rack3_host_overlay_pool_start_ip</vt:lpstr>
      <vt:lpstr>wld_az1_rack3_host_overlay_uplink_profile_name</vt:lpstr>
      <vt:lpstr>wld_az1_rack3_host_overlay_vlan</vt:lpstr>
      <vt:lpstr>wld_az1_rack3_host1_fqdn</vt:lpstr>
      <vt:lpstr>wld_az1_rack3_host1_hostname</vt:lpstr>
      <vt:lpstr>wld_az1_rack3_host1_mgmt_ip</vt:lpstr>
      <vt:lpstr>wld_az1_rack3_host10_fqdn</vt:lpstr>
      <vt:lpstr>wld_az1_rack3_host10_hostname</vt:lpstr>
      <vt:lpstr>wld_az1_rack3_host10_mgmt_ip</vt:lpstr>
      <vt:lpstr>wld_az1_rack3_host11_fqdn</vt:lpstr>
      <vt:lpstr>wld_az1_rack3_host11_hostname</vt:lpstr>
      <vt:lpstr>wld_az1_rack3_host11_mgmt_ip</vt:lpstr>
      <vt:lpstr>wld_az1_rack3_host12_fqdn</vt:lpstr>
      <vt:lpstr>wld_az1_rack3_host12_hostname</vt:lpstr>
      <vt:lpstr>wld_az1_rack3_host12_mgmt_ip</vt:lpstr>
      <vt:lpstr>wld_az1_rack3_host13_fqdn</vt:lpstr>
      <vt:lpstr>wld_az1_rack3_host13_hostname</vt:lpstr>
      <vt:lpstr>wld_az1_rack3_host13_mgmt_ip</vt:lpstr>
      <vt:lpstr>wld_az1_rack3_host14_fqdn</vt:lpstr>
      <vt:lpstr>wld_az1_rack3_host14_hostname</vt:lpstr>
      <vt:lpstr>wld_az1_rack3_host14_mgmt_ip</vt:lpstr>
      <vt:lpstr>wld_az1_rack3_host15_fqdn</vt:lpstr>
      <vt:lpstr>wld_az1_rack3_host15_hostname</vt:lpstr>
      <vt:lpstr>wld_az1_rack3_host15_mgmt_ip</vt:lpstr>
      <vt:lpstr>wld_az1_rack3_host16_fqdn</vt:lpstr>
      <vt:lpstr>wld_az1_rack3_host16_hostname</vt:lpstr>
      <vt:lpstr>wld_az1_rack3_host16_mgmt_ip</vt:lpstr>
      <vt:lpstr>wld_az1_rack3_host2_fqdn</vt:lpstr>
      <vt:lpstr>wld_az1_rack3_host2_hostname</vt:lpstr>
      <vt:lpstr>wld_az1_rack3_host2_mgmt_ip</vt:lpstr>
      <vt:lpstr>wld_az1_rack3_host3_fqdn</vt:lpstr>
      <vt:lpstr>wld_az1_rack3_host3_hostname</vt:lpstr>
      <vt:lpstr>wld_az1_rack3_host3_mgmt_ip</vt:lpstr>
      <vt:lpstr>wld_az1_rack3_host4_fqdn</vt:lpstr>
      <vt:lpstr>wld_az1_rack3_host4_hostname</vt:lpstr>
      <vt:lpstr>wld_az1_rack3_host4_mgmt_ip</vt:lpstr>
      <vt:lpstr>wld_az1_rack3_host5_fqdn</vt:lpstr>
      <vt:lpstr>wld_az1_rack3_host5_hostname</vt:lpstr>
      <vt:lpstr>wld_az1_rack3_host5_mgmt_ip</vt:lpstr>
      <vt:lpstr>wld_az1_rack3_host6_fqdn</vt:lpstr>
      <vt:lpstr>wld_az1_rack3_host6_hostname</vt:lpstr>
      <vt:lpstr>wld_az1_rack3_host6_mgmt_ip</vt:lpstr>
      <vt:lpstr>wld_az1_rack3_host7_fqdn</vt:lpstr>
      <vt:lpstr>wld_az1_rack3_host7_hostname</vt:lpstr>
      <vt:lpstr>wld_az1_rack3_host7_mgmt_ip</vt:lpstr>
      <vt:lpstr>wld_az1_rack3_host8_fqdn</vt:lpstr>
      <vt:lpstr>wld_az1_rack3_host8_hostname</vt:lpstr>
      <vt:lpstr>wld_az1_rack3_host8_mgmt_ip</vt:lpstr>
      <vt:lpstr>wld_az1_rack3_host9_fqdn</vt:lpstr>
      <vt:lpstr>wld_az1_rack3_host9_hostname</vt:lpstr>
      <vt:lpstr>wld_az1_rack3_host9_mgmt_ip</vt:lpstr>
      <vt:lpstr>wld_az1_rack3_mgmt_cidr</vt:lpstr>
      <vt:lpstr>wld_az1_rack3_mgmt_gateway_cidr</vt:lpstr>
      <vt:lpstr>wld_az1_rack3_mgmt_gateway_ip</vt:lpstr>
      <vt:lpstr>wld_az1_rack3_mgmt_mask</vt:lpstr>
      <vt:lpstr>wld_az1_rack3_mgmt_mtu</vt:lpstr>
      <vt:lpstr>wld_az1_rack3_mgmt_network</vt:lpstr>
      <vt:lpstr>wld_az1_rack3_mgmt_pg</vt:lpstr>
      <vt:lpstr>wld_az1_rack3_mgmt_vlan</vt:lpstr>
      <vt:lpstr>wld_az1_rack3_mgmt_vm_cidr</vt:lpstr>
      <vt:lpstr>wld_az1_rack3_mgmt_vm_gateway_cidr</vt:lpstr>
      <vt:lpstr>wld_az1_rack3_mgmt_vm_gateway_ip</vt:lpstr>
      <vt:lpstr>wld_az1_rack3_mgmt_vm_mask</vt:lpstr>
      <vt:lpstr>wld_az1_rack3_mgmt_vm_mtu</vt:lpstr>
      <vt:lpstr>wld_az1_rack3_mgmt_vm_pg</vt:lpstr>
      <vt:lpstr>wld_az1_rack3_mgmt_vm_vlan</vt:lpstr>
      <vt:lpstr>wld_az1_rack3_pool_name</vt:lpstr>
      <vt:lpstr>wld_az1_rack3_principal_storage_cidr</vt:lpstr>
      <vt:lpstr>wld_az1_rack3_principal_storage_gateway_cidr</vt:lpstr>
      <vt:lpstr>wld_az1_rack3_principal_storage_gateway_ip</vt:lpstr>
      <vt:lpstr>wld_az1_rack3_principal_storage_mask</vt:lpstr>
      <vt:lpstr>wld_az1_rack3_principal_storage_mtu</vt:lpstr>
      <vt:lpstr>wld_az1_rack3_principal_storage_network</vt:lpstr>
      <vt:lpstr>wld_az1_rack3_principal_storage_pool_end_ip</vt:lpstr>
      <vt:lpstr>wld_az1_rack3_principal_storage_pool_start_ip</vt:lpstr>
      <vt:lpstr>wld_az1_rack3_principal_storage_vlan</vt:lpstr>
      <vt:lpstr>wld_az1_rack3_reuse_vcf_networkpool_chosen</vt:lpstr>
      <vt:lpstr>wld_az1_rack3_rtep_ip_pool_name</vt:lpstr>
      <vt:lpstr>wld_az1_rack3_rtep_overlay_cidr</vt:lpstr>
      <vt:lpstr>wld_az1_rack3_rtep_overlay_gateway_ip</vt:lpstr>
      <vt:lpstr>wld_az1_rack3_rtep_overlay_mtu</vt:lpstr>
      <vt:lpstr>wld_az1_rack3_rtep_overlay_pool_end_ip</vt:lpstr>
      <vt:lpstr>wld_az1_rack3_rtep_overlay_pool_start_ip</vt:lpstr>
      <vt:lpstr>wld_az1_rack3_rtep_overlay_vlan</vt:lpstr>
      <vt:lpstr>wld_az1_rack3_secondary_storage_cidr</vt:lpstr>
      <vt:lpstr>wld_az1_rack3_secondary_storage_gateway_cidr</vt:lpstr>
      <vt:lpstr>wld_az1_rack3_secondary_storage_gateway_ip</vt:lpstr>
      <vt:lpstr>wld_az1_rack3_secondary_storage_mask</vt:lpstr>
      <vt:lpstr>wld_az1_rack3_secondary_storage_mtu</vt:lpstr>
      <vt:lpstr>wld_az1_rack3_secondary_storage_network</vt:lpstr>
      <vt:lpstr>wld_az1_rack3_secondary_storage_pool_end_ip</vt:lpstr>
      <vt:lpstr>wld_az1_rack3_secondary_storage_pool_start_ip</vt:lpstr>
      <vt:lpstr>wld_az1_rack3_secondary_storage_vlan</vt:lpstr>
      <vt:lpstr>wld_az1_rack3_tor1_peer_asn</vt:lpstr>
      <vt:lpstr>wld_az1_rack3_tor1_peer_bgp_password</vt:lpstr>
      <vt:lpstr>wld_az1_rack3_tor1_peer_ip</vt:lpstr>
      <vt:lpstr>wld_az1_rack3_tor2_peer_asn</vt:lpstr>
      <vt:lpstr>wld_az1_rack3_tor2_peer_bgp_password</vt:lpstr>
      <vt:lpstr>wld_az1_rack3_tor2_peer_ip</vt:lpstr>
      <vt:lpstr>wld_az1_rack3_uplink01_cidr</vt:lpstr>
      <vt:lpstr>wld_az1_rack3_uplink01_gateway_cidr</vt:lpstr>
      <vt:lpstr>wld_az1_rack3_uplink01_gateway_ip</vt:lpstr>
      <vt:lpstr>wld_az1_rack3_uplink01_mask</vt:lpstr>
      <vt:lpstr>wld_az1_rack3_uplink01_mtu</vt:lpstr>
      <vt:lpstr>wld_az1_rack3_uplink01_network</vt:lpstr>
      <vt:lpstr>wld_az1_rack3_uplink01_pg</vt:lpstr>
      <vt:lpstr>wld_az1_rack3_uplink01_vlan</vt:lpstr>
      <vt:lpstr>wld_az1_rack3_uplink02_cidr</vt:lpstr>
      <vt:lpstr>wld_az1_rack3_uplink02_gateway_cidr</vt:lpstr>
      <vt:lpstr>wld_az1_rack3_uplink02_gateway_ip</vt:lpstr>
      <vt:lpstr>wld_az1_rack3_uplink02_mask</vt:lpstr>
      <vt:lpstr>wld_az1_rack3_uplink02_mtu</vt:lpstr>
      <vt:lpstr>wld_az1_rack3_uplink02_network</vt:lpstr>
      <vt:lpstr>wld_az1_rack3_uplink02_pg</vt:lpstr>
      <vt:lpstr>wld_az1_rack3_uplink02_vlan</vt:lpstr>
      <vt:lpstr>wld_az1_rack3_vmotion_cidr</vt:lpstr>
      <vt:lpstr>wld_az1_rack3_vmotion_gateway_cidr</vt:lpstr>
      <vt:lpstr>wld_az1_rack3_vmotion_gateway_ip</vt:lpstr>
      <vt:lpstr>wld_az1_rack3_vmotion_mask</vt:lpstr>
      <vt:lpstr>wld_az1_rack3_vmotion_mtu</vt:lpstr>
      <vt:lpstr>wld_az1_rack3_vmotion_network</vt:lpstr>
      <vt:lpstr>wld_az1_rack3_vmotion_pg</vt:lpstr>
      <vt:lpstr>wld_az1_rack3_vmotion_pool_end_ip</vt:lpstr>
      <vt:lpstr>wld_az1_rack3_vmotion_pool_start_ip</vt:lpstr>
      <vt:lpstr>wld_az1_rack3_vmotion_vlan</vt:lpstr>
      <vt:lpstr>wld_az1_rack3_vrms_cidr</vt:lpstr>
      <vt:lpstr>wld_az1_rack3_vrms_gateway_ip</vt:lpstr>
      <vt:lpstr>wld_az1_rack3_vrms_mtu</vt:lpstr>
      <vt:lpstr>wld_az1_rack3_vrms_vlan</vt:lpstr>
      <vt:lpstr>wld_az1_rack3_vsan_fault_domain</vt:lpstr>
      <vt:lpstr>wld_az1_rack4_edge_overlay_cidr</vt:lpstr>
      <vt:lpstr>wld_az1_rack4_edge_overlay_gateway_ip</vt:lpstr>
      <vt:lpstr>wld_az1_rack4_edge_overlay_mask</vt:lpstr>
      <vt:lpstr>wld_az1_rack4_edge_overlay_mtu</vt:lpstr>
      <vt:lpstr>wld_az1_rack4_edge_overlay_network</vt:lpstr>
      <vt:lpstr>wld_az1_rack4_edge_overlay_network_pool_name</vt:lpstr>
      <vt:lpstr>wld_az1_rack4_edge_overlay_pool_end_ip</vt:lpstr>
      <vt:lpstr>wld_az1_rack4_edge_overlay_pool_start_ip</vt:lpstr>
      <vt:lpstr>wld_az1_rack4_edge_overlay_vlan</vt:lpstr>
      <vt:lpstr>wld_az1_rack4_en1_edge_overlay_interface_ip_1_ip</vt:lpstr>
      <vt:lpstr>wld_az1_rack4_en1_edge_overlay_interface_ip_2_ip</vt:lpstr>
      <vt:lpstr>wld_az1_rack4_en1_fqdn</vt:lpstr>
      <vt:lpstr>wld_az1_rack4_en1_hostname</vt:lpstr>
      <vt:lpstr>wld_az1_rack4_en1_mgmt_ip</vt:lpstr>
      <vt:lpstr>wld_az1_rack4_en1_uplink01_interface_ip</vt:lpstr>
      <vt:lpstr>wld_az1_rack4_en1_uplink02_interface_ip</vt:lpstr>
      <vt:lpstr>wld_az1_rack4_en2_fqdn</vt:lpstr>
      <vt:lpstr>wld_az1_rack4_en2_hostname</vt:lpstr>
      <vt:lpstr>wld_az1_rack4_en2_mgmt_ip</vt:lpstr>
      <vt:lpstr>wld_az1_rack4_en2_uplink01_interface_ip</vt:lpstr>
      <vt:lpstr>wld_az1_rack4_en2_uplink02_interface_ip</vt:lpstr>
      <vt:lpstr>wld_az1_rack4_host_fqdns</vt:lpstr>
      <vt:lpstr>wld_az1_rack4_host_hostnames</vt:lpstr>
      <vt:lpstr>wld_az1_rack4_host_mgmt_ips</vt:lpstr>
      <vt:lpstr>wld_az1_rack4_host_overlay_cidr</vt:lpstr>
      <vt:lpstr>wld_az1_rack4_host_overlay_gateway_cidr</vt:lpstr>
      <vt:lpstr>wld_az1_rack4_host_overlay_gateway_ip</vt:lpstr>
      <vt:lpstr>wld_az1_rack4_host_overlay_mask</vt:lpstr>
      <vt:lpstr>wld_az1_rack4_host_overlay_mtu</vt:lpstr>
      <vt:lpstr>wld_az1_rack4_host_overlay_network</vt:lpstr>
      <vt:lpstr>wld_az1_rack4_host_overlay_network_pool_name</vt:lpstr>
      <vt:lpstr>wld_az1_rack4_host_overlay_network_profile_name</vt:lpstr>
      <vt:lpstr>wld_az1_rack4_host_overlay_new_pool_chosen</vt:lpstr>
      <vt:lpstr>wld_az1_rack4_host_overlay_pool_end_ip</vt:lpstr>
      <vt:lpstr>wld_az1_rack4_host_overlay_pool_start_ip</vt:lpstr>
      <vt:lpstr>wld_az1_rack4_host_overlay_uplink_profile_name</vt:lpstr>
      <vt:lpstr>wld_az1_rack4_host_overlay_vlan</vt:lpstr>
      <vt:lpstr>wld_az1_rack4_host1_fqdn</vt:lpstr>
      <vt:lpstr>wld_az1_rack4_host1_hostname</vt:lpstr>
      <vt:lpstr>wld_az1_rack4_host1_mgmt_ip</vt:lpstr>
      <vt:lpstr>wld_az1_rack4_host10_fqdn</vt:lpstr>
      <vt:lpstr>wld_az1_rack4_host10_hostname</vt:lpstr>
      <vt:lpstr>wld_az1_rack4_host10_mgmt_ip</vt:lpstr>
      <vt:lpstr>wld_az1_rack4_host11_fqdn</vt:lpstr>
      <vt:lpstr>wld_az1_rack4_host11_hostname</vt:lpstr>
      <vt:lpstr>wld_az1_rack4_host11_mgmt_ip</vt:lpstr>
      <vt:lpstr>wld_az1_rack4_host12_fqdn</vt:lpstr>
      <vt:lpstr>wld_az1_rack4_host12_hostname</vt:lpstr>
      <vt:lpstr>wld_az1_rack4_host12_mgmt_ip</vt:lpstr>
      <vt:lpstr>wld_az1_rack4_host13_fqdn</vt:lpstr>
      <vt:lpstr>wld_az1_rack4_host13_hostname</vt:lpstr>
      <vt:lpstr>wld_az1_rack4_host13_mgmt_ip</vt:lpstr>
      <vt:lpstr>wld_az1_rack4_host14_fqdn</vt:lpstr>
      <vt:lpstr>wld_az1_rack4_host14_hostname</vt:lpstr>
      <vt:lpstr>wld_az1_rack4_host14_mgmt_ip</vt:lpstr>
      <vt:lpstr>wld_az1_rack4_host15_fqdn</vt:lpstr>
      <vt:lpstr>wld_az1_rack4_host15_hostname</vt:lpstr>
      <vt:lpstr>wld_az1_rack4_host15_mgmt_ip</vt:lpstr>
      <vt:lpstr>wld_az1_rack4_host16_fqdn</vt:lpstr>
      <vt:lpstr>wld_az1_rack4_host16_hostname</vt:lpstr>
      <vt:lpstr>wld_az1_rack4_host16_mgmt_ip</vt:lpstr>
      <vt:lpstr>wld_az1_rack4_host2_fqdn</vt:lpstr>
      <vt:lpstr>wld_az1_rack4_host2_hostname</vt:lpstr>
      <vt:lpstr>wld_az1_rack4_host2_mgmt_ip</vt:lpstr>
      <vt:lpstr>wld_az1_rack4_host3_fqdn</vt:lpstr>
      <vt:lpstr>wld_az1_rack4_host3_hostname</vt:lpstr>
      <vt:lpstr>wld_az1_rack4_host3_mgmt_ip</vt:lpstr>
      <vt:lpstr>wld_az1_rack4_host4_fqdn</vt:lpstr>
      <vt:lpstr>wld_az1_rack4_host4_hostname</vt:lpstr>
      <vt:lpstr>wld_az1_rack4_host4_mgmt_ip</vt:lpstr>
      <vt:lpstr>wld_az1_rack4_host5_fqdn</vt:lpstr>
      <vt:lpstr>wld_az1_rack4_host5_hostname</vt:lpstr>
      <vt:lpstr>wld_az1_rack4_host5_mgmt_ip</vt:lpstr>
      <vt:lpstr>wld_az1_rack4_host6_fqdn</vt:lpstr>
      <vt:lpstr>wld_az1_rack4_host6_hostname</vt:lpstr>
      <vt:lpstr>wld_az1_rack4_host6_mgmt_ip</vt:lpstr>
      <vt:lpstr>wld_az1_rack4_host7_fqdn</vt:lpstr>
      <vt:lpstr>wld_az1_rack4_host7_hostname</vt:lpstr>
      <vt:lpstr>wld_az1_rack4_host7_mgmt_ip</vt:lpstr>
      <vt:lpstr>wld_az1_rack4_host8_fqdn</vt:lpstr>
      <vt:lpstr>wld_az1_rack4_host8_hostname</vt:lpstr>
      <vt:lpstr>wld_az1_rack4_host8_mgmt_ip</vt:lpstr>
      <vt:lpstr>wld_az1_rack4_host9_fqdn</vt:lpstr>
      <vt:lpstr>wld_az1_rack4_host9_hostname</vt:lpstr>
      <vt:lpstr>wld_az1_rack4_host9_mgmt_ip</vt:lpstr>
      <vt:lpstr>wld_az1_rack4_mgmt_cidr</vt:lpstr>
      <vt:lpstr>wld_az1_rack4_mgmt_gateway_cidr</vt:lpstr>
      <vt:lpstr>wld_az1_rack4_mgmt_gateway_ip</vt:lpstr>
      <vt:lpstr>wld_az1_rack4_mgmt_mask</vt:lpstr>
      <vt:lpstr>wld_az1_rack4_mgmt_mtu</vt:lpstr>
      <vt:lpstr>wld_az1_rack4_mgmt_network</vt:lpstr>
      <vt:lpstr>wld_az1_rack4_mgmt_pg</vt:lpstr>
      <vt:lpstr>wld_az1_rack4_mgmt_vlan</vt:lpstr>
      <vt:lpstr>wld_az1_rack4_mgmt_vm_cidr</vt:lpstr>
      <vt:lpstr>wld_az1_rack4_mgmt_vm_gateway_cidr</vt:lpstr>
      <vt:lpstr>wld_az1_rack4_mgmt_vm_gateway_ip</vt:lpstr>
      <vt:lpstr>wld_az1_rack4_mgmt_vm_mask</vt:lpstr>
      <vt:lpstr>wld_az1_rack4_mgmt_vm_mtu</vt:lpstr>
      <vt:lpstr>wld_az1_rack4_mgmt_vm_pg</vt:lpstr>
      <vt:lpstr>wld_az1_rack4_mgmt_vm_vlan</vt:lpstr>
      <vt:lpstr>wld_az1_rack4_pool_name</vt:lpstr>
      <vt:lpstr>wld_az1_rack4_principal_storage_cidr</vt:lpstr>
      <vt:lpstr>wld_az1_rack4_principal_storage_gateway_cidr</vt:lpstr>
      <vt:lpstr>wld_az1_rack4_principal_storage_gateway_ip</vt:lpstr>
      <vt:lpstr>wld_az1_rack4_principal_storage_mask</vt:lpstr>
      <vt:lpstr>wld_az1_rack4_principal_storage_mtu</vt:lpstr>
      <vt:lpstr>wld_az1_rack4_principal_storage_network</vt:lpstr>
      <vt:lpstr>wld_az1_rack4_principal_storage_pg</vt:lpstr>
      <vt:lpstr>wld_az1_rack4_principal_storage_pool_end_ip</vt:lpstr>
      <vt:lpstr>wld_az1_rack4_principal_storage_pool_start_ip</vt:lpstr>
      <vt:lpstr>wld_az1_rack4_principal_storage_vlan</vt:lpstr>
      <vt:lpstr>wld_az1_rack4_reuse_vcf_networkpool_chosen</vt:lpstr>
      <vt:lpstr>wld_az1_rack4_rtep_ip_pool_name</vt:lpstr>
      <vt:lpstr>wld_az1_rack4_rtep_overlay_cidr</vt:lpstr>
      <vt:lpstr>wld_az1_rack4_rtep_overlay_gateway_ip</vt:lpstr>
      <vt:lpstr>wld_az1_rack4_rtep_overlay_mtu</vt:lpstr>
      <vt:lpstr>wld_az1_rack4_rtep_overlay_pool_end_ip</vt:lpstr>
      <vt:lpstr>wld_az1_rack4_rtep_overlay_pool_start_ip</vt:lpstr>
      <vt:lpstr>wld_az1_rack4_rtep_overlay_vlan</vt:lpstr>
      <vt:lpstr>wld_az1_rack4_secondary_storage_cidr</vt:lpstr>
      <vt:lpstr>wld_az1_rack4_secondary_storage_gateway_cidr</vt:lpstr>
      <vt:lpstr>wld_az1_rack4_secondary_storage_gateway_ip</vt:lpstr>
      <vt:lpstr>wld_az1_rack4_secondary_storage_mask</vt:lpstr>
      <vt:lpstr>wld_az1_rack4_secondary_storage_mtu</vt:lpstr>
      <vt:lpstr>wld_az1_rack4_secondary_storage_network</vt:lpstr>
      <vt:lpstr>wld_az1_rack4_secondary_storage_pool_end_ip</vt:lpstr>
      <vt:lpstr>wld_az1_rack4_secondary_storage_pool_start_ip</vt:lpstr>
      <vt:lpstr>wld_az1_rack4_secondary_storage_vlan</vt:lpstr>
      <vt:lpstr>wld_az1_rack4_tor1_peer_asn</vt:lpstr>
      <vt:lpstr>wld_az1_rack4_tor1_peer_bgp_password</vt:lpstr>
      <vt:lpstr>wld_az1_rack4_tor1_peer_ip</vt:lpstr>
      <vt:lpstr>wld_az1_rack4_tor2_peer_asn</vt:lpstr>
      <vt:lpstr>wld_az1_rack4_tor2_peer_bgp_password</vt:lpstr>
      <vt:lpstr>wld_az1_rack4_tor2_peer_ip</vt:lpstr>
      <vt:lpstr>wld_az1_rack4_uplink01_cidr</vt:lpstr>
      <vt:lpstr>wld_az1_rack4_uplink01_gateway_cidr</vt:lpstr>
      <vt:lpstr>wld_az1_rack4_uplink01_gateway_ip</vt:lpstr>
      <vt:lpstr>wld_az1_rack4_uplink01_mask</vt:lpstr>
      <vt:lpstr>wld_az1_rack4_uplink01_mtu</vt:lpstr>
      <vt:lpstr>wld_az1_rack4_uplink01_network</vt:lpstr>
      <vt:lpstr>wld_az1_rack4_uplink01_pg</vt:lpstr>
      <vt:lpstr>wld_az1_rack4_uplink01_vlan</vt:lpstr>
      <vt:lpstr>wld_az1_rack4_uplink02_cidr</vt:lpstr>
      <vt:lpstr>wld_az1_rack4_uplink02_gateway_cidr</vt:lpstr>
      <vt:lpstr>wld_az1_rack4_uplink02_gateway_ip</vt:lpstr>
      <vt:lpstr>wld_az1_rack4_uplink02_mask</vt:lpstr>
      <vt:lpstr>wld_az1_rack4_uplink02_mtu</vt:lpstr>
      <vt:lpstr>wld_az1_rack4_uplink02_network</vt:lpstr>
      <vt:lpstr>wld_az1_rack4_uplink02_pg</vt:lpstr>
      <vt:lpstr>wld_az1_rack4_uplink02_vlan</vt:lpstr>
      <vt:lpstr>wld_az1_rack4_vmotion_cidr</vt:lpstr>
      <vt:lpstr>wld_az1_rack4_vmotion_gateway_cidr</vt:lpstr>
      <vt:lpstr>wld_az1_rack4_vmotion_gateway_ip</vt:lpstr>
      <vt:lpstr>wld_az1_rack4_vmotion_mask</vt:lpstr>
      <vt:lpstr>wld_az1_rack4_vmotion_mtu</vt:lpstr>
      <vt:lpstr>wld_az1_rack4_vmotion_network</vt:lpstr>
      <vt:lpstr>wld_az1_rack4_vmotion_pg</vt:lpstr>
      <vt:lpstr>wld_az1_rack4_vmotion_pool_end_ip</vt:lpstr>
      <vt:lpstr>wld_az1_rack4_vmotion_pool_start_ip</vt:lpstr>
      <vt:lpstr>wld_az1_rack4_vmotion_vlan</vt:lpstr>
      <vt:lpstr>wld_az1_rack4_vrms_cidr</vt:lpstr>
      <vt:lpstr>wld_az1_rack4_vrms_gateway_ip</vt:lpstr>
      <vt:lpstr>wld_az1_rack4_vrms_mtu</vt:lpstr>
      <vt:lpstr>wld_az1_rack4_vrms_vlan</vt:lpstr>
      <vt:lpstr>wld_az1_rack4_vsan_fault_domain</vt:lpstr>
      <vt:lpstr>wld_az1_rack5_edge_overlay_cidr</vt:lpstr>
      <vt:lpstr>wld_az1_rack5_edge_overlay_gateway_cidr</vt:lpstr>
      <vt:lpstr>wld_az1_rack5_edge_overlay_gateway_ip</vt:lpstr>
      <vt:lpstr>wld_az1_rack5_edge_overlay_mask</vt:lpstr>
      <vt:lpstr>wld_az1_rack5_edge_overlay_mtu</vt:lpstr>
      <vt:lpstr>wld_az1_rack5_edge_overlay_network</vt:lpstr>
      <vt:lpstr>wld_az1_rack5_edge_overlay_network_pool_name</vt:lpstr>
      <vt:lpstr>wld_az1_rack5_edge_overlay_pool_end_ip</vt:lpstr>
      <vt:lpstr>wld_az1_rack5_edge_overlay_pool_start_ip</vt:lpstr>
      <vt:lpstr>wld_az1_rack5_edge_overlay_vlan</vt:lpstr>
      <vt:lpstr>wld_az1_rack5_en1_edge_overlay_interface_ip_1_ip</vt:lpstr>
      <vt:lpstr>wld_az1_rack5_en1_edge_overlay_interface_ip_2_ip</vt:lpstr>
      <vt:lpstr>wld_az1_rack5_en1_fqdn</vt:lpstr>
      <vt:lpstr>wld_az1_rack5_en1_hostname</vt:lpstr>
      <vt:lpstr>wld_az1_rack5_en1_mgmt_ip</vt:lpstr>
      <vt:lpstr>wld_az1_rack5_en1_uplink01_interface_ip</vt:lpstr>
      <vt:lpstr>wld_az1_rack5_en1_uplink02_interface_ip</vt:lpstr>
      <vt:lpstr>wld_az1_rack5_en2_fqdn</vt:lpstr>
      <vt:lpstr>wld_az1_rack5_en2_hostname</vt:lpstr>
      <vt:lpstr>wld_az1_rack5_en2_mgmt_ip</vt:lpstr>
      <vt:lpstr>wld_az1_rack5_en2_uplink01_interface_ip</vt:lpstr>
      <vt:lpstr>wld_az1_rack5_en2_uplink02_interface_ip</vt:lpstr>
      <vt:lpstr>wld_az1_rack5_host_fqdns</vt:lpstr>
      <vt:lpstr>wld_az1_rack5_host_hostnames</vt:lpstr>
      <vt:lpstr>wld_az1_rack5_host_mgmt_ips</vt:lpstr>
      <vt:lpstr>wld_az1_rack5_host_overlay_cidr</vt:lpstr>
      <vt:lpstr>wld_az1_rack5_host_overlay_gateway_cidr</vt:lpstr>
      <vt:lpstr>wld_az1_rack5_host_overlay_gateway_ip</vt:lpstr>
      <vt:lpstr>wld_az1_rack5_host_overlay_mask</vt:lpstr>
      <vt:lpstr>wld_az1_rack5_host_overlay_mtu</vt:lpstr>
      <vt:lpstr>wld_az1_rack5_host_overlay_network</vt:lpstr>
      <vt:lpstr>wld_az1_rack5_host_overlay_network_pool_name</vt:lpstr>
      <vt:lpstr>wld_az1_rack5_host_overlay_network_profile_name</vt:lpstr>
      <vt:lpstr>wld_az1_rack5_host_overlay_new_pool_chosen</vt:lpstr>
      <vt:lpstr>wld_az1_rack5_host_overlay_pool_end_ip</vt:lpstr>
      <vt:lpstr>wld_az1_rack5_host_overlay_pool_start_ip</vt:lpstr>
      <vt:lpstr>wld_az1_rack5_host_overlay_uplink_profile_name</vt:lpstr>
      <vt:lpstr>wld_az1_rack5_host_overlay_vlan</vt:lpstr>
      <vt:lpstr>wld_az1_rack5_host1_fqdn</vt:lpstr>
      <vt:lpstr>wld_az1_rack5_host1_hostname</vt:lpstr>
      <vt:lpstr>wld_az1_rack5_host1_mgmt_ip</vt:lpstr>
      <vt:lpstr>wld_az1_rack5_host10_fqdn</vt:lpstr>
      <vt:lpstr>wld_az1_rack5_host10_hostname</vt:lpstr>
      <vt:lpstr>wld_az1_rack5_host10_mgmt_ip</vt:lpstr>
      <vt:lpstr>wld_az1_rack5_host11_fqdn</vt:lpstr>
      <vt:lpstr>wld_az1_rack5_host11_hostname</vt:lpstr>
      <vt:lpstr>wld_az1_rack5_host11_mgmt_ip</vt:lpstr>
      <vt:lpstr>wld_az1_rack5_host12_fqdn</vt:lpstr>
      <vt:lpstr>wld_az1_rack5_host12_hostname</vt:lpstr>
      <vt:lpstr>wld_az1_rack5_host12_mgmt_ip</vt:lpstr>
      <vt:lpstr>wld_az1_rack5_host13_fqdn</vt:lpstr>
      <vt:lpstr>wld_az1_rack5_host13_hostname</vt:lpstr>
      <vt:lpstr>wld_az1_rack5_host13_mgmt_ip</vt:lpstr>
      <vt:lpstr>wld_az1_rack5_host14_fqdn</vt:lpstr>
      <vt:lpstr>wld_az1_rack5_host14_hostname</vt:lpstr>
      <vt:lpstr>wld_az1_rack5_host14_mgmt_ip</vt:lpstr>
      <vt:lpstr>wld_az1_rack5_host15_fqdn</vt:lpstr>
      <vt:lpstr>wld_az1_rack5_host15_hostname</vt:lpstr>
      <vt:lpstr>wld_az1_rack5_host15_mgmt_ip</vt:lpstr>
      <vt:lpstr>wld_az1_rack5_host16_fqdn</vt:lpstr>
      <vt:lpstr>wld_az1_rack5_host16_hostname</vt:lpstr>
      <vt:lpstr>wld_az1_rack5_host16_mgmt_ip</vt:lpstr>
      <vt:lpstr>wld_az1_rack5_host2_fqdn</vt:lpstr>
      <vt:lpstr>wld_az1_rack5_host2_hostname</vt:lpstr>
      <vt:lpstr>wld_az1_rack5_host2_mgmt_ip</vt:lpstr>
      <vt:lpstr>wld_az1_rack5_host3_fqdn</vt:lpstr>
      <vt:lpstr>wld_az1_rack5_host3_hostname</vt:lpstr>
      <vt:lpstr>wld_az1_rack5_host3_mgmt_ip</vt:lpstr>
      <vt:lpstr>wld_az1_rack5_host4_fqdn</vt:lpstr>
      <vt:lpstr>wld_az1_rack5_host4_hostname</vt:lpstr>
      <vt:lpstr>wld_az1_rack5_host4_mgmt_ip</vt:lpstr>
      <vt:lpstr>wld_az1_rack5_host5_fqdn</vt:lpstr>
      <vt:lpstr>wld_az1_rack5_host5_hostname</vt:lpstr>
      <vt:lpstr>wld_az1_rack5_host5_mgmt_ip</vt:lpstr>
      <vt:lpstr>wld_az1_rack5_host6_fqdn</vt:lpstr>
      <vt:lpstr>wld_az1_rack5_host6_hostname</vt:lpstr>
      <vt:lpstr>wld_az1_rack5_host6_mgmt_ip</vt:lpstr>
      <vt:lpstr>wld_az1_rack5_host7_fqdn</vt:lpstr>
      <vt:lpstr>wld_az1_rack5_host7_hostname</vt:lpstr>
      <vt:lpstr>wld_az1_rack5_host7_mgmt_ip</vt:lpstr>
      <vt:lpstr>wld_az1_rack5_host8_fqdn</vt:lpstr>
      <vt:lpstr>wld_az1_rack5_host8_hostname</vt:lpstr>
      <vt:lpstr>wld_az1_rack5_host8_mgmt_ip</vt:lpstr>
      <vt:lpstr>wld_az1_rack5_host9_fqdn</vt:lpstr>
      <vt:lpstr>wld_az1_rack5_host9_hostname</vt:lpstr>
      <vt:lpstr>wld_az1_rack5_host9_mgmt_ip</vt:lpstr>
      <vt:lpstr>wld_az1_rack5_mgmt_cidr</vt:lpstr>
      <vt:lpstr>wld_az1_rack5_mgmt_gateway_cidr</vt:lpstr>
      <vt:lpstr>wld_az1_rack5_mgmt_gateway_ip</vt:lpstr>
      <vt:lpstr>wld_az1_rack5_mgmt_mask</vt:lpstr>
      <vt:lpstr>wld_az1_rack5_mgmt_mtu</vt:lpstr>
      <vt:lpstr>wld_az1_rack5_mgmt_network</vt:lpstr>
      <vt:lpstr>wld_az1_rack5_mgmt_pg</vt:lpstr>
      <vt:lpstr>wld_az1_rack5_mgmt_vlan</vt:lpstr>
      <vt:lpstr>wld_az1_rack5_mgmt_vm_cidr</vt:lpstr>
      <vt:lpstr>wld_az1_rack5_mgmt_vm_gateway_cidr</vt:lpstr>
      <vt:lpstr>wld_az1_rack5_mgmt_vm_gateway_ip</vt:lpstr>
      <vt:lpstr>wld_az1_rack5_mgmt_vm_mask</vt:lpstr>
      <vt:lpstr>wld_az1_rack5_mgmt_vm_mtu</vt:lpstr>
      <vt:lpstr>wld_az1_rack5_mgmt_vm_pg</vt:lpstr>
      <vt:lpstr>wld_az1_rack5_mgmt_vm_vlan</vt:lpstr>
      <vt:lpstr>wld_az1_rack5_pool_name</vt:lpstr>
      <vt:lpstr>wld_az1_rack5_principal_storage_cidr</vt:lpstr>
      <vt:lpstr>wld_az1_rack5_principal_storage_gateway_cidr</vt:lpstr>
      <vt:lpstr>wld_az1_rack5_principal_storage_gateway_ip</vt:lpstr>
      <vt:lpstr>wld_az1_rack5_principal_storage_mask</vt:lpstr>
      <vt:lpstr>wld_az1_rack5_principal_storage_mtu</vt:lpstr>
      <vt:lpstr>wld_az1_rack5_principal_storage_network</vt:lpstr>
      <vt:lpstr>wld_az1_rack5_principal_storage_pg</vt:lpstr>
      <vt:lpstr>wld_az1_rack5_principal_storage_pool_end_ip</vt:lpstr>
      <vt:lpstr>wld_az1_rack5_principal_storage_pool_start_ip</vt:lpstr>
      <vt:lpstr>wld_az1_rack5_principal_storage_vlan</vt:lpstr>
      <vt:lpstr>wld_az1_rack5_reuse_vcf_networkpool_chosen</vt:lpstr>
      <vt:lpstr>wld_az1_rack5_rtep_ip_pool_name</vt:lpstr>
      <vt:lpstr>wld_az1_rack5_rtep_overlay_cidr</vt:lpstr>
      <vt:lpstr>wld_az1_rack5_rtep_overlay_gateway_ip</vt:lpstr>
      <vt:lpstr>wld_az1_rack5_rtep_overlay_mtu</vt:lpstr>
      <vt:lpstr>wld_az1_rack5_rtep_overlay_pool_end_ip</vt:lpstr>
      <vt:lpstr>wld_az1_rack5_rtep_overlay_pool_start_ip</vt:lpstr>
      <vt:lpstr>wld_az1_rack5_rtep_overlay_vlan</vt:lpstr>
      <vt:lpstr>wld_az1_rack5_secondary_storage_cidr</vt:lpstr>
      <vt:lpstr>wld_az1_rack5_secondary_storage_gateway_cidr</vt:lpstr>
      <vt:lpstr>wld_az1_rack5_secondary_storage_gateway_ip</vt:lpstr>
      <vt:lpstr>wld_az1_rack5_secondary_storage_mask</vt:lpstr>
      <vt:lpstr>wld_az1_rack5_secondary_storage_mtu</vt:lpstr>
      <vt:lpstr>wld_az1_rack5_secondary_storage_network</vt:lpstr>
      <vt:lpstr>wld_az1_rack5_secondary_storage_pool_end_ip</vt:lpstr>
      <vt:lpstr>wld_az1_rack5_secondary_storage_pool_start_ip</vt:lpstr>
      <vt:lpstr>wld_az1_rack5_secondary_storage_vlan</vt:lpstr>
      <vt:lpstr>wld_az1_rack5_tor1_peer_asn</vt:lpstr>
      <vt:lpstr>wld_az1_rack5_tor1_peer_bgp_password</vt:lpstr>
      <vt:lpstr>wld_az1_rack5_tor1_peer_ip</vt:lpstr>
      <vt:lpstr>wld_az1_rack5_tor2_peer_asn</vt:lpstr>
      <vt:lpstr>wld_az1_rack5_tor2_peer_bgp_password</vt:lpstr>
      <vt:lpstr>wld_az1_rack5_tor2_peer_ip</vt:lpstr>
      <vt:lpstr>wld_az1_rack5_uplink01_cidr</vt:lpstr>
      <vt:lpstr>wld_az1_rack5_uplink01_gateway_cidr</vt:lpstr>
      <vt:lpstr>wld_az1_rack5_uplink01_gateway_ip</vt:lpstr>
      <vt:lpstr>wld_az1_rack5_uplink01_mask</vt:lpstr>
      <vt:lpstr>wld_az1_rack5_uplink01_mtu</vt:lpstr>
      <vt:lpstr>wld_az1_rack5_uplink01_network</vt:lpstr>
      <vt:lpstr>wld_az1_rack5_uplink01_pg</vt:lpstr>
      <vt:lpstr>wld_az1_rack5_uplink01_vlan</vt:lpstr>
      <vt:lpstr>wld_az1_rack5_uplink02_cidr</vt:lpstr>
      <vt:lpstr>wld_az1_rack5_uplink02_gateway_cidr</vt:lpstr>
      <vt:lpstr>wld_az1_rack5_uplink02_gateway_ip</vt:lpstr>
      <vt:lpstr>wld_az1_rack5_uplink02_mask</vt:lpstr>
      <vt:lpstr>wld_az1_rack5_uplink02_mtu</vt:lpstr>
      <vt:lpstr>wld_az1_rack5_uplink02_network</vt:lpstr>
      <vt:lpstr>wld_az1_rack5_uplink02_pg</vt:lpstr>
      <vt:lpstr>wld_az1_rack5_uplink02_vlan</vt:lpstr>
      <vt:lpstr>wld_az1_rack5_vmotion_cidr</vt:lpstr>
      <vt:lpstr>wld_az1_rack5_vmotion_gateway_cidr</vt:lpstr>
      <vt:lpstr>wld_az1_rack5_vmotion_gateway_ip</vt:lpstr>
      <vt:lpstr>wld_az1_rack5_vmotion_mask</vt:lpstr>
      <vt:lpstr>wld_az1_rack5_vmotion_mtu</vt:lpstr>
      <vt:lpstr>wld_az1_rack5_vmotion_network</vt:lpstr>
      <vt:lpstr>wld_az1_rack5_vmotion_pg</vt:lpstr>
      <vt:lpstr>wld_az1_rack5_vmotion_pool_end_ip</vt:lpstr>
      <vt:lpstr>wld_az1_rack5_vmotion_pool_start_ip</vt:lpstr>
      <vt:lpstr>wld_az1_rack5_vmotion_vlan</vt:lpstr>
      <vt:lpstr>wld_az1_rack5_vrms_cidr</vt:lpstr>
      <vt:lpstr>wld_az1_rack5_vrms_gateway_ip</vt:lpstr>
      <vt:lpstr>wld_az1_rack5_vrms_mtu</vt:lpstr>
      <vt:lpstr>wld_az1_rack5_vrms_vlan</vt:lpstr>
      <vt:lpstr>wld_az1_rack5_vsan_fault_domain</vt:lpstr>
      <vt:lpstr>wld_az1_rack6_edge_overlay_cidr</vt:lpstr>
      <vt:lpstr>wld_az1_rack6_edge_overlay_gateway_cidr</vt:lpstr>
      <vt:lpstr>wld_az1_rack6_edge_overlay_gateway_ip</vt:lpstr>
      <vt:lpstr>wld_az1_rack6_edge_overlay_mask</vt:lpstr>
      <vt:lpstr>wld_az1_rack6_edge_overlay_mtu</vt:lpstr>
      <vt:lpstr>wld_az1_rack6_edge_overlay_network</vt:lpstr>
      <vt:lpstr>wld_az1_rack6_edge_overlay_network_pool_name</vt:lpstr>
      <vt:lpstr>wld_az1_rack6_edge_overlay_pool_end_ip</vt:lpstr>
      <vt:lpstr>wld_az1_rack6_edge_overlay_pool_start_ip</vt:lpstr>
      <vt:lpstr>wld_az1_rack6_edge_overlay_vlan</vt:lpstr>
      <vt:lpstr>wld_az1_rack6_en1_edge_overlay_interface_ip_1_ip</vt:lpstr>
      <vt:lpstr>wld_az1_rack6_en1_edge_overlay_interface_ip_2_ip</vt:lpstr>
      <vt:lpstr>wld_az1_rack6_en1_fqdn</vt:lpstr>
      <vt:lpstr>wld_az1_rack6_en1_hostname</vt:lpstr>
      <vt:lpstr>wld_az1_rack6_en1_mgmt_ip</vt:lpstr>
      <vt:lpstr>wld_az1_rack6_en1_uplink01_interface_ip</vt:lpstr>
      <vt:lpstr>wld_az1_rack6_en1_uplink02_interface_ip</vt:lpstr>
      <vt:lpstr>wld_az1_rack6_en2_fqdn</vt:lpstr>
      <vt:lpstr>wld_az1_rack6_en2_hostname</vt:lpstr>
      <vt:lpstr>wld_az1_rack6_en2_mgmt_ip</vt:lpstr>
      <vt:lpstr>wld_az1_rack6_en2_uplink01_interface_ip</vt:lpstr>
      <vt:lpstr>wld_az1_rack6_en2_uplink02_interface_ip</vt:lpstr>
      <vt:lpstr>wld_az1_rack6_host_fqdns</vt:lpstr>
      <vt:lpstr>wld_az1_rack6_host_hostnames</vt:lpstr>
      <vt:lpstr>wld_az1_rack6_host_mgmt_ips</vt:lpstr>
      <vt:lpstr>wld_az1_rack6_host_overlay_cidr</vt:lpstr>
      <vt:lpstr>wld_az1_rack6_host_overlay_gateway_cidr</vt:lpstr>
      <vt:lpstr>wld_az1_rack6_host_overlay_gateway_ip</vt:lpstr>
      <vt:lpstr>wld_az1_rack6_host_overlay_mask</vt:lpstr>
      <vt:lpstr>wld_az1_rack6_host_overlay_mtu</vt:lpstr>
      <vt:lpstr>wld_az1_rack6_host_overlay_network</vt:lpstr>
      <vt:lpstr>wld_az1_rack6_host_overlay_network_pool_name</vt:lpstr>
      <vt:lpstr>wld_az1_rack6_host_overlay_network_profile_name</vt:lpstr>
      <vt:lpstr>wld_az1_rack6_host_overlay_new_pool_chosen</vt:lpstr>
      <vt:lpstr>wld_az1_rack6_host_overlay_pool_end_ip</vt:lpstr>
      <vt:lpstr>wld_az1_rack6_host_overlay_pool_start_ip</vt:lpstr>
      <vt:lpstr>wld_az1_rack6_host_overlay_uplink_profile_name</vt:lpstr>
      <vt:lpstr>wld_az1_rack6_host_overlay_vlan</vt:lpstr>
      <vt:lpstr>wld_az1_rack6_host1_fqdn</vt:lpstr>
      <vt:lpstr>wld_az1_rack6_host1_hostname</vt:lpstr>
      <vt:lpstr>wld_az1_rack6_host1_mgmt_ip</vt:lpstr>
      <vt:lpstr>wld_az1_rack6_host10_fqdn</vt:lpstr>
      <vt:lpstr>wld_az1_rack6_host10_hostname</vt:lpstr>
      <vt:lpstr>wld_az1_rack6_host10_mgmt_ip</vt:lpstr>
      <vt:lpstr>wld_az1_rack6_host11_fqdn</vt:lpstr>
      <vt:lpstr>wld_az1_rack6_host11_hostname</vt:lpstr>
      <vt:lpstr>wld_az1_rack6_host11_mgmt_ip</vt:lpstr>
      <vt:lpstr>wld_az1_rack6_host12_fqdn</vt:lpstr>
      <vt:lpstr>wld_az1_rack6_host12_hostname</vt:lpstr>
      <vt:lpstr>wld_az1_rack6_host12_mgmt_ip</vt:lpstr>
      <vt:lpstr>wld_az1_rack6_host13_fqdn</vt:lpstr>
      <vt:lpstr>wld_az1_rack6_host13_hostname</vt:lpstr>
      <vt:lpstr>wld_az1_rack6_host13_mgmt_ip</vt:lpstr>
      <vt:lpstr>wld_az1_rack6_host14_fqdn</vt:lpstr>
      <vt:lpstr>wld_az1_rack6_host14_hostname</vt:lpstr>
      <vt:lpstr>wld_az1_rack6_host14_mgmt_ip</vt:lpstr>
      <vt:lpstr>wld_az1_rack6_host15_fqdn</vt:lpstr>
      <vt:lpstr>wld_az1_rack6_host15_hostname</vt:lpstr>
      <vt:lpstr>wld_az1_rack6_host15_mgmt_ip</vt:lpstr>
      <vt:lpstr>wld_az1_rack6_host16_fqdn</vt:lpstr>
      <vt:lpstr>wld_az1_rack6_host16_hostname</vt:lpstr>
      <vt:lpstr>wld_az1_rack6_host16_mgmt_ip</vt:lpstr>
      <vt:lpstr>wld_az1_rack6_host2_fqdn</vt:lpstr>
      <vt:lpstr>wld_az1_rack6_host2_hostname</vt:lpstr>
      <vt:lpstr>wld_az1_rack6_host2_mgmt_ip</vt:lpstr>
      <vt:lpstr>wld_az1_rack6_host3_fqdn</vt:lpstr>
      <vt:lpstr>wld_az1_rack6_host3_hostname</vt:lpstr>
      <vt:lpstr>wld_az1_rack6_host3_mgmt_ip</vt:lpstr>
      <vt:lpstr>wld_az1_rack6_host4_fqdn</vt:lpstr>
      <vt:lpstr>wld_az1_rack6_host4_hostname</vt:lpstr>
      <vt:lpstr>wld_az1_rack6_host4_mgmt_ip</vt:lpstr>
      <vt:lpstr>wld_az1_rack6_host5_fqdn</vt:lpstr>
      <vt:lpstr>wld_az1_rack6_host5_hostname</vt:lpstr>
      <vt:lpstr>wld_az1_rack6_host5_mgmt_ip</vt:lpstr>
      <vt:lpstr>wld_az1_rack6_host6_fqdn</vt:lpstr>
      <vt:lpstr>wld_az1_rack6_host6_hostname</vt:lpstr>
      <vt:lpstr>wld_az1_rack6_host6_mgmt_ip</vt:lpstr>
      <vt:lpstr>wld_az1_rack6_host7_fqdn</vt:lpstr>
      <vt:lpstr>wld_az1_rack6_host7_hostname</vt:lpstr>
      <vt:lpstr>wld_az1_rack6_host7_mgmt_ip</vt:lpstr>
      <vt:lpstr>wld_az1_rack6_host8_fqdn</vt:lpstr>
      <vt:lpstr>wld_az1_rack6_host8_hostname</vt:lpstr>
      <vt:lpstr>wld_az1_rack6_host8_mgmt_ip</vt:lpstr>
      <vt:lpstr>wld_az1_rack6_host9_fqdn</vt:lpstr>
      <vt:lpstr>wld_az1_rack6_host9_hostname</vt:lpstr>
      <vt:lpstr>wld_az1_rack6_host9_mgmt_ip</vt:lpstr>
      <vt:lpstr>wld_az1_rack6_mgmt_cidr</vt:lpstr>
      <vt:lpstr>wld_az1_rack6_mgmt_gateway_cidr</vt:lpstr>
      <vt:lpstr>wld_az1_rack6_mgmt_gateway_ip</vt:lpstr>
      <vt:lpstr>wld_az1_rack6_mgmt_mask</vt:lpstr>
      <vt:lpstr>wld_az1_rack6_mgmt_mtu</vt:lpstr>
      <vt:lpstr>wld_az1_rack6_mgmt_network</vt:lpstr>
      <vt:lpstr>wld_az1_rack6_mgmt_pg</vt:lpstr>
      <vt:lpstr>wld_az1_rack6_mgmt_vlan</vt:lpstr>
      <vt:lpstr>wld_az1_rack6_mgmt_vm_cidr</vt:lpstr>
      <vt:lpstr>wld_az1_rack6_mgmt_vm_gateway_cidr</vt:lpstr>
      <vt:lpstr>wld_az1_rack6_mgmt_vm_gateway_ip</vt:lpstr>
      <vt:lpstr>wld_az1_rack6_mgmt_vm_mask</vt:lpstr>
      <vt:lpstr>wld_az1_rack6_mgmt_vm_mtu</vt:lpstr>
      <vt:lpstr>wld_az1_rack6_mgmt_vm_pg</vt:lpstr>
      <vt:lpstr>wld_az1_rack6_mgmt_vm_vlan</vt:lpstr>
      <vt:lpstr>wld_az1_rack6_pool_name</vt:lpstr>
      <vt:lpstr>wld_az1_rack6_principal_storage_cidr</vt:lpstr>
      <vt:lpstr>wld_az1_rack6_principal_storage_gateway_cidr</vt:lpstr>
      <vt:lpstr>wld_az1_rack6_principal_storage_gateway_ip</vt:lpstr>
      <vt:lpstr>wld_az1_rack6_principal_storage_mask</vt:lpstr>
      <vt:lpstr>wld_az1_rack6_principal_storage_mtu</vt:lpstr>
      <vt:lpstr>wld_az1_rack6_principal_storage_network</vt:lpstr>
      <vt:lpstr>wld_az1_rack6_principal_storage_pg</vt:lpstr>
      <vt:lpstr>wld_az1_rack6_principal_storage_pool_end_ip</vt:lpstr>
      <vt:lpstr>wld_az1_rack6_principal_storage_pool_start_ip</vt:lpstr>
      <vt:lpstr>wld_az1_rack6_principal_storage_vlan</vt:lpstr>
      <vt:lpstr>wld_az1_rack6_reuse_vcf_networkpool_chosen</vt:lpstr>
      <vt:lpstr>wld_az1_rack6_rtep_ip_pool_name</vt:lpstr>
      <vt:lpstr>wld_az1_rack6_rtep_overlay_cidr</vt:lpstr>
      <vt:lpstr>wld_az1_rack6_rtep_overlay_gateway_ip</vt:lpstr>
      <vt:lpstr>wld_az1_rack6_rtep_overlay_mtu</vt:lpstr>
      <vt:lpstr>wld_az1_rack6_rtep_overlay_pool_end_ip</vt:lpstr>
      <vt:lpstr>wld_az1_rack6_rtep_overlay_pool_start_ip</vt:lpstr>
      <vt:lpstr>wld_az1_rack6_rtep_overlay_vlan</vt:lpstr>
      <vt:lpstr>wld_az1_rack6_secondary_storage_cidr</vt:lpstr>
      <vt:lpstr>wld_az1_rack6_secondary_storage_gateway_cidr</vt:lpstr>
      <vt:lpstr>wld_az1_rack6_secondary_storage_gateway_ip</vt:lpstr>
      <vt:lpstr>wld_az1_rack6_secondary_storage_mask</vt:lpstr>
      <vt:lpstr>wld_az1_rack6_secondary_storage_mtu</vt:lpstr>
      <vt:lpstr>wld_az1_rack6_secondary_storage_network</vt:lpstr>
      <vt:lpstr>wld_az1_rack6_secondary_storage_pool_end_ip</vt:lpstr>
      <vt:lpstr>wld_az1_rack6_secondary_storage_pool_start_ip</vt:lpstr>
      <vt:lpstr>wld_az1_rack6_secondary_storage_vlan</vt:lpstr>
      <vt:lpstr>wld_az1_rack6_tor1_peer_asn</vt:lpstr>
      <vt:lpstr>wld_az1_rack6_tor1_peer_bgp_password</vt:lpstr>
      <vt:lpstr>wld_az1_rack6_tor1_peer_ip</vt:lpstr>
      <vt:lpstr>wld_az1_rack6_tor2_peer_asn</vt:lpstr>
      <vt:lpstr>wld_az1_rack6_tor2_peer_bgp_password</vt:lpstr>
      <vt:lpstr>wld_az1_rack6_tor2_peer_ip</vt:lpstr>
      <vt:lpstr>wld_az1_rack6_uplink01_cidr</vt:lpstr>
      <vt:lpstr>wld_az1_rack6_uplink01_gateway_cidr</vt:lpstr>
      <vt:lpstr>wld_az1_rack6_uplink01_gateway_ip</vt:lpstr>
      <vt:lpstr>wld_az1_rack6_uplink01_mask</vt:lpstr>
      <vt:lpstr>wld_az1_rack6_uplink01_mtu</vt:lpstr>
      <vt:lpstr>wld_az1_rack6_uplink01_network</vt:lpstr>
      <vt:lpstr>wld_az1_rack6_uplink01_pg</vt:lpstr>
      <vt:lpstr>wld_az1_rack6_uplink01_vlan</vt:lpstr>
      <vt:lpstr>wld_az1_rack6_uplink02_cidr</vt:lpstr>
      <vt:lpstr>wld_az1_rack6_uplink02_gateway_cidr</vt:lpstr>
      <vt:lpstr>wld_az1_rack6_uplink02_gateway_ip</vt:lpstr>
      <vt:lpstr>wld_az1_rack6_uplink02_mask</vt:lpstr>
      <vt:lpstr>wld_az1_rack6_uplink02_mtu</vt:lpstr>
      <vt:lpstr>wld_az1_rack6_uplink02_network</vt:lpstr>
      <vt:lpstr>wld_az1_rack6_uplink02_pg</vt:lpstr>
      <vt:lpstr>wld_az1_rack6_uplink02_vlan</vt:lpstr>
      <vt:lpstr>wld_az1_rack6_vmotion_cidr</vt:lpstr>
      <vt:lpstr>wld_az1_rack6_vmotion_gateway_cidr</vt:lpstr>
      <vt:lpstr>wld_az1_rack6_vmotion_gateway_ip</vt:lpstr>
      <vt:lpstr>wld_az1_rack6_vmotion_mask</vt:lpstr>
      <vt:lpstr>wld_az1_rack6_vmotion_mtu</vt:lpstr>
      <vt:lpstr>wld_az1_rack6_vmotion_network</vt:lpstr>
      <vt:lpstr>wld_az1_rack6_vmotion_pg</vt:lpstr>
      <vt:lpstr>wld_az1_rack6_vmotion_pool_end_ip</vt:lpstr>
      <vt:lpstr>wld_az1_rack6_vmotion_pool_start_ip</vt:lpstr>
      <vt:lpstr>wld_az1_rack6_vmotion_vlan</vt:lpstr>
      <vt:lpstr>wld_az1_rack6_vrms_cidr</vt:lpstr>
      <vt:lpstr>wld_az1_rack6_vrms_gateway_ip</vt:lpstr>
      <vt:lpstr>wld_az1_rack6_vrms_mtu</vt:lpstr>
      <vt:lpstr>wld_az1_rack6_vrms_vlan</vt:lpstr>
      <vt:lpstr>wld_az1_rack6_vsan_fault_domain</vt:lpstr>
      <vt:lpstr>wld_az1_rack7_edge_overlay_cidr</vt:lpstr>
      <vt:lpstr>wld_az1_rack7_edge_overlay_gateway_cidr</vt:lpstr>
      <vt:lpstr>wld_az1_rack7_edge_overlay_gateway_ip</vt:lpstr>
      <vt:lpstr>wld_az1_rack7_edge_overlay_mask</vt:lpstr>
      <vt:lpstr>wld_az1_rack7_edge_overlay_mtu</vt:lpstr>
      <vt:lpstr>wld_az1_rack7_edge_overlay_network</vt:lpstr>
      <vt:lpstr>wld_az1_rack7_edge_overlay_network_pool_name</vt:lpstr>
      <vt:lpstr>wld_az1_rack7_edge_overlay_pool_end_ip</vt:lpstr>
      <vt:lpstr>wld_az1_rack7_edge_overlay_pool_start_ip</vt:lpstr>
      <vt:lpstr>wld_az1_rack7_edge_overlay_vlan</vt:lpstr>
      <vt:lpstr>wld_az1_rack7_en1_edge_overlay_interface_ip_1_ip</vt:lpstr>
      <vt:lpstr>wld_az1_rack7_en1_edge_overlay_interface_ip_2_ip</vt:lpstr>
      <vt:lpstr>wld_az1_rack7_en1_fqdn</vt:lpstr>
      <vt:lpstr>wld_az1_rack7_en1_hostname</vt:lpstr>
      <vt:lpstr>wld_az1_rack7_en1_mgmt_ip</vt:lpstr>
      <vt:lpstr>wld_az1_rack7_en1_uplink01_interface_ip</vt:lpstr>
      <vt:lpstr>wld_az1_rack7_en1_uplink02_interface_ip</vt:lpstr>
      <vt:lpstr>wld_az1_rack7_en2_fqdn</vt:lpstr>
      <vt:lpstr>wld_az1_rack7_en2_hostname</vt:lpstr>
      <vt:lpstr>wld_az1_rack7_en2_mgmt_ip</vt:lpstr>
      <vt:lpstr>wld_az1_rack7_en2_uplink01_interface_ip</vt:lpstr>
      <vt:lpstr>wld_az1_rack7_en2_uplink02_interface_ip</vt:lpstr>
      <vt:lpstr>wld_az1_rack7_host_fqdns</vt:lpstr>
      <vt:lpstr>wld_az1_rack7_host_hostnames</vt:lpstr>
      <vt:lpstr>wld_az1_rack7_host_mgmt_ips</vt:lpstr>
      <vt:lpstr>wld_az1_rack7_host_overlay_cidr</vt:lpstr>
      <vt:lpstr>wld_az1_rack7_host_overlay_gateway_cidr</vt:lpstr>
      <vt:lpstr>wld_az1_rack7_host_overlay_gateway_ip</vt:lpstr>
      <vt:lpstr>wld_az1_rack7_host_overlay_mask</vt:lpstr>
      <vt:lpstr>wld_az1_rack7_host_overlay_mtu</vt:lpstr>
      <vt:lpstr>wld_az1_rack7_host_overlay_network</vt:lpstr>
      <vt:lpstr>wld_az1_rack7_host_overlay_network_pool_name</vt:lpstr>
      <vt:lpstr>wld_az1_rack7_host_overlay_network_profile_name</vt:lpstr>
      <vt:lpstr>wld_az1_rack7_host_overlay_new_pool_chosen</vt:lpstr>
      <vt:lpstr>wld_az1_rack7_host_overlay_pool_end_ip</vt:lpstr>
      <vt:lpstr>wld_az1_rack7_host_overlay_pool_start_ip</vt:lpstr>
      <vt:lpstr>wld_az1_rack7_host_overlay_uplink_profile_name</vt:lpstr>
      <vt:lpstr>wld_az1_rack7_host_overlay_vlan</vt:lpstr>
      <vt:lpstr>wld_az1_rack7_host1_fqdn</vt:lpstr>
      <vt:lpstr>wld_az1_rack7_host1_hostname</vt:lpstr>
      <vt:lpstr>wld_az1_rack7_host1_mgmt_ip</vt:lpstr>
      <vt:lpstr>wld_az1_rack7_host10_fqdn</vt:lpstr>
      <vt:lpstr>wld_az1_rack7_host10_hostname</vt:lpstr>
      <vt:lpstr>wld_az1_rack7_host10_mgmt_ip</vt:lpstr>
      <vt:lpstr>wld_az1_rack7_host11_fqdn</vt:lpstr>
      <vt:lpstr>wld_az1_rack7_host11_hostname</vt:lpstr>
      <vt:lpstr>wld_az1_rack7_host11_mgmt_ip</vt:lpstr>
      <vt:lpstr>wld_az1_rack7_host12_fqdn</vt:lpstr>
      <vt:lpstr>wld_az1_rack7_host12_hostname</vt:lpstr>
      <vt:lpstr>wld_az1_rack7_host12_mgmt_ip</vt:lpstr>
      <vt:lpstr>wld_az1_rack7_host13_fqdn</vt:lpstr>
      <vt:lpstr>wld_az1_rack7_host13_hostname</vt:lpstr>
      <vt:lpstr>wld_az1_rack7_host13_mgmt_ip</vt:lpstr>
      <vt:lpstr>wld_az1_rack7_host14_fqdn</vt:lpstr>
      <vt:lpstr>wld_az1_rack7_host14_hostname</vt:lpstr>
      <vt:lpstr>wld_az1_rack7_host14_mgmt_ip</vt:lpstr>
      <vt:lpstr>wld_az1_rack7_host15_fqdn</vt:lpstr>
      <vt:lpstr>wld_az1_rack7_host15_hostname</vt:lpstr>
      <vt:lpstr>wld_az1_rack7_host15_mgmt_ip</vt:lpstr>
      <vt:lpstr>wld_az1_rack7_host16_fqdn</vt:lpstr>
      <vt:lpstr>wld_az1_rack7_host16_hostname</vt:lpstr>
      <vt:lpstr>wld_az1_rack7_host16_mgmt_ip</vt:lpstr>
      <vt:lpstr>wld_az1_rack7_host2_fqdn</vt:lpstr>
      <vt:lpstr>wld_az1_rack7_host2_hostname</vt:lpstr>
      <vt:lpstr>wld_az1_rack7_host2_mgmt_ip</vt:lpstr>
      <vt:lpstr>wld_az1_rack7_host3_fqdn</vt:lpstr>
      <vt:lpstr>wld_az1_rack7_host3_hostname</vt:lpstr>
      <vt:lpstr>wld_az1_rack7_host3_mgmt_ip</vt:lpstr>
      <vt:lpstr>wld_az1_rack7_host4_fqdn</vt:lpstr>
      <vt:lpstr>wld_az1_rack7_host4_hostname</vt:lpstr>
      <vt:lpstr>wld_az1_rack7_host4_mgmt_ip</vt:lpstr>
      <vt:lpstr>wld_az1_rack7_host5_fqdn</vt:lpstr>
      <vt:lpstr>wld_az1_rack7_host5_hostname</vt:lpstr>
      <vt:lpstr>wld_az1_rack7_host5_mgmt_ip</vt:lpstr>
      <vt:lpstr>wld_az1_rack7_host6_fqdn</vt:lpstr>
      <vt:lpstr>wld_az1_rack7_host6_hostname</vt:lpstr>
      <vt:lpstr>wld_az1_rack7_host6_mgmt_ip</vt:lpstr>
      <vt:lpstr>wld_az1_rack7_host7_fqdn</vt:lpstr>
      <vt:lpstr>wld_az1_rack7_host7_hostname</vt:lpstr>
      <vt:lpstr>wld_az1_rack7_host7_mgmt_ip</vt:lpstr>
      <vt:lpstr>wld_az1_rack7_host8_fqdn</vt:lpstr>
      <vt:lpstr>wld_az1_rack7_host8_hostname</vt:lpstr>
      <vt:lpstr>wld_az1_rack7_host8_mgmt_ip</vt:lpstr>
      <vt:lpstr>wld_az1_rack7_host9_fqdn</vt:lpstr>
      <vt:lpstr>wld_az1_rack7_host9_hostname</vt:lpstr>
      <vt:lpstr>wld_az1_rack7_host9_mgmt_ip</vt:lpstr>
      <vt:lpstr>wld_az1_rack7_mgmt_cidr</vt:lpstr>
      <vt:lpstr>wld_az1_rack7_mgmt_gateway_cidr</vt:lpstr>
      <vt:lpstr>wld_az1_rack7_mgmt_gateway_ip</vt:lpstr>
      <vt:lpstr>wld_az1_rack7_mgmt_mask</vt:lpstr>
      <vt:lpstr>wld_az1_rack7_mgmt_mtu</vt:lpstr>
      <vt:lpstr>wld_az1_rack7_mgmt_network</vt:lpstr>
      <vt:lpstr>wld_az1_rack7_mgmt_pg</vt:lpstr>
      <vt:lpstr>wld_az1_rack7_mgmt_vlan</vt:lpstr>
      <vt:lpstr>wld_az1_rack7_mgmt_vm_cidr</vt:lpstr>
      <vt:lpstr>wld_az1_rack7_mgmt_vm_gateway_cidr</vt:lpstr>
      <vt:lpstr>wld_az1_rack7_mgmt_vm_gateway_ip</vt:lpstr>
      <vt:lpstr>wld_az1_rack7_mgmt_vm_mask</vt:lpstr>
      <vt:lpstr>wld_az1_rack7_mgmt_vm_mtu</vt:lpstr>
      <vt:lpstr>wld_az1_rack7_mgmt_vm_pg</vt:lpstr>
      <vt:lpstr>wld_az1_rack7_mgmt_vm_vlan</vt:lpstr>
      <vt:lpstr>wld_az1_rack7_pool_name</vt:lpstr>
      <vt:lpstr>wld_az1_rack7_principal_storage_cidr</vt:lpstr>
      <vt:lpstr>wld_az1_rack7_principal_storage_gateway_cidr</vt:lpstr>
      <vt:lpstr>wld_az1_rack7_principal_storage_gateway_ip</vt:lpstr>
      <vt:lpstr>wld_az1_rack7_principal_storage_mask</vt:lpstr>
      <vt:lpstr>wld_az1_rack7_principal_storage_mtu</vt:lpstr>
      <vt:lpstr>wld_az1_rack7_principal_storage_network</vt:lpstr>
      <vt:lpstr>wld_az1_rack7_principal_storage_pg</vt:lpstr>
      <vt:lpstr>wld_az1_rack7_principal_storage_pool_end_ip</vt:lpstr>
      <vt:lpstr>wld_az1_rack7_principal_storage_pool_start_ip</vt:lpstr>
      <vt:lpstr>wld_az1_rack7_principal_storage_vlan</vt:lpstr>
      <vt:lpstr>wld_az1_rack7_reuse_vcf_networkpool_chosen</vt:lpstr>
      <vt:lpstr>wld_az1_rack7_rtep_ip_pool_name</vt:lpstr>
      <vt:lpstr>wld_az1_rack7_rtep_overlay_cidr</vt:lpstr>
      <vt:lpstr>wld_az1_rack7_rtep_overlay_gateway_ip</vt:lpstr>
      <vt:lpstr>wld_az1_rack7_rtep_overlay_mtu</vt:lpstr>
      <vt:lpstr>wld_az1_rack7_rtep_overlay_pool_end_ip</vt:lpstr>
      <vt:lpstr>wld_az1_rack7_rtep_overlay_pool_start_ip</vt:lpstr>
      <vt:lpstr>wld_az1_rack7_rtep_overlay_vlan</vt:lpstr>
      <vt:lpstr>wld_az1_rack7_secondary_storage_cidr</vt:lpstr>
      <vt:lpstr>wld_az1_rack7_secondary_storage_gateway_cidr</vt:lpstr>
      <vt:lpstr>wld_az1_rack7_secondary_storage_gateway_ip</vt:lpstr>
      <vt:lpstr>wld_az1_rack7_secondary_storage_mask</vt:lpstr>
      <vt:lpstr>wld_az1_rack7_secondary_storage_mtu</vt:lpstr>
      <vt:lpstr>wld_az1_rack7_secondary_storage_network</vt:lpstr>
      <vt:lpstr>wld_az1_rack7_secondary_storage_pool_end_ip</vt:lpstr>
      <vt:lpstr>wld_az1_rack7_secondary_storage_pool_start_ip</vt:lpstr>
      <vt:lpstr>wld_az1_rack7_secondary_storage_vlan</vt:lpstr>
      <vt:lpstr>wld_az1_rack7_tor1_peer_asn</vt:lpstr>
      <vt:lpstr>wld_az1_rack7_tor1_peer_bgp_password</vt:lpstr>
      <vt:lpstr>wld_az1_rack7_tor1_peer_ip</vt:lpstr>
      <vt:lpstr>wld_az1_rack7_tor2_peer_asn</vt:lpstr>
      <vt:lpstr>wld_az1_rack7_tor2_peer_bgp_password</vt:lpstr>
      <vt:lpstr>wld_az1_rack7_tor2_peer_ip</vt:lpstr>
      <vt:lpstr>wld_az1_rack7_uplink01_cidr</vt:lpstr>
      <vt:lpstr>wld_az1_rack7_uplink01_gateway_cidr</vt:lpstr>
      <vt:lpstr>wld_az1_rack7_uplink01_gateway_ip</vt:lpstr>
      <vt:lpstr>wld_az1_rack7_uplink01_mask</vt:lpstr>
      <vt:lpstr>wld_az1_rack7_uplink01_mtu</vt:lpstr>
      <vt:lpstr>wld_az1_rack7_uplink01_network</vt:lpstr>
      <vt:lpstr>wld_az1_rack7_uplink01_pg</vt:lpstr>
      <vt:lpstr>wld_az1_rack7_uplink01_vlan</vt:lpstr>
      <vt:lpstr>wld_az1_rack7_uplink02_cidr</vt:lpstr>
      <vt:lpstr>wld_az1_rack7_uplink02_gateway_cidr</vt:lpstr>
      <vt:lpstr>wld_az1_rack7_uplink02_gateway_ip</vt:lpstr>
      <vt:lpstr>wld_az1_rack7_uplink02_mask</vt:lpstr>
      <vt:lpstr>wld_az1_rack7_uplink02_mtu</vt:lpstr>
      <vt:lpstr>wld_az1_rack7_uplink02_network</vt:lpstr>
      <vt:lpstr>wld_az1_rack7_uplink02_pg</vt:lpstr>
      <vt:lpstr>wld_az1_rack7_uplink02_vlan</vt:lpstr>
      <vt:lpstr>wld_az1_rack7_vmotion_cidr</vt:lpstr>
      <vt:lpstr>wld_az1_rack7_vmotion_gateway_cidr</vt:lpstr>
      <vt:lpstr>wld_az1_rack7_vmotion_gateway_ip</vt:lpstr>
      <vt:lpstr>wld_az1_rack7_vmotion_mask</vt:lpstr>
      <vt:lpstr>wld_az1_rack7_vmotion_mtu</vt:lpstr>
      <vt:lpstr>wld_az1_rack7_vmotion_network</vt:lpstr>
      <vt:lpstr>wld_az1_rack7_vmotion_pg</vt:lpstr>
      <vt:lpstr>wld_az1_rack7_vmotion_pool_end_ip</vt:lpstr>
      <vt:lpstr>wld_az1_rack7_vmotion_pool_start_ip</vt:lpstr>
      <vt:lpstr>wld_az1_rack7_vmotion_vlan</vt:lpstr>
      <vt:lpstr>wld_az1_rack7_vrms_cidr</vt:lpstr>
      <vt:lpstr>wld_az1_rack7_vrms_gateway_ip</vt:lpstr>
      <vt:lpstr>wld_az1_rack7_vrms_mtu</vt:lpstr>
      <vt:lpstr>wld_az1_rack7_vrms_vlan</vt:lpstr>
      <vt:lpstr>wld_az1_rack7_vsan_fault_domain</vt:lpstr>
      <vt:lpstr>wld_az1_rack8_edge_overlay_cidr</vt:lpstr>
      <vt:lpstr>wld_az1_rack8_edge_overlay_gateway_cidr</vt:lpstr>
      <vt:lpstr>wld_az1_rack8_edge_overlay_gateway_ip</vt:lpstr>
      <vt:lpstr>wld_az1_rack8_edge_overlay_mask</vt:lpstr>
      <vt:lpstr>wld_az1_rack8_edge_overlay_mtu</vt:lpstr>
      <vt:lpstr>wld_az1_rack8_edge_overlay_network</vt:lpstr>
      <vt:lpstr>wld_az1_rack8_edge_overlay_network_pool_name</vt:lpstr>
      <vt:lpstr>wld_az1_rack8_edge_overlay_pool_end_ip</vt:lpstr>
      <vt:lpstr>wld_az1_rack8_edge_overlay_pool_start_ip</vt:lpstr>
      <vt:lpstr>wld_az1_rack8_edge_overlay_vlan</vt:lpstr>
      <vt:lpstr>wld_az1_rack8_en1_edge_overlay_interface_ip_1_ip</vt:lpstr>
      <vt:lpstr>wld_az1_rack8_en1_edge_overlay_interface_ip_2_ip</vt:lpstr>
      <vt:lpstr>wld_az1_rack8_en1_fqdn</vt:lpstr>
      <vt:lpstr>wld_az1_rack8_en1_hostname</vt:lpstr>
      <vt:lpstr>wld_az1_rack8_en1_mgmt_ip</vt:lpstr>
      <vt:lpstr>wld_az1_rack8_en1_uplink01_interface_ip</vt:lpstr>
      <vt:lpstr>wld_az1_rack8_en1_uplink02_interface_ip</vt:lpstr>
      <vt:lpstr>wld_az1_rack8_en2_fqdn</vt:lpstr>
      <vt:lpstr>wld_az1_rack8_en2_hostname</vt:lpstr>
      <vt:lpstr>wld_az1_rack8_en2_mgmt_ip</vt:lpstr>
      <vt:lpstr>wld_az1_rack8_en2_uplink01_interface_ip</vt:lpstr>
      <vt:lpstr>wld_az1_rack8_en2_uplink02_interface_ip</vt:lpstr>
      <vt:lpstr>wld_az1_rack8_host_fqdns</vt:lpstr>
      <vt:lpstr>wld_az1_rack8_host_hostnames</vt:lpstr>
      <vt:lpstr>wld_az1_rack8_host_mgmt_ips</vt:lpstr>
      <vt:lpstr>wld_az1_rack8_host_overlay_cidr</vt:lpstr>
      <vt:lpstr>wld_az1_rack8_host_overlay_gateway_cidr</vt:lpstr>
      <vt:lpstr>wld_az1_rack8_host_overlay_gateway_ip</vt:lpstr>
      <vt:lpstr>wld_az1_rack8_host_overlay_mask</vt:lpstr>
      <vt:lpstr>wld_az1_rack8_host_overlay_mtu</vt:lpstr>
      <vt:lpstr>wld_az1_rack8_host_overlay_network</vt:lpstr>
      <vt:lpstr>wld_az1_rack8_host_overlay_network_pool_name</vt:lpstr>
      <vt:lpstr>wld_az1_rack8_host_overlay_network_profile_name</vt:lpstr>
      <vt:lpstr>wld_az1_rack8_host_overlay_new_pool_chosen</vt:lpstr>
      <vt:lpstr>wld_az1_rack8_host_overlay_pool_end_ip</vt:lpstr>
      <vt:lpstr>wld_az1_rack8_host_overlay_pool_start_ip</vt:lpstr>
      <vt:lpstr>wld_az1_rack8_host_overlay_uplink_profile_name</vt:lpstr>
      <vt:lpstr>wld_az1_rack8_host_overlay_vlan</vt:lpstr>
      <vt:lpstr>wld_az1_rack8_host1_fqdn</vt:lpstr>
      <vt:lpstr>wld_az1_rack8_host1_hostname</vt:lpstr>
      <vt:lpstr>wld_az1_rack8_host1_mgmt_ip</vt:lpstr>
      <vt:lpstr>wld_az1_rack8_host10_fqdn</vt:lpstr>
      <vt:lpstr>wld_az1_rack8_host10_hostname</vt:lpstr>
      <vt:lpstr>wld_az1_rack8_host10_mgmt_ip</vt:lpstr>
      <vt:lpstr>wld_az1_rack8_host11_fqdn</vt:lpstr>
      <vt:lpstr>wld_az1_rack8_host11_hostname</vt:lpstr>
      <vt:lpstr>wld_az1_rack8_host11_mgmt_ip</vt:lpstr>
      <vt:lpstr>wld_az1_rack8_host12_fqdn</vt:lpstr>
      <vt:lpstr>wld_az1_rack8_host12_hostname</vt:lpstr>
      <vt:lpstr>wld_az1_rack8_host12_mgmt_ip</vt:lpstr>
      <vt:lpstr>wld_az1_rack8_host13_fqdn</vt:lpstr>
      <vt:lpstr>wld_az1_rack8_host13_hostname</vt:lpstr>
      <vt:lpstr>wld_az1_rack8_host13_mgmt_ip</vt:lpstr>
      <vt:lpstr>wld_az1_rack8_host14_fqdn</vt:lpstr>
      <vt:lpstr>wld_az1_rack8_host14_hostname</vt:lpstr>
      <vt:lpstr>wld_az1_rack8_host14_mgmt_ip</vt:lpstr>
      <vt:lpstr>wld_az1_rack8_host15_fqdn</vt:lpstr>
      <vt:lpstr>wld_az1_rack8_host15_hostname</vt:lpstr>
      <vt:lpstr>wld_az1_rack8_host15_mgmt_ip</vt:lpstr>
      <vt:lpstr>wld_az1_rack8_host16_fqdn</vt:lpstr>
      <vt:lpstr>wld_az1_rack8_host16_hostname</vt:lpstr>
      <vt:lpstr>wld_az1_rack8_host16_mgmt_ip</vt:lpstr>
      <vt:lpstr>wld_az1_rack8_host2_fqdn</vt:lpstr>
      <vt:lpstr>wld_az1_rack8_host2_hostname</vt:lpstr>
      <vt:lpstr>wld_az1_rack8_host2_mgmt_ip</vt:lpstr>
      <vt:lpstr>wld_az1_rack8_host3_fqdn</vt:lpstr>
      <vt:lpstr>wld_az1_rack8_host3_hostname</vt:lpstr>
      <vt:lpstr>wld_az1_rack8_host3_mgmt_ip</vt:lpstr>
      <vt:lpstr>wld_az1_rack8_host4_fqdn</vt:lpstr>
      <vt:lpstr>wld_az1_rack8_host4_hostname</vt:lpstr>
      <vt:lpstr>wld_az1_rack8_host4_mgmt_ip</vt:lpstr>
      <vt:lpstr>wld_az1_rack8_host5_fqdn</vt:lpstr>
      <vt:lpstr>wld_az1_rack8_host5_hostname</vt:lpstr>
      <vt:lpstr>wld_az1_rack8_host5_mgmt_ip</vt:lpstr>
      <vt:lpstr>wld_az1_rack8_host6_fqdn</vt:lpstr>
      <vt:lpstr>wld_az1_rack8_host6_hostname</vt:lpstr>
      <vt:lpstr>wld_az1_rack8_host6_mgmt_ip</vt:lpstr>
      <vt:lpstr>wld_az1_rack8_host7_fqdn</vt:lpstr>
      <vt:lpstr>wld_az1_rack8_host7_hostname</vt:lpstr>
      <vt:lpstr>wld_az1_rack8_host7_mgmt_ip</vt:lpstr>
      <vt:lpstr>wld_az1_rack8_host8_fqdn</vt:lpstr>
      <vt:lpstr>wld_az1_rack8_host8_hostname</vt:lpstr>
      <vt:lpstr>wld_az1_rack8_host8_mgmt_ip</vt:lpstr>
      <vt:lpstr>wld_az1_rack8_host9_fqdn</vt:lpstr>
      <vt:lpstr>wld_az1_rack8_host9_hostname</vt:lpstr>
      <vt:lpstr>wld_az1_rack8_host9_mgmt_ip</vt:lpstr>
      <vt:lpstr>wld_az1_rack8_mgmt_cidr</vt:lpstr>
      <vt:lpstr>wld_az1_rack8_mgmt_gateway_cidr</vt:lpstr>
      <vt:lpstr>wld_az1_rack8_mgmt_gateway_ip</vt:lpstr>
      <vt:lpstr>wld_az1_rack8_mgmt_mask</vt:lpstr>
      <vt:lpstr>wld_az1_rack8_mgmt_mtu</vt:lpstr>
      <vt:lpstr>wld_az1_rack8_mgmt_network</vt:lpstr>
      <vt:lpstr>wld_az1_rack8_mgmt_pg</vt:lpstr>
      <vt:lpstr>wld_az1_rack8_mgmt_vlan</vt:lpstr>
      <vt:lpstr>wld_az1_rack8_mgmt_vm_cidr</vt:lpstr>
      <vt:lpstr>wld_az1_rack8_mgmt_vm_gateway_cidr</vt:lpstr>
      <vt:lpstr>wld_az1_rack8_mgmt_vm_gateway_ip</vt:lpstr>
      <vt:lpstr>wld_az1_rack8_mgmt_vm_mask</vt:lpstr>
      <vt:lpstr>wld_az1_rack8_mgmt_vm_mtu</vt:lpstr>
      <vt:lpstr>wld_az1_rack8_mgmt_vm_pg</vt:lpstr>
      <vt:lpstr>wld_az1_rack8_mgmt_vm_vlan</vt:lpstr>
      <vt:lpstr>wld_az1_rack8_pool_name</vt:lpstr>
      <vt:lpstr>wld_az1_rack8_principal_storage_cidr</vt:lpstr>
      <vt:lpstr>wld_az1_rack8_principal_storage_gateway_cidr</vt:lpstr>
      <vt:lpstr>wld_az1_rack8_principal_storage_gateway_ip</vt:lpstr>
      <vt:lpstr>wld_az1_rack8_principal_storage_mask</vt:lpstr>
      <vt:lpstr>wld_az1_rack8_principal_storage_mtu</vt:lpstr>
      <vt:lpstr>wld_az1_rack8_principal_storage_network</vt:lpstr>
      <vt:lpstr>wld_az1_rack8_principal_storage_pg</vt:lpstr>
      <vt:lpstr>wld_az1_rack8_principal_storage_pool_end_ip</vt:lpstr>
      <vt:lpstr>wld_az1_rack8_principal_storage_pool_start_ip</vt:lpstr>
      <vt:lpstr>wld_az1_rack8_principal_storage_vlan</vt:lpstr>
      <vt:lpstr>wld_az1_rack8_reuse_vcf_networkpool_chosen</vt:lpstr>
      <vt:lpstr>wld_az1_rack8_rtep_ip_pool_name</vt:lpstr>
      <vt:lpstr>wld_az1_rack8_rtep_overlay_cidr</vt:lpstr>
      <vt:lpstr>wld_az1_rack8_rtep_overlay_gateway_ip</vt:lpstr>
      <vt:lpstr>wld_az1_rack8_rtep_overlay_mtu</vt:lpstr>
      <vt:lpstr>wld_az1_rack8_rtep_overlay_pool_end_ip</vt:lpstr>
      <vt:lpstr>wld_az1_rack8_rtep_overlay_pool_start_ip</vt:lpstr>
      <vt:lpstr>wld_az1_rack8_rtep_overlay_vlan</vt:lpstr>
      <vt:lpstr>wld_az1_rack8_secondary_storage_cidr</vt:lpstr>
      <vt:lpstr>wld_az1_rack8_secondary_storage_gateway_cidr</vt:lpstr>
      <vt:lpstr>wld_az1_rack8_secondary_storage_gateway_ip</vt:lpstr>
      <vt:lpstr>wld_az1_rack8_secondary_storage_mask</vt:lpstr>
      <vt:lpstr>wld_az1_rack8_secondary_storage_mtu</vt:lpstr>
      <vt:lpstr>wld_az1_rack8_secondary_storage_network</vt:lpstr>
      <vt:lpstr>wld_az1_rack8_secondary_storage_pool_end_ip</vt:lpstr>
      <vt:lpstr>wld_az1_rack8_secondary_storage_pool_start_ip</vt:lpstr>
      <vt:lpstr>wld_az1_rack8_secondary_storage_vlan</vt:lpstr>
      <vt:lpstr>wld_az1_rack8_tor1_peer_asn</vt:lpstr>
      <vt:lpstr>wld_az1_rack8_tor1_peer_bgp_password</vt:lpstr>
      <vt:lpstr>wld_az1_rack8_tor1_peer_ip</vt:lpstr>
      <vt:lpstr>wld_az1_rack8_tor2_peer_asn</vt:lpstr>
      <vt:lpstr>wld_az1_rack8_tor2_peer_bgp_password</vt:lpstr>
      <vt:lpstr>wld_az1_rack8_tor2_peer_ip</vt:lpstr>
      <vt:lpstr>wld_az1_rack8_uplink01_cidr</vt:lpstr>
      <vt:lpstr>wld_az1_rack8_uplink01_gateway_cidr</vt:lpstr>
      <vt:lpstr>wld_az1_rack8_uplink01_gateway_ip</vt:lpstr>
      <vt:lpstr>wld_az1_rack8_uplink01_mask</vt:lpstr>
      <vt:lpstr>wld_az1_rack8_uplink01_mtu</vt:lpstr>
      <vt:lpstr>wld_az1_rack8_uplink01_network</vt:lpstr>
      <vt:lpstr>wld_az1_rack8_uplink01_pg</vt:lpstr>
      <vt:lpstr>wld_az1_rack8_uplink01_vlan</vt:lpstr>
      <vt:lpstr>wld_az1_rack8_uplink02_cidr</vt:lpstr>
      <vt:lpstr>wld_az1_rack8_uplink02_gateway_cidr</vt:lpstr>
      <vt:lpstr>wld_az1_rack8_uplink02_gateway_ip</vt:lpstr>
      <vt:lpstr>wld_az1_rack8_uplink02_mask</vt:lpstr>
      <vt:lpstr>wld_az1_rack8_uplink02_mtu</vt:lpstr>
      <vt:lpstr>wld_az1_rack8_uplink02_network</vt:lpstr>
      <vt:lpstr>wld_az1_rack8_uplink02_pg</vt:lpstr>
      <vt:lpstr>wld_az1_rack8_uplink02_vlan</vt:lpstr>
      <vt:lpstr>wld_az1_rack8_vmotion_cidr</vt:lpstr>
      <vt:lpstr>wld_az1_rack8_vmotion_gateway_cidr</vt:lpstr>
      <vt:lpstr>wld_az1_rack8_vmotion_gateway_ip</vt:lpstr>
      <vt:lpstr>wld_az1_rack8_vmotion_mask</vt:lpstr>
      <vt:lpstr>wld_az1_rack8_vmotion_mtu</vt:lpstr>
      <vt:lpstr>wld_az1_rack8_vmotion_network</vt:lpstr>
      <vt:lpstr>wld_az1_rack8_vmotion_pg</vt:lpstr>
      <vt:lpstr>wld_az1_rack8_vmotion_pool_end_ip</vt:lpstr>
      <vt:lpstr>wld_az1_rack8_vmotion_pool_start_ip</vt:lpstr>
      <vt:lpstr>wld_az1_rack8_vmotion_vlan</vt:lpstr>
      <vt:lpstr>wld_az1_rack8_vrms_cidr</vt:lpstr>
      <vt:lpstr>wld_az1_rack8_vrms_gateway_ip</vt:lpstr>
      <vt:lpstr>wld_az1_rack8_vrms_mtu</vt:lpstr>
      <vt:lpstr>wld_az1_rack8_vrms_vlan</vt:lpstr>
      <vt:lpstr>wld_az1_rack8_vsan_fault_domain</vt:lpstr>
      <vt:lpstr>wld_az1_reuse_vcf_networkpool_chosen</vt:lpstr>
      <vt:lpstr>wld_az1_reuse_vcf_networkpool_result</vt:lpstr>
      <vt:lpstr>wld_az1_rtep_ip_pool_name</vt:lpstr>
      <vt:lpstr>wld_az1_rtep_overlay_cidr</vt:lpstr>
      <vt:lpstr>wld_az1_rtep_overlay_gateway_ip</vt:lpstr>
      <vt:lpstr>wld_az1_rtep_overlay_mtu</vt:lpstr>
      <vt:lpstr>wld_az1_rtep_overlay_network</vt:lpstr>
      <vt:lpstr>wld_az1_rtep_overlay_pg</vt:lpstr>
      <vt:lpstr>wld_az1_rtep_overlay_vlan</vt:lpstr>
      <vt:lpstr>wld_az1_secondary_storage_cidr</vt:lpstr>
      <vt:lpstr>wld_az1_secondary_storage_gateway_cidr</vt:lpstr>
      <vt:lpstr>wld_az1_secondary_storage_gateway_ip</vt:lpstr>
      <vt:lpstr>wld_az1_secondary_storage_ip_assignment_chosen</vt:lpstr>
      <vt:lpstr>wld_az1_secondary_storage_ip_scheme_chosen</vt:lpstr>
      <vt:lpstr>wld_az1_secondary_storage_mask</vt:lpstr>
      <vt:lpstr>wld_az1_secondary_storage_mtu</vt:lpstr>
      <vt:lpstr>wld_az1_secondary_storage_network</vt:lpstr>
      <vt:lpstr>wld_az1_secondary_storage_pool_end_ip</vt:lpstr>
      <vt:lpstr>wld_az1_secondary_storage_pool_start_ip</vt:lpstr>
      <vt:lpstr>wld_az1_secondary_storage_vlan</vt:lpstr>
      <vt:lpstr>wld_az1_storage_cluster_cidr</vt:lpstr>
      <vt:lpstr>wld_az1_storage_cluster_gateway_cidr</vt:lpstr>
      <vt:lpstr>wld_az1_storage_cluster_gateway_ip</vt:lpstr>
      <vt:lpstr>wld_az1_storage_cluster_ip_assignment_chosen</vt:lpstr>
      <vt:lpstr>wld_az1_storage_cluster_ip_scheme_chosen</vt:lpstr>
      <vt:lpstr>wld_az1_storage_cluster_mask</vt:lpstr>
      <vt:lpstr>wld_az1_storage_cluster_mtu</vt:lpstr>
      <vt:lpstr>wld_az1_storage_cluster_network</vt:lpstr>
      <vt:lpstr>wld_az1_storage_cluster_pool_end_ip</vt:lpstr>
      <vt:lpstr>wld_az1_storage_cluster_pool_start_ip</vt:lpstr>
      <vt:lpstr>wld_az1_storage_cluster_vlan</vt:lpstr>
      <vt:lpstr>wld_az1_tor1_peer_asn</vt:lpstr>
      <vt:lpstr>wld_az1_tor1_peer_bgp_password</vt:lpstr>
      <vt:lpstr>wld_az1_tor1_peer_ip</vt:lpstr>
      <vt:lpstr>wld_az1_tor2_peer_asn</vt:lpstr>
      <vt:lpstr>wld_az1_tor2_peer_bgp_password</vt:lpstr>
      <vt:lpstr>wld_az1_tor2_peer_ip</vt:lpstr>
      <vt:lpstr>wld_az1_uplink01_cidr</vt:lpstr>
      <vt:lpstr>wld_az1_uplink01_gateway_ip</vt:lpstr>
      <vt:lpstr>wld_az1_uplink01_mask</vt:lpstr>
      <vt:lpstr>wld_az1_uplink01_mtu</vt:lpstr>
      <vt:lpstr>wld_az1_uplink01_network</vt:lpstr>
      <vt:lpstr>wld_az1_uplink01_vlan</vt:lpstr>
      <vt:lpstr>wld_az1_uplink02_cidr</vt:lpstr>
      <vt:lpstr>wld_az1_uplink02_gateway_ip</vt:lpstr>
      <vt:lpstr>wld_az1_uplink02_mask</vt:lpstr>
      <vt:lpstr>wld_az1_uplink02_mtu</vt:lpstr>
      <vt:lpstr>wld_az1_uplink02_network</vt:lpstr>
      <vt:lpstr>wld_az1_uplink02_vlan</vt:lpstr>
      <vt:lpstr>wld_az1_vm_cidr</vt:lpstr>
      <vt:lpstr>wld_az1_vm_gateway_ip</vt:lpstr>
      <vt:lpstr>wld_az1_vm_mtu</vt:lpstr>
      <vt:lpstr>wld_az1_vm_vlan</vt:lpstr>
      <vt:lpstr>wld_az1_vmotion_cidr</vt:lpstr>
      <vt:lpstr>wld_az1_vmotion_gateway_cidr</vt:lpstr>
      <vt:lpstr>wld_az1_vmotion_gateway_ip</vt:lpstr>
      <vt:lpstr>wld_az1_vmotion_ip_assignment_chosen</vt:lpstr>
      <vt:lpstr>wld_az1_vmotion_ip_scheme_chosen</vt:lpstr>
      <vt:lpstr>wld_az1_vmotion_mask</vt:lpstr>
      <vt:lpstr>wld_az1_vmotion_mtu</vt:lpstr>
      <vt:lpstr>wld_az1_vmotion_network</vt:lpstr>
      <vt:lpstr>wld_az1_vmotion_pool_end_ip</vt:lpstr>
      <vt:lpstr>wld_az1_vmotion_pool_start_ip</vt:lpstr>
      <vt:lpstr>wld_az1_vmotion_vlan</vt:lpstr>
      <vt:lpstr>wld_az1_vrms_cidr</vt:lpstr>
      <vt:lpstr>wld_az1_vrms_gateway_ip</vt:lpstr>
      <vt:lpstr>wld_az1_vrms_mtu</vt:lpstr>
      <vt:lpstr>wld_az1_vrms_network</vt:lpstr>
      <vt:lpstr>wld_az1_vrms_vlan</vt:lpstr>
      <vt:lpstr>wld_az2_edge_overlay_cidr</vt:lpstr>
      <vt:lpstr>wld_az2_edge_overlay_gateway_ip</vt:lpstr>
      <vt:lpstr>wld_az2_edge_overlay_mask</vt:lpstr>
      <vt:lpstr>wld_az2_edge_overlay_mtu</vt:lpstr>
      <vt:lpstr>wld_az2_edge_overlay_network</vt:lpstr>
      <vt:lpstr>wld_az2_edge_overlay_pg</vt:lpstr>
      <vt:lpstr>wld_az2_edge_overlay_vlan</vt:lpstr>
      <vt:lpstr>wld_az2_host_fqdns</vt:lpstr>
      <vt:lpstr>wld_az2_host_hostnames</vt:lpstr>
      <vt:lpstr>wld_az2_host_mgmt_ips</vt:lpstr>
      <vt:lpstr>wld_az2_host_overlay_cidr</vt:lpstr>
      <vt:lpstr>wld_az2_host_overlay_gateway_ip</vt:lpstr>
      <vt:lpstr>wld_az2_host_overlay_mask</vt:lpstr>
      <vt:lpstr>wld_az2_host_overlay_mtu</vt:lpstr>
      <vt:lpstr>wld_az2_host_overlay_network</vt:lpstr>
      <vt:lpstr>wld_az2_host_overlay_network_pool_name</vt:lpstr>
      <vt:lpstr>wld_az2_host_overlay_network_profile_name</vt:lpstr>
      <vt:lpstr>wld_az2_host_overlay_new_pool_chosen</vt:lpstr>
      <vt:lpstr>wld_az2_host_overlay_pg</vt:lpstr>
      <vt:lpstr>wld_az2_host_overlay_pool_end_ip</vt:lpstr>
      <vt:lpstr>wld_az2_host_overlay_pool_name</vt:lpstr>
      <vt:lpstr>wld_az2_host_overlay_pool_start_ip</vt:lpstr>
      <vt:lpstr>wld_az2_host_overlay_uplink_profile_name</vt:lpstr>
      <vt:lpstr>wld_az2_host_overlay_vlan</vt:lpstr>
      <vt:lpstr>wld_az2_host_vrms_ips</vt:lpstr>
      <vt:lpstr>wld_az2_host1_fqdn</vt:lpstr>
      <vt:lpstr>wld_az2_host1_hostname</vt:lpstr>
      <vt:lpstr>wld_az2_host1_mgmt_ip</vt:lpstr>
      <vt:lpstr>wld_az2_host1_sddc_id</vt:lpstr>
      <vt:lpstr>wld_az2_host1_vrms_ip</vt:lpstr>
      <vt:lpstr>wld_az2_host10_fqdn</vt:lpstr>
      <vt:lpstr>wld_az2_host10_hostname</vt:lpstr>
      <vt:lpstr>wld_az2_host10_mgmt_ip</vt:lpstr>
      <vt:lpstr>wld_az2_host10_vrms_ip</vt:lpstr>
      <vt:lpstr>wld_az2_host11_fqdn</vt:lpstr>
      <vt:lpstr>wld_az2_host11_hostname</vt:lpstr>
      <vt:lpstr>wld_az2_host11_mgmt_ip</vt:lpstr>
      <vt:lpstr>wld_az2_host11_vrms_ip</vt:lpstr>
      <vt:lpstr>wld_az2_host12_fqdn</vt:lpstr>
      <vt:lpstr>wld_az2_host12_hostname</vt:lpstr>
      <vt:lpstr>wld_az2_host12_mgmt_ip</vt:lpstr>
      <vt:lpstr>wld_az2_host12_vrms_ip</vt:lpstr>
      <vt:lpstr>wld_az2_host13_fqdn</vt:lpstr>
      <vt:lpstr>wld_az2_host13_hostname</vt:lpstr>
      <vt:lpstr>wld_az2_host13_mgmt_ip</vt:lpstr>
      <vt:lpstr>wld_az2_host13_vrms_ip</vt:lpstr>
      <vt:lpstr>wld_az2_host14_fqdn</vt:lpstr>
      <vt:lpstr>wld_az2_host14_hostname</vt:lpstr>
      <vt:lpstr>wld_az2_host14_mgmt_ip</vt:lpstr>
      <vt:lpstr>wld_az2_host14_vrms_ip</vt:lpstr>
      <vt:lpstr>wld_az2_host15_fqdn</vt:lpstr>
      <vt:lpstr>wld_az2_host15_hostname</vt:lpstr>
      <vt:lpstr>wld_az2_host15_mgmt_ip</vt:lpstr>
      <vt:lpstr>wld_az2_host15_vrms_ip</vt:lpstr>
      <vt:lpstr>wld_az2_host16_fqdn</vt:lpstr>
      <vt:lpstr>wld_az2_host16_hostname</vt:lpstr>
      <vt:lpstr>wld_az2_host16_mgmt_ip</vt:lpstr>
      <vt:lpstr>wld_az2_host16_vrms_ip</vt:lpstr>
      <vt:lpstr>wld_az2_host2_fqdn</vt:lpstr>
      <vt:lpstr>wld_az2_host2_hostname</vt:lpstr>
      <vt:lpstr>wld_az2_host2_mgmt_ip</vt:lpstr>
      <vt:lpstr>wld_az2_host2_sddc_id</vt:lpstr>
      <vt:lpstr>wld_az2_host2_vrms_ip</vt:lpstr>
      <vt:lpstr>wld_az2_host3_fqdn</vt:lpstr>
      <vt:lpstr>wld_az2_host3_hostname</vt:lpstr>
      <vt:lpstr>wld_az2_host3_mgmt_ip</vt:lpstr>
      <vt:lpstr>wld_az2_host3_sddc_id</vt:lpstr>
      <vt:lpstr>wld_az2_host3_vrms_ip</vt:lpstr>
      <vt:lpstr>wld_az2_host4_fqdn</vt:lpstr>
      <vt:lpstr>wld_az2_host4_hostname</vt:lpstr>
      <vt:lpstr>wld_az2_host4_mgmt_ip</vt:lpstr>
      <vt:lpstr>wld_az2_host4_sddc_id</vt:lpstr>
      <vt:lpstr>wld_az2_host4_vrms_ip</vt:lpstr>
      <vt:lpstr>wld_az2_host5_fqdn</vt:lpstr>
      <vt:lpstr>wld_az2_host5_hostname</vt:lpstr>
      <vt:lpstr>wld_az2_host5_mgmt_ip</vt:lpstr>
      <vt:lpstr>wld_az2_host5_vrms_ip</vt:lpstr>
      <vt:lpstr>wld_az2_host6_fqdn</vt:lpstr>
      <vt:lpstr>wld_az2_host6_hostname</vt:lpstr>
      <vt:lpstr>wld_az2_host6_mgmt_ip</vt:lpstr>
      <vt:lpstr>wld_az2_host6_vrms_ip</vt:lpstr>
      <vt:lpstr>wld_az2_host7_fqdn</vt:lpstr>
      <vt:lpstr>wld_az2_host7_hostname</vt:lpstr>
      <vt:lpstr>wld_az2_host7_mgmt_ip</vt:lpstr>
      <vt:lpstr>wld_az2_host7_vrms_ip</vt:lpstr>
      <vt:lpstr>wld_az2_host8_fqdn</vt:lpstr>
      <vt:lpstr>wld_az2_host8_hostname</vt:lpstr>
      <vt:lpstr>wld_az2_host8_mgmt_ip</vt:lpstr>
      <vt:lpstr>wld_az2_host8_vrms_ip</vt:lpstr>
      <vt:lpstr>wld_az2_host9_fqdn</vt:lpstr>
      <vt:lpstr>wld_az2_host9_hostname</vt:lpstr>
      <vt:lpstr>wld_az2_host9_mgmt_ip</vt:lpstr>
      <vt:lpstr>wld_az2_host9_vrms_ip</vt:lpstr>
      <vt:lpstr>wld_az2_mgmt_cidr</vt:lpstr>
      <vt:lpstr>wld_az2_mgmt_gateway_ip</vt:lpstr>
      <vt:lpstr>wld_az2_mgmt_mask</vt:lpstr>
      <vt:lpstr>wld_az2_mgmt_mtu</vt:lpstr>
      <vt:lpstr>wld_az2_mgmt_network</vt:lpstr>
      <vt:lpstr>wld_az2_mgmt_vlan</vt:lpstr>
      <vt:lpstr>wld_az2_pool_name</vt:lpstr>
      <vt:lpstr>wld_az2_principal_storage_cidr</vt:lpstr>
      <vt:lpstr>wld_az2_principal_storage_gateway_ip</vt:lpstr>
      <vt:lpstr>wld_az2_principal_storage_mask</vt:lpstr>
      <vt:lpstr>wld_az2_principal_storage_mtu</vt:lpstr>
      <vt:lpstr>wld_az2_principal_storage_network</vt:lpstr>
      <vt:lpstr>wld_az2_principal_storage_pool_end_ip</vt:lpstr>
      <vt:lpstr>wld_az2_principal_storage_pool_start_ip</vt:lpstr>
      <vt:lpstr>wld_az2_principal_storage_vlan</vt:lpstr>
      <vt:lpstr>wld_az2_reuse_vcf_networkpool_chosen</vt:lpstr>
      <vt:lpstr>wld_az2_rtep_overlay_cidr</vt:lpstr>
      <vt:lpstr>wld_az2_rtep_overlay_gateway_ip</vt:lpstr>
      <vt:lpstr>wld_az2_rtep_overlay_mask</vt:lpstr>
      <vt:lpstr>wld_az2_rtep_overlay_mtu</vt:lpstr>
      <vt:lpstr>wld_az2_rtep_overlay_network</vt:lpstr>
      <vt:lpstr>wld_az2_rtep_overlay_pg</vt:lpstr>
      <vt:lpstr>wld_az2_rtep_overlay_vlan</vt:lpstr>
      <vt:lpstr>wld_az2_secondary_storage_cidr</vt:lpstr>
      <vt:lpstr>wld_az2_secondary_storage_gateway_ip</vt:lpstr>
      <vt:lpstr>wld_az2_secondary_storage_mask</vt:lpstr>
      <vt:lpstr>wld_az2_secondary_storage_mtu</vt:lpstr>
      <vt:lpstr>wld_az2_secondary_storage_network</vt:lpstr>
      <vt:lpstr>wld_az2_secondary_storage_pool_end_ip</vt:lpstr>
      <vt:lpstr>wld_az2_secondary_storage_pool_start_ip</vt:lpstr>
      <vt:lpstr>wld_az2_secondary_storage_vlan</vt:lpstr>
      <vt:lpstr>wld_az2_storage_cluster_gateway_ip</vt:lpstr>
      <vt:lpstr>wld_az2_storage_cluster_mask</vt:lpstr>
      <vt:lpstr>wld_az2_storage_cluster_mtu</vt:lpstr>
      <vt:lpstr>wld_az2_storage_cluster_network</vt:lpstr>
      <vt:lpstr>wld_az2_storage_cluster_pool_end_ip</vt:lpstr>
      <vt:lpstr>wld_az2_storage_cluster_pool_start_ip</vt:lpstr>
      <vt:lpstr>wld_az2_storage_cluster_vlan</vt:lpstr>
      <vt:lpstr>wld_az2_tor1_peer_asn</vt:lpstr>
      <vt:lpstr>wld_az2_tor1_peer_bgp_password</vt:lpstr>
      <vt:lpstr>wld_az2_tor1_peer_ip</vt:lpstr>
      <vt:lpstr>wld_az2_tor2_peer_asn</vt:lpstr>
      <vt:lpstr>wld_az2_tor2_peer_bgp_password</vt:lpstr>
      <vt:lpstr>wld_az2_tor2_peer_ip</vt:lpstr>
      <vt:lpstr>wld_az2_uplink01_cidr</vt:lpstr>
      <vt:lpstr>wld_az2_uplink01_gateway_ip</vt:lpstr>
      <vt:lpstr>wld_az2_uplink01_mask</vt:lpstr>
      <vt:lpstr>wld_az2_uplink01_mtu</vt:lpstr>
      <vt:lpstr>wld_az2_uplink01_network</vt:lpstr>
      <vt:lpstr>wld_az2_uplink01_vlan</vt:lpstr>
      <vt:lpstr>wld_az2_uplink02_cidr</vt:lpstr>
      <vt:lpstr>wld_az2_uplink02_gateway_ip</vt:lpstr>
      <vt:lpstr>wld_az2_uplink02_mask</vt:lpstr>
      <vt:lpstr>wld_az2_uplink02_mtu</vt:lpstr>
      <vt:lpstr>wld_az2_uplink02_network</vt:lpstr>
      <vt:lpstr>wld_az2_uplink02_vlan</vt:lpstr>
      <vt:lpstr>wld_az2_vm_cidr</vt:lpstr>
      <vt:lpstr>wld_az2_vm_gateway_ip</vt:lpstr>
      <vt:lpstr>wld_az2_vm_mtu</vt:lpstr>
      <vt:lpstr>wld_az2_vm_vlan</vt:lpstr>
      <vt:lpstr>wld_az2_vmotion_cidr</vt:lpstr>
      <vt:lpstr>wld_az2_vmotion_gateway_ip</vt:lpstr>
      <vt:lpstr>wld_az2_vmotion_mask</vt:lpstr>
      <vt:lpstr>wld_az2_vmotion_mtu</vt:lpstr>
      <vt:lpstr>wld_az2_vmotion_network</vt:lpstr>
      <vt:lpstr>wld_az2_vmotion_pool_end_ip</vt:lpstr>
      <vt:lpstr>wld_az2_vmotion_pool_start_ip</vt:lpstr>
      <vt:lpstr>wld_az2_vmotion_vlan</vt:lpstr>
      <vt:lpstr>wld_az2_vrms_cidr</vt:lpstr>
      <vt:lpstr>wld_az2_vrms_gateway_ip</vt:lpstr>
      <vt:lpstr>wld_az2_vrms_mask</vt:lpstr>
      <vt:lpstr>wld_az2_vrms_mtu</vt:lpstr>
      <vt:lpstr>wld_az2_vrms_network</vt:lpstr>
      <vt:lpstr>wld_az2_vrms_vlan</vt:lpstr>
      <vt:lpstr>wld_bf_nsx_appliance_size_chosen</vt:lpstr>
      <vt:lpstr>wld_bf_nsx_create_passwords_chosen</vt:lpstr>
      <vt:lpstr>wld_bf_nsx_existing_chosen</vt:lpstr>
      <vt:lpstr>wld_bf_nsx_ha_mode_chosen</vt:lpstr>
      <vt:lpstr>wld_bf_nsx_join_manager_chosen</vt:lpstr>
      <vt:lpstr>wld_bf_nsxt_admin_password</vt:lpstr>
      <vt:lpstr>wld_bf_nsxt_audit_password</vt:lpstr>
      <vt:lpstr>wld_bf_nsxt_configure_overlay_on_mgmt_pg_chosen</vt:lpstr>
      <vt:lpstr>wld_bf_nsxt_enable_edge_sync_chosen</vt:lpstr>
      <vt:lpstr>wld_bf_nsxt_mgra_fqdn</vt:lpstr>
      <vt:lpstr>wld_bf_nsxt_mgrb_fqdn</vt:lpstr>
      <vt:lpstr>wld_bf_nsxt_mgrc_fqdn</vt:lpstr>
      <vt:lpstr>wld_bf_nsxt_root_password</vt:lpstr>
      <vt:lpstr>wld_bf_nsxt_vip_fqdn</vt:lpstr>
      <vt:lpstr>wld_bf_sddc_domain</vt:lpstr>
      <vt:lpstr>wld_bf_vc_fqdn</vt:lpstr>
      <vt:lpstr>wld_bf_vc_root_password</vt:lpstr>
      <vt:lpstr>wld_bf_vc_sso_password</vt:lpstr>
      <vt:lpstr>wld_bf_vc_sso_username</vt:lpstr>
      <vt:lpstr>wld_bf_vcenter_type_chosen</vt:lpstr>
      <vt:lpstr>wld_bgp_chosen</vt:lpstr>
      <vt:lpstr>wld_bgp_result</vt:lpstr>
      <vt:lpstr>wld_centralized_connectivity_chosen</vt:lpstr>
      <vt:lpstr>wld_cl01_az1_mgmt_lbt_chosen</vt:lpstr>
      <vt:lpstr>wld_cl01_az1_mgmt_pg</vt:lpstr>
      <vt:lpstr>wld_cl01_az1_mgmt_uplink1_chosen</vt:lpstr>
      <vt:lpstr>wld_cl01_az1_mgmt_uplink2_chosen</vt:lpstr>
      <vt:lpstr>wld_cl01_az1_mgmt_vm_lbt_chosen</vt:lpstr>
      <vt:lpstr>wld_cl01_az1_mgmt_vm_pg</vt:lpstr>
      <vt:lpstr>wld_cl01_az1_mgmt_vm_uplink1_chosen</vt:lpstr>
      <vt:lpstr>wld_cl01_az1_mgmt_vm_uplink2_chosen</vt:lpstr>
      <vt:lpstr>wld_cl01_az1_nsx_lbt_chosen</vt:lpstr>
      <vt:lpstr>wld_cl01_az1_nsx_uplink_count</vt:lpstr>
      <vt:lpstr>wld_cl01_az1_nsx_uplink1_chosen</vt:lpstr>
      <vt:lpstr>wld_cl01_az1_nsx_uplink2_chosen</vt:lpstr>
      <vt:lpstr>wld_cl01_az1_principal_storage_pg</vt:lpstr>
      <vt:lpstr>wld_cl01_az1_uplink01_pg</vt:lpstr>
      <vt:lpstr>wld_cl01_az1_uplink02_pg</vt:lpstr>
      <vt:lpstr>wld_cl01_az1_vm_pg</vt:lpstr>
      <vt:lpstr>wld_cl01_az1_vmotion_lbt_chosen</vt:lpstr>
      <vt:lpstr>wld_cl01_az1_vmotion_pg</vt:lpstr>
      <vt:lpstr>wld_cl01_az1_vmotion_uplink1_chosen</vt:lpstr>
      <vt:lpstr>wld_cl01_az1_vmotion_uplink2_chosen</vt:lpstr>
      <vt:lpstr>wld_cl01_az1_vsan_lbt_chosen</vt:lpstr>
      <vt:lpstr>wld_cl01_az1_vsan_storage_client_lbt_chosen</vt:lpstr>
      <vt:lpstr>wld_cl01_az1_vsan_storage_client_pg</vt:lpstr>
      <vt:lpstr>wld_cl01_az1_vsan_storage_client_uplink1_chosen</vt:lpstr>
      <vt:lpstr>wld_cl01_az1_vsan_storage_client_uplink2_chosen</vt:lpstr>
      <vt:lpstr>wld_cl01_az1_vsan_uplink1_chosen</vt:lpstr>
      <vt:lpstr>wld_cl01_az1_vsan_uplink2_chosen</vt:lpstr>
      <vt:lpstr>wld_cl01_az2_mgmt_pg</vt:lpstr>
      <vt:lpstr>wld_cl01_az2_principal_storage_pg</vt:lpstr>
      <vt:lpstr>wld_cl01_az2_uplink01_pg</vt:lpstr>
      <vt:lpstr>wld_cl01_az2_uplink02_pg</vt:lpstr>
      <vt:lpstr>wld_cl01_az2_vm_pg</vt:lpstr>
      <vt:lpstr>wld_cl01_az2_vmotion_pg</vt:lpstr>
      <vt:lpstr>wld_cl01_cluster</vt:lpstr>
      <vt:lpstr>wld_cl01_cluster_sddc_id</vt:lpstr>
      <vt:lpstr>wld_cl01_cluster_zn_name</vt:lpstr>
      <vt:lpstr>wld_cl01_evc_mode</vt:lpstr>
      <vt:lpstr>wld_cl01_image_name</vt:lpstr>
      <vt:lpstr>wld_cl01_nfs_datastore_name</vt:lpstr>
      <vt:lpstr>wld_cl01_nfs_server_address</vt:lpstr>
      <vt:lpstr>wld_cl01_nfs_share_path</vt:lpstr>
      <vt:lpstr>wld_cl01_nsxt_deployent_type_chosen</vt:lpstr>
      <vt:lpstr>wld_cl01_supervisor_control_plane_ip_range</vt:lpstr>
      <vt:lpstr>wld_cl01_supervisor_dns</vt:lpstr>
      <vt:lpstr>wld_cl01_supervisor_ext_ip_block_gateway_cidr</vt:lpstr>
      <vt:lpstr>wld_cl01_supervisor_ext_ip_block_vlan</vt:lpstr>
      <vt:lpstr>wld_cl01_supervisor_name</vt:lpstr>
      <vt:lpstr>wld_cl01_supervisor_nsx_project</vt:lpstr>
      <vt:lpstr>wld_cl01_supervisor_ntp</vt:lpstr>
      <vt:lpstr>wld_cl01_supervisor_private_transit_gateway_cidr</vt:lpstr>
      <vt:lpstr>wld_cl01_supervisor_service_cidr</vt:lpstr>
      <vt:lpstr>wld_cl01_supervisor_use_mgmt_vmk_chosen</vt:lpstr>
      <vt:lpstr>wld_cl01_supervisor_vpc_profile</vt:lpstr>
      <vt:lpstr>wld_cl01_vds_copy_profile_chosen</vt:lpstr>
      <vt:lpstr>wld_cl01_vds_name</vt:lpstr>
      <vt:lpstr>wld_cl01_vds_profile_chosen</vt:lpstr>
      <vt:lpstr>wld_cl01_vds_standard_preconfigured_profiles</vt:lpstr>
      <vt:lpstr>wld_cl01_vds_vsanmax_preconfigured_profiles</vt:lpstr>
      <vt:lpstr>wld_cl01_vds01_lacp_mode_chosen</vt:lpstr>
      <vt:lpstr>wld_cl01_vds01_lacp_timeout_chosen</vt:lpstr>
      <vt:lpstr>wld_cl01_vds01_lag_lbt_chosen</vt:lpstr>
      <vt:lpstr>wld_cl01_vds01_lag_name</vt:lpstr>
      <vt:lpstr>wld_cl01_vds01_link_type_chosen</vt:lpstr>
      <vt:lpstr>wld_cl01_vds01_mtu</vt:lpstr>
      <vt:lpstr>wld_cl01_vds01_name</vt:lpstr>
      <vt:lpstr>wld_cl01_vds01_pnics</vt:lpstr>
      <vt:lpstr>wld_cl01_vds01_traffic_type</vt:lpstr>
      <vt:lpstr>wld_cl01_vds01_uplink_count</vt:lpstr>
      <vt:lpstr>wld_cl01_vds02_lacp_mode_chosen</vt:lpstr>
      <vt:lpstr>wld_cl01_vds02_lacp_timeout_chosen</vt:lpstr>
      <vt:lpstr>wld_cl01_vds02_lag_lbt_chosen</vt:lpstr>
      <vt:lpstr>wld_cl01_vds02_lag_name</vt:lpstr>
      <vt:lpstr>wld_cl01_vds02_link_type_chosen</vt:lpstr>
      <vt:lpstr>wld_cl01_vds02_mtu</vt:lpstr>
      <vt:lpstr>wld_cl01_vds02_name</vt:lpstr>
      <vt:lpstr>wld_cl01_vds02_pnics</vt:lpstr>
      <vt:lpstr>wld_cl01_vds02_traffic_type</vt:lpstr>
      <vt:lpstr>wld_cl01_vds02_uplink_count</vt:lpstr>
      <vt:lpstr>wld_cl01_vds03_lacp_mode_chosen</vt:lpstr>
      <vt:lpstr>wld_cl01_vds03_lacp_timeout_chosen</vt:lpstr>
      <vt:lpstr>wld_cl01_vds03_lag_lbt_chosen</vt:lpstr>
      <vt:lpstr>wld_cl01_vds03_lag_name</vt:lpstr>
      <vt:lpstr>wld_cl01_vds03_link_type_chosen</vt:lpstr>
      <vt:lpstr>wld_cl01_vds03_mtu</vt:lpstr>
      <vt:lpstr>wld_cl01_vds03_name</vt:lpstr>
      <vt:lpstr>wld_cl01_vds03_pnics</vt:lpstr>
      <vt:lpstr>wld_cl01_vds03_traffic_type</vt:lpstr>
      <vt:lpstr>wld_cl01_vds03_uplink_count</vt:lpstr>
      <vt:lpstr>wld_cl01_vmfs_datastore_name</vt:lpstr>
      <vt:lpstr>wld_cl01_vsan_client_network</vt:lpstr>
      <vt:lpstr>wld_cl01_vsan_datastore</vt:lpstr>
      <vt:lpstr>wld_cl01_vsan_dedupe_compression_chosen</vt:lpstr>
      <vt:lpstr>wld_cl01_vsan_dit_chosen</vt:lpstr>
      <vt:lpstr>wld_cl01_vsan_dit_rekey_custom_interval</vt:lpstr>
      <vt:lpstr>wld_cl01_vsan_dit_rekey_default_interval</vt:lpstr>
      <vt:lpstr>wld_cl01_vsan_dit_rekey_result</vt:lpstr>
      <vt:lpstr>wld_cl01_vsan_dit_rekey_type_chosen</vt:lpstr>
      <vt:lpstr>wld_cl01_vsan_ftt_chosen</vt:lpstr>
      <vt:lpstr>wld_cluster_compute_edge</vt:lpstr>
      <vt:lpstr>wld_cluster_compute_only</vt:lpstr>
      <vt:lpstr>wld_cluster_edge</vt:lpstr>
      <vt:lpstr>wld_compute_hosts_per_rack</vt:lpstr>
      <vt:lpstr>wld_compute_hosts_per_rack_chosen</vt:lpstr>
      <vt:lpstr>wld_compute_hosts_per_rack_result</vt:lpstr>
      <vt:lpstr>wld_compute_total_number_hosts</vt:lpstr>
      <vt:lpstr>wld_datacenter</vt:lpstr>
      <vt:lpstr>wld_day2_vnaa_fqdn</vt:lpstr>
      <vt:lpstr>wld_day2_vnab_fqdn</vt:lpstr>
      <vt:lpstr>wld_dedicated_edge_cluster_chosen_exclude</vt:lpstr>
      <vt:lpstr>wld_dedicated_edge_cluster_chosen_include</vt:lpstr>
      <vt:lpstr>wld_domain_chosen</vt:lpstr>
      <vt:lpstr>wld_domain_deployment_dual_stack_chosen</vt:lpstr>
      <vt:lpstr>wld_domain_deployment_type</vt:lpstr>
      <vt:lpstr>wld_domain_number_chosen</vt:lpstr>
      <vt:lpstr>wld_domain_password_creation_chosen</vt:lpstr>
      <vt:lpstr>wld_domain_result</vt:lpstr>
      <vt:lpstr>wld_dpg_separation_chosen</vt:lpstr>
      <vt:lpstr>wld_dpg_separation_result</vt:lpstr>
      <vt:lpstr>wld_ec_api_chosen</vt:lpstr>
      <vt:lpstr>wld_ec_formfactor_chosen</vt:lpstr>
      <vt:lpstr>wld_ec_gateway_type</vt:lpstr>
      <vt:lpstr>wld_ec_ip_assignment_chosen</vt:lpstr>
      <vt:lpstr>wld_ec_mtu</vt:lpstr>
      <vt:lpstr>wld_ec_name</vt:lpstr>
      <vt:lpstr>wld_ec_rp_name</vt:lpstr>
      <vt:lpstr>wld_ec01_en01_host_group_affinity_rule_name</vt:lpstr>
      <vt:lpstr>wld_ec01_en02_host_group_affinity_rule_name</vt:lpstr>
      <vt:lpstr>wld_ec01_host_group_affinity_rule_chosen</vt:lpstr>
      <vt:lpstr>wld_ec01_use_host_overlay_chosen</vt:lpstr>
      <vt:lpstr>wld_en_asn</vt:lpstr>
      <vt:lpstr>wld_en01_bfd_chosen</vt:lpstr>
      <vt:lpstr>wld_en02_bfd_chosen</vt:lpstr>
      <vt:lpstr>wld_esx_root_password</vt:lpstr>
      <vt:lpstr>wld_esx_root_username</vt:lpstr>
      <vt:lpstr>wld_esxi_external_certs_chosen</vt:lpstr>
      <vt:lpstr>wld_esxi_external_certs_result</vt:lpstr>
      <vt:lpstr>wld_existing_active_nsx_gm</vt:lpstr>
      <vt:lpstr>wld_existing_cross_instance_t0_name</vt:lpstr>
      <vt:lpstr>wld_gateway_routing_type_chosen</vt:lpstr>
      <vt:lpstr>wld_host_overlay_addressing_chosen</vt:lpstr>
      <vt:lpstr>wld_iaas_chosen</vt:lpstr>
      <vt:lpstr>wld_iaas_result</vt:lpstr>
      <vt:lpstr>wld_iaas_service_chosen</vt:lpstr>
      <vt:lpstr>wld_multi_rack_count_chosen</vt:lpstr>
      <vt:lpstr>wld_multi_rack_count_result</vt:lpstr>
      <vt:lpstr>wld_multirack_calc</vt:lpstr>
      <vt:lpstr>wld_multirack_result</vt:lpstr>
      <vt:lpstr>wld_nsx_default_operation_mode_chosen</vt:lpstr>
      <vt:lpstr>wld_nsx_ha_mode_chosen</vt:lpstr>
      <vt:lpstr>wld_nsx_operation_mode_chosen</vt:lpstr>
      <vt:lpstr>wld_nsx_overlay_transport_zone_chosen</vt:lpstr>
      <vt:lpstr>wld_nsx_vlan_transport_zone_chosen</vt:lpstr>
      <vt:lpstr>wld_nsx_vlan_transport_zone_name</vt:lpstr>
      <vt:lpstr>wld_nsx_vpc_type_chosen</vt:lpstr>
      <vt:lpstr>wld_nsxt_appliance_size_chosen</vt:lpstr>
      <vt:lpstr>wld_nsxt_en_admin_password</vt:lpstr>
      <vt:lpstr>wld_nsxt_en_root_password</vt:lpstr>
      <vt:lpstr>wld_nsxt_federation_chosen</vt:lpstr>
      <vt:lpstr>wld_nsxt_federation_global_manager_name</vt:lpstr>
      <vt:lpstr>wld_nsxt_federation_location_name</vt:lpstr>
      <vt:lpstr>wld_nsxt_federation_result</vt:lpstr>
      <vt:lpstr>wld_nsxt_global_mgr_anti_affinity_rule_name</vt:lpstr>
      <vt:lpstr>wld_nsxt_global_mgr_certificate_id</vt:lpstr>
      <vt:lpstr>wld_nsxt_global_mgr_cluster_id</vt:lpstr>
      <vt:lpstr>wld_nsxt_global_mgr_vmca_signed_thumbprint</vt:lpstr>
      <vt:lpstr>wld_nsxt_global_mgra_fqdn</vt:lpstr>
      <vt:lpstr>wld_nsxt_global_mgra_hostname</vt:lpstr>
      <vt:lpstr>wld_nsxt_global_mgra_ip</vt:lpstr>
      <vt:lpstr>wld_nsxt_global_mgrb_fqdn</vt:lpstr>
      <vt:lpstr>wld_nsxt_global_mgrb_hostname</vt:lpstr>
      <vt:lpstr>wld_nsxt_global_mgrb_ip</vt:lpstr>
      <vt:lpstr>wld_nsxt_global_mgrc_fqdn</vt:lpstr>
      <vt:lpstr>wld_nsxt_global_mgrc_hostname</vt:lpstr>
      <vt:lpstr>wld_nsxt_global_mgrc_ip</vt:lpstr>
      <vt:lpstr>wld_nsxt_gm_admin_password</vt:lpstr>
      <vt:lpstr>wld_nsxt_gm_audit_password</vt:lpstr>
      <vt:lpstr>wld_nsxt_gm_fingerprint</vt:lpstr>
      <vt:lpstr>wld_nsxt_gm_hostname</vt:lpstr>
      <vt:lpstr>wld_nsxt_gm_root_password</vt:lpstr>
      <vt:lpstr>wld_nsxt_gm_vip_fqdn</vt:lpstr>
      <vt:lpstr>wld_nsxt_gm_vip_ip</vt:lpstr>
      <vt:lpstr>wld_nsxt_hostname</vt:lpstr>
      <vt:lpstr>wld_nsxt_lm_admin_password</vt:lpstr>
      <vt:lpstr>wld_nsxt_lm_audit_password</vt:lpstr>
      <vt:lpstr>wld_nsxt_lm_fingerprint</vt:lpstr>
      <vt:lpstr>wld_nsxt_mgra_fqdn</vt:lpstr>
      <vt:lpstr>wld_nsxt_mgra_hostname</vt:lpstr>
      <vt:lpstr>wld_nsxt_mgra_ip</vt:lpstr>
      <vt:lpstr>wld_nsxt_mgrb_fqdn</vt:lpstr>
      <vt:lpstr>wld_nsxt_mgrb_hostname</vt:lpstr>
      <vt:lpstr>wld_nsxt_mgrb_ip</vt:lpstr>
      <vt:lpstr>wld_nsxt_mgrc_fqdn</vt:lpstr>
      <vt:lpstr>wld_nsxt_mgrc_hostname</vt:lpstr>
      <vt:lpstr>wld_nsxt_mgrc_ip</vt:lpstr>
      <vt:lpstr>wld_nsxt_vip_fqdn</vt:lpstr>
      <vt:lpstr>wld_nsxt_vip_ip</vt:lpstr>
      <vt:lpstr>wld_nsxt_xreg_t1_name</vt:lpstr>
      <vt:lpstr>wld_principal_storage_chosen</vt:lpstr>
      <vt:lpstr>wld_principal_storage_result</vt:lpstr>
      <vt:lpstr>wld_rack2_en_asn</vt:lpstr>
      <vt:lpstr>wld_rack3_en_asn</vt:lpstr>
      <vt:lpstr>wld_rack4_en_asn</vt:lpstr>
      <vt:lpstr>wld_rack5_en_asn</vt:lpstr>
      <vt:lpstr>wld_rack6_en_asn</vt:lpstr>
      <vt:lpstr>wld_rack7_en_asn</vt:lpstr>
      <vt:lpstr>wld_rack8_en_asn</vt:lpstr>
      <vt:lpstr>wld_rtep_ip_pool_name</vt:lpstr>
      <vt:lpstr>wld_rtep_overlay_pool_end_ip</vt:lpstr>
      <vt:lpstr>wld_rtep_overlay_pool_start_ip</vt:lpstr>
      <vt:lpstr>wld_rwr_az1_vrms_gateway_ip</vt:lpstr>
      <vt:lpstr>wld_rwr_az1_vrms_gateway_mask</vt:lpstr>
      <vt:lpstr>wld_rwr_cl02_cluster</vt:lpstr>
      <vt:lpstr>wld_rwr_recovery_site_az1_vrms_cidr</vt:lpstr>
      <vt:lpstr>wld_rwr_recovery_site_vc_fqdn</vt:lpstr>
      <vt:lpstr>wld_rwr_recoverysite_fd</vt:lpstr>
      <vt:lpstr>wld_rwr_recoverysite_prefix</vt:lpstr>
      <vt:lpstr>wld_rwr_vc_fqdn</vt:lpstr>
      <vt:lpstr>wld_rwr_vcfops_vlsr_username</vt:lpstr>
      <vt:lpstr>wld_rwr_vcfops_vr_username</vt:lpstr>
      <vt:lpstr>wld_sddc_domain</vt:lpstr>
      <vt:lpstr>wld_secondary_storage_chosen</vt:lpstr>
      <vt:lpstr>wld_secondary_storage_result</vt:lpstr>
      <vt:lpstr>wld_signed_certs_chosen</vt:lpstr>
      <vt:lpstr>wld_signed_certs_result</vt:lpstr>
      <vt:lpstr>wld_srm_admin_email</vt:lpstr>
      <vt:lpstr>wld_srm_admin_password</vt:lpstr>
      <vt:lpstr>wld_srm_database_password</vt:lpstr>
      <vt:lpstr>wld_srm_fqdn</vt:lpstr>
      <vt:lpstr>wld_srm_hostname</vt:lpstr>
      <vt:lpstr>wld_srm_ip</vt:lpstr>
      <vt:lpstr>wld_srm_p12_password</vt:lpstr>
      <vt:lpstr>wld_srm_recovery_vcenter_fqdn</vt:lpstr>
      <vt:lpstr>wld_srm_recovery_vcenter_password</vt:lpstr>
      <vt:lpstr>wld_srm_recovery_vcenter_username</vt:lpstr>
      <vt:lpstr>wld_srm_root_password</vt:lpstr>
      <vt:lpstr>wld_srm_site_name</vt:lpstr>
      <vt:lpstr>wld_srm_sso_domain_membership</vt:lpstr>
      <vt:lpstr>wld_srm_vm_folder</vt:lpstr>
      <vt:lpstr>wld_srm_vm_size</vt:lpstr>
      <vt:lpstr>wld_sso_domain_administrator</vt:lpstr>
      <vt:lpstr>wld_sso_domain_administrator_password</vt:lpstr>
      <vt:lpstr>wld_sso_domain_name</vt:lpstr>
      <vt:lpstr>wld_stretched_cluster_chosen</vt:lpstr>
      <vt:lpstr>wld_stretched_cluster_result</vt:lpstr>
      <vt:lpstr>wld_supervisor_chosen</vt:lpstr>
      <vt:lpstr>wld_supervisor_result</vt:lpstr>
      <vt:lpstr>wld_supvr_api_server_fqdn</vt:lpstr>
      <vt:lpstr>wld_supvr_cp_storage_policy</vt:lpstr>
      <vt:lpstr>wld_supvr_ctrl_plane_ha_chosen</vt:lpstr>
      <vt:lpstr>wld_supvr_ctrl_plane_size_chosen</vt:lpstr>
      <vt:lpstr>wld_supvr_ed_storage_policy</vt:lpstr>
      <vt:lpstr>wld_supvr_ic_storage_policy</vt:lpstr>
      <vt:lpstr>wld_supvr_ip_address_range</vt:lpstr>
      <vt:lpstr>wld_supvr_ip_mode_chosen</vt:lpstr>
      <vt:lpstr>wld_supvr_location_chosen</vt:lpstr>
      <vt:lpstr>wld_supvr_mgmt_dns_server</vt:lpstr>
      <vt:lpstr>wld_supvr_mgmt_dns_zones</vt:lpstr>
      <vt:lpstr>wld_supvr_mgmt_ntp_server</vt:lpstr>
      <vt:lpstr>wld_supvr_name</vt:lpstr>
      <vt:lpstr>wld_supvr_networking_stack_chosen</vt:lpstr>
      <vt:lpstr>wld_supvr_nsx_project</vt:lpstr>
      <vt:lpstr>wld_supvr_vpc_connectivity_profile</vt:lpstr>
      <vt:lpstr>wld_supvr_vpc_ext_ip_blocks_name</vt:lpstr>
      <vt:lpstr>wld_supvr_vpc_priv_cidr</vt:lpstr>
      <vt:lpstr>wld_supvr_vpc_priv_ip_blocks_name</vt:lpstr>
      <vt:lpstr>wld_supvr_vpc_service_cidr</vt:lpstr>
      <vt:lpstr>wld_supvr_wld_dns_server</vt:lpstr>
      <vt:lpstr>wld_supvr_wld_ntp_server</vt:lpstr>
      <vt:lpstr>wld_supvr_zone_name</vt:lpstr>
      <vt:lpstr>wld_tier0_ha_chosen</vt:lpstr>
      <vt:lpstr>wld_tier0_name</vt:lpstr>
      <vt:lpstr>wld_vc_fqdn</vt:lpstr>
      <vt:lpstr>wld_vc_hostname</vt:lpstr>
      <vt:lpstr>wld_vc_ip</vt:lpstr>
      <vt:lpstr>wld_vcenter_root_password</vt:lpstr>
      <vt:lpstr>wld_vlr_fqdn</vt:lpstr>
      <vt:lpstr>wld_vlr_hostname</vt:lpstr>
      <vt:lpstr>wld_vlr_replication_user</vt:lpstr>
      <vt:lpstr>wld_vna_esx_vmk_chosen</vt:lpstr>
      <vt:lpstr>wld_vna_ip_assignment_address_type_chosen</vt:lpstr>
      <vt:lpstr>wld_vna_ip_assignment_chosen</vt:lpstr>
      <vt:lpstr>wld_vna_rp_name</vt:lpstr>
      <vt:lpstr>wld_vnaa_fqdn</vt:lpstr>
      <vt:lpstr>wld_vnaa_ip</vt:lpstr>
      <vt:lpstr>wld_vnab_fqdn</vt:lpstr>
      <vt:lpstr>wld_vnab_ip</vt:lpstr>
      <vt:lpstr>wld_vpc_ext_ip_blocks_cidr</vt:lpstr>
      <vt:lpstr>wld_vpc_ext_ip_blocks_excluded_ips</vt:lpstr>
      <vt:lpstr>wld_vpc_ext_ip_blocks_name</vt:lpstr>
      <vt:lpstr>wld_vpc_ext_ip_blocks_reserved</vt:lpstr>
      <vt:lpstr>wld_vpc_ext_ip_blocks_visability</vt:lpstr>
      <vt:lpstr>wld_vpc_priv_ip_blocks_excluded_ips</vt:lpstr>
      <vt:lpstr>wld_vpc_priv_ip_blocks_name</vt:lpstr>
      <vt:lpstr>wld_vpc_priv_ip_blocks_reserved</vt:lpstr>
      <vt:lpstr>wld_vpc_priv_ip_blocks_visability</vt:lpstr>
      <vt:lpstr>wld_vpc_transit_gateway_ip_blocks_cidr</vt:lpstr>
      <vt:lpstr>wld_vpc_vna_cluster_name</vt:lpstr>
      <vt:lpstr>wld_vpc_vna_cluster_size_chosen</vt:lpstr>
      <vt:lpstr>wld_vrms_admin_email</vt:lpstr>
      <vt:lpstr>wld_vrms_admin_password</vt:lpstr>
      <vt:lpstr>wld_vrms_fqdn</vt:lpstr>
      <vt:lpstr>wld_vrms_hostname</vt:lpstr>
      <vt:lpstr>wld_vrms_mask</vt:lpstr>
      <vt:lpstr>wld_vrms_mgmt_ip</vt:lpstr>
      <vt:lpstr>wld_vrms_p12_password</vt:lpstr>
      <vt:lpstr>wld_vrms_pg</vt:lpstr>
      <vt:lpstr>wld_vrms_recovery_replication_cidr</vt:lpstr>
      <vt:lpstr>wld_vrms_root_password</vt:lpstr>
      <vt:lpstr>wld_vrms_site_name</vt:lpstr>
      <vt:lpstr>wld_vrms_vm_folder</vt:lpstr>
      <vt:lpstr>wld_vrms_vrms_ip</vt:lpstr>
      <vt:lpstr>wld_vsan_esa_hcl_check_chosen</vt:lpstr>
      <vt:lpstr>wld_vsan_type</vt:lpstr>
      <vt:lpstr>wld_vsan_type_chosen</vt:lpstr>
      <vt:lpstr>wld_witness_az_mgmt_mask</vt:lpstr>
      <vt:lpstr>wld_witness_cluster</vt:lpstr>
      <vt:lpstr>wld_witness_dns1_ip</vt:lpstr>
      <vt:lpstr>wld_witness_dns2_ip</vt:lpstr>
      <vt:lpstr>wld_witness_fqdn</vt:lpstr>
      <vt:lpstr>wld_witness_hostname</vt:lpstr>
      <vt:lpstr>wld_witness_ip</vt:lpstr>
      <vt:lpstr>wld_witness_mgmt_ip</vt:lpstr>
      <vt:lpstr>wld_witness_mgmt_pg</vt:lpstr>
      <vt:lpstr>wld_witness_ntp1_server</vt:lpstr>
      <vt:lpstr>wld_witness_ntp2_server</vt:lpstr>
      <vt:lpstr>wld_witness_root_password</vt:lpstr>
      <vt:lpstr>wld_witness_vc_fqdn</vt:lpstr>
      <vt:lpstr>wld_witness_vm_folder</vt:lpstr>
      <vt:lpstr>wld_witness_vsan_datastore</vt:lpstr>
      <vt:lpstr>wld_witness_zone_vc_fqdn</vt:lpstr>
      <vt:lpstr>wld_witness_zone_vc_hostname</vt:lpstr>
      <vt:lpstr>wld_witness_zone_vc_ip</vt:lpstr>
      <vt:lpstr>wld_witnessaz_gateway_ip</vt:lpstr>
      <vt:lpstr>wld_witnessaz_mgmt_cidr</vt:lpstr>
      <vt:lpstr>wld_witnessaz_mgmt_gateway_ip</vt:lpstr>
      <vt:lpstr>wld_witnessaz_mgmt_mask</vt:lpstr>
      <vt:lpstr>wld_witnessaz_mgmt_mtu</vt:lpstr>
      <vt:lpstr>wld_witnessaz_mgmt_network</vt:lpstr>
      <vt:lpstr>wld_witnessaz_mgmt_vlan</vt:lpstr>
      <vt:lpstr>workload_descriptor</vt:lpstr>
      <vt:lpstr>xreg_vra_admin_password</vt:lpstr>
      <vt:lpstr>xreg_vra_k8s_cluster_cidr_chosen</vt:lpstr>
      <vt:lpstr>xreg_vra_nodea_ip</vt:lpstr>
      <vt:lpstr>xreg_vra_nodeb_ip</vt:lpstr>
      <vt:lpstr>xreg_vra_nodec_ip</vt:lpstr>
      <vt:lpstr>xreg_vra_noded_ip</vt:lpstr>
      <vt:lpstr>xreg_vra_nodee_ip</vt:lpstr>
      <vt:lpstr>xreg_vra_nodef_ip</vt:lpstr>
      <vt:lpstr>xreg_vra_prefix</vt:lpstr>
      <vt:lpstr>xreg_vra_virtual_fqdn</vt:lpstr>
      <vt:lpstr>xreg_vra_virtual_hostname</vt:lpstr>
      <vt:lpstr>xreg_vra_virtual_ip</vt:lpstr>
      <vt:lpstr>xreg_vra_vm_folder</vt:lpstr>
      <vt:lpstr>xreg_vrops_admin_password</vt:lpstr>
      <vt:lpstr>xreg_vrops_collector_fqdn</vt:lpstr>
      <vt:lpstr>xreg_vrops_collector_hostname</vt:lpstr>
      <vt:lpstr>xreg_vrops_collector_ip</vt:lpstr>
      <vt:lpstr>xreg_vrops_collector_root_password</vt:lpstr>
      <vt:lpstr>xreg_vrops_nodea_fqdn</vt:lpstr>
      <vt:lpstr>xreg_vrops_nodea_hostname</vt:lpstr>
      <vt:lpstr>xreg_vrops_nodea_ip</vt:lpstr>
      <vt:lpstr>xreg_vrops_nodeb_fqdn</vt:lpstr>
      <vt:lpstr>xreg_vrops_nodeb_hostname</vt:lpstr>
      <vt:lpstr>xreg_vrops_nodeb_ip</vt:lpstr>
      <vt:lpstr>xreg_vrops_nodec_fqdn</vt:lpstr>
      <vt:lpstr>xreg_vrops_nodec_hostname</vt:lpstr>
      <vt:lpstr>xreg_vrops_nodec_ip</vt:lpstr>
      <vt:lpstr>xreg_vrops_root_password</vt:lpstr>
      <vt:lpstr>xreg_vrops_srm_sso_password</vt:lpstr>
      <vt:lpstr>xreg_vrops_srm_sso_username</vt:lpstr>
      <vt:lpstr>xreg_vrops_virtual_fqdn</vt:lpstr>
      <vt:lpstr>xreg_vrops_virtual_hostname</vt:lpstr>
      <vt:lpstr>xreg_vrops_virtual_ip</vt:lpstr>
      <vt:lpstr>xreg_vrops_vm_folder</vt:lpstr>
      <vt:lpstr>xreg_vrops_vrms_sso_password</vt:lpstr>
      <vt:lpstr>xreg_vrops_vrms_sso_username</vt:lpstr>
      <vt:lpstr>xreg_wsa_vm_folder</vt:lpstr>
      <vt:lpstr>xregion_dns1_ip</vt:lpstr>
      <vt:lpstr>xregion_dns2_ip</vt:lpstr>
      <vt:lpstr>xregion_ntp1_server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Cliff Cahill</cp:lastModifiedBy>
  <cp:revision/>
  <dcterms:created xsi:type="dcterms:W3CDTF">2020-01-21T13:51:29Z</dcterms:created>
  <dcterms:modified xsi:type="dcterms:W3CDTF">2026-09-11T08:47:05Z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0x010100A82EF44E0227C24E85294C0D2197735E</vt:lpwstr>
  </property>
  <property fmtid="{D5CDD505-2E9C-101B-9397-08002B2CF9AE}" pid="3" name="MediaServiceImageTags">
    <vt:lpwstr/>
  </property>
</Properties>
</file>